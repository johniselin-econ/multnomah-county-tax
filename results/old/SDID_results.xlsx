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multnomah-county-tax\results\"/>
    </mc:Choice>
  </mc:AlternateContent>
  <xr:revisionPtr revIDLastSave="0" documentId="13_ncr:1_{CEA4ADE7-5F04-4107-975F-D3C7C15FB9F1}" xr6:coauthVersionLast="47" xr6:coauthVersionMax="47" xr10:uidLastSave="{00000000-0000-0000-0000-000000000000}"/>
  <bookViews>
    <workbookView xWindow="28680" yWindow="-120" windowWidth="29040" windowHeight="15720" xr2:uid="{B902B153-FC12-4D64-8876-59EB85E13505}"/>
  </bookViews>
  <sheets>
    <sheet name="raw_data" sheetId="1" r:id="rId1"/>
    <sheet name="Analysis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" l="1"/>
  <c r="U6" i="2"/>
  <c r="U7" i="2"/>
  <c r="U8" i="2"/>
  <c r="U9" i="2"/>
  <c r="U10" i="2"/>
  <c r="U11" i="2"/>
  <c r="U4" i="2"/>
  <c r="T5" i="2"/>
  <c r="T6" i="2"/>
  <c r="T7" i="2"/>
  <c r="T8" i="2"/>
  <c r="T9" i="2"/>
  <c r="T10" i="2"/>
  <c r="T11" i="2"/>
  <c r="T4" i="2"/>
  <c r="V6" i="2"/>
  <c r="V7" i="2"/>
  <c r="V8" i="2" s="1"/>
  <c r="V9" i="2" s="1"/>
  <c r="V10" i="2" s="1"/>
  <c r="V11" i="2" s="1"/>
  <c r="V5" i="2"/>
  <c r="S5" i="2"/>
  <c r="S6" i="2"/>
  <c r="S7" i="2"/>
  <c r="S8" i="2"/>
  <c r="S9" i="2"/>
  <c r="S10" i="2"/>
  <c r="S11" i="2"/>
  <c r="S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R3" i="2"/>
  <c r="Q3" i="2"/>
  <c r="R4" i="2"/>
  <c r="Q4" i="2"/>
</calcChain>
</file>

<file path=xl/sharedStrings.xml><?xml version="1.0" encoding="utf-8"?>
<sst xmlns="http://schemas.openxmlformats.org/spreadsheetml/2006/main" count="204" uniqueCount="37">
  <si>
    <t>Dataset</t>
  </si>
  <si>
    <t>Sample</t>
  </si>
  <si>
    <t xml:space="preserve">Treated     </t>
  </si>
  <si>
    <t>Number of Counties</t>
  </si>
  <si>
    <t>Pre-treatment mean</t>
  </si>
  <si>
    <t xml:space="preserve">      -2.448*  </t>
  </si>
  <si>
    <t>Variable</t>
  </si>
  <si>
    <t>Returns or HH, No Controls</t>
  </si>
  <si>
    <t>Returns or HH, With Controls</t>
  </si>
  <si>
    <t>Exemptions or persons, No Controls</t>
  </si>
  <si>
    <t>Exemptions or persons, With Controls</t>
  </si>
  <si>
    <t>AGI or Total Income, No Controls</t>
  </si>
  <si>
    <t>AGI or Total Income, With Controls</t>
  </si>
  <si>
    <t>SE</t>
  </si>
  <si>
    <t>ACS</t>
  </si>
  <si>
    <t xml:space="preserve">All Counties </t>
  </si>
  <si>
    <t xml:space="preserve">      -2.058** </t>
  </si>
  <si>
    <t xml:space="preserve">      -2.359*  </t>
  </si>
  <si>
    <t>Urban 95 Counties</t>
  </si>
  <si>
    <t>Urban 95 Counties, COVID</t>
  </si>
  <si>
    <t>Urban 98 Counties</t>
  </si>
  <si>
    <t xml:space="preserve">      -1.712*  </t>
  </si>
  <si>
    <t xml:space="preserve">      -1.616*  </t>
  </si>
  <si>
    <t xml:space="preserve">      -1.616** </t>
  </si>
  <si>
    <t xml:space="preserve">      -2.987** </t>
  </si>
  <si>
    <t>IRS</t>
  </si>
  <si>
    <t xml:space="preserve">      -2.477***</t>
  </si>
  <si>
    <t xml:space="preserve">      -2.449** </t>
  </si>
  <si>
    <t xml:space="preserve">      -2.616*  </t>
  </si>
  <si>
    <t xml:space="preserve">      -2.477** </t>
  </si>
  <si>
    <t xml:space="preserve">      -2.616** </t>
  </si>
  <si>
    <t>UB</t>
  </si>
  <si>
    <t>LB</t>
  </si>
  <si>
    <t>Beta</t>
  </si>
  <si>
    <t>Position</t>
  </si>
  <si>
    <t>zero</t>
  </si>
  <si>
    <t>Sum of AGI or Total Income, With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</si>
</sst>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3" fontId="0" fillId="0" borderId="0" xfId="1" applyFont="1"/>
    <xf numFmtId="0" fontId="0" fillId="0" borderId="0" xfId="0" pivotButt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Analysis!$S$3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Analysis!$U$4:$U$11</c:f>
                <c:numCache>
                  <c:formatCode>General</c:formatCode>
                  <c:ptCount val="8"/>
                  <c:pt idx="0">
                    <c:v>2.71068</c:v>
                  </c:pt>
                  <c:pt idx="1">
                    <c:v>2.9497999999999998</c:v>
                  </c:pt>
                  <c:pt idx="2">
                    <c:v>4.3100399999999999</c:v>
                  </c:pt>
                  <c:pt idx="3">
                    <c:v>2.8772799999999998</c:v>
                  </c:pt>
                  <c:pt idx="4">
                    <c:v>2.9027600000000002</c:v>
                  </c:pt>
                  <c:pt idx="5">
                    <c:v>2.0423200000000001</c:v>
                  </c:pt>
                  <c:pt idx="6">
                    <c:v>2.0775999999999999</c:v>
                  </c:pt>
                  <c:pt idx="7">
                    <c:v>2.4323600000000001</c:v>
                  </c:pt>
                </c:numCache>
              </c:numRef>
            </c:plus>
            <c:minus>
              <c:numRef>
                <c:f>Analysis!$T$4:$T$11</c:f>
                <c:numCache>
                  <c:formatCode>General</c:formatCode>
                  <c:ptCount val="8"/>
                  <c:pt idx="0">
                    <c:v>2.71068</c:v>
                  </c:pt>
                  <c:pt idx="1">
                    <c:v>2.9497999999999998</c:v>
                  </c:pt>
                  <c:pt idx="2">
                    <c:v>4.3100399999999999</c:v>
                  </c:pt>
                  <c:pt idx="3">
                    <c:v>2.8772799999999998</c:v>
                  </c:pt>
                  <c:pt idx="4">
                    <c:v>2.9027600000000002</c:v>
                  </c:pt>
                  <c:pt idx="5">
                    <c:v>2.0423200000000001</c:v>
                  </c:pt>
                  <c:pt idx="6">
                    <c:v>2.0775999999999999</c:v>
                  </c:pt>
                  <c:pt idx="7">
                    <c:v>2.4323600000000001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Analysis!$Q$4:$R$11</c:f>
              <c:multiLvlStrCache>
                <c:ptCount val="8"/>
                <c:lvl>
                  <c:pt idx="0">
                    <c:v>All Counties </c:v>
                  </c:pt>
                  <c:pt idx="1">
                    <c:v>Urban 95 Counties</c:v>
                  </c:pt>
                  <c:pt idx="2">
                    <c:v>Urban 95 Counties, COVID</c:v>
                  </c:pt>
                  <c:pt idx="3">
                    <c:v>Urban 98 Counties</c:v>
                  </c:pt>
                  <c:pt idx="4">
                    <c:v>All Counties </c:v>
                  </c:pt>
                  <c:pt idx="5">
                    <c:v>Urban 95 Counties</c:v>
                  </c:pt>
                  <c:pt idx="6">
                    <c:v>Urban 95 Counties, COVID</c:v>
                  </c:pt>
                  <c:pt idx="7">
                    <c:v>Urban 98 Counties</c:v>
                  </c:pt>
                </c:lvl>
                <c:lvl>
                  <c:pt idx="0">
                    <c:v>ACS</c:v>
                  </c:pt>
                  <c:pt idx="1">
                    <c:v>ACS</c:v>
                  </c:pt>
                  <c:pt idx="2">
                    <c:v>ACS</c:v>
                  </c:pt>
                  <c:pt idx="3">
                    <c:v>ACS</c:v>
                  </c:pt>
                  <c:pt idx="4">
                    <c:v>IRS</c:v>
                  </c:pt>
                  <c:pt idx="5">
                    <c:v>IRS</c:v>
                  </c:pt>
                  <c:pt idx="6">
                    <c:v>IRS</c:v>
                  </c:pt>
                  <c:pt idx="7">
                    <c:v>IRS</c:v>
                  </c:pt>
                </c:lvl>
              </c:multiLvlStrCache>
            </c:multiLvlStrRef>
          </c:cat>
          <c:val>
            <c:numRef>
              <c:f>Analysis!$S$4:$S$11</c:f>
              <c:numCache>
                <c:formatCode>_(* #,##0.00_);_(* \(#,##0.00\);_(* "-"??_);_(@_)</c:formatCode>
                <c:ptCount val="8"/>
                <c:pt idx="0">
                  <c:v>-2.448</c:v>
                </c:pt>
                <c:pt idx="1">
                  <c:v>-2.359</c:v>
                </c:pt>
                <c:pt idx="2">
                  <c:v>-2.7879999999999998</c:v>
                </c:pt>
                <c:pt idx="3">
                  <c:v>-1.8360000000000001</c:v>
                </c:pt>
                <c:pt idx="4">
                  <c:v>-2.9870000000000001</c:v>
                </c:pt>
                <c:pt idx="5">
                  <c:v>-2.4769999999999999</c:v>
                </c:pt>
                <c:pt idx="6">
                  <c:v>-2.4489999999999998</c:v>
                </c:pt>
                <c:pt idx="7">
                  <c:v>-2.6160000000000001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9-44DE-97DC-9A190C42EF38}"/>
            </c:ext>
          </c:extLst>
        </c:ser>
        <c:ser>
          <c:idx val="1"/>
          <c:order val="1"/>
          <c:tx>
            <c:strRef>
              <c:f>Analysis!$W$3</c:f>
              <c:strCache>
                <c:ptCount val="1"/>
                <c:pt idx="0">
                  <c:v>zero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Analysis!$W$4:$W$11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29-44DE-97DC-9A190C42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435040"/>
        <c:axId val="227437920"/>
      </c:lineChart>
      <c:catAx>
        <c:axId val="22743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37920"/>
        <c:crosses val="autoZero"/>
        <c:auto val="1"/>
        <c:lblAlgn val="ctr"/>
        <c:lblOffset val="100"/>
        <c:noMultiLvlLbl val="0"/>
      </c:catAx>
      <c:valAx>
        <c:axId val="2274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13</xdr:row>
      <xdr:rowOff>26987</xdr:rowOff>
    </xdr:from>
    <xdr:to>
      <xdr:col>14</xdr:col>
      <xdr:colOff>171450</xdr:colOff>
      <xdr:row>28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A5FCEF-97D0-8EE9-9495-97ABB18A3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elin, John" refreshedDate="46010.608421412035" createdVersion="8" refreshedVersion="8" minRefreshableVersion="3" recordCount="16" xr:uid="{D8EF134F-57B4-43F0-AC5E-31F1EB5D7382}">
  <cacheSource type="worksheet">
    <worksheetSource ref="A1:I17" sheet="Analysis"/>
  </cacheSource>
  <cacheFields count="9">
    <cacheField name="Dataset" numFmtId="0">
      <sharedItems count="2">
        <s v="ACS"/>
        <s v="IRS"/>
      </sharedItems>
    </cacheField>
    <cacheField name="Sample" numFmtId="0">
      <sharedItems count="4">
        <s v="All Counties "/>
        <s v="Urban 95 Counties"/>
        <s v="Urban 95 Counties, COVID"/>
        <s v="Urban 98 Counties"/>
      </sharedItems>
    </cacheField>
    <cacheField name="Variable" numFmtId="0">
      <sharedItems count="2">
        <s v="Treated     "/>
        <s v="SE"/>
      </sharedItems>
    </cacheField>
    <cacheField name="Returns or HH, No Controls" numFmtId="43">
      <sharedItems containsSemiMixedTypes="0" containsString="0" containsNumber="1" minValue="-1.712" maxValue="2.0590000000000002"/>
    </cacheField>
    <cacheField name="Returns or HH, With Controls" numFmtId="43">
      <sharedItems containsSemiMixedTypes="0" containsString="0" containsNumber="1" minValue="-1.712" maxValue="2.1269999999999998"/>
    </cacheField>
    <cacheField name="Exemptions or persons, No Controls" numFmtId="43">
      <sharedItems containsSemiMixedTypes="0" containsString="0" containsNumber="1" minValue="-2.6150000000000002" maxValue="2.1"/>
    </cacheField>
    <cacheField name="Exemptions or persons, With Controls" numFmtId="43">
      <sharedItems containsSemiMixedTypes="0" containsString="0" containsNumber="1" minValue="-2.6150000000000002" maxValue="1.5980000000000001"/>
    </cacheField>
    <cacheField name="AGI or Total Income, No Controls" numFmtId="43">
      <sharedItems containsSemiMixedTypes="0" containsString="0" containsNumber="1" minValue="-2.9870000000000001" maxValue="2.1459999999999999"/>
    </cacheField>
    <cacheField name="AGI or Total Income, With Controls" numFmtId="43">
      <sharedItems containsSemiMixedTypes="0" containsString="0" containsNumber="1" minValue="-2.9870000000000001" maxValue="2.1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-1.1930000000000001"/>
    <n v="-1.1930000000000001"/>
    <n v="-2.0139999999999998"/>
    <n v="-2.0139999999999998"/>
    <n v="-2.448"/>
    <n v="-2.448"/>
  </r>
  <r>
    <x v="0"/>
    <x v="0"/>
    <x v="1"/>
    <n v="1.375"/>
    <n v="1.3680000000000001"/>
    <n v="1.4259999999999999"/>
    <n v="1.3939999999999999"/>
    <n v="1.819"/>
    <n v="1.383"/>
  </r>
  <r>
    <x v="0"/>
    <x v="1"/>
    <x v="0"/>
    <n v="-1.1100000000000001"/>
    <n v="-1.1100000000000001"/>
    <n v="-2.0579999999999998"/>
    <n v="-2.0579999999999998"/>
    <n v="-2.359"/>
    <n v="-2.359"/>
  </r>
  <r>
    <x v="0"/>
    <x v="1"/>
    <x v="1"/>
    <n v="1.179"/>
    <n v="0.93300000000000005"/>
    <n v="1.006"/>
    <n v="0.999"/>
    <n v="1.3460000000000001"/>
    <n v="1.5049999999999999"/>
  </r>
  <r>
    <x v="0"/>
    <x v="2"/>
    <x v="0"/>
    <n v="-1.64"/>
    <n v="-1.64"/>
    <n v="-2.6150000000000002"/>
    <n v="-2.6150000000000002"/>
    <n v="-2.7879999999999998"/>
    <n v="-2.7879999999999998"/>
  </r>
  <r>
    <x v="0"/>
    <x v="2"/>
    <x v="1"/>
    <n v="2.0590000000000002"/>
    <n v="2.1269999999999998"/>
    <n v="2.1"/>
    <n v="1.5980000000000001"/>
    <n v="2.1459999999999999"/>
    <n v="2.1989999999999998"/>
  </r>
  <r>
    <x v="0"/>
    <x v="3"/>
    <x v="0"/>
    <n v="-1.075"/>
    <n v="-1.075"/>
    <n v="-1.8360000000000001"/>
    <n v="-1.8360000000000001"/>
    <n v="-1.8360000000000001"/>
    <n v="-1.8360000000000001"/>
  </r>
  <r>
    <x v="0"/>
    <x v="3"/>
    <x v="1"/>
    <n v="1.206"/>
    <n v="1.1970000000000001"/>
    <n v="1.4370000000000001"/>
    <n v="1.4430000000000001"/>
    <n v="1.48"/>
    <n v="1.468"/>
  </r>
  <r>
    <x v="1"/>
    <x v="0"/>
    <x v="0"/>
    <n v="-1.712"/>
    <n v="-1.712"/>
    <n v="-1.6160000000000001"/>
    <n v="-1.6160000000000001"/>
    <n v="-2.9870000000000001"/>
    <n v="-2.9870000000000001"/>
  </r>
  <r>
    <x v="1"/>
    <x v="0"/>
    <x v="1"/>
    <n v="1.649"/>
    <n v="1.0129999999999999"/>
    <n v="0.95899999999999996"/>
    <n v="0.73099999999999998"/>
    <n v="1.296"/>
    <n v="1.4810000000000001"/>
  </r>
  <r>
    <x v="1"/>
    <x v="1"/>
    <x v="0"/>
    <n v="-0.78800000000000003"/>
    <n v="-0.78800000000000003"/>
    <n v="-0.68500000000000005"/>
    <n v="-0.68500000000000005"/>
    <n v="-2.4769999999999999"/>
    <n v="-2.4769999999999999"/>
  </r>
  <r>
    <x v="1"/>
    <x v="1"/>
    <x v="1"/>
    <n v="0.55800000000000005"/>
    <n v="0.57999999999999996"/>
    <n v="0.60299999999999998"/>
    <n v="0.61699999999999999"/>
    <n v="0.94699999999999995"/>
    <n v="1.042"/>
  </r>
  <r>
    <x v="1"/>
    <x v="2"/>
    <x v="0"/>
    <n v="-0.83"/>
    <n v="-0.83"/>
    <n v="-0.78900000000000003"/>
    <n v="-0.78900000000000003"/>
    <n v="-2.4489999999999998"/>
    <n v="-2.4489999999999998"/>
  </r>
  <r>
    <x v="1"/>
    <x v="2"/>
    <x v="1"/>
    <n v="0.57999999999999996"/>
    <n v="0.62"/>
    <n v="0.64400000000000002"/>
    <n v="0.56699999999999995"/>
    <n v="1.03"/>
    <n v="1.06"/>
  </r>
  <r>
    <x v="1"/>
    <x v="3"/>
    <x v="0"/>
    <n v="-0.59099999999999997"/>
    <n v="-0.59099999999999997"/>
    <n v="-0.52400000000000002"/>
    <n v="-0.52400000000000002"/>
    <n v="-2.6160000000000001"/>
    <n v="-2.6160000000000001"/>
  </r>
  <r>
    <x v="1"/>
    <x v="3"/>
    <x v="1"/>
    <n v="0.57399999999999995"/>
    <n v="0.57999999999999996"/>
    <n v="0.59299999999999997"/>
    <n v="0.64"/>
    <n v="1.4590000000000001"/>
    <n v="1.241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42958-ED65-447B-B77C-91209297415A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L2:O11" firstHeaderRow="1" firstDataRow="2" firstDataCol="2"/>
  <pivotFields count="9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</rowItems>
  <colFields count="1">
    <field x="2"/>
  </colFields>
  <colItems count="2">
    <i>
      <x/>
    </i>
    <i>
      <x v="1"/>
    </i>
  </colItems>
  <dataFields count="1">
    <dataField name="Sum of AGI or Total Income, With Controls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7ADB-D3D6-42B7-BE90-C440FF178DFD}">
  <dimension ref="A1:I33"/>
  <sheetViews>
    <sheetView tabSelected="1" workbookViewId="0">
      <selection activeCell="N17" sqref="N17"/>
    </sheetView>
  </sheetViews>
  <sheetFormatPr defaultRowHeight="14.5" x14ac:dyDescent="0.35"/>
  <cols>
    <col min="2" max="2" width="22.90625" bestFit="1" customWidth="1"/>
    <col min="3" max="3" width="17.81640625" bestFit="1" customWidth="1"/>
  </cols>
  <sheetData>
    <row r="1" spans="1:9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t="s">
        <v>14</v>
      </c>
      <c r="B2" t="s">
        <v>15</v>
      </c>
      <c r="C2" t="s">
        <v>2</v>
      </c>
      <c r="D2">
        <v>-1.1930000000000001</v>
      </c>
      <c r="E2">
        <v>-1.1930000000000001</v>
      </c>
      <c r="F2">
        <v>-2.0139999999999998</v>
      </c>
      <c r="G2">
        <v>-2.0139999999999998</v>
      </c>
      <c r="H2">
        <v>-2.448</v>
      </c>
      <c r="I2" t="s">
        <v>5</v>
      </c>
    </row>
    <row r="3" spans="1:9" x14ac:dyDescent="0.35">
      <c r="A3" t="s">
        <v>14</v>
      </c>
      <c r="B3" t="s">
        <v>15</v>
      </c>
      <c r="C3" t="s">
        <v>13</v>
      </c>
      <c r="D3">
        <v>1.375</v>
      </c>
      <c r="E3">
        <v>1.3680000000000001</v>
      </c>
      <c r="F3">
        <v>1.4259999999999999</v>
      </c>
      <c r="G3">
        <v>1.3939999999999999</v>
      </c>
      <c r="H3">
        <v>1.819</v>
      </c>
      <c r="I3">
        <v>1.383</v>
      </c>
    </row>
    <row r="4" spans="1:9" x14ac:dyDescent="0.35">
      <c r="A4" t="s">
        <v>14</v>
      </c>
      <c r="B4" t="s">
        <v>15</v>
      </c>
      <c r="C4" t="s">
        <v>3</v>
      </c>
      <c r="D4">
        <v>337</v>
      </c>
      <c r="E4">
        <v>337</v>
      </c>
      <c r="F4">
        <v>337</v>
      </c>
      <c r="G4">
        <v>337</v>
      </c>
      <c r="H4">
        <v>337</v>
      </c>
      <c r="I4">
        <v>337</v>
      </c>
    </row>
    <row r="5" spans="1:9" x14ac:dyDescent="0.35">
      <c r="A5" t="s">
        <v>14</v>
      </c>
      <c r="B5" t="s">
        <v>15</v>
      </c>
      <c r="C5" t="s">
        <v>4</v>
      </c>
      <c r="D5">
        <v>0.72299999999999998</v>
      </c>
      <c r="E5">
        <v>0.72299999999999998</v>
      </c>
      <c r="F5">
        <v>0.59099999999999997</v>
      </c>
      <c r="G5">
        <v>0.59099999999999997</v>
      </c>
      <c r="H5">
        <v>0.65300000000000002</v>
      </c>
      <c r="I5">
        <v>0.65300000000000002</v>
      </c>
    </row>
    <row r="6" spans="1:9" x14ac:dyDescent="0.35">
      <c r="A6" t="s">
        <v>14</v>
      </c>
      <c r="B6" t="s">
        <v>18</v>
      </c>
      <c r="C6" t="s">
        <v>2</v>
      </c>
      <c r="D6">
        <v>-1.1100000000000001</v>
      </c>
      <c r="E6">
        <v>-1.1100000000000001</v>
      </c>
      <c r="F6" t="s">
        <v>16</v>
      </c>
      <c r="G6" t="s">
        <v>16</v>
      </c>
      <c r="H6" t="s">
        <v>17</v>
      </c>
      <c r="I6">
        <v>-2.359</v>
      </c>
    </row>
    <row r="7" spans="1:9" x14ac:dyDescent="0.35">
      <c r="A7" t="s">
        <v>14</v>
      </c>
      <c r="B7" t="s">
        <v>18</v>
      </c>
      <c r="C7" t="s">
        <v>13</v>
      </c>
      <c r="D7">
        <v>1.179</v>
      </c>
      <c r="E7">
        <v>0.93300000000000005</v>
      </c>
      <c r="F7">
        <v>1.006</v>
      </c>
      <c r="G7">
        <v>0.999</v>
      </c>
      <c r="H7">
        <v>1.3460000000000001</v>
      </c>
      <c r="I7">
        <v>1.5049999999999999</v>
      </c>
    </row>
    <row r="8" spans="1:9" x14ac:dyDescent="0.35">
      <c r="A8" t="s">
        <v>14</v>
      </c>
      <c r="B8" t="s">
        <v>18</v>
      </c>
      <c r="C8" t="s">
        <v>3</v>
      </c>
      <c r="D8">
        <v>107</v>
      </c>
      <c r="E8">
        <v>107</v>
      </c>
      <c r="F8">
        <v>107</v>
      </c>
      <c r="G8">
        <v>107</v>
      </c>
      <c r="H8">
        <v>107</v>
      </c>
      <c r="I8">
        <v>107</v>
      </c>
    </row>
    <row r="9" spans="1:9" x14ac:dyDescent="0.35">
      <c r="A9" t="s">
        <v>14</v>
      </c>
      <c r="B9" t="s">
        <v>18</v>
      </c>
      <c r="C9" t="s">
        <v>4</v>
      </c>
      <c r="D9">
        <v>0.72299999999999998</v>
      </c>
      <c r="E9">
        <v>0.72299999999999998</v>
      </c>
      <c r="F9">
        <v>0.59099999999999997</v>
      </c>
      <c r="G9">
        <v>0.59099999999999997</v>
      </c>
      <c r="H9">
        <v>0.65300000000000002</v>
      </c>
      <c r="I9">
        <v>0.65300000000000002</v>
      </c>
    </row>
    <row r="10" spans="1:9" x14ac:dyDescent="0.35">
      <c r="A10" t="s">
        <v>14</v>
      </c>
      <c r="B10" t="s">
        <v>19</v>
      </c>
      <c r="C10" t="s">
        <v>2</v>
      </c>
      <c r="D10">
        <v>-1.64</v>
      </c>
      <c r="E10">
        <v>-1.64</v>
      </c>
      <c r="F10">
        <v>-2.6150000000000002</v>
      </c>
      <c r="G10">
        <v>-2.6150000000000002</v>
      </c>
      <c r="H10">
        <v>-2.7879999999999998</v>
      </c>
      <c r="I10">
        <v>-2.7879999999999998</v>
      </c>
    </row>
    <row r="11" spans="1:9" x14ac:dyDescent="0.35">
      <c r="A11" t="s">
        <v>14</v>
      </c>
      <c r="B11" t="s">
        <v>19</v>
      </c>
      <c r="C11" t="s">
        <v>13</v>
      </c>
      <c r="D11">
        <v>2.0590000000000002</v>
      </c>
      <c r="E11">
        <v>2.1269999999999998</v>
      </c>
      <c r="F11">
        <v>2.1</v>
      </c>
      <c r="G11">
        <v>1.5980000000000001</v>
      </c>
      <c r="H11">
        <v>2.1459999999999999</v>
      </c>
      <c r="I11">
        <v>2.1989999999999998</v>
      </c>
    </row>
    <row r="12" spans="1:9" x14ac:dyDescent="0.35">
      <c r="A12" t="s">
        <v>14</v>
      </c>
      <c r="B12" t="s">
        <v>19</v>
      </c>
      <c r="C12" t="s">
        <v>3</v>
      </c>
      <c r="D12">
        <v>24</v>
      </c>
      <c r="E12">
        <v>24</v>
      </c>
      <c r="F12">
        <v>24</v>
      </c>
      <c r="G12">
        <v>24</v>
      </c>
      <c r="H12">
        <v>24</v>
      </c>
      <c r="I12">
        <v>24</v>
      </c>
    </row>
    <row r="13" spans="1:9" x14ac:dyDescent="0.35">
      <c r="A13" t="s">
        <v>14</v>
      </c>
      <c r="B13" t="s">
        <v>19</v>
      </c>
      <c r="C13" t="s">
        <v>4</v>
      </c>
      <c r="D13">
        <v>0.72299999999999998</v>
      </c>
      <c r="E13">
        <v>0.72299999999999998</v>
      </c>
      <c r="F13">
        <v>0.59099999999999997</v>
      </c>
      <c r="G13">
        <v>0.59099999999999997</v>
      </c>
      <c r="H13">
        <v>0.65300000000000002</v>
      </c>
      <c r="I13">
        <v>0.65300000000000002</v>
      </c>
    </row>
    <row r="14" spans="1:9" x14ac:dyDescent="0.35">
      <c r="A14" t="s">
        <v>14</v>
      </c>
      <c r="B14" t="s">
        <v>20</v>
      </c>
      <c r="C14" t="s">
        <v>2</v>
      </c>
      <c r="D14">
        <v>-1.075</v>
      </c>
      <c r="E14">
        <v>-1.075</v>
      </c>
      <c r="F14">
        <v>-1.8360000000000001</v>
      </c>
      <c r="G14">
        <v>-1.8360000000000001</v>
      </c>
      <c r="H14">
        <v>-1.8360000000000001</v>
      </c>
      <c r="I14">
        <v>-1.8360000000000001</v>
      </c>
    </row>
    <row r="15" spans="1:9" x14ac:dyDescent="0.35">
      <c r="A15" t="s">
        <v>14</v>
      </c>
      <c r="B15" t="s">
        <v>20</v>
      </c>
      <c r="C15" t="s">
        <v>13</v>
      </c>
      <c r="D15">
        <v>1.206</v>
      </c>
      <c r="E15">
        <v>1.1970000000000001</v>
      </c>
      <c r="F15">
        <v>1.4370000000000001</v>
      </c>
      <c r="G15">
        <v>1.4430000000000001</v>
      </c>
      <c r="H15">
        <v>1.48</v>
      </c>
      <c r="I15">
        <v>1.468</v>
      </c>
    </row>
    <row r="16" spans="1:9" x14ac:dyDescent="0.35">
      <c r="A16" t="s">
        <v>14</v>
      </c>
      <c r="B16" t="s">
        <v>20</v>
      </c>
      <c r="C16" t="s">
        <v>3</v>
      </c>
      <c r="D16">
        <v>46</v>
      </c>
      <c r="E16">
        <v>46</v>
      </c>
      <c r="F16">
        <v>46</v>
      </c>
      <c r="G16">
        <v>46</v>
      </c>
      <c r="H16">
        <v>46</v>
      </c>
      <c r="I16">
        <v>46</v>
      </c>
    </row>
    <row r="17" spans="1:9" x14ac:dyDescent="0.35">
      <c r="A17" t="s">
        <v>14</v>
      </c>
      <c r="B17" t="s">
        <v>20</v>
      </c>
      <c r="C17" t="s">
        <v>4</v>
      </c>
      <c r="D17">
        <v>0.72299999999999998</v>
      </c>
      <c r="E17">
        <v>0.72299999999999998</v>
      </c>
      <c r="F17">
        <v>0.59099999999999997</v>
      </c>
      <c r="G17">
        <v>0.59099999999999997</v>
      </c>
      <c r="H17">
        <v>0.65300000000000002</v>
      </c>
      <c r="I17">
        <v>0.65300000000000002</v>
      </c>
    </row>
    <row r="18" spans="1:9" x14ac:dyDescent="0.35">
      <c r="A18" t="s">
        <v>25</v>
      </c>
      <c r="B18" t="s">
        <v>15</v>
      </c>
      <c r="C18" t="s">
        <v>2</v>
      </c>
      <c r="D18">
        <v>-1.712</v>
      </c>
      <c r="E18" t="s">
        <v>21</v>
      </c>
      <c r="F18" t="s">
        <v>22</v>
      </c>
      <c r="G18" t="s">
        <v>23</v>
      </c>
      <c r="H18" t="s">
        <v>24</v>
      </c>
      <c r="I18" t="s">
        <v>24</v>
      </c>
    </row>
    <row r="19" spans="1:9" x14ac:dyDescent="0.35">
      <c r="A19" t="s">
        <v>25</v>
      </c>
      <c r="B19" t="s">
        <v>15</v>
      </c>
      <c r="C19" t="s">
        <v>13</v>
      </c>
      <c r="D19">
        <v>1.649</v>
      </c>
      <c r="E19">
        <v>1.0129999999999999</v>
      </c>
      <c r="F19">
        <v>0.95899999999999996</v>
      </c>
      <c r="G19">
        <v>0.73099999999999998</v>
      </c>
      <c r="H19">
        <v>1.296</v>
      </c>
      <c r="I19">
        <v>1.4810000000000001</v>
      </c>
    </row>
    <row r="20" spans="1:9" x14ac:dyDescent="0.35">
      <c r="A20" t="s">
        <v>25</v>
      </c>
      <c r="B20" t="s">
        <v>15</v>
      </c>
      <c r="C20" t="s">
        <v>3</v>
      </c>
      <c r="D20" s="1">
        <v>2916</v>
      </c>
      <c r="E20" s="1">
        <v>2916</v>
      </c>
      <c r="F20" s="1">
        <v>2916</v>
      </c>
      <c r="G20" s="1">
        <v>2916</v>
      </c>
      <c r="H20" s="1">
        <v>2916</v>
      </c>
      <c r="I20" s="1">
        <v>2916</v>
      </c>
    </row>
    <row r="21" spans="1:9" x14ac:dyDescent="0.35">
      <c r="A21" t="s">
        <v>25</v>
      </c>
      <c r="B21" t="s">
        <v>15</v>
      </c>
      <c r="C21" t="s">
        <v>4</v>
      </c>
      <c r="D21" s="1">
        <v>0.32300000000000001</v>
      </c>
      <c r="E21">
        <v>0.32300000000000001</v>
      </c>
      <c r="F21">
        <v>-0.59099999999999997</v>
      </c>
      <c r="G21">
        <v>-0.59099999999999997</v>
      </c>
      <c r="H21">
        <v>-5.2999999999999999E-2</v>
      </c>
      <c r="I21">
        <v>-5.2999999999999999E-2</v>
      </c>
    </row>
    <row r="22" spans="1:9" x14ac:dyDescent="0.35">
      <c r="A22" t="s">
        <v>25</v>
      </c>
      <c r="B22" t="s">
        <v>18</v>
      </c>
      <c r="C22" t="s">
        <v>2</v>
      </c>
      <c r="D22">
        <v>-0.78800000000000003</v>
      </c>
      <c r="E22">
        <v>-0.78800000000000003</v>
      </c>
      <c r="F22">
        <v>-0.68500000000000005</v>
      </c>
      <c r="G22">
        <v>-0.68500000000000005</v>
      </c>
      <c r="H22" t="s">
        <v>26</v>
      </c>
      <c r="I22" t="s">
        <v>29</v>
      </c>
    </row>
    <row r="23" spans="1:9" x14ac:dyDescent="0.35">
      <c r="A23" t="s">
        <v>25</v>
      </c>
      <c r="B23" t="s">
        <v>18</v>
      </c>
      <c r="C23" t="s">
        <v>13</v>
      </c>
      <c r="D23">
        <v>0.55800000000000005</v>
      </c>
      <c r="E23">
        <v>0.57999999999999996</v>
      </c>
      <c r="F23">
        <v>0.60299999999999998</v>
      </c>
      <c r="G23">
        <v>0.61699999999999999</v>
      </c>
      <c r="H23">
        <v>0.94699999999999995</v>
      </c>
      <c r="I23">
        <v>1.042</v>
      </c>
    </row>
    <row r="24" spans="1:9" x14ac:dyDescent="0.35">
      <c r="A24" t="s">
        <v>25</v>
      </c>
      <c r="B24" t="s">
        <v>18</v>
      </c>
      <c r="C24" t="s">
        <v>3</v>
      </c>
      <c r="D24">
        <v>135</v>
      </c>
      <c r="E24">
        <v>135</v>
      </c>
      <c r="F24">
        <v>135</v>
      </c>
      <c r="G24">
        <v>135</v>
      </c>
      <c r="H24">
        <v>135</v>
      </c>
      <c r="I24">
        <v>135</v>
      </c>
    </row>
    <row r="25" spans="1:9" x14ac:dyDescent="0.35">
      <c r="A25" t="s">
        <v>25</v>
      </c>
      <c r="B25" t="s">
        <v>18</v>
      </c>
      <c r="C25" t="s">
        <v>4</v>
      </c>
      <c r="D25">
        <v>0.32300000000000001</v>
      </c>
      <c r="E25">
        <v>0.32300000000000001</v>
      </c>
      <c r="F25">
        <v>-0.59099999999999997</v>
      </c>
      <c r="G25">
        <v>-0.59099999999999997</v>
      </c>
      <c r="H25">
        <v>-5.2999999999999999E-2</v>
      </c>
      <c r="I25">
        <v>-5.2999999999999999E-2</v>
      </c>
    </row>
    <row r="26" spans="1:9" x14ac:dyDescent="0.35">
      <c r="A26" t="s">
        <v>25</v>
      </c>
      <c r="B26" t="s">
        <v>19</v>
      </c>
      <c r="C26" t="s">
        <v>2</v>
      </c>
      <c r="D26">
        <v>-0.83</v>
      </c>
      <c r="E26">
        <v>-0.83</v>
      </c>
      <c r="F26">
        <v>-0.78900000000000003</v>
      </c>
      <c r="G26">
        <v>-0.78900000000000003</v>
      </c>
      <c r="H26" t="s">
        <v>27</v>
      </c>
      <c r="I26" t="s">
        <v>27</v>
      </c>
    </row>
    <row r="27" spans="1:9" x14ac:dyDescent="0.35">
      <c r="A27" t="s">
        <v>25</v>
      </c>
      <c r="B27" t="s">
        <v>19</v>
      </c>
      <c r="C27" t="s">
        <v>13</v>
      </c>
      <c r="D27">
        <v>0.57999999999999996</v>
      </c>
      <c r="E27">
        <v>0.62</v>
      </c>
      <c r="F27">
        <v>0.64400000000000002</v>
      </c>
      <c r="G27">
        <v>0.56699999999999995</v>
      </c>
      <c r="H27">
        <v>1.03</v>
      </c>
      <c r="I27">
        <v>1.06</v>
      </c>
    </row>
    <row r="28" spans="1:9" x14ac:dyDescent="0.35">
      <c r="A28" t="s">
        <v>25</v>
      </c>
      <c r="B28" t="s">
        <v>19</v>
      </c>
      <c r="C28" t="s">
        <v>3</v>
      </c>
      <c r="D28">
        <v>37</v>
      </c>
      <c r="E28">
        <v>37</v>
      </c>
      <c r="F28">
        <v>37</v>
      </c>
      <c r="G28">
        <v>37</v>
      </c>
      <c r="H28">
        <v>37</v>
      </c>
      <c r="I28">
        <v>37</v>
      </c>
    </row>
    <row r="29" spans="1:9" x14ac:dyDescent="0.35">
      <c r="A29" t="s">
        <v>25</v>
      </c>
      <c r="B29" t="s">
        <v>19</v>
      </c>
      <c r="C29" t="s">
        <v>4</v>
      </c>
      <c r="D29">
        <v>0.32300000000000001</v>
      </c>
      <c r="E29">
        <v>0.32300000000000001</v>
      </c>
      <c r="F29">
        <v>-0.59099999999999997</v>
      </c>
      <c r="G29">
        <v>-0.59099999999999997</v>
      </c>
      <c r="H29">
        <v>-5.2999999999999999E-2</v>
      </c>
      <c r="I29">
        <v>-5.2999999999999999E-2</v>
      </c>
    </row>
    <row r="30" spans="1:9" x14ac:dyDescent="0.35">
      <c r="A30" t="s">
        <v>25</v>
      </c>
      <c r="B30" t="s">
        <v>20</v>
      </c>
      <c r="C30" t="s">
        <v>2</v>
      </c>
      <c r="D30">
        <v>-0.59099999999999997</v>
      </c>
      <c r="E30">
        <v>-0.59099999999999997</v>
      </c>
      <c r="F30">
        <v>-0.52400000000000002</v>
      </c>
      <c r="G30">
        <v>-0.52400000000000002</v>
      </c>
      <c r="H30" t="s">
        <v>28</v>
      </c>
      <c r="I30" t="s">
        <v>30</v>
      </c>
    </row>
    <row r="31" spans="1:9" x14ac:dyDescent="0.35">
      <c r="A31" t="s">
        <v>25</v>
      </c>
      <c r="B31" t="s">
        <v>20</v>
      </c>
      <c r="C31" t="s">
        <v>13</v>
      </c>
      <c r="D31">
        <v>0.57399999999999995</v>
      </c>
      <c r="E31">
        <v>0.57999999999999996</v>
      </c>
      <c r="F31">
        <v>0.59299999999999997</v>
      </c>
      <c r="G31">
        <v>0.64</v>
      </c>
      <c r="H31">
        <v>1.4590000000000001</v>
      </c>
      <c r="I31">
        <v>1.2410000000000001</v>
      </c>
    </row>
    <row r="32" spans="1:9" x14ac:dyDescent="0.35">
      <c r="A32" t="s">
        <v>25</v>
      </c>
      <c r="B32" t="s">
        <v>20</v>
      </c>
      <c r="C32" t="s">
        <v>3</v>
      </c>
      <c r="D32">
        <v>55</v>
      </c>
      <c r="E32">
        <v>55</v>
      </c>
      <c r="F32">
        <v>55</v>
      </c>
      <c r="G32">
        <v>55</v>
      </c>
      <c r="H32">
        <v>55</v>
      </c>
      <c r="I32">
        <v>55</v>
      </c>
    </row>
    <row r="33" spans="1:9" x14ac:dyDescent="0.35">
      <c r="A33" t="s">
        <v>25</v>
      </c>
      <c r="B33" t="s">
        <v>20</v>
      </c>
      <c r="C33" t="s">
        <v>4</v>
      </c>
      <c r="D33">
        <v>0.32300000000000001</v>
      </c>
      <c r="E33">
        <v>0.32300000000000001</v>
      </c>
      <c r="F33">
        <v>-0.59099999999999997</v>
      </c>
      <c r="G33">
        <v>-0.59099999999999997</v>
      </c>
      <c r="H33">
        <v>-5.2999999999999999E-2</v>
      </c>
      <c r="I33">
        <v>-5.2999999999999999E-2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7F1B-3279-4E8F-94F3-3F00E44C914F}">
  <dimension ref="A1:W32"/>
  <sheetViews>
    <sheetView workbookViewId="0">
      <selection activeCell="S21" sqref="S21:S22"/>
    </sheetView>
  </sheetViews>
  <sheetFormatPr defaultRowHeight="14.5" x14ac:dyDescent="0.35"/>
  <cols>
    <col min="4" max="9" width="9.1796875" bestFit="1" customWidth="1"/>
    <col min="12" max="12" width="31.453125" bestFit="1" customWidth="1"/>
    <col min="13" max="13" width="22.90625" bestFit="1" customWidth="1"/>
    <col min="14" max="14" width="10.1796875" bestFit="1" customWidth="1"/>
    <col min="15" max="15" width="9.54296875" bestFit="1" customWidth="1"/>
  </cols>
  <sheetData>
    <row r="1" spans="1:23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23" x14ac:dyDescent="0.35">
      <c r="A2" t="s">
        <v>14</v>
      </c>
      <c r="B2" t="s">
        <v>15</v>
      </c>
      <c r="C2" t="s">
        <v>2</v>
      </c>
      <c r="D2" s="2">
        <v>-1.1930000000000001</v>
      </c>
      <c r="E2" s="2">
        <v>-1.1930000000000001</v>
      </c>
      <c r="F2" s="2">
        <v>-2.0139999999999998</v>
      </c>
      <c r="G2" s="2">
        <v>-2.0139999999999998</v>
      </c>
      <c r="H2" s="2">
        <v>-2.448</v>
      </c>
      <c r="I2" s="2">
        <v>-2.448</v>
      </c>
      <c r="L2" s="3" t="s">
        <v>36</v>
      </c>
      <c r="N2" s="3" t="s">
        <v>6</v>
      </c>
    </row>
    <row r="3" spans="1:23" x14ac:dyDescent="0.35">
      <c r="A3" t="s">
        <v>14</v>
      </c>
      <c r="B3" t="s">
        <v>15</v>
      </c>
      <c r="C3" t="s">
        <v>13</v>
      </c>
      <c r="D3" s="2">
        <v>1.375</v>
      </c>
      <c r="E3" s="2">
        <v>1.3680000000000001</v>
      </c>
      <c r="F3" s="2">
        <v>1.4259999999999999</v>
      </c>
      <c r="G3" s="2">
        <v>1.3939999999999999</v>
      </c>
      <c r="H3" s="2">
        <v>1.819</v>
      </c>
      <c r="I3" s="2">
        <v>1.383</v>
      </c>
      <c r="L3" s="3" t="s">
        <v>0</v>
      </c>
      <c r="M3" s="3" t="s">
        <v>1</v>
      </c>
      <c r="N3" t="s">
        <v>13</v>
      </c>
      <c r="O3" t="s">
        <v>2</v>
      </c>
      <c r="Q3" t="str">
        <f>L3</f>
        <v>Dataset</v>
      </c>
      <c r="R3" t="str">
        <f>M3</f>
        <v>Sample</v>
      </c>
      <c r="S3" t="s">
        <v>33</v>
      </c>
      <c r="T3" t="s">
        <v>32</v>
      </c>
      <c r="U3" t="s">
        <v>31</v>
      </c>
      <c r="V3" t="s">
        <v>34</v>
      </c>
      <c r="W3" t="s">
        <v>35</v>
      </c>
    </row>
    <row r="4" spans="1:23" x14ac:dyDescent="0.35">
      <c r="A4" t="s">
        <v>14</v>
      </c>
      <c r="B4" t="s">
        <v>18</v>
      </c>
      <c r="C4" t="s">
        <v>2</v>
      </c>
      <c r="D4" s="2">
        <v>-1.1100000000000001</v>
      </c>
      <c r="E4" s="2">
        <v>-1.1100000000000001</v>
      </c>
      <c r="F4" s="2">
        <v>-2.0579999999999998</v>
      </c>
      <c r="G4" s="2">
        <v>-2.0579999999999998</v>
      </c>
      <c r="H4" s="2">
        <v>-2.359</v>
      </c>
      <c r="I4" s="2">
        <v>-2.359</v>
      </c>
      <c r="L4" t="s">
        <v>14</v>
      </c>
      <c r="M4" t="s">
        <v>15</v>
      </c>
      <c r="N4" s="4">
        <v>1.383</v>
      </c>
      <c r="O4" s="4">
        <v>-2.448</v>
      </c>
      <c r="Q4" t="str">
        <f>L4</f>
        <v>ACS</v>
      </c>
      <c r="R4" t="str">
        <f>M4</f>
        <v xml:space="preserve">All Counties </v>
      </c>
      <c r="S4" s="4">
        <f>O4</f>
        <v>-2.448</v>
      </c>
      <c r="T4" s="4">
        <f>$N4*1.96</f>
        <v>2.71068</v>
      </c>
      <c r="U4" s="4">
        <f>$N4*1.96</f>
        <v>2.71068</v>
      </c>
      <c r="V4">
        <v>0.5</v>
      </c>
      <c r="W4">
        <v>0</v>
      </c>
    </row>
    <row r="5" spans="1:23" x14ac:dyDescent="0.35">
      <c r="A5" t="s">
        <v>14</v>
      </c>
      <c r="B5" t="s">
        <v>18</v>
      </c>
      <c r="C5" t="s">
        <v>13</v>
      </c>
      <c r="D5" s="2">
        <v>1.179</v>
      </c>
      <c r="E5" s="2">
        <v>0.93300000000000005</v>
      </c>
      <c r="F5" s="2">
        <v>1.006</v>
      </c>
      <c r="G5" s="2">
        <v>0.999</v>
      </c>
      <c r="H5" s="2">
        <v>1.3460000000000001</v>
      </c>
      <c r="I5" s="2">
        <v>1.5049999999999999</v>
      </c>
      <c r="L5" t="s">
        <v>14</v>
      </c>
      <c r="M5" t="s">
        <v>18</v>
      </c>
      <c r="N5" s="4">
        <v>1.5049999999999999</v>
      </c>
      <c r="O5" s="4">
        <v>-2.359</v>
      </c>
      <c r="Q5" t="str">
        <f>L5</f>
        <v>ACS</v>
      </c>
      <c r="R5" t="str">
        <f>M5</f>
        <v>Urban 95 Counties</v>
      </c>
      <c r="S5" s="4">
        <f>O5</f>
        <v>-2.359</v>
      </c>
      <c r="T5" s="4">
        <f t="shared" ref="T5:U11" si="0">$N5*1.96</f>
        <v>2.9497999999999998</v>
      </c>
      <c r="U5" s="4">
        <f t="shared" si="0"/>
        <v>2.9497999999999998</v>
      </c>
      <c r="V5">
        <f>V4+1</f>
        <v>1.5</v>
      </c>
      <c r="W5">
        <v>0</v>
      </c>
    </row>
    <row r="6" spans="1:23" x14ac:dyDescent="0.35">
      <c r="A6" t="s">
        <v>14</v>
      </c>
      <c r="B6" t="s">
        <v>19</v>
      </c>
      <c r="C6" t="s">
        <v>2</v>
      </c>
      <c r="D6" s="2">
        <v>-1.64</v>
      </c>
      <c r="E6" s="2">
        <v>-1.64</v>
      </c>
      <c r="F6" s="2">
        <v>-2.6150000000000002</v>
      </c>
      <c r="G6" s="2">
        <v>-2.6150000000000002</v>
      </c>
      <c r="H6" s="2">
        <v>-2.7879999999999998</v>
      </c>
      <c r="I6" s="2">
        <v>-2.7879999999999998</v>
      </c>
      <c r="L6" t="s">
        <v>14</v>
      </c>
      <c r="M6" t="s">
        <v>19</v>
      </c>
      <c r="N6" s="4">
        <v>2.1989999999999998</v>
      </c>
      <c r="O6" s="4">
        <v>-2.7879999999999998</v>
      </c>
      <c r="Q6" t="str">
        <f>L6</f>
        <v>ACS</v>
      </c>
      <c r="R6" t="str">
        <f>M6</f>
        <v>Urban 95 Counties, COVID</v>
      </c>
      <c r="S6" s="4">
        <f>O6</f>
        <v>-2.7879999999999998</v>
      </c>
      <c r="T6" s="4">
        <f t="shared" si="0"/>
        <v>4.3100399999999999</v>
      </c>
      <c r="U6" s="4">
        <f t="shared" si="0"/>
        <v>4.3100399999999999</v>
      </c>
      <c r="V6">
        <f t="shared" ref="V6:V11" si="1">V5+1</f>
        <v>2.5</v>
      </c>
      <c r="W6">
        <v>0</v>
      </c>
    </row>
    <row r="7" spans="1:23" x14ac:dyDescent="0.35">
      <c r="A7" t="s">
        <v>14</v>
      </c>
      <c r="B7" t="s">
        <v>19</v>
      </c>
      <c r="C7" t="s">
        <v>13</v>
      </c>
      <c r="D7" s="2">
        <v>2.0590000000000002</v>
      </c>
      <c r="E7" s="2">
        <v>2.1269999999999998</v>
      </c>
      <c r="F7" s="2">
        <v>2.1</v>
      </c>
      <c r="G7" s="2">
        <v>1.5980000000000001</v>
      </c>
      <c r="H7" s="2">
        <v>2.1459999999999999</v>
      </c>
      <c r="I7" s="2">
        <v>2.1989999999999998</v>
      </c>
      <c r="L7" t="s">
        <v>14</v>
      </c>
      <c r="M7" t="s">
        <v>20</v>
      </c>
      <c r="N7" s="4">
        <v>1.468</v>
      </c>
      <c r="O7" s="4">
        <v>-1.8360000000000001</v>
      </c>
      <c r="Q7" t="str">
        <f>L7</f>
        <v>ACS</v>
      </c>
      <c r="R7" t="str">
        <f>M7</f>
        <v>Urban 98 Counties</v>
      </c>
      <c r="S7" s="4">
        <f>O7</f>
        <v>-1.8360000000000001</v>
      </c>
      <c r="T7" s="4">
        <f t="shared" si="0"/>
        <v>2.8772799999999998</v>
      </c>
      <c r="U7" s="4">
        <f t="shared" si="0"/>
        <v>2.8772799999999998</v>
      </c>
      <c r="V7">
        <f t="shared" si="1"/>
        <v>3.5</v>
      </c>
      <c r="W7">
        <v>0</v>
      </c>
    </row>
    <row r="8" spans="1:23" x14ac:dyDescent="0.35">
      <c r="A8" t="s">
        <v>14</v>
      </c>
      <c r="B8" t="s">
        <v>20</v>
      </c>
      <c r="C8" t="s">
        <v>2</v>
      </c>
      <c r="D8" s="2">
        <v>-1.075</v>
      </c>
      <c r="E8" s="2">
        <v>-1.075</v>
      </c>
      <c r="F8" s="2">
        <v>-1.8360000000000001</v>
      </c>
      <c r="G8" s="2">
        <v>-1.8360000000000001</v>
      </c>
      <c r="H8" s="2">
        <v>-1.8360000000000001</v>
      </c>
      <c r="I8" s="2">
        <v>-1.8360000000000001</v>
      </c>
      <c r="L8" t="s">
        <v>25</v>
      </c>
      <c r="M8" t="s">
        <v>15</v>
      </c>
      <c r="N8" s="4">
        <v>1.4810000000000001</v>
      </c>
      <c r="O8" s="4">
        <v>-2.9870000000000001</v>
      </c>
      <c r="Q8" t="str">
        <f>L8</f>
        <v>IRS</v>
      </c>
      <c r="R8" t="str">
        <f>M8</f>
        <v xml:space="preserve">All Counties </v>
      </c>
      <c r="S8" s="4">
        <f>O8</f>
        <v>-2.9870000000000001</v>
      </c>
      <c r="T8" s="4">
        <f t="shared" si="0"/>
        <v>2.9027600000000002</v>
      </c>
      <c r="U8" s="4">
        <f t="shared" si="0"/>
        <v>2.9027600000000002</v>
      </c>
      <c r="V8">
        <f t="shared" si="1"/>
        <v>4.5</v>
      </c>
      <c r="W8">
        <v>0</v>
      </c>
    </row>
    <row r="9" spans="1:23" x14ac:dyDescent="0.35">
      <c r="A9" t="s">
        <v>14</v>
      </c>
      <c r="B9" t="s">
        <v>20</v>
      </c>
      <c r="C9" t="s">
        <v>13</v>
      </c>
      <c r="D9" s="2">
        <v>1.206</v>
      </c>
      <c r="E9" s="2">
        <v>1.1970000000000001</v>
      </c>
      <c r="F9" s="2">
        <v>1.4370000000000001</v>
      </c>
      <c r="G9" s="2">
        <v>1.4430000000000001</v>
      </c>
      <c r="H9" s="2">
        <v>1.48</v>
      </c>
      <c r="I9" s="2">
        <v>1.468</v>
      </c>
      <c r="L9" t="s">
        <v>25</v>
      </c>
      <c r="M9" t="s">
        <v>18</v>
      </c>
      <c r="N9" s="4">
        <v>1.042</v>
      </c>
      <c r="O9" s="4">
        <v>-2.4769999999999999</v>
      </c>
      <c r="Q9" t="str">
        <f>L9</f>
        <v>IRS</v>
      </c>
      <c r="R9" t="str">
        <f>M9</f>
        <v>Urban 95 Counties</v>
      </c>
      <c r="S9" s="4">
        <f>O9</f>
        <v>-2.4769999999999999</v>
      </c>
      <c r="T9" s="4">
        <f t="shared" si="0"/>
        <v>2.0423200000000001</v>
      </c>
      <c r="U9" s="4">
        <f t="shared" si="0"/>
        <v>2.0423200000000001</v>
      </c>
      <c r="V9">
        <f t="shared" si="1"/>
        <v>5.5</v>
      </c>
      <c r="W9">
        <v>0</v>
      </c>
    </row>
    <row r="10" spans="1:23" x14ac:dyDescent="0.35">
      <c r="A10" t="s">
        <v>25</v>
      </c>
      <c r="B10" t="s">
        <v>15</v>
      </c>
      <c r="C10" t="s">
        <v>2</v>
      </c>
      <c r="D10" s="2">
        <v>-1.712</v>
      </c>
      <c r="E10" s="2">
        <v>-1.712</v>
      </c>
      <c r="F10" s="2">
        <v>-1.6160000000000001</v>
      </c>
      <c r="G10" s="2">
        <v>-1.6160000000000001</v>
      </c>
      <c r="H10" s="2">
        <v>-2.9870000000000001</v>
      </c>
      <c r="I10" s="2">
        <v>-2.9870000000000001</v>
      </c>
      <c r="L10" t="s">
        <v>25</v>
      </c>
      <c r="M10" t="s">
        <v>19</v>
      </c>
      <c r="N10" s="4">
        <v>1.06</v>
      </c>
      <c r="O10" s="4">
        <v>-2.4489999999999998</v>
      </c>
      <c r="Q10" t="str">
        <f>L10</f>
        <v>IRS</v>
      </c>
      <c r="R10" t="str">
        <f>M10</f>
        <v>Urban 95 Counties, COVID</v>
      </c>
      <c r="S10" s="4">
        <f>O10</f>
        <v>-2.4489999999999998</v>
      </c>
      <c r="T10" s="4">
        <f t="shared" si="0"/>
        <v>2.0775999999999999</v>
      </c>
      <c r="U10" s="4">
        <f t="shared" si="0"/>
        <v>2.0775999999999999</v>
      </c>
      <c r="V10">
        <f t="shared" si="1"/>
        <v>6.5</v>
      </c>
      <c r="W10">
        <v>0</v>
      </c>
    </row>
    <row r="11" spans="1:23" x14ac:dyDescent="0.35">
      <c r="A11" t="s">
        <v>25</v>
      </c>
      <c r="B11" t="s">
        <v>15</v>
      </c>
      <c r="C11" t="s">
        <v>13</v>
      </c>
      <c r="D11" s="2">
        <v>1.649</v>
      </c>
      <c r="E11" s="2">
        <v>1.0129999999999999</v>
      </c>
      <c r="F11" s="2">
        <v>0.95899999999999996</v>
      </c>
      <c r="G11" s="2">
        <v>0.73099999999999998</v>
      </c>
      <c r="H11" s="2">
        <v>1.296</v>
      </c>
      <c r="I11" s="2">
        <v>1.4810000000000001</v>
      </c>
      <c r="L11" t="s">
        <v>25</v>
      </c>
      <c r="M11" t="s">
        <v>20</v>
      </c>
      <c r="N11" s="4">
        <v>1.2410000000000001</v>
      </c>
      <c r="O11" s="4">
        <v>-2.6160000000000001</v>
      </c>
      <c r="Q11" t="str">
        <f>L11</f>
        <v>IRS</v>
      </c>
      <c r="R11" t="str">
        <f>M11</f>
        <v>Urban 98 Counties</v>
      </c>
      <c r="S11" s="4">
        <f>O11</f>
        <v>-2.6160000000000001</v>
      </c>
      <c r="T11" s="4">
        <f t="shared" si="0"/>
        <v>2.4323600000000001</v>
      </c>
      <c r="U11" s="4">
        <f t="shared" si="0"/>
        <v>2.4323600000000001</v>
      </c>
      <c r="V11">
        <f t="shared" si="1"/>
        <v>7.5</v>
      </c>
      <c r="W11">
        <v>0</v>
      </c>
    </row>
    <row r="12" spans="1:23" x14ac:dyDescent="0.35">
      <c r="A12" t="s">
        <v>25</v>
      </c>
      <c r="B12" t="s">
        <v>18</v>
      </c>
      <c r="C12" t="s">
        <v>2</v>
      </c>
      <c r="D12" s="2">
        <v>-0.78800000000000003</v>
      </c>
      <c r="E12" s="2">
        <v>-0.78800000000000003</v>
      </c>
      <c r="F12" s="2">
        <v>-0.68500000000000005</v>
      </c>
      <c r="G12" s="2">
        <v>-0.68500000000000005</v>
      </c>
      <c r="H12" s="2">
        <v>-2.4769999999999999</v>
      </c>
      <c r="I12" s="2">
        <v>-2.4769999999999999</v>
      </c>
    </row>
    <row r="13" spans="1:23" x14ac:dyDescent="0.35">
      <c r="A13" t="s">
        <v>25</v>
      </c>
      <c r="B13" t="s">
        <v>18</v>
      </c>
      <c r="C13" t="s">
        <v>13</v>
      </c>
      <c r="D13" s="2">
        <v>0.55800000000000005</v>
      </c>
      <c r="E13" s="2">
        <v>0.57999999999999996</v>
      </c>
      <c r="F13" s="2">
        <v>0.60299999999999998</v>
      </c>
      <c r="G13" s="2">
        <v>0.61699999999999999</v>
      </c>
      <c r="H13" s="2">
        <v>0.94699999999999995</v>
      </c>
      <c r="I13" s="2">
        <v>1.042</v>
      </c>
    </row>
    <row r="14" spans="1:23" x14ac:dyDescent="0.35">
      <c r="A14" t="s">
        <v>25</v>
      </c>
      <c r="B14" t="s">
        <v>19</v>
      </c>
      <c r="C14" t="s">
        <v>2</v>
      </c>
      <c r="D14" s="2">
        <v>-0.83</v>
      </c>
      <c r="E14" s="2">
        <v>-0.83</v>
      </c>
      <c r="F14" s="2">
        <v>-0.78900000000000003</v>
      </c>
      <c r="G14" s="2">
        <v>-0.78900000000000003</v>
      </c>
      <c r="H14" s="2">
        <v>-2.4489999999999998</v>
      </c>
      <c r="I14" s="2">
        <v>-2.4489999999999998</v>
      </c>
    </row>
    <row r="15" spans="1:23" x14ac:dyDescent="0.35">
      <c r="A15" t="s">
        <v>25</v>
      </c>
      <c r="B15" t="s">
        <v>19</v>
      </c>
      <c r="C15" t="s">
        <v>13</v>
      </c>
      <c r="D15" s="2">
        <v>0.57999999999999996</v>
      </c>
      <c r="E15" s="2">
        <v>0.62</v>
      </c>
      <c r="F15" s="2">
        <v>0.64400000000000002</v>
      </c>
      <c r="G15" s="2">
        <v>0.56699999999999995</v>
      </c>
      <c r="H15" s="2">
        <v>1.03</v>
      </c>
      <c r="I15" s="2">
        <v>1.06</v>
      </c>
    </row>
    <row r="16" spans="1:23" x14ac:dyDescent="0.35">
      <c r="A16" t="s">
        <v>25</v>
      </c>
      <c r="B16" t="s">
        <v>20</v>
      </c>
      <c r="C16" t="s">
        <v>2</v>
      </c>
      <c r="D16" s="2">
        <v>-0.59099999999999997</v>
      </c>
      <c r="E16" s="2">
        <v>-0.59099999999999997</v>
      </c>
      <c r="F16" s="2">
        <v>-0.52400000000000002</v>
      </c>
      <c r="G16" s="2">
        <v>-0.52400000000000002</v>
      </c>
      <c r="H16" s="2">
        <v>-2.6160000000000001</v>
      </c>
      <c r="I16" s="2">
        <v>-2.6160000000000001</v>
      </c>
    </row>
    <row r="17" spans="1:9" x14ac:dyDescent="0.35">
      <c r="A17" t="s">
        <v>25</v>
      </c>
      <c r="B17" t="s">
        <v>20</v>
      </c>
      <c r="C17" t="s">
        <v>13</v>
      </c>
      <c r="D17" s="2">
        <v>0.57399999999999995</v>
      </c>
      <c r="E17" s="2">
        <v>0.57999999999999996</v>
      </c>
      <c r="F17" s="2">
        <v>0.59299999999999997</v>
      </c>
      <c r="G17" s="2">
        <v>0.64</v>
      </c>
      <c r="H17" s="2">
        <v>1.4590000000000001</v>
      </c>
      <c r="I17" s="2">
        <v>1.2410000000000001</v>
      </c>
    </row>
    <row r="31" spans="1:9" x14ac:dyDescent="0.35">
      <c r="D31" s="2"/>
      <c r="E31" s="2"/>
      <c r="F31" s="2"/>
      <c r="G31" s="2"/>
      <c r="H31" s="2"/>
      <c r="I31" s="2"/>
    </row>
    <row r="32" spans="1:9" x14ac:dyDescent="0.35">
      <c r="D32" s="2"/>
      <c r="E32" s="2"/>
      <c r="F32" s="2"/>
      <c r="G32" s="2"/>
      <c r="H32" s="2"/>
      <c r="I32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Iselin, John</dc:creator>
  <cp:lastModifiedBy>Iselin, John</cp:lastModifiedBy>
  <dcterms:created xsi:type="dcterms:W3CDTF">2025-12-19T19:24:44Z</dcterms:created>
  <dcterms:modified xsi:type="dcterms:W3CDTF">2025-12-19T19:58:55Z</dcterms:modified>
</cp:coreProperties>
</file>