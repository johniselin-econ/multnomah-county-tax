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sheetMetadata+xml" PartName="/xl/metadata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results\"/>
    </mc:Choice>
  </mc:AlternateContent>
  <xr:revisionPtr revIDLastSave="0" documentId="13_ncr:1_{1782CC5E-7A80-4F8B-9309-BD474229232B}" xr6:coauthVersionLast="47" xr6:coauthVersionMax="47" xr10:uidLastSave="{00000000-0000-0000-0000-000000000000}"/>
  <bookViews>
    <workbookView xWindow="-57720" yWindow="-120" windowWidth="29040" windowHeight="15720"/>
  </bookViews>
  <sheets>
    <sheet name="Table 2 combo AGI, panel A" sheetId="7" r:id="rId1"/>
    <sheet name="Table 2 combo Ret HH, panel A" sheetId="10" r:id="rId2"/>
    <sheet name="Table 2 combo panel b" sheetId="9" r:id="rId3"/>
    <sheet name="raw_irs" sheetId="1" r:id="rId4"/>
    <sheet name="raw_acs" sheetId="2" r:id="rId5"/>
    <sheet name="Table 2a (IRS) (Migr = Returns)" sheetId="3" r:id="rId6"/>
    <sheet name="Table 2b (ACS) (Migr = HHs)" sheetId="4" r:id="rId7"/>
    <sheet name="Table 2a (IRS) (Migr=AGI)" sheetId="5" r:id="rId8"/>
    <sheet name="Table 2b (ACS) (Migr = income)" sheetId="6" r:id="rId9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<sst xmlns="http://schemas.openxmlformats.org/spreadsheetml/2006/main" xmlns:r="http://schemas.openxmlformats.org/officeDocument/2006/relationships" xmlns:xdr="http://schemas.openxmlformats.org/drawingml/2006/spreadsheetDrawing" count="1712" uniqueCount="62">
  <si>
    <t>state_name</t>
  </si>
  <si>
    <t>Oregon</t>
  </si>
  <si>
    <t>Washington</t>
  </si>
  <si>
    <t>county_name</t>
  </si>
  <si>
    <t>Clackamas County</t>
  </si>
  <si>
    <t>Columbia County</t>
  </si>
  <si>
    <t>Marion County</t>
  </si>
  <si>
    <t>Other</t>
  </si>
  <si>
    <t>Washington County</t>
  </si>
  <si>
    <t>Yamhill County</t>
  </si>
  <si>
    <t>Clark County</t>
  </si>
  <si>
    <t>Skamania County</t>
  </si>
  <si>
    <t>period</t>
  </si>
  <si>
    <t>pre</t>
  </si>
  <si>
    <t>n1_out_rate</t>
  </si>
  <si>
    <t>n1_in_rate</t>
  </si>
  <si>
    <t>n2_out_rate</t>
  </si>
  <si>
    <t>n2_in_rate</t>
  </si>
  <si>
    <t>agi_out_rate</t>
  </si>
  <si>
    <t>agi_in_rate</t>
  </si>
  <si>
    <t>post_21_22</t>
  </si>
  <si>
    <t>post_21_24</t>
  </si>
  <si>
    <t>hh_out_rate</t>
  </si>
  <si>
    <t>hh_in_rate</t>
  </si>
  <si>
    <t>per_out_rate</t>
  </si>
  <si>
    <t>per_in_rate</t>
  </si>
  <si>
    <t>dol_out_rate</t>
  </si>
  <si>
    <t>dol_in_rate</t>
  </si>
  <si>
    <t>County</t>
  </si>
  <si>
    <t>In-migration rate</t>
  </si>
  <si>
    <t>Out-migration rate</t>
  </si>
  <si>
    <t>Change in Net In-migration rate</t>
  </si>
  <si>
    <t xml:space="preserve">2021-22 </t>
  </si>
  <si>
    <t>Multnomah</t>
  </si>
  <si>
    <t>Neighboring OR counties</t>
  </si>
  <si>
    <t>Clackamas</t>
  </si>
  <si>
    <t xml:space="preserve">Marion </t>
  </si>
  <si>
    <t>Yamhill</t>
  </si>
  <si>
    <t>Columbia</t>
  </si>
  <si>
    <t>Neighboring WA counties</t>
  </si>
  <si>
    <t>Clark</t>
  </si>
  <si>
    <t>Scamania</t>
  </si>
  <si>
    <t>All other OR counties combined</t>
  </si>
  <si>
    <t>All other WA counties combined</t>
  </si>
  <si>
    <t>2018-19</t>
  </si>
  <si>
    <t>2021-2024</t>
  </si>
  <si>
    <t>Through 2022</t>
  </si>
  <si>
    <t>Through 2024</t>
  </si>
  <si>
    <t>Multnomah County</t>
  </si>
  <si>
    <t>Suppressed in ACS</t>
  </si>
  <si>
    <t>IRS flow data</t>
  </si>
  <si>
    <t>ACS data</t>
  </si>
  <si>
    <t>NA (suppressed)</t>
  </si>
  <si>
    <t>AGI</t>
  </si>
  <si>
    <t># of Households (returns)</t>
  </si>
  <si>
    <t xml:space="preserve">IRS </t>
  </si>
  <si>
    <t>ACS</t>
  </si>
  <si>
    <t>ACS thru 24</t>
  </si>
  <si>
    <t>Change in Net in-migration rates, by County, Measure and Data Source</t>
  </si>
  <si>
    <t>Panel B</t>
  </si>
  <si>
    <t>PANEL A (RETURNS / HH)</t>
  </si>
  <si>
    <t>PANEL A (AGI / HH Income)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</si>
</sst>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0.0%"/>
  </numFmts>
  <fonts count="7">
    <font>
      <sz val="11"/>
      <name val="Calibri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rgb="FF0070C0"/>
      <name val="Calibri"/>
      <family val="2"/>
    </font>
    <font>
      <b/>
      <sz val="11"/>
      <name val="Calibri"/>
      <family val="2"/>
    </font>
    <font>
      <b/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3" fillId="0" borderId="0" applyFont="false" applyFill="false" applyBorder="false" applyAlignment="false" applyProtection="false"/>
  </cellStyleXfs>
  <cellXfs count="15">
    <xf numFmtId="0" fontId="0" fillId="0" borderId="0" xfId="0"/>
    <xf numFmtId="1" fontId="0" fillId="0" borderId="1" xfId="0" applyNumberFormat="true" applyBorder="true"/>
    <xf numFmtId="0" fontId="1" fillId="0" borderId="0" xfId="0" applyFont="true"/>
    <xf numFmtId="0" fontId="2" fillId="0" borderId="0" xfId="0" applyFont="true"/>
    <xf numFmtId="164" fontId="0" fillId="0" borderId="0" xfId="1" applyNumberFormat="true" applyFont="true"/>
    <xf numFmtId="164" fontId="0" fillId="0" borderId="0" xfId="0" applyNumberFormat="true"/>
    <xf numFmtId="0" fontId="4" fillId="0" borderId="0" xfId="0" applyFont="true"/>
    <xf numFmtId="0" fontId="5" fillId="0" borderId="0" xfId="0" applyFont="true"/>
    <xf numFmtId="0" fontId="5" fillId="0" borderId="0" xfId="0" applyFont="true" applyAlignment="true">
      <alignment horizontal="center"/>
    </xf>
    <xf numFmtId="0" fontId="6" fillId="0" borderId="0" xfId="0" applyFont="true"/>
    <xf numFmtId="0" fontId="3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5" fillId="0" borderId="0" xfId="0" applyFont="true" applyAlignment="true">
      <alignment horizontal="center"/>
    </xf>
    <xf numFmtId="0" fontId="1" fillId="0" borderId="0" xfId="0" applyFont="true" applyAlignment="true">
      <alignment horizontal="center"/>
    </xf>
    <xf numFmtId="164" fontId="0" fillId="0" borderId="0" xfId="1" applyNumberFormat="true" applyFont="true" applyAlignment="true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metadata.xml" Type="http://schemas.openxmlformats.org/officeDocument/2006/relationships/sheetMetadata" Id="rId13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theme/theme1.xml" Type="http://schemas.openxmlformats.org/officeDocument/2006/relationships/theme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E1998-FEE5-4295-B385-5E9C33FCE498}">
  <dimension ref="A1:Q35"/>
  <sheetViews>
    <sheetView tabSelected="true" workbookViewId="0">
      <selection activeCell="U19" sqref="U19"/>
    </sheetView>
  </sheetViews>
  <sheetFormatPr xmlns:x14ac="http://schemas.microsoft.com/office/spreadsheetml/2009/9/ac" defaultRowHeight="15" x14ac:dyDescent="0.25"/>
  <cols>
    <col min="1" max="1" width="20.5703125" customWidth="true"/>
  </cols>
  <sheetData>
    <row xmlns:x14ac="http://schemas.microsoft.com/office/spreadsheetml/2009/9/ac" r="1" x14ac:dyDescent="0.25">
      <c r="A1" s="7" t="s">
        <v>61</v>
      </c>
      <c r="B1" s="12" t="s">
        <v>29</v>
      </c>
      <c r="C1" s="12"/>
      <c r="D1" s="12"/>
      <c r="E1" s="12"/>
      <c r="F1" s="12"/>
      <c r="G1" s="12"/>
      <c r="H1" s="7"/>
      <c r="I1" s="12" t="s">
        <v>30</v>
      </c>
      <c r="J1" s="12"/>
      <c r="K1" s="12"/>
      <c r="L1" s="12"/>
      <c r="M1" s="12"/>
      <c r="N1" s="12"/>
      <c r="O1" s="7"/>
      <c r="P1" s="7"/>
      <c r="Q1" s="7"/>
    </row>
    <row xmlns:x14ac="http://schemas.microsoft.com/office/spreadsheetml/2009/9/ac" r="2" x14ac:dyDescent="0.25">
      <c r="A2" s="7"/>
      <c r="B2" s="12" t="s">
        <v>50</v>
      </c>
      <c r="C2" s="12"/>
      <c r="D2" s="7"/>
      <c r="E2" s="12" t="s">
        <v>51</v>
      </c>
      <c r="F2" s="12"/>
      <c r="G2" s="12"/>
      <c r="H2" s="8"/>
      <c r="I2" s="12" t="s">
        <v>50</v>
      </c>
      <c r="J2" s="12"/>
      <c r="K2" s="7"/>
      <c r="L2" s="12" t="s">
        <v>51</v>
      </c>
      <c r="M2" s="12"/>
      <c r="N2" s="12"/>
      <c r="O2" s="7"/>
      <c r="P2" s="7"/>
      <c r="Q2" s="7"/>
    </row>
    <row xmlns:x14ac="http://schemas.microsoft.com/office/spreadsheetml/2009/9/ac" r="3" x14ac:dyDescent="0.25">
      <c r="A3" s="7" t="s">
        <v>28</v>
      </c>
      <c r="B3" t="s">
        <v>44</v>
      </c>
      <c r="C3" t="s">
        <v>32</v>
      </c>
      <c r="E3" t="s">
        <v>44</v>
      </c>
      <c r="F3" t="s">
        <v>32</v>
      </c>
      <c r="G3" s="6" t="s">
        <v>45</v>
      </c>
      <c r="I3" t="s">
        <v>44</v>
      </c>
      <c r="J3" t="s">
        <v>32</v>
      </c>
      <c r="L3" t="s">
        <v>44</v>
      </c>
      <c r="M3" t="s">
        <v>32</v>
      </c>
      <c r="N3" t="s">
        <v>45</v>
      </c>
    </row>
    <row xmlns:x14ac="http://schemas.microsoft.com/office/spreadsheetml/2009/9/ac" r="4" x14ac:dyDescent="0.25">
      <c r="A4" t="s">
        <v>33</v>
      </c>
      <c r="B4" s="4">
        <f>'Table 2a (IRS) (Migr=AGI)'!B3</f>
        <v>6.5851092338562012E-2</v>
      </c>
      <c r="C4" s="4">
        <f>'Table 2a (IRS) (Migr=AGI)'!C3</f>
        <v>6.274983286857605E-2</v>
      </c>
      <c r="E4" s="4">
        <f>'Table 2b (ACS) (Migr = income)'!B3</f>
        <v>6.3354134559631348E-2</v>
      </c>
      <c r="F4" s="4">
        <f>'Table 2b (ACS) (Migr = income)'!C3</f>
        <v>6.373528391122818E-2</v>
      </c>
      <c r="G4" s="4">
        <f>'Table 2b (ACS) (Migr = income)'!D3</f>
        <v>5.6489013135433197E-2</v>
      </c>
      <c r="H4" s="5"/>
      <c r="I4" s="4">
        <f>'Table 2a (IRS) (Migr=AGI)'!E3</f>
        <v>7.006537914276123E-2</v>
      </c>
      <c r="J4" s="4">
        <f>'Table 2a (IRS) (Migr=AGI)'!F3</f>
        <v>9.6766941249370575E-2</v>
      </c>
      <c r="L4" s="4">
        <f>'Table 2b (ACS) (Migr = income)'!E3</f>
        <v>5.7844016700983047E-2</v>
      </c>
      <c r="M4" s="4">
        <f>'Table 2b (ACS) (Migr = income)'!F3</f>
        <v>8.9838892221450806E-2</v>
      </c>
      <c r="N4" s="4">
        <f>'Table 2b (ACS) (Migr = income)'!G3</f>
        <v>8.2802049815654755E-2</v>
      </c>
      <c r="O4" s="5"/>
    </row>
    <row xmlns:x14ac="http://schemas.microsoft.com/office/spreadsheetml/2009/9/ac" r="5" x14ac:dyDescent="0.25">
      <c r="A5" t="s">
        <v>34</v>
      </c>
      <c r="G5" s="6"/>
      <c r="I5" s="4">
        <f>'Table 2a (IRS) (Migr=AGI)'!E4</f>
        <v>0</v>
      </c>
      <c r="J5" s="4">
        <f>'Table 2a (IRS) (Migr=AGI)'!F4</f>
        <v>0</v>
      </c>
      <c r="L5" s="4"/>
      <c r="M5" s="4"/>
      <c r="N5" s="4"/>
    </row>
    <row xmlns:x14ac="http://schemas.microsoft.com/office/spreadsheetml/2009/9/ac" r="6" x14ac:dyDescent="0.25">
      <c r="A6" t="s">
        <v>2</v>
      </c>
      <c r="B6" s="4">
        <f>'Table 2a (IRS) (Migr=AGI)'!B5</f>
        <v>6.0167685151100159E-2</v>
      </c>
      <c r="C6" s="4">
        <f>'Table 2a (IRS) (Migr=AGI)'!C5</f>
        <v>6.0554653406143188E-2</v>
      </c>
      <c r="E6" s="4">
        <f>'Table 2b (ACS) (Migr = income)'!B5</f>
        <v>5.5641300976276398E-2</v>
      </c>
      <c r="F6" s="4">
        <f>'Table 2b (ACS) (Migr = income)'!C5</f>
        <v>6.0378029942512512E-2</v>
      </c>
      <c r="G6" s="4">
        <f>'Table 2b (ACS) (Migr = income)'!D5</f>
        <v>5.5317871272563934E-2</v>
      </c>
      <c r="I6" s="4">
        <f>'Table 2a (IRS) (Migr=AGI)'!E5</f>
        <v>6.1024479568004608E-2</v>
      </c>
      <c r="J6" s="4">
        <f>'Table 2a (IRS) (Migr=AGI)'!F5</f>
        <v>7.5108356773853302E-2</v>
      </c>
      <c r="L6" s="4">
        <f>'Table 2b (ACS) (Migr = income)'!E5</f>
        <v>5.2657000720500946E-2</v>
      </c>
      <c r="M6" s="4">
        <f>'Table 2b (ACS) (Migr = income)'!F5</f>
        <v>7.1009114384651184E-2</v>
      </c>
      <c r="N6" s="4">
        <f>'Table 2b (ACS) (Migr = income)'!G5</f>
        <v>5.6045219302177429E-2</v>
      </c>
    </row>
    <row xmlns:x14ac="http://schemas.microsoft.com/office/spreadsheetml/2009/9/ac" r="7" x14ac:dyDescent="0.25">
      <c r="A7" t="s">
        <v>35</v>
      </c>
      <c r="B7" s="4">
        <f>'Table 2a (IRS) (Migr=AGI)'!B6</f>
        <v>6.4857304096221924E-2</v>
      </c>
      <c r="C7" s="4">
        <f>'Table 2a (IRS) (Migr=AGI)'!C6</f>
        <v>8.1016130745410919E-2</v>
      </c>
      <c r="E7" s="4">
        <f>'Table 2b (ACS) (Migr = income)'!B6</f>
        <v>6.1221208423376083E-2</v>
      </c>
      <c r="F7" s="4">
        <f>'Table 2b (ACS) (Migr = income)'!C6</f>
        <v>7.6222792267799377E-2</v>
      </c>
      <c r="G7" s="4">
        <f>'Table 2b (ACS) (Migr = income)'!D6</f>
        <v>7.1508444845676422E-2</v>
      </c>
      <c r="I7" s="4">
        <f>'Table 2a (IRS) (Migr=AGI)'!E6</f>
        <v>5.8235693722963333E-2</v>
      </c>
      <c r="J7" s="4">
        <f>'Table 2a (IRS) (Migr=AGI)'!F6</f>
        <v>6.7215822637081146E-2</v>
      </c>
      <c r="L7" s="4">
        <f>'Table 2b (ACS) (Migr = income)'!E6</f>
        <v>4.8739612102508545E-2</v>
      </c>
      <c r="M7" s="4">
        <f>'Table 2b (ACS) (Migr = income)'!F6</f>
        <v>6.2092546373605728E-2</v>
      </c>
      <c r="N7" s="4">
        <f>'Table 2b (ACS) (Migr = income)'!G6</f>
        <v>5.4175112396478653E-2</v>
      </c>
    </row>
    <row xmlns:x14ac="http://schemas.microsoft.com/office/spreadsheetml/2009/9/ac" r="8" x14ac:dyDescent="0.25">
      <c r="A8" t="s">
        <v>36</v>
      </c>
      <c r="B8" s="4">
        <f>'Table 2a (IRS) (Migr=AGI)'!B7</f>
        <v>5.1667891442775726E-2</v>
      </c>
      <c r="C8" s="4">
        <f>'Table 2a (IRS) (Migr=AGI)'!C7</f>
        <v>5.3673293441534042E-2</v>
      </c>
      <c r="E8" s="4">
        <f>'Table 2b (ACS) (Migr = income)'!B7</f>
        <v>4.9081113189458847E-2</v>
      </c>
      <c r="F8" s="4">
        <f>'Table 2b (ACS) (Migr = income)'!C7</f>
        <v>5.0730876624584198E-2</v>
      </c>
      <c r="G8" s="4">
        <f>'Table 2b (ACS) (Migr = income)'!D7</f>
        <v>4.560474306344986E-2</v>
      </c>
      <c r="I8" s="4">
        <f>'Table 2a (IRS) (Migr=AGI)'!E7</f>
        <v>5.2986618131399155E-2</v>
      </c>
      <c r="J8" s="4">
        <f>'Table 2a (IRS) (Migr=AGI)'!F7</f>
        <v>5.4442763328552246E-2</v>
      </c>
      <c r="L8" s="4">
        <f>'Table 2b (ACS) (Migr = income)'!E7</f>
        <v>4.750530794262886E-2</v>
      </c>
      <c r="M8" s="4">
        <f>'Table 2b (ACS) (Migr = income)'!F7</f>
        <v>4.6862687915563583E-2</v>
      </c>
      <c r="N8" s="4">
        <f>'Table 2b (ACS) (Migr = income)'!G7</f>
        <v>5.0596162676811218E-2</v>
      </c>
    </row>
    <row xmlns:x14ac="http://schemas.microsoft.com/office/spreadsheetml/2009/9/ac" r="9" x14ac:dyDescent="0.25">
      <c r="A9" t="s">
        <v>37</v>
      </c>
      <c r="B9" s="4">
        <f>'Table 2a (IRS) (Migr=AGI)'!B8</f>
        <v>6.6213987767696381E-2</v>
      </c>
      <c r="C9" s="4">
        <f>'Table 2a (IRS) (Migr=AGI)'!C8</f>
        <v>7.2722166776657104E-2</v>
      </c>
      <c r="E9" s="10" t="s">
        <v>52</v>
      </c>
      <c r="F9" s="11"/>
      <c r="G9" s="11"/>
      <c r="I9" s="4">
        <f>'Table 2a (IRS) (Migr=AGI)'!E8</f>
        <v>5.266648530960083E-2</v>
      </c>
      <c r="J9" s="4">
        <f>'Table 2a (IRS) (Migr=AGI)'!F8</f>
        <v>6.8064190447330475E-2</v>
      </c>
      <c r="L9" s="10" t="s">
        <v>52</v>
      </c>
      <c r="M9" s="11"/>
      <c r="N9" s="11"/>
    </row>
    <row xmlns:x14ac="http://schemas.microsoft.com/office/spreadsheetml/2009/9/ac" r="10" x14ac:dyDescent="0.25">
      <c r="A10" t="s">
        <v>38</v>
      </c>
      <c r="B10" s="4">
        <f>'Table 2a (IRS) (Migr=AGI)'!B9</f>
        <v>6.325937807559967E-2</v>
      </c>
      <c r="C10" s="4">
        <f>'Table 2a (IRS) (Migr=AGI)'!C9</f>
        <v>6.6666498780250549E-2</v>
      </c>
      <c r="E10" s="10" t="s">
        <v>52</v>
      </c>
      <c r="F10" s="11"/>
      <c r="G10" s="11"/>
      <c r="I10" s="4">
        <f>'Table 2a (IRS) (Migr=AGI)'!E9</f>
        <v>5.2635479718446732E-2</v>
      </c>
      <c r="J10" s="4">
        <f>'Table 2a (IRS) (Migr=AGI)'!F9</f>
        <v>5.9354282915592194E-2</v>
      </c>
      <c r="L10" s="10" t="s">
        <v>52</v>
      </c>
      <c r="M10" s="11"/>
      <c r="N10" s="11"/>
    </row>
    <row xmlns:x14ac="http://schemas.microsoft.com/office/spreadsheetml/2009/9/ac" r="11" x14ac:dyDescent="0.25">
      <c r="A11" t="s">
        <v>39</v>
      </c>
      <c r="G11" s="6"/>
      <c r="I11" s="4"/>
      <c r="J11" s="4"/>
      <c r="L11" s="4"/>
      <c r="M11" s="4"/>
      <c r="N11" s="4"/>
    </row>
    <row xmlns:x14ac="http://schemas.microsoft.com/office/spreadsheetml/2009/9/ac" r="12" x14ac:dyDescent="0.25">
      <c r="A12" t="s">
        <v>40</v>
      </c>
      <c r="B12" s="4">
        <f>'Table 2a (IRS) (Migr=AGI)'!B11</f>
        <v>5.9751883149147034E-2</v>
      </c>
      <c r="C12" s="4">
        <f>'Table 2a (IRS) (Migr=AGI)'!C11</f>
        <v>7.7620796859264374E-2</v>
      </c>
      <c r="E12" s="4">
        <f>'Table 2b (ACS) (Migr = income)'!B11</f>
        <v>5.4432656615972519E-2</v>
      </c>
      <c r="F12" s="4">
        <f>'Table 2b (ACS) (Migr = income)'!C11</f>
        <v>8.2657575607299805E-2</v>
      </c>
      <c r="G12" s="4">
        <f>'Table 2b (ACS) (Migr = income)'!D11</f>
        <v>7.3792897164821625E-2</v>
      </c>
      <c r="I12" s="4">
        <f>'Table 2a (IRS) (Migr=AGI)'!E11</f>
        <v>4.7169208526611328E-2</v>
      </c>
      <c r="J12" s="4">
        <f>'Table 2a (IRS) (Migr=AGI)'!F11</f>
        <v>5.8515794575214386E-2</v>
      </c>
      <c r="L12" s="4">
        <f>'Table 2b (ACS) (Migr = income)'!E11</f>
        <v>4.6210054308176041E-2</v>
      </c>
      <c r="M12" s="4">
        <f>'Table 2b (ACS) (Migr = income)'!F11</f>
        <v>5.2455045282840729E-2</v>
      </c>
      <c r="N12" s="4">
        <f>'Table 2b (ACS) (Migr = income)'!G11</f>
        <v>4.6159025281667709E-2</v>
      </c>
    </row>
    <row xmlns:x14ac="http://schemas.microsoft.com/office/spreadsheetml/2009/9/ac" r="13" x14ac:dyDescent="0.25">
      <c r="A13" t="s">
        <v>41</v>
      </c>
      <c r="B13" s="4">
        <f>'Table 2a (IRS) (Migr=AGI)'!B12</f>
        <v>8.5216939449310303E-2</v>
      </c>
      <c r="C13" s="4">
        <f>'Table 2a (IRS) (Migr=AGI)'!C12</f>
        <v>9.1132178902626038E-2</v>
      </c>
      <c r="E13" s="10" t="s">
        <v>52</v>
      </c>
      <c r="F13" s="11"/>
      <c r="G13" s="11"/>
      <c r="I13" s="4">
        <f>'Table 2a (IRS) (Migr=AGI)'!E12</f>
        <v>5.6506790220737457E-2</v>
      </c>
      <c r="J13" s="4">
        <f>'Table 2a (IRS) (Migr=AGI)'!F12</f>
        <v>6.007617712020874E-2</v>
      </c>
      <c r="L13" s="10" t="s">
        <v>52</v>
      </c>
      <c r="M13" s="11"/>
      <c r="N13" s="11"/>
    </row>
    <row xmlns:x14ac="http://schemas.microsoft.com/office/spreadsheetml/2009/9/ac" r="14" x14ac:dyDescent="0.25">
      <c r="G14" s="6"/>
      <c r="I14" s="4"/>
      <c r="J14" s="4"/>
      <c r="L14" s="4"/>
      <c r="M14" s="4"/>
      <c r="N14" s="4"/>
    </row>
    <row xmlns:x14ac="http://schemas.microsoft.com/office/spreadsheetml/2009/9/ac" r="15" x14ac:dyDescent="0.25">
      <c r="A15" t="s">
        <v>42</v>
      </c>
      <c r="B15" s="4">
        <f>'Table 2a (IRS) (Migr=AGI)'!B14</f>
        <v>6.7591950297355652E-2</v>
      </c>
      <c r="C15" s="4">
        <f>'Table 2a (IRS) (Migr=AGI)'!C14</f>
        <v>7.6302647590637207E-2</v>
      </c>
      <c r="E15" s="4">
        <f>'Table 2b (ACS) (Migr = income)'!B14</f>
        <v>5.8649804443120956E-2</v>
      </c>
      <c r="F15" s="4">
        <f>'Table 2b (ACS) (Migr = income)'!C14</f>
        <v>5.5496521294116974E-2</v>
      </c>
      <c r="G15" s="4">
        <f>'Table 2b (ACS) (Migr = income)'!D14</f>
        <v>5.392015352845192E-2</v>
      </c>
      <c r="I15" s="4">
        <f>'Table 2a (IRS) (Migr=AGI)'!E14</f>
        <v>5.0893060863018036E-2</v>
      </c>
      <c r="J15" s="4">
        <f>'Table 2a (IRS) (Migr=AGI)'!F14</f>
        <v>6.0106795281171799E-2</v>
      </c>
      <c r="L15" s="4">
        <f>'Table 2b (ACS) (Migr = income)'!E14</f>
        <v>4.5561544597148895E-2</v>
      </c>
      <c r="M15" s="4">
        <f>'Table 2b (ACS) (Migr = income)'!F14</f>
        <v>5.9658464044332504E-2</v>
      </c>
      <c r="N15" s="4">
        <f>'Table 2b (ACS) (Migr = income)'!G14</f>
        <v>4.99735027551651E-2</v>
      </c>
    </row>
    <row xmlns:x14ac="http://schemas.microsoft.com/office/spreadsheetml/2009/9/ac" r="16" x14ac:dyDescent="0.25">
      <c r="A16" t="s">
        <v>43</v>
      </c>
      <c r="B16" s="4">
        <f>'Table 2a (IRS) (Migr=AGI)'!B15</f>
        <v>5.3211066871881485E-2</v>
      </c>
      <c r="C16" s="4">
        <f>'Table 2a (IRS) (Migr=AGI)'!C15</f>
        <v>5.6753363460302353E-2</v>
      </c>
      <c r="E16" s="4">
        <f>'Table 2b (ACS) (Migr = income)'!B15</f>
        <v>5.5301066488027573E-2</v>
      </c>
      <c r="F16" s="4">
        <f>'Table 2b (ACS) (Migr = income)'!C15</f>
        <v>5.2587557584047318E-2</v>
      </c>
      <c r="G16" s="4">
        <f>'Table 2b (ACS) (Migr = income)'!D15</f>
        <v>4.9882706254720688E-2</v>
      </c>
      <c r="I16" s="4">
        <f>'Table 2a (IRS) (Migr=AGI)'!E15</f>
        <v>4.8897575587034225E-2</v>
      </c>
      <c r="J16" s="4">
        <f>'Table 2a (IRS) (Migr=AGI)'!F15</f>
        <v>6.009707972407341E-2</v>
      </c>
      <c r="L16" s="4">
        <f>'Table 2b (ACS) (Migr = income)'!E15</f>
        <v>4.6609316021203995E-2</v>
      </c>
      <c r="M16" s="4">
        <f>'Table 2b (ACS) (Migr = income)'!F15</f>
        <v>5.5123060941696167E-2</v>
      </c>
      <c r="N16" s="4">
        <f>'Table 2b (ACS) (Migr = income)'!G15</f>
        <v>5.0142049789428711E-2</v>
      </c>
    </row>
    <row xmlns:x14ac="http://schemas.microsoft.com/office/spreadsheetml/2009/9/ac" r="19" x14ac:dyDescent="0.25">
      <c r="A19" s="9"/>
    </row>
    <row xmlns:x14ac="http://schemas.microsoft.com/office/spreadsheetml/2009/9/ac" r="20" x14ac:dyDescent="0.25">
      <c r="A20" s="7"/>
      <c r="C20" s="12"/>
      <c r="D20" s="12"/>
      <c r="E20" s="12"/>
      <c r="F20" s="7"/>
      <c r="G20" s="12"/>
      <c r="H20" s="12"/>
      <c r="I20" s="12"/>
    </row>
    <row xmlns:x14ac="http://schemas.microsoft.com/office/spreadsheetml/2009/9/ac" r="21" x14ac:dyDescent="0.25">
      <c r="A21" s="7"/>
      <c r="C21" s="7"/>
      <c r="D21" s="7"/>
      <c r="E21" s="7"/>
      <c r="F21" s="7"/>
      <c r="G21" s="7"/>
      <c r="H21" s="7"/>
      <c r="I21" s="7"/>
    </row>
    <row xmlns:x14ac="http://schemas.microsoft.com/office/spreadsheetml/2009/9/ac" r="22" x14ac:dyDescent="0.25">
      <c r="A22" s="7"/>
    </row>
    <row xmlns:x14ac="http://schemas.microsoft.com/office/spreadsheetml/2009/9/ac" r="23" x14ac:dyDescent="0.25">
      <c r="C23" s="4"/>
      <c r="D23" s="4"/>
      <c r="E23" s="4"/>
      <c r="G23" s="5"/>
      <c r="H23" s="5"/>
      <c r="I23" s="5"/>
    </row>
    <row xmlns:x14ac="http://schemas.microsoft.com/office/spreadsheetml/2009/9/ac" r="24" x14ac:dyDescent="0.25">
      <c r="G24" s="5"/>
    </row>
    <row xmlns:x14ac="http://schemas.microsoft.com/office/spreadsheetml/2009/9/ac" r="25" x14ac:dyDescent="0.25">
      <c r="C25" s="4"/>
      <c r="D25" s="4"/>
      <c r="E25" s="4"/>
      <c r="G25" s="5"/>
      <c r="H25" s="5"/>
      <c r="I25" s="5"/>
    </row>
    <row xmlns:x14ac="http://schemas.microsoft.com/office/spreadsheetml/2009/9/ac" r="26" x14ac:dyDescent="0.25">
      <c r="C26" s="4"/>
      <c r="D26" s="4"/>
      <c r="E26" s="4"/>
      <c r="G26" s="5"/>
      <c r="H26" s="5"/>
      <c r="I26" s="5"/>
    </row>
    <row xmlns:x14ac="http://schemas.microsoft.com/office/spreadsheetml/2009/9/ac" r="27" x14ac:dyDescent="0.25">
      <c r="C27" s="4"/>
      <c r="D27" s="4"/>
      <c r="E27" s="4"/>
      <c r="G27" s="5"/>
      <c r="H27" s="5"/>
      <c r="I27" s="5"/>
    </row>
    <row xmlns:x14ac="http://schemas.microsoft.com/office/spreadsheetml/2009/9/ac" r="28" x14ac:dyDescent="0.25">
      <c r="C28" s="4"/>
      <c r="D28" s="10"/>
      <c r="E28" s="10"/>
      <c r="G28" s="5"/>
      <c r="H28" s="10"/>
      <c r="I28" s="10"/>
    </row>
    <row xmlns:x14ac="http://schemas.microsoft.com/office/spreadsheetml/2009/9/ac" r="29" x14ac:dyDescent="0.25">
      <c r="C29" s="4"/>
      <c r="D29" s="10"/>
      <c r="E29" s="10"/>
      <c r="G29" s="5"/>
      <c r="H29" s="10"/>
      <c r="I29" s="10"/>
    </row>
    <row xmlns:x14ac="http://schemas.microsoft.com/office/spreadsheetml/2009/9/ac" r="30" x14ac:dyDescent="0.25">
      <c r="C30" s="4"/>
      <c r="D30" s="4"/>
      <c r="E30" s="4"/>
      <c r="G30" s="5"/>
    </row>
    <row xmlns:x14ac="http://schemas.microsoft.com/office/spreadsheetml/2009/9/ac" r="31" x14ac:dyDescent="0.25">
      <c r="C31" s="4"/>
      <c r="D31" s="4"/>
      <c r="E31" s="4"/>
      <c r="G31" s="5"/>
      <c r="H31" s="5"/>
      <c r="I31" s="5"/>
    </row>
    <row xmlns:x14ac="http://schemas.microsoft.com/office/spreadsheetml/2009/9/ac" r="32" x14ac:dyDescent="0.25">
      <c r="C32" s="4"/>
      <c r="D32" s="10"/>
      <c r="E32" s="10"/>
      <c r="G32" s="5"/>
      <c r="H32" s="10"/>
      <c r="I32" s="10"/>
    </row>
    <row xmlns:x14ac="http://schemas.microsoft.com/office/spreadsheetml/2009/9/ac" r="33" x14ac:dyDescent="0.25">
      <c r="C33" s="4"/>
      <c r="D33" s="4"/>
      <c r="E33" s="4"/>
      <c r="G33" s="5"/>
    </row>
    <row xmlns:x14ac="http://schemas.microsoft.com/office/spreadsheetml/2009/9/ac" r="34" x14ac:dyDescent="0.25">
      <c r="C34" s="4"/>
      <c r="D34" s="4"/>
      <c r="E34" s="4"/>
      <c r="G34" s="5"/>
      <c r="H34" s="5"/>
      <c r="I34" s="5"/>
    </row>
    <row xmlns:x14ac="http://schemas.microsoft.com/office/spreadsheetml/2009/9/ac" r="35" x14ac:dyDescent="0.25">
      <c r="C35" s="4"/>
      <c r="D35" s="4"/>
      <c r="E35" s="4"/>
      <c r="G35" s="5"/>
      <c r="H35" s="5"/>
      <c r="I35" s="5"/>
    </row>
  </sheetData>
  <mergeCells count="20">
    <mergeCell ref="L13:N13"/>
    <mergeCell ref="D28:E28"/>
    <mergeCell ref="H28:I28"/>
    <mergeCell ref="D29:E29"/>
    <mergeCell ref="H29:I29"/>
    <mergeCell ref="D32:E32"/>
    <mergeCell ref="H32:I32"/>
    <mergeCell ref="E13:G13"/>
    <mergeCell ref="B2:C2"/>
    <mergeCell ref="E2:G2"/>
    <mergeCell ref="C20:E20"/>
    <mergeCell ref="G20:I20"/>
    <mergeCell ref="L10:N10"/>
    <mergeCell ref="I2:J2"/>
    <mergeCell ref="L2:N2"/>
    <mergeCell ref="B1:G1"/>
    <mergeCell ref="I1:N1"/>
    <mergeCell ref="L9:N9"/>
    <mergeCell ref="E9:G9"/>
    <mergeCell ref="E10:G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1D01-251C-4DA9-9CB9-0D8D107490A2}">
  <dimension ref="A1:Q35"/>
  <sheetViews>
    <sheetView workbookViewId="0"/>
  </sheetViews>
  <sheetFormatPr xmlns:x14ac="http://schemas.microsoft.com/office/spreadsheetml/2009/9/ac" defaultRowHeight="15" x14ac:dyDescent="0.25"/>
  <cols>
    <col min="1" max="1" width="20.5703125" customWidth="true"/>
  </cols>
  <sheetData>
    <row xmlns:x14ac="http://schemas.microsoft.com/office/spreadsheetml/2009/9/ac" r="1" x14ac:dyDescent="0.25">
      <c r="A1" s="7" t="s">
        <v>60</v>
      </c>
      <c r="B1" s="12" t="s">
        <v>29</v>
      </c>
      <c r="C1" s="12"/>
      <c r="D1" s="12"/>
      <c r="E1" s="12"/>
      <c r="F1" s="12"/>
      <c r="G1" s="12"/>
      <c r="H1" s="7"/>
      <c r="I1" s="12" t="s">
        <v>30</v>
      </c>
      <c r="J1" s="12"/>
      <c r="K1" s="12"/>
      <c r="L1" s="12"/>
      <c r="M1" s="12"/>
      <c r="N1" s="12"/>
      <c r="O1" s="7"/>
      <c r="P1" s="7"/>
      <c r="Q1" s="7"/>
    </row>
    <row xmlns:x14ac="http://schemas.microsoft.com/office/spreadsheetml/2009/9/ac" r="2" x14ac:dyDescent="0.25">
      <c r="A2" s="7"/>
      <c r="B2" s="12" t="s">
        <v>50</v>
      </c>
      <c r="C2" s="12"/>
      <c r="D2" s="7"/>
      <c r="E2" s="12" t="s">
        <v>51</v>
      </c>
      <c r="F2" s="12"/>
      <c r="G2" s="12"/>
      <c r="H2" s="8"/>
      <c r="I2" s="12" t="s">
        <v>50</v>
      </c>
      <c r="J2" s="12"/>
      <c r="K2" s="7"/>
      <c r="L2" s="12" t="s">
        <v>51</v>
      </c>
      <c r="M2" s="12"/>
      <c r="N2" s="12"/>
      <c r="O2" s="7"/>
      <c r="P2" s="7"/>
      <c r="Q2" s="7"/>
    </row>
    <row xmlns:x14ac="http://schemas.microsoft.com/office/spreadsheetml/2009/9/ac" r="3" x14ac:dyDescent="0.25">
      <c r="A3" s="7" t="s">
        <v>28</v>
      </c>
      <c r="B3" t="s">
        <v>44</v>
      </c>
      <c r="C3" t="s">
        <v>32</v>
      </c>
      <c r="E3" t="s">
        <v>44</v>
      </c>
      <c r="F3" t="s">
        <v>32</v>
      </c>
      <c r="G3" s="6" t="s">
        <v>45</v>
      </c>
      <c r="I3" t="s">
        <v>44</v>
      </c>
      <c r="J3" t="s">
        <v>32</v>
      </c>
      <c r="L3" t="s">
        <v>44</v>
      </c>
      <c r="M3" t="s">
        <v>32</v>
      </c>
      <c r="N3" t="s">
        <v>45</v>
      </c>
    </row>
    <row xmlns:x14ac="http://schemas.microsoft.com/office/spreadsheetml/2009/9/ac" r="4" x14ac:dyDescent="0.25">
      <c r="A4" t="s">
        <v>33</v>
      </c>
      <c r="B4" s="4">
        <f>'Table 2a (IRS) (Migr = Returns)'!B3</f>
        <v>8.763287216424942E-2</v>
      </c>
      <c r="C4" s="4">
        <f>'Table 2a (IRS) (Migr = Returns)'!C3</f>
        <v>8.497629314661026E-2</v>
      </c>
      <c r="E4" s="4">
        <f>'Table 2b (ACS) (Migr = HHs)'!B3</f>
        <v>6.4845055341720581E-2</v>
      </c>
      <c r="F4" s="4">
        <f>'Table 2b (ACS) (Migr = HHs)'!C3</f>
        <v>7.1903564035892487E-2</v>
      </c>
      <c r="G4" s="4">
        <f>'Table 2b (ACS) (Migr = HHs)'!D3</f>
        <v>6.6890202462673187E-2</v>
      </c>
      <c r="H4" s="5"/>
      <c r="I4" s="4">
        <f>'Table 2a (IRS) (Migr = Returns)'!E3</f>
        <v>8.5019595921039581E-2</v>
      </c>
      <c r="J4" s="4">
        <f>'Table 2a (IRS) (Migr = Returns)'!F3</f>
        <v>9.6729584038257599E-2</v>
      </c>
      <c r="L4" s="4">
        <f>'Table 2b (ACS) (Migr = HHs)'!E3</f>
        <v>5.705849826335907E-2</v>
      </c>
      <c r="M4" s="4">
        <f>'Table 2b (ACS) (Migr = HHs)'!F3</f>
        <v>8.3923906087875366E-2</v>
      </c>
      <c r="N4" s="4">
        <f>'Table 2b (ACS) (Migr = HHs)'!G3</f>
        <v>7.296154648065567E-2</v>
      </c>
      <c r="O4" s="5"/>
    </row>
    <row xmlns:x14ac="http://schemas.microsoft.com/office/spreadsheetml/2009/9/ac" r="5" x14ac:dyDescent="0.25">
      <c r="A5" t="s">
        <v>34</v>
      </c>
      <c r="G5" s="6"/>
      <c r="I5" s="4">
        <f>'Table 2a (IRS) (Migr = Returns)'!E4</f>
        <v>0</v>
      </c>
      <c r="J5" s="4">
        <f>'Table 2a (IRS) (Migr = Returns)'!F4</f>
        <v>0</v>
      </c>
      <c r="L5" s="4"/>
      <c r="M5" s="4"/>
      <c r="N5" s="4"/>
    </row>
    <row xmlns:x14ac="http://schemas.microsoft.com/office/spreadsheetml/2009/9/ac" r="6" x14ac:dyDescent="0.25">
      <c r="A6" t="s">
        <v>2</v>
      </c>
      <c r="B6" s="4">
        <f>'Table 2a (IRS) (Migr = Returns)'!B5</f>
        <v>8.3253808319568634E-2</v>
      </c>
      <c r="C6" s="4">
        <f>'Table 2a (IRS) (Migr = Returns)'!C5</f>
        <v>8.0988436937332153E-2</v>
      </c>
      <c r="E6" s="4">
        <f>'Table 2b (ACS) (Migr = HHs)'!B5</f>
        <v>6.5429180860519409E-2</v>
      </c>
      <c r="F6" s="4">
        <f>'Table 2b (ACS) (Migr = HHs)'!C5</f>
        <v>7.7417343854904175E-2</v>
      </c>
      <c r="G6" s="4">
        <f>'Table 2b (ACS) (Migr = HHs)'!D5</f>
        <v>6.489437073469162E-2</v>
      </c>
      <c r="I6" s="4">
        <f>'Table 2a (IRS) (Migr = Returns)'!E5</f>
        <v>8.0126367509365082E-2</v>
      </c>
      <c r="J6" s="4">
        <f>'Table 2a (IRS) (Migr = Returns)'!F5</f>
        <v>8.4944598376750946E-2</v>
      </c>
      <c r="L6" s="4">
        <f>'Table 2b (ACS) (Migr = HHs)'!E5</f>
        <v>5.704064667224884E-2</v>
      </c>
      <c r="M6" s="4">
        <f>'Table 2b (ACS) (Migr = HHs)'!F5</f>
        <v>7.6325781643390656E-2</v>
      </c>
      <c r="N6" s="4">
        <f>'Table 2b (ACS) (Migr = HHs)'!G5</f>
        <v>6.5405286848545074E-2</v>
      </c>
    </row>
    <row xmlns:x14ac="http://schemas.microsoft.com/office/spreadsheetml/2009/9/ac" r="7" x14ac:dyDescent="0.25">
      <c r="A7" t="s">
        <v>35</v>
      </c>
      <c r="B7" s="4">
        <f>'Table 2a (IRS) (Migr = Returns)'!B6</f>
        <v>8.7921030819416046E-2</v>
      </c>
      <c r="C7" s="4">
        <f>'Table 2a (IRS) (Migr = Returns)'!C6</f>
        <v>8.8014185428619385E-2</v>
      </c>
      <c r="E7" s="4">
        <f>'Table 2b (ACS) (Migr = HHs)'!B6</f>
        <v>6.4069397747516632E-2</v>
      </c>
      <c r="F7" s="4">
        <f>'Table 2b (ACS) (Migr = HHs)'!C6</f>
        <v>7.4239104986190796E-2</v>
      </c>
      <c r="G7" s="4">
        <f>'Table 2b (ACS) (Migr = HHs)'!D6</f>
        <v>6.3190922141075134E-2</v>
      </c>
      <c r="I7" s="4">
        <f>'Table 2a (IRS) (Migr = Returns)'!E6</f>
        <v>8.1532232463359833E-2</v>
      </c>
      <c r="J7" s="4">
        <f>'Table 2a (IRS) (Migr = Returns)'!F6</f>
        <v>8.6629293859004974E-2</v>
      </c>
      <c r="L7" s="4">
        <f>'Table 2b (ACS) (Migr = HHs)'!E6</f>
        <v>6.0732025653123856E-2</v>
      </c>
      <c r="M7" s="4">
        <f>'Table 2b (ACS) (Migr = HHs)'!F6</f>
        <v>7.0509985089302063E-2</v>
      </c>
      <c r="N7" s="4">
        <f>'Table 2b (ACS) (Migr = HHs)'!G6</f>
        <v>5.9880614280700684E-2</v>
      </c>
    </row>
    <row xmlns:x14ac="http://schemas.microsoft.com/office/spreadsheetml/2009/9/ac" r="8" x14ac:dyDescent="0.25">
      <c r="A8" t="s">
        <v>36</v>
      </c>
      <c r="B8" s="4">
        <f>'Table 2a (IRS) (Migr = Returns)'!B7</f>
        <v>6.7371338605880737E-2</v>
      </c>
      <c r="C8" s="4">
        <f>'Table 2a (IRS) (Migr = Returns)'!C7</f>
        <v>6.8800784647464752E-2</v>
      </c>
      <c r="E8" s="4">
        <f>'Table 2b (ACS) (Migr = HHs)'!B7</f>
        <v>4.6024877578020096E-2</v>
      </c>
      <c r="F8" s="4">
        <f>'Table 2b (ACS) (Migr = HHs)'!C7</f>
        <v>4.7753609716892242E-2</v>
      </c>
      <c r="G8" s="4">
        <f>'Table 2b (ACS) (Migr = HHs)'!D7</f>
        <v>4.6674016863107681E-2</v>
      </c>
      <c r="I8" s="4">
        <f>'Table 2a (IRS) (Migr = Returns)'!E7</f>
        <v>6.0768041759729385E-2</v>
      </c>
      <c r="J8" s="4">
        <f>'Table 2a (IRS) (Migr = Returns)'!F7</f>
        <v>6.7704752087593079E-2</v>
      </c>
      <c r="L8" s="4">
        <f>'Table 2b (ACS) (Migr = HHs)'!E7</f>
        <v>4.7510087490081787E-2</v>
      </c>
      <c r="M8" s="4">
        <f>'Table 2b (ACS) (Migr = HHs)'!F7</f>
        <v>4.7710075974464417E-2</v>
      </c>
      <c r="N8" s="4">
        <f>'Table 2b (ACS) (Migr = HHs)'!G7</f>
        <v>5.194174125790596E-2</v>
      </c>
    </row>
    <row xmlns:x14ac="http://schemas.microsoft.com/office/spreadsheetml/2009/9/ac" r="9" x14ac:dyDescent="0.25">
      <c r="A9" t="s">
        <v>37</v>
      </c>
      <c r="B9" s="4">
        <f>'Table 2a (IRS) (Migr = Returns)'!B8</f>
        <v>7.8463777899742126E-2</v>
      </c>
      <c r="C9" s="4">
        <f>'Table 2a (IRS) (Migr = Returns)'!C8</f>
        <v>8.0935738980770111E-2</v>
      </c>
      <c r="E9" s="10" t="s">
        <v>52</v>
      </c>
      <c r="F9" s="11"/>
      <c r="G9" s="11"/>
      <c r="I9" s="4">
        <f>'Table 2a (IRS) (Migr = Returns)'!E8</f>
        <v>7.1175716817378998E-2</v>
      </c>
      <c r="J9" s="4">
        <f>'Table 2a (IRS) (Migr = Returns)'!F8</f>
        <v>7.6071277260780334E-2</v>
      </c>
      <c r="L9" s="10" t="s">
        <v>52</v>
      </c>
      <c r="M9" s="11"/>
      <c r="N9" s="11"/>
    </row>
    <row xmlns:x14ac="http://schemas.microsoft.com/office/spreadsheetml/2009/9/ac" r="10" x14ac:dyDescent="0.25">
      <c r="A10" t="s">
        <v>38</v>
      </c>
      <c r="B10" s="4">
        <f>'Table 2a (IRS) (Migr = Returns)'!B9</f>
        <v>7.8191906213760376E-2</v>
      </c>
      <c r="C10" s="4">
        <f>'Table 2a (IRS) (Migr = Returns)'!C9</f>
        <v>8.0506063997745514E-2</v>
      </c>
      <c r="E10" s="10" t="s">
        <v>52</v>
      </c>
      <c r="F10" s="11"/>
      <c r="G10" s="11"/>
      <c r="I10" s="4">
        <f>'Table 2a (IRS) (Migr = Returns)'!E9</f>
        <v>6.5852485597133636E-2</v>
      </c>
      <c r="J10" s="4">
        <f>'Table 2a (IRS) (Migr = Returns)'!F9</f>
        <v>7.2237491607666016E-2</v>
      </c>
      <c r="L10" s="10" t="s">
        <v>52</v>
      </c>
      <c r="M10" s="11"/>
      <c r="N10" s="11"/>
    </row>
    <row xmlns:x14ac="http://schemas.microsoft.com/office/spreadsheetml/2009/9/ac" r="11" x14ac:dyDescent="0.25">
      <c r="A11" t="s">
        <v>39</v>
      </c>
      <c r="G11" s="6"/>
      <c r="I11" s="4"/>
      <c r="J11" s="4"/>
      <c r="L11" s="4"/>
      <c r="M11" s="4"/>
      <c r="N11" s="4"/>
    </row>
    <row xmlns:x14ac="http://schemas.microsoft.com/office/spreadsheetml/2009/9/ac" r="12" x14ac:dyDescent="0.25">
      <c r="A12" t="s">
        <v>40</v>
      </c>
      <c r="B12" s="4">
        <f>'Table 2a (IRS) (Migr = Returns)'!B11</f>
        <v>7.4729807674884796E-2</v>
      </c>
      <c r="C12" s="4">
        <f>'Table 2a (IRS) (Migr = Returns)'!C11</f>
        <v>7.879175990819931E-2</v>
      </c>
      <c r="E12" s="4">
        <f>'Table 2b (ACS) (Migr = HHs)'!B11</f>
        <v>5.1845591515302658E-2</v>
      </c>
      <c r="F12" s="4">
        <f>'Table 2b (ACS) (Migr = HHs)'!C11</f>
        <v>6.5786689519882202E-2</v>
      </c>
      <c r="G12" s="4">
        <f>'Table 2b (ACS) (Migr = HHs)'!D11</f>
        <v>5.9204187244176865E-2</v>
      </c>
      <c r="I12" s="4">
        <f>'Table 2a (IRS) (Migr = Returns)'!E11</f>
        <v>6.0066677629947662E-2</v>
      </c>
      <c r="J12" s="4">
        <f>'Table 2a (IRS) (Migr = Returns)'!F11</f>
        <v>6.5936900675296783E-2</v>
      </c>
      <c r="L12" s="4">
        <f>'Table 2b (ACS) (Migr = HHs)'!E11</f>
        <v>5.1039338111877441E-2</v>
      </c>
      <c r="M12" s="4">
        <f>'Table 2b (ACS) (Migr = HHs)'!F11</f>
        <v>5.4776258766651154E-2</v>
      </c>
      <c r="N12" s="4">
        <f>'Table 2b (ACS) (Migr = HHs)'!G11</f>
        <v>4.8938725143671036E-2</v>
      </c>
    </row>
    <row xmlns:x14ac="http://schemas.microsoft.com/office/spreadsheetml/2009/9/ac" r="13" x14ac:dyDescent="0.25">
      <c r="A13" t="s">
        <v>41</v>
      </c>
      <c r="B13" s="4">
        <f>'Table 2a (IRS) (Migr = Returns)'!B12</f>
        <v>9.5909900963306427E-2</v>
      </c>
      <c r="C13" s="4">
        <f>'Table 2a (IRS) (Migr = Returns)'!C12</f>
        <v>0.10224657505750656</v>
      </c>
      <c r="E13" s="10" t="s">
        <v>52</v>
      </c>
      <c r="F13" s="11"/>
      <c r="G13" s="11"/>
      <c r="I13" s="4">
        <f>'Table 2a (IRS) (Migr = Returns)'!E12</f>
        <v>7.8719623386859894E-2</v>
      </c>
      <c r="J13" s="4">
        <f>'Table 2a (IRS) (Migr = Returns)'!F12</f>
        <v>7.9999998211860657E-2</v>
      </c>
      <c r="L13" s="10" t="s">
        <v>52</v>
      </c>
      <c r="M13" s="11"/>
      <c r="N13" s="11"/>
    </row>
    <row xmlns:x14ac="http://schemas.microsoft.com/office/spreadsheetml/2009/9/ac" r="14" x14ac:dyDescent="0.25">
      <c r="G14" s="6"/>
      <c r="I14" s="4"/>
      <c r="J14" s="4"/>
      <c r="L14" s="4"/>
      <c r="M14" s="4"/>
      <c r="N14" s="4"/>
    </row>
    <row xmlns:x14ac="http://schemas.microsoft.com/office/spreadsheetml/2009/9/ac" r="15" x14ac:dyDescent="0.25">
      <c r="A15" t="s">
        <v>42</v>
      </c>
      <c r="B15" s="4">
        <f>'Table 2a (IRS) (Migr = Returns)'!B14</f>
        <v>7.7107109129428864E-2</v>
      </c>
      <c r="C15" s="4">
        <f>'Table 2a (IRS) (Migr = Returns)'!C14</f>
        <v>7.7161580324172974E-2</v>
      </c>
      <c r="E15" s="4">
        <f>'Table 2b (ACS) (Migr = HHs)'!B14</f>
        <v>5.3952474147081375E-2</v>
      </c>
      <c r="F15" s="4">
        <f>'Table 2b (ACS) (Migr = HHs)'!C14</f>
        <v>4.9288969486951828E-2</v>
      </c>
      <c r="G15" s="4">
        <f>'Table 2b (ACS) (Migr = HHs)'!D14</f>
        <v>4.9160003662109375E-2</v>
      </c>
      <c r="I15" s="4">
        <f>'Table 2a (IRS) (Migr = Returns)'!E14</f>
        <v>6.6454246640205383E-2</v>
      </c>
      <c r="J15" s="4">
        <f>'Table 2a (IRS) (Migr = Returns)'!F14</f>
        <v>7.1771502494812012E-2</v>
      </c>
      <c r="L15" s="4">
        <f>'Table 2b (ACS) (Migr = HHs)'!E14</f>
        <v>4.4097885489463806E-2</v>
      </c>
      <c r="M15" s="4">
        <f>'Table 2b (ACS) (Migr = HHs)'!F14</f>
        <v>4.9888614565134048E-2</v>
      </c>
      <c r="N15" s="4">
        <f>'Table 2b (ACS) (Migr = HHs)'!G14</f>
        <v>4.4156964868307114E-2</v>
      </c>
    </row>
    <row xmlns:x14ac="http://schemas.microsoft.com/office/spreadsheetml/2009/9/ac" r="16" x14ac:dyDescent="0.25">
      <c r="A16" t="s">
        <v>43</v>
      </c>
      <c r="B16" s="4">
        <f>'Table 2a (IRS) (Migr = Returns)'!B15</f>
        <v>7.3524676263332367E-2</v>
      </c>
      <c r="C16" s="4">
        <f>'Table 2a (IRS) (Migr = Returns)'!C15</f>
        <v>7.3518984019756317E-2</v>
      </c>
      <c r="E16" s="4">
        <f>'Table 2b (ACS) (Migr = HHs)'!B15</f>
        <v>5.8615777641534805E-2</v>
      </c>
      <c r="F16" s="4">
        <f>'Table 2b (ACS) (Migr = HHs)'!C15</f>
        <v>5.7540323585271835E-2</v>
      </c>
      <c r="G16" s="4">
        <f>'Table 2b (ACS) (Migr = HHs)'!D15</f>
        <v>5.564223974943161E-2</v>
      </c>
      <c r="I16" s="4">
        <f>'Table 2a (IRS) (Migr = Returns)'!E15</f>
        <v>6.6943518817424774E-2</v>
      </c>
      <c r="J16" s="4">
        <f>'Table 2a (IRS) (Migr = Returns)'!F15</f>
        <v>7.3303773999214172E-2</v>
      </c>
      <c r="L16" s="4">
        <f>'Table 2b (ACS) (Migr = HHs)'!E15</f>
        <v>5.2134677767753601E-2</v>
      </c>
      <c r="M16" s="4">
        <f>'Table 2b (ACS) (Migr = HHs)'!F15</f>
        <v>6.030721589922905E-2</v>
      </c>
      <c r="N16" s="4">
        <f>'Table 2b (ACS) (Migr = HHs)'!G15</f>
        <v>5.5787641555070877E-2</v>
      </c>
    </row>
    <row xmlns:x14ac="http://schemas.microsoft.com/office/spreadsheetml/2009/9/ac" r="19" x14ac:dyDescent="0.25">
      <c r="A19" s="9"/>
    </row>
    <row xmlns:x14ac="http://schemas.microsoft.com/office/spreadsheetml/2009/9/ac" r="20" x14ac:dyDescent="0.25">
      <c r="A20" s="7"/>
      <c r="C20" s="12"/>
      <c r="D20" s="12"/>
      <c r="E20" s="12"/>
      <c r="F20" s="7"/>
      <c r="G20" s="12"/>
      <c r="H20" s="12"/>
      <c r="I20" s="12"/>
    </row>
    <row xmlns:x14ac="http://schemas.microsoft.com/office/spreadsheetml/2009/9/ac" r="21" x14ac:dyDescent="0.25">
      <c r="A21" s="7"/>
      <c r="C21" s="7"/>
      <c r="D21" s="7"/>
      <c r="E21" s="7"/>
      <c r="F21" s="7"/>
      <c r="G21" s="7"/>
      <c r="H21" s="7"/>
      <c r="I21" s="7"/>
    </row>
    <row xmlns:x14ac="http://schemas.microsoft.com/office/spreadsheetml/2009/9/ac" r="22" x14ac:dyDescent="0.25">
      <c r="A22" s="7"/>
    </row>
    <row xmlns:x14ac="http://schemas.microsoft.com/office/spreadsheetml/2009/9/ac" r="23" x14ac:dyDescent="0.25">
      <c r="C23" s="4"/>
      <c r="D23" s="4"/>
      <c r="E23" s="4"/>
      <c r="G23" s="5"/>
      <c r="H23" s="5"/>
      <c r="I23" s="5"/>
    </row>
    <row xmlns:x14ac="http://schemas.microsoft.com/office/spreadsheetml/2009/9/ac" r="24" x14ac:dyDescent="0.25">
      <c r="G24" s="5"/>
    </row>
    <row xmlns:x14ac="http://schemas.microsoft.com/office/spreadsheetml/2009/9/ac" r="25" x14ac:dyDescent="0.25">
      <c r="C25" s="4"/>
      <c r="D25" s="4"/>
      <c r="E25" s="4"/>
      <c r="G25" s="5"/>
      <c r="H25" s="5"/>
      <c r="I25" s="5"/>
    </row>
    <row xmlns:x14ac="http://schemas.microsoft.com/office/spreadsheetml/2009/9/ac" r="26" x14ac:dyDescent="0.25">
      <c r="C26" s="4"/>
      <c r="D26" s="4"/>
      <c r="E26" s="4"/>
      <c r="G26" s="5"/>
      <c r="H26" s="5"/>
      <c r="I26" s="5"/>
    </row>
    <row xmlns:x14ac="http://schemas.microsoft.com/office/spreadsheetml/2009/9/ac" r="27" x14ac:dyDescent="0.25">
      <c r="C27" s="4"/>
      <c r="D27" s="4"/>
      <c r="E27" s="4"/>
      <c r="G27" s="5"/>
      <c r="H27" s="5"/>
      <c r="I27" s="5"/>
    </row>
    <row xmlns:x14ac="http://schemas.microsoft.com/office/spreadsheetml/2009/9/ac" r="28" x14ac:dyDescent="0.25">
      <c r="C28" s="4"/>
      <c r="D28" s="10"/>
      <c r="E28" s="10"/>
      <c r="G28" s="5"/>
      <c r="H28" s="10"/>
      <c r="I28" s="10"/>
    </row>
    <row xmlns:x14ac="http://schemas.microsoft.com/office/spreadsheetml/2009/9/ac" r="29" x14ac:dyDescent="0.25">
      <c r="C29" s="4"/>
      <c r="D29" s="10"/>
      <c r="E29" s="10"/>
      <c r="G29" s="5"/>
      <c r="H29" s="10"/>
      <c r="I29" s="10"/>
    </row>
    <row xmlns:x14ac="http://schemas.microsoft.com/office/spreadsheetml/2009/9/ac" r="30" x14ac:dyDescent="0.25">
      <c r="C30" s="4"/>
      <c r="D30" s="4"/>
      <c r="E30" s="4"/>
      <c r="G30" s="5"/>
    </row>
    <row xmlns:x14ac="http://schemas.microsoft.com/office/spreadsheetml/2009/9/ac" r="31" x14ac:dyDescent="0.25">
      <c r="C31" s="4"/>
      <c r="D31" s="4"/>
      <c r="E31" s="4"/>
      <c r="G31" s="5"/>
      <c r="H31" s="5"/>
      <c r="I31" s="5"/>
    </row>
    <row xmlns:x14ac="http://schemas.microsoft.com/office/spreadsheetml/2009/9/ac" r="32" x14ac:dyDescent="0.25">
      <c r="C32" s="4"/>
      <c r="D32" s="10"/>
      <c r="E32" s="10"/>
      <c r="G32" s="5"/>
      <c r="H32" s="10"/>
      <c r="I32" s="10"/>
    </row>
    <row xmlns:x14ac="http://schemas.microsoft.com/office/spreadsheetml/2009/9/ac" r="33" x14ac:dyDescent="0.25">
      <c r="C33" s="4"/>
      <c r="D33" s="4"/>
      <c r="E33" s="4"/>
      <c r="G33" s="5"/>
    </row>
    <row xmlns:x14ac="http://schemas.microsoft.com/office/spreadsheetml/2009/9/ac" r="34" x14ac:dyDescent="0.25">
      <c r="C34" s="4"/>
      <c r="D34" s="4"/>
      <c r="E34" s="4"/>
      <c r="G34" s="5"/>
      <c r="H34" s="5"/>
      <c r="I34" s="5"/>
    </row>
    <row xmlns:x14ac="http://schemas.microsoft.com/office/spreadsheetml/2009/9/ac" r="35" x14ac:dyDescent="0.25">
      <c r="C35" s="4"/>
      <c r="D35" s="4"/>
      <c r="E35" s="4"/>
      <c r="G35" s="5"/>
      <c r="H35" s="5"/>
      <c r="I35" s="5"/>
    </row>
  </sheetData>
  <mergeCells count="20">
    <mergeCell ref="D28:E28"/>
    <mergeCell ref="H28:I28"/>
    <mergeCell ref="D29:E29"/>
    <mergeCell ref="H29:I29"/>
    <mergeCell ref="D32:E32"/>
    <mergeCell ref="H32:I32"/>
    <mergeCell ref="E9:G9"/>
    <mergeCell ref="L9:N9"/>
    <mergeCell ref="E10:G10"/>
    <mergeCell ref="L10:N10"/>
    <mergeCell ref="E13:G13"/>
    <mergeCell ref="C20:E20"/>
    <mergeCell ref="G20:I20"/>
    <mergeCell ref="L13:N13"/>
    <mergeCell ref="B1:G1"/>
    <mergeCell ref="I1:N1"/>
    <mergeCell ref="B2:C2"/>
    <mergeCell ref="E2:G2"/>
    <mergeCell ref="I2:J2"/>
    <mergeCell ref="L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EC53B-99A0-4433-B7F2-5FB3FA503E7D}">
  <dimension ref="A1:M17"/>
  <sheetViews>
    <sheetView workbookViewId="0">
      <selection activeCell="O10" sqref="O10"/>
    </sheetView>
  </sheetViews>
  <sheetFormatPr xmlns:x14ac="http://schemas.microsoft.com/office/spreadsheetml/2009/9/ac" defaultRowHeight="15" x14ac:dyDescent="0.25"/>
  <cols>
    <col min="1" max="1" width="20.5703125" customWidth="true"/>
  </cols>
  <sheetData>
    <row xmlns:x14ac="http://schemas.microsoft.com/office/spreadsheetml/2009/9/ac" r="1" x14ac:dyDescent="0.25">
      <c r="A1" s="9" t="s">
        <v>58</v>
      </c>
    </row>
    <row xmlns:x14ac="http://schemas.microsoft.com/office/spreadsheetml/2009/9/ac" r="2" x14ac:dyDescent="0.25">
      <c r="A2" s="7" t="s">
        <v>59</v>
      </c>
      <c r="C2" s="12" t="s">
        <v>53</v>
      </c>
      <c r="D2" s="12"/>
      <c r="E2" s="12"/>
      <c r="F2" s="7"/>
      <c r="G2" s="12" t="s">
        <v>54</v>
      </c>
      <c r="H2" s="12"/>
      <c r="I2" s="12"/>
      <c r="J2" s="7"/>
      <c r="K2" s="12"/>
      <c r="L2" s="12"/>
      <c r="M2" s="12"/>
    </row>
    <row xmlns:x14ac="http://schemas.microsoft.com/office/spreadsheetml/2009/9/ac" r="3" x14ac:dyDescent="0.25">
      <c r="A3" s="7"/>
      <c r="C3" s="7" t="s">
        <v>55</v>
      </c>
      <c r="D3" s="7" t="s">
        <v>56</v>
      </c>
      <c r="E3" s="7" t="s">
        <v>57</v>
      </c>
      <c r="F3" s="7"/>
      <c r="G3" s="7" t="s">
        <v>55</v>
      </c>
      <c r="H3" s="7" t="s">
        <v>56</v>
      </c>
      <c r="I3" s="7" t="s">
        <v>57</v>
      </c>
      <c r="J3" s="7"/>
      <c r="K3" s="7"/>
      <c r="L3" s="7"/>
      <c r="M3" s="7"/>
    </row>
    <row xmlns:x14ac="http://schemas.microsoft.com/office/spreadsheetml/2009/9/ac" r="4" x14ac:dyDescent="0.25">
      <c r="A4" s="7" t="s">
        <v>28</v>
      </c>
    </row>
    <row xmlns:x14ac="http://schemas.microsoft.com/office/spreadsheetml/2009/9/ac" r="5" x14ac:dyDescent="0.25">
      <c r="A5" t="s">
        <v>33</v>
      </c>
      <c r="C5" s="4">
        <f>'Table 2a (IRS) (Migr=AGI)'!H3</f>
        <v>-2.9802821576595306E-2</v>
      </c>
      <c r="D5" s="4">
        <f>'Table 2b (ACS) (Migr = income)'!H3</f>
        <v>-3.1613726168870926E-2</v>
      </c>
      <c r="E5" s="4">
        <f>'Table 2b (ACS) (Migr = income)'!I3</f>
        <v>-3.1823154538869858E-2</v>
      </c>
      <c r="G5" s="5">
        <f>'Table 2a (IRS) (Migr = Returns)'!H3</f>
        <v>-1.4366567134857178E-2</v>
      </c>
      <c r="H5" s="5">
        <f>'Table 2b (ACS) (Migr = HHs)'!H3</f>
        <v>-1.9806899130344391E-2</v>
      </c>
      <c r="I5" s="5">
        <f>'Table 2b (ACS) (Migr = HHs)'!I3</f>
        <v>-1.3857901096343994E-2</v>
      </c>
      <c r="K5" s="6"/>
    </row>
    <row xmlns:x14ac="http://schemas.microsoft.com/office/spreadsheetml/2009/9/ac" r="6" x14ac:dyDescent="0.25">
      <c r="A6" t="s">
        <v>34</v>
      </c>
      <c r="G6" s="5"/>
    </row>
    <row xmlns:x14ac="http://schemas.microsoft.com/office/spreadsheetml/2009/9/ac" r="7" x14ac:dyDescent="0.25">
      <c r="A7" t="s">
        <v>2</v>
      </c>
      <c r="C7" s="4">
        <f>'Table 2a (IRS) (Migr=AGI)'!H5</f>
        <v>-1.3696908950805664E-2</v>
      </c>
      <c r="D7" s="4">
        <f>'Table 2b (ACS) (Migr = income)'!H5</f>
        <v>-1.3615384697914124E-2</v>
      </c>
      <c r="E7" s="4">
        <f>'Table 2b (ACS) (Migr = income)'!I5</f>
        <v>-3.7116482853889465E-3</v>
      </c>
      <c r="G7" s="5">
        <f>'Table 2a (IRS) (Migr = Returns)'!H5</f>
        <v>-7.083602249622345E-3</v>
      </c>
      <c r="H7" s="5">
        <f>'Table 2b (ACS) (Migr = HHs)'!H5</f>
        <v>-7.2969719767570496E-3</v>
      </c>
      <c r="I7" s="5">
        <f>'Table 2b (ACS) (Migr = HHs)'!I5</f>
        <v>-8.8994503021240234E-3</v>
      </c>
    </row>
    <row xmlns:x14ac="http://schemas.microsoft.com/office/spreadsheetml/2009/9/ac" r="8" x14ac:dyDescent="0.25">
      <c r="A8" t="s">
        <v>35</v>
      </c>
      <c r="C8" s="4">
        <f>'Table 2a (IRS) (Migr=AGI)'!H6</f>
        <v>7.1786977350711823E-3</v>
      </c>
      <c r="D8" s="4">
        <f>'Table 2b (ACS) (Migr = income)'!H6</f>
        <v>1.6486495733261108E-3</v>
      </c>
      <c r="E8" s="4">
        <f>'Table 2b (ACS) (Migr = income)'!I6</f>
        <v>4.8517361283302307E-3</v>
      </c>
      <c r="G8" s="5">
        <f>'Table 2a (IRS) (Migr = Returns)'!H6</f>
        <v>-5.003906786441803E-3</v>
      </c>
      <c r="H8" s="5">
        <f>'Table 2b (ACS) (Migr = HHs)'!H6</f>
        <v>3.9174780249595642E-4</v>
      </c>
      <c r="I8" s="5">
        <f>'Table 2b (ACS) (Migr = HHs)'!I6</f>
        <v>-2.7064234018325806E-5</v>
      </c>
    </row>
    <row xmlns:x14ac="http://schemas.microsoft.com/office/spreadsheetml/2009/9/ac" r="9" x14ac:dyDescent="0.25">
      <c r="A9" t="s">
        <v>36</v>
      </c>
      <c r="C9" s="4">
        <f>'Table 2a (IRS) (Migr=AGI)'!H7</f>
        <v>5.4925680160522461E-4</v>
      </c>
      <c r="D9" s="4">
        <f>'Table 2b (ACS) (Migr = income)'!H7</f>
        <v>2.2923834621906281E-3</v>
      </c>
      <c r="E9" s="4">
        <f>'Table 2b (ACS) (Migr = income)'!I7</f>
        <v>-6.5672248601913452E-3</v>
      </c>
      <c r="G9" s="5">
        <f>'Table 2a (IRS) (Migr = Returns)'!H7</f>
        <v>-5.5072642862796783E-3</v>
      </c>
      <c r="H9" s="5">
        <f>'Table 2b (ACS) (Migr = HHs)'!H7</f>
        <v>1.5287436544895172E-3</v>
      </c>
      <c r="I9" s="5">
        <f>'Table 2b (ACS) (Migr = HHs)'!I7</f>
        <v>-3.7825144827365875E-3</v>
      </c>
    </row>
    <row xmlns:x14ac="http://schemas.microsoft.com/office/spreadsheetml/2009/9/ac" r="10" x14ac:dyDescent="0.25">
      <c r="A10" t="s">
        <v>37</v>
      </c>
      <c r="C10" s="4">
        <f>'Table 2a (IRS) (Migr=AGI)'!H8</f>
        <v>-8.8895261287689209E-3</v>
      </c>
      <c r="D10" s="10" t="s">
        <v>52</v>
      </c>
      <c r="E10" s="10"/>
      <c r="G10" s="5">
        <f>'Table 2a (IRS) (Migr = Returns)'!H8</f>
        <v>-2.4235993623733521E-3</v>
      </c>
      <c r="H10" s="10" t="s">
        <v>52</v>
      </c>
      <c r="I10" s="10"/>
    </row>
    <row xmlns:x14ac="http://schemas.microsoft.com/office/spreadsheetml/2009/9/ac" r="11" x14ac:dyDescent="0.25">
      <c r="A11" t="s">
        <v>38</v>
      </c>
      <c r="C11" s="4">
        <f>'Table 2a (IRS) (Migr=AGI)'!H9</f>
        <v>-3.3116824924945831E-3</v>
      </c>
      <c r="D11" s="10" t="s">
        <v>52</v>
      </c>
      <c r="E11" s="10"/>
      <c r="G11" s="5">
        <f>'Table 2a (IRS) (Migr = Returns)'!H9</f>
        <v>-4.0708482265472412E-3</v>
      </c>
      <c r="H11" s="10" t="s">
        <v>52</v>
      </c>
      <c r="I11" s="10"/>
    </row>
    <row xmlns:x14ac="http://schemas.microsoft.com/office/spreadsheetml/2009/9/ac" r="12" x14ac:dyDescent="0.25">
      <c r="A12" t="s">
        <v>39</v>
      </c>
      <c r="C12" s="4"/>
      <c r="D12" s="4"/>
      <c r="E12" s="4"/>
      <c r="G12" s="5"/>
    </row>
    <row xmlns:x14ac="http://schemas.microsoft.com/office/spreadsheetml/2009/9/ac" r="13" x14ac:dyDescent="0.25">
      <c r="A13" t="s">
        <v>40</v>
      </c>
      <c r="C13" s="4">
        <f>'Table 2a (IRS) (Migr=AGI)'!H11</f>
        <v>6.5223276615142822E-3</v>
      </c>
      <c r="D13" s="4">
        <f>'Table 2b (ACS) (Migr = income)'!H11</f>
        <v>2.1979928016662598E-2</v>
      </c>
      <c r="E13" s="4">
        <f>'Table 2b (ACS) (Migr = income)'!I11</f>
        <v>1.9411269575357437E-2</v>
      </c>
      <c r="G13" s="5">
        <f>'Table 2a (IRS) (Migr = Returns)'!H11</f>
        <v>-1.8082708120346069E-3</v>
      </c>
      <c r="H13" s="5">
        <f>'Table 2b (ACS) (Migr = HHs)'!H11</f>
        <v>1.0204177349805832E-2</v>
      </c>
      <c r="I13" s="5">
        <f>'Table 2b (ACS) (Migr = HHs)'!I11</f>
        <v>9.4592086970806122E-3</v>
      </c>
    </row>
    <row xmlns:x14ac="http://schemas.microsoft.com/office/spreadsheetml/2009/9/ac" r="14" x14ac:dyDescent="0.25">
      <c r="A14" t="s">
        <v>41</v>
      </c>
      <c r="C14" s="4">
        <f>'Table 2a (IRS) (Migr=AGI)'!H12</f>
        <v>2.3458525538444519E-3</v>
      </c>
      <c r="D14" s="10" t="s">
        <v>52</v>
      </c>
      <c r="E14" s="10"/>
      <c r="G14" s="5">
        <f>'Table 2a (IRS) (Migr = Returns)'!H12</f>
        <v>5.0562992691993713E-3</v>
      </c>
      <c r="H14" s="10" t="s">
        <v>52</v>
      </c>
      <c r="I14" s="10"/>
    </row>
    <row xmlns:x14ac="http://schemas.microsoft.com/office/spreadsheetml/2009/9/ac" r="15" x14ac:dyDescent="0.25">
      <c r="C15" s="4"/>
      <c r="D15" s="4"/>
      <c r="E15" s="4"/>
      <c r="G15" s="5"/>
    </row>
    <row xmlns:x14ac="http://schemas.microsoft.com/office/spreadsheetml/2009/9/ac" r="16" x14ac:dyDescent="0.25">
      <c r="A16" t="s">
        <v>42</v>
      </c>
      <c r="C16" s="4">
        <f>'Table 2a (IRS) (Migr=AGI)'!H14</f>
        <v>-5.0303712487220764E-4</v>
      </c>
      <c r="D16" s="4">
        <f>'Table 2b (ACS) (Migr = income)'!H14</f>
        <v>-1.7250202596187592E-2</v>
      </c>
      <c r="E16" s="4">
        <f>'Table 2b (ACS) (Migr = income)'!I14</f>
        <v>-9.1416090726852417E-3</v>
      </c>
      <c r="G16" s="5">
        <f>'Table 2a (IRS) (Migr = Returns)'!H14</f>
        <v>-5.2627846598625183E-3</v>
      </c>
      <c r="H16" s="5">
        <f>'Table 2b (ACS) (Migr = HHs)'!H14</f>
        <v>-1.0454233735799789E-2</v>
      </c>
      <c r="I16" s="5">
        <f>'Table 2b (ACS) (Migr = HHs)'!I14</f>
        <v>-4.8515498638153076E-3</v>
      </c>
      <c r="K16" s="6"/>
    </row>
    <row xmlns:x14ac="http://schemas.microsoft.com/office/spreadsheetml/2009/9/ac" r="17" x14ac:dyDescent="0.25">
      <c r="A17" t="s">
        <v>43</v>
      </c>
      <c r="C17" s="4">
        <f>'Table 2a (IRS) (Migr=AGI)'!H15</f>
        <v>-7.6572075486183167E-3</v>
      </c>
      <c r="D17" s="4">
        <f>'Table 2b (ACS) (Migr = income)'!H15</f>
        <v>-1.1227253824472427E-2</v>
      </c>
      <c r="E17" s="4">
        <f>'Table 2b (ACS) (Migr = income)'!I15</f>
        <v>-8.951094001531601E-3</v>
      </c>
      <c r="G17" s="5">
        <f>'Table 2a (IRS) (Migr = Returns)'!H15</f>
        <v>-6.365947425365448E-3</v>
      </c>
      <c r="H17" s="5">
        <f>'Table 2b (ACS) (Migr = HHs)'!H15</f>
        <v>-9.2479921877384186E-3</v>
      </c>
      <c r="I17" s="5">
        <f>'Table 2b (ACS) (Migr = HHs)'!I15</f>
        <v>-6.6265016794204712E-3</v>
      </c>
    </row>
  </sheetData>
  <mergeCells count="9">
    <mergeCell ref="C2:E2"/>
    <mergeCell ref="G2:I2"/>
    <mergeCell ref="K2:M2"/>
    <mergeCell ref="D14:E14"/>
    <mergeCell ref="D10:E10"/>
    <mergeCell ref="D11:E11"/>
    <mergeCell ref="H10:I10"/>
    <mergeCell ref="H11:I11"/>
    <mergeCell ref="H14:I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selection activeCell="D1" sqref="D1:I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3</v>
      </c>
      <c r="C1" t="s">
        <v>12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</row>
    <row r="2">
      <c r="A2" t="s">
        <v>1</v>
      </c>
      <c r="B2" t="s">
        <v>4</v>
      </c>
      <c r="C2" t="s">
        <v>20</v>
      </c>
      <c r="D2" s="1">
        <v>0.086629293859004974</v>
      </c>
      <c r="E2" s="1">
        <v>0.088014185428619385</v>
      </c>
      <c r="F2" s="1">
        <v>0.073985382914543152</v>
      </c>
      <c r="G2" s="1">
        <v>0.075574591755867004</v>
      </c>
      <c r="H2" s="1">
        <v>0.067215822637081146</v>
      </c>
      <c r="I2" s="1">
        <v>0.081016130745410919</v>
      </c>
    </row>
    <row r="3">
      <c r="A3" t="s">
        <v>1</v>
      </c>
      <c r="B3" t="s">
        <v>4</v>
      </c>
      <c r="C3" t="s">
        <v>13</v>
      </c>
      <c r="D3" s="1">
        <v>0.081532232463359833</v>
      </c>
      <c r="E3" s="1">
        <v>0.087921030819416046</v>
      </c>
      <c r="F3" s="1">
        <v>0.067221365869045258</v>
      </c>
      <c r="G3" s="1">
        <v>0.074698098003864288</v>
      </c>
      <c r="H3" s="1">
        <v>0.058235693722963333</v>
      </c>
      <c r="I3" s="1">
        <v>0.064857304096221924</v>
      </c>
    </row>
    <row r="4">
      <c r="A4" t="s">
        <v>1</v>
      </c>
      <c r="B4" t="s">
        <v>5</v>
      </c>
      <c r="C4" t="s">
        <v>20</v>
      </c>
      <c r="D4" s="1">
        <v>0.072237491607666016</v>
      </c>
      <c r="E4" s="1">
        <v>0.080506063997745514</v>
      </c>
      <c r="F4" s="1">
        <v>0.064522705972194672</v>
      </c>
      <c r="G4" s="1">
        <v>0.073486529290676117</v>
      </c>
      <c r="H4" s="1">
        <v>0.059354282915592194</v>
      </c>
      <c r="I4" s="1">
        <v>0.066666498780250549</v>
      </c>
    </row>
    <row r="5">
      <c r="A5" t="s">
        <v>1</v>
      </c>
      <c r="B5" t="s">
        <v>5</v>
      </c>
      <c r="C5" t="s">
        <v>13</v>
      </c>
      <c r="D5" s="1">
        <v>0.065852485597133636</v>
      </c>
      <c r="E5" s="1">
        <v>0.078191906213760376</v>
      </c>
      <c r="F5" s="1">
        <v>0.059850100427865982</v>
      </c>
      <c r="G5" s="1">
        <v>0.069575287401676178</v>
      </c>
      <c r="H5" s="1">
        <v>0.052635479718446732</v>
      </c>
      <c r="I5" s="1">
        <v>0.06325937807559967</v>
      </c>
    </row>
    <row r="6">
      <c r="A6" t="s">
        <v>1</v>
      </c>
      <c r="B6" t="s">
        <v>6</v>
      </c>
      <c r="C6" t="s">
        <v>20</v>
      </c>
      <c r="D6" s="1">
        <v>0.067704752087593079</v>
      </c>
      <c r="E6" s="1">
        <v>0.068800784647464752</v>
      </c>
      <c r="F6" s="1">
        <v>0.058075003325939178</v>
      </c>
      <c r="G6" s="1">
        <v>0.056241076439619064</v>
      </c>
      <c r="H6" s="1">
        <v>0.054442763328552246</v>
      </c>
      <c r="I6" s="1">
        <v>0.053673293441534042</v>
      </c>
    </row>
    <row r="7">
      <c r="A7" t="s">
        <v>1</v>
      </c>
      <c r="B7" t="s">
        <v>6</v>
      </c>
      <c r="C7" t="s">
        <v>13</v>
      </c>
      <c r="D7" s="1">
        <v>0.060768041759729385</v>
      </c>
      <c r="E7" s="1">
        <v>0.067371338605880737</v>
      </c>
      <c r="F7" s="1">
        <v>0.051399365067481995</v>
      </c>
      <c r="G7" s="1">
        <v>0.056492134928703308</v>
      </c>
      <c r="H7" s="1">
        <v>0.052986618131399155</v>
      </c>
      <c r="I7" s="1">
        <v>0.051667891442775726</v>
      </c>
    </row>
    <row r="8">
      <c r="A8" t="s">
        <v>1</v>
      </c>
      <c r="B8" t="s">
        <v>48</v>
      </c>
      <c r="C8" t="s">
        <v>20</v>
      </c>
      <c r="D8" s="1">
        <v>0.096729584038257599</v>
      </c>
      <c r="E8" s="1">
        <v>0.08497629314661026</v>
      </c>
      <c r="F8" s="1">
        <v>0.086240604519844055</v>
      </c>
      <c r="G8" s="1">
        <v>0.067156009376049042</v>
      </c>
      <c r="H8" s="1">
        <v>0.096766941249370575</v>
      </c>
      <c r="I8" s="1">
        <v>0.06274983286857605</v>
      </c>
    </row>
    <row r="9">
      <c r="A9" t="s">
        <v>1</v>
      </c>
      <c r="B9" t="s">
        <v>48</v>
      </c>
      <c r="C9" t="s">
        <v>13</v>
      </c>
      <c r="D9" s="1">
        <v>0.085019595921039581</v>
      </c>
      <c r="E9" s="1">
        <v>0.08763287216424942</v>
      </c>
      <c r="F9" s="1">
        <v>0.073795154690742493</v>
      </c>
      <c r="G9" s="1">
        <v>0.069099433720111847</v>
      </c>
      <c r="H9" s="1">
        <v>0.07006537914276123</v>
      </c>
      <c r="I9" s="1">
        <v>0.065851092338562012</v>
      </c>
    </row>
    <row r="10">
      <c r="A10" t="s">
        <v>1</v>
      </c>
      <c r="B10" t="s">
        <v>7</v>
      </c>
      <c r="C10" t="s">
        <v>20</v>
      </c>
      <c r="D10" s="1">
        <v>0.071771502494812012</v>
      </c>
      <c r="E10" s="1">
        <v>0.077161580324172974</v>
      </c>
      <c r="F10" s="1">
        <v>0.062606662511825562</v>
      </c>
      <c r="G10" s="1">
        <v>0.067443951964378357</v>
      </c>
      <c r="H10" s="1">
        <v>0.060106795281171799</v>
      </c>
      <c r="I10" s="1">
        <v>0.076302647590637207</v>
      </c>
    </row>
    <row r="11">
      <c r="A11" t="s">
        <v>1</v>
      </c>
      <c r="B11" t="s">
        <v>7</v>
      </c>
      <c r="C11" t="s">
        <v>13</v>
      </c>
      <c r="D11" s="1">
        <v>0.066454246640205383</v>
      </c>
      <c r="E11" s="1">
        <v>0.077107109129428864</v>
      </c>
      <c r="F11" s="1">
        <v>0.057037819176912308</v>
      </c>
      <c r="G11" s="1">
        <v>0.067771337926387787</v>
      </c>
      <c r="H11" s="1">
        <v>0.050893060863018036</v>
      </c>
      <c r="I11" s="1">
        <v>0.067591950297355652</v>
      </c>
    </row>
    <row r="12">
      <c r="A12" t="s">
        <v>1</v>
      </c>
      <c r="B12" t="s">
        <v>8</v>
      </c>
      <c r="C12" t="s">
        <v>20</v>
      </c>
      <c r="D12" s="1">
        <v>0.084944598376750946</v>
      </c>
      <c r="E12" s="1">
        <v>0.080988436937332153</v>
      </c>
      <c r="F12" s="1">
        <v>0.072338446974754333</v>
      </c>
      <c r="G12" s="1">
        <v>0.0639185830950737</v>
      </c>
      <c r="H12" s="1">
        <v>0.075108356773853302</v>
      </c>
      <c r="I12" s="1">
        <v>0.060554653406143189</v>
      </c>
    </row>
    <row r="13">
      <c r="A13" t="s">
        <v>1</v>
      </c>
      <c r="B13" t="s">
        <v>8</v>
      </c>
      <c r="C13" t="s">
        <v>13</v>
      </c>
      <c r="D13" s="1">
        <v>0.080126367509365082</v>
      </c>
      <c r="E13" s="1">
        <v>0.083253808319568634</v>
      </c>
      <c r="F13" s="1">
        <v>0.065562218427658081</v>
      </c>
      <c r="G13" s="1">
        <v>0.065047271549701691</v>
      </c>
      <c r="H13" s="1">
        <v>0.061024479568004608</v>
      </c>
      <c r="I13" s="1">
        <v>0.060167685151100159</v>
      </c>
    </row>
    <row r="14">
      <c r="A14" t="s">
        <v>1</v>
      </c>
      <c r="B14" t="s">
        <v>9</v>
      </c>
      <c r="C14" t="s">
        <v>20</v>
      </c>
      <c r="D14" s="1">
        <v>0.076071277260780335</v>
      </c>
      <c r="E14" s="1">
        <v>0.080935738980770111</v>
      </c>
      <c r="F14" s="1">
        <v>0.066357851028442383</v>
      </c>
      <c r="G14" s="1">
        <v>0.069757610559463501</v>
      </c>
      <c r="H14" s="1">
        <v>0.068064190447330475</v>
      </c>
      <c r="I14" s="1">
        <v>0.072722166776657104</v>
      </c>
    </row>
    <row r="15">
      <c r="A15" t="s">
        <v>1</v>
      </c>
      <c r="B15" t="s">
        <v>9</v>
      </c>
      <c r="C15" t="s">
        <v>13</v>
      </c>
      <c r="D15" s="1">
        <v>0.071175716817378998</v>
      </c>
      <c r="E15" s="1">
        <v>0.078463777899742127</v>
      </c>
      <c r="F15" s="1">
        <v>0.058435861021280289</v>
      </c>
      <c r="G15" s="1">
        <v>0.066548466682434082</v>
      </c>
      <c r="H15" s="1">
        <v>0.05266648530960083</v>
      </c>
      <c r="I15" s="1">
        <v>0.066213987767696381</v>
      </c>
    </row>
    <row r="16">
      <c r="A16" t="s">
        <v>2</v>
      </c>
      <c r="B16" t="s">
        <v>10</v>
      </c>
      <c r="C16" t="s">
        <v>20</v>
      </c>
      <c r="D16" s="1">
        <v>0.065936900675296783</v>
      </c>
      <c r="E16" s="1">
        <v>0.07879175990819931</v>
      </c>
      <c r="F16" s="1">
        <v>0.059424165636301041</v>
      </c>
      <c r="G16" s="1">
        <v>0.065853461623191834</v>
      </c>
      <c r="H16" s="1">
        <v>0.058515794575214386</v>
      </c>
      <c r="I16" s="1">
        <v>0.077620796859264374</v>
      </c>
    </row>
    <row r="17">
      <c r="A17" t="s">
        <v>2</v>
      </c>
      <c r="B17" t="s">
        <v>10</v>
      </c>
      <c r="C17" t="s">
        <v>13</v>
      </c>
      <c r="D17" s="1">
        <v>0.060066677629947662</v>
      </c>
      <c r="E17" s="1">
        <v>0.074729807674884796</v>
      </c>
      <c r="F17" s="1">
        <v>0.051649007946252823</v>
      </c>
      <c r="G17" s="1">
        <v>0.063189737498760223</v>
      </c>
      <c r="H17" s="1">
        <v>0.047169208526611328</v>
      </c>
      <c r="I17" s="1">
        <v>0.059751883149147034</v>
      </c>
    </row>
    <row r="18">
      <c r="A18" t="s">
        <v>2</v>
      </c>
      <c r="B18" t="s">
        <v>7</v>
      </c>
      <c r="C18" t="s">
        <v>20</v>
      </c>
      <c r="D18" s="1">
        <v>0.073303773999214172</v>
      </c>
      <c r="E18" s="1">
        <v>0.073518984019756317</v>
      </c>
      <c r="F18" s="1">
        <v>0.065997079014778137</v>
      </c>
      <c r="G18" s="1">
        <v>0.062627837061882019</v>
      </c>
      <c r="H18" s="1">
        <v>0.06009707972407341</v>
      </c>
      <c r="I18" s="1">
        <v>0.056753363460302353</v>
      </c>
    </row>
    <row r="19">
      <c r="A19" t="s">
        <v>2</v>
      </c>
      <c r="B19" t="s">
        <v>7</v>
      </c>
      <c r="C19" t="s">
        <v>13</v>
      </c>
      <c r="D19" s="1">
        <v>0.066943518817424774</v>
      </c>
      <c r="E19" s="1">
        <v>0.073524676263332367</v>
      </c>
      <c r="F19" s="1">
        <v>0.058979485183954239</v>
      </c>
      <c r="G19" s="1">
        <v>0.063168913125991821</v>
      </c>
      <c r="H19" s="1">
        <v>0.048897575587034226</v>
      </c>
      <c r="I19" s="1">
        <v>0.053211066871881485</v>
      </c>
    </row>
    <row r="20">
      <c r="A20" t="s">
        <v>2</v>
      </c>
      <c r="B20" t="s">
        <v>11</v>
      </c>
      <c r="C20" t="s">
        <v>20</v>
      </c>
      <c r="D20" s="1">
        <v>0.079999998211860657</v>
      </c>
      <c r="E20" s="1">
        <v>0.10224657505750656</v>
      </c>
      <c r="F20" s="1">
        <v>0.068683475255966187</v>
      </c>
      <c r="G20" s="1">
        <v>0.094621852040290833</v>
      </c>
      <c r="H20" s="1">
        <v>0.06007617712020874</v>
      </c>
      <c r="I20" s="1">
        <v>0.091132178902626038</v>
      </c>
    </row>
    <row r="21">
      <c r="A21" t="s">
        <v>2</v>
      </c>
      <c r="B21" t="s">
        <v>11</v>
      </c>
      <c r="C21" t="s">
        <v>13</v>
      </c>
      <c r="D21" s="1">
        <v>0.078719623386859894</v>
      </c>
      <c r="E21" s="1">
        <v>0.095909900963306427</v>
      </c>
      <c r="F21" s="1">
        <v>0.068595185875892639</v>
      </c>
      <c r="G21" s="1">
        <v>0.085455283522605896</v>
      </c>
      <c r="H21" s="1">
        <v>0.056506790220737457</v>
      </c>
      <c r="I21" s="1">
        <v>0.085216939449310303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>
      <selection activeCell="H1" sqref="H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3</v>
      </c>
      <c r="C1" t="s">
        <v>12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</row>
    <row r="2">
      <c r="A2" t="s">
        <v>1</v>
      </c>
      <c r="B2" t="s">
        <v>4</v>
      </c>
      <c r="C2" t="s">
        <v>13</v>
      </c>
      <c r="D2" s="1">
        <v>0.05617465078830719</v>
      </c>
      <c r="E2" s="1">
        <v>0.057825334370136261</v>
      </c>
      <c r="F2" s="1">
        <v>0.048352934420108795</v>
      </c>
      <c r="G2" s="1">
        <v>0.051224928349256516</v>
      </c>
      <c r="H2" s="1">
        <v>0.044458888471126556</v>
      </c>
      <c r="I2" s="1">
        <v>0.058053623884916306</v>
      </c>
    </row>
    <row r="3">
      <c r="A3" t="s">
        <v>1</v>
      </c>
      <c r="B3" t="s">
        <v>4</v>
      </c>
      <c r="C3" t="s">
        <v>21</v>
      </c>
      <c r="D3" s="1">
        <v>0.05160946398973465</v>
      </c>
      <c r="E3" s="1">
        <v>0.057790115475654602</v>
      </c>
      <c r="F3" s="1">
        <v>0.041228320449590683</v>
      </c>
      <c r="G3" s="1">
        <v>0.05243450403213501</v>
      </c>
      <c r="H3" s="1">
        <v>0.051078867167234421</v>
      </c>
      <c r="I3" s="1">
        <v>0.064578674733638763</v>
      </c>
    </row>
    <row r="4">
      <c r="A4" t="s">
        <v>1</v>
      </c>
      <c r="B4" t="s">
        <v>4</v>
      </c>
      <c r="C4" t="s">
        <v>20</v>
      </c>
      <c r="D4" s="1">
        <v>0.061516165733337402</v>
      </c>
      <c r="E4" s="1">
        <v>0.069500997662544251</v>
      </c>
      <c r="F4" s="1">
        <v>0.048263438045978546</v>
      </c>
      <c r="G4" s="1">
        <v>0.061694487929344177</v>
      </c>
      <c r="H4" s="1">
        <v>0.059073105454444885</v>
      </c>
      <c r="I4" s="1">
        <v>0.073380261659622192</v>
      </c>
    </row>
    <row r="5">
      <c r="A5" t="s">
        <v>1</v>
      </c>
      <c r="B5" t="s">
        <v>6</v>
      </c>
      <c r="C5" t="s">
        <v>13</v>
      </c>
      <c r="D5" s="1">
        <v>0.042013496160507202</v>
      </c>
      <c r="E5" s="1">
        <v>0.038818981498479843</v>
      </c>
      <c r="F5" s="1">
        <v>0.039875678718090057</v>
      </c>
      <c r="G5" s="1">
        <v>0.027170538902282715</v>
      </c>
      <c r="H5" s="1">
        <v>0.042717762291431427</v>
      </c>
      <c r="I5" s="1">
        <v>0.045453578233718872</v>
      </c>
    </row>
    <row r="6">
      <c r="A6" t="s">
        <v>1</v>
      </c>
      <c r="B6" t="s">
        <v>6</v>
      </c>
      <c r="C6" t="s">
        <v>21</v>
      </c>
      <c r="D6" s="1">
        <v>0.043668478727340698</v>
      </c>
      <c r="E6" s="1">
        <v>0.040553078055381775</v>
      </c>
      <c r="F6" s="1">
        <v>0.034268669784069061</v>
      </c>
      <c r="G6" s="1">
        <v>0.034138523042201996</v>
      </c>
      <c r="H6" s="1">
        <v>0.046879116445779801</v>
      </c>
      <c r="I6" s="1">
        <v>0.041988909244537354</v>
      </c>
    </row>
    <row r="7">
      <c r="A7" t="s">
        <v>1</v>
      </c>
      <c r="B7" t="s">
        <v>6</v>
      </c>
      <c r="C7" t="s">
        <v>20</v>
      </c>
      <c r="D7" s="1">
        <v>0.041713923215866089</v>
      </c>
      <c r="E7" s="1">
        <v>0.040620841085910797</v>
      </c>
      <c r="F7" s="1">
        <v>0.034140396863222122</v>
      </c>
      <c r="G7" s="1">
        <v>0.036069039255380631</v>
      </c>
      <c r="H7" s="1">
        <v>0.043224930763244629</v>
      </c>
      <c r="I7" s="1">
        <v>0.045515932142734528</v>
      </c>
    </row>
    <row r="8">
      <c r="A8" t="s">
        <v>1</v>
      </c>
      <c r="B8" t="s">
        <v>48</v>
      </c>
      <c r="C8" t="s">
        <v>13</v>
      </c>
      <c r="D8" s="1">
        <v>0.05231596902012825</v>
      </c>
      <c r="E8" s="1">
        <v>0.0575077123939991</v>
      </c>
      <c r="F8" s="1">
        <v>0.049347363412380219</v>
      </c>
      <c r="G8" s="1">
        <v>0.051951088011264801</v>
      </c>
      <c r="H8" s="1">
        <v>0.054232250899076462</v>
      </c>
      <c r="I8" s="1">
        <v>0.060018967837095261</v>
      </c>
    </row>
    <row r="9">
      <c r="A9" t="s">
        <v>1</v>
      </c>
      <c r="B9" t="s">
        <v>48</v>
      </c>
      <c r="C9" t="s">
        <v>21</v>
      </c>
      <c r="D9" s="1">
        <v>0.066813893616199493</v>
      </c>
      <c r="E9" s="1">
        <v>0.057924751192331314</v>
      </c>
      <c r="F9" s="1">
        <v>0.062374264001846313</v>
      </c>
      <c r="G9" s="1">
        <v>0.047444775700569153</v>
      </c>
      <c r="H9" s="1">
        <v>0.078170418739318848</v>
      </c>
      <c r="I9" s="1">
        <v>0.052892241626977921</v>
      </c>
    </row>
    <row r="10">
      <c r="A10" t="s">
        <v>1</v>
      </c>
      <c r="B10" t="s">
        <v>48</v>
      </c>
      <c r="C10" t="s">
        <v>20</v>
      </c>
      <c r="D10" s="1">
        <v>0.078097611665725708</v>
      </c>
      <c r="E10" s="1">
        <v>0.06375441700220108</v>
      </c>
      <c r="F10" s="1">
        <v>0.072186104953289032</v>
      </c>
      <c r="G10" s="1">
        <v>0.048510834574699402</v>
      </c>
      <c r="H10" s="1">
        <v>0.08697471022605896</v>
      </c>
      <c r="I10" s="1">
        <v>0.059970732778310776</v>
      </c>
    </row>
    <row r="11">
      <c r="A11" t="s">
        <v>1</v>
      </c>
      <c r="B11" t="s">
        <v>7</v>
      </c>
      <c r="C11" t="s">
        <v>13</v>
      </c>
      <c r="D11" s="1">
        <v>0.039386335760354996</v>
      </c>
      <c r="E11" s="1">
        <v>0.047454960644245148</v>
      </c>
      <c r="F11" s="1">
        <v>0.037053413689136505</v>
      </c>
      <c r="G11" s="1">
        <v>0.042851705104112625</v>
      </c>
      <c r="H11" s="1">
        <v>0.042719796299934387</v>
      </c>
      <c r="I11" s="1">
        <v>0.055612068623304367</v>
      </c>
    </row>
    <row r="12">
      <c r="A12" t="s">
        <v>1</v>
      </c>
      <c r="B12" t="s">
        <v>7</v>
      </c>
      <c r="C12" t="s">
        <v>21</v>
      </c>
      <c r="D12" s="1">
        <v>0.039367526769638062</v>
      </c>
      <c r="E12" s="1">
        <v>0.04078688845038414</v>
      </c>
      <c r="F12" s="1">
        <v>0.036130271852016449</v>
      </c>
      <c r="G12" s="1">
        <v>0.036443993449211121</v>
      </c>
      <c r="H12" s="1">
        <v>0.047341573983430862</v>
      </c>
      <c r="I12" s="1">
        <v>0.05091317743062973</v>
      </c>
    </row>
    <row r="13">
      <c r="A13" t="s">
        <v>1</v>
      </c>
      <c r="B13" t="s">
        <v>7</v>
      </c>
      <c r="C13" t="s">
        <v>20</v>
      </c>
      <c r="D13" s="1">
        <v>0.045784421265125275</v>
      </c>
      <c r="E13" s="1">
        <v>0.039934225380420685</v>
      </c>
      <c r="F13" s="1">
        <v>0.041493140161037445</v>
      </c>
      <c r="G13" s="1">
        <v>0.035399135202169418</v>
      </c>
      <c r="H13" s="1">
        <v>0.056529216468334198</v>
      </c>
      <c r="I13" s="1">
        <v>0.051557201892137528</v>
      </c>
    </row>
    <row r="14">
      <c r="A14" t="s">
        <v>1</v>
      </c>
      <c r="B14" t="s">
        <v>8</v>
      </c>
      <c r="C14" t="s">
        <v>13</v>
      </c>
      <c r="D14" s="1">
        <v>0.052954886108636856</v>
      </c>
      <c r="E14" s="1">
        <v>0.053868982940912247</v>
      </c>
      <c r="F14" s="1">
        <v>0.049771510064601898</v>
      </c>
      <c r="G14" s="1">
        <v>0.044556263834238052</v>
      </c>
      <c r="H14" s="1">
        <v>0.051361732184886932</v>
      </c>
      <c r="I14" s="1">
        <v>0.049950111657381058</v>
      </c>
    </row>
    <row r="15">
      <c r="A15" t="s">
        <v>1</v>
      </c>
      <c r="B15" t="s">
        <v>8</v>
      </c>
      <c r="C15" t="s">
        <v>21</v>
      </c>
      <c r="D15" s="1">
        <v>0.059178154915571213</v>
      </c>
      <c r="E15" s="1">
        <v>0.056496087461709976</v>
      </c>
      <c r="F15" s="1">
        <v>0.052232503890991211</v>
      </c>
      <c r="G15" s="1">
        <v>0.044814392924308777</v>
      </c>
      <c r="H15" s="1">
        <v>0.054016690701246262</v>
      </c>
      <c r="I15" s="1">
        <v>0.052172701805830002</v>
      </c>
    </row>
    <row r="16">
      <c r="A16" t="s">
        <v>1</v>
      </c>
      <c r="B16" t="s">
        <v>8</v>
      </c>
      <c r="C16" t="s">
        <v>20</v>
      </c>
      <c r="D16" s="1">
        <v>0.070727154612541199</v>
      </c>
      <c r="E16" s="1">
        <v>0.064735077321529388</v>
      </c>
      <c r="F16" s="1">
        <v>0.064169019460678101</v>
      </c>
      <c r="G16" s="1">
        <v>0.049849245697259903</v>
      </c>
      <c r="H16" s="1">
        <v>0.068740174174308777</v>
      </c>
      <c r="I16" s="1">
        <v>0.056195486336946488</v>
      </c>
    </row>
    <row r="17">
      <c r="A17" t="s">
        <v>1</v>
      </c>
      <c r="B17" t="s">
        <v>9</v>
      </c>
      <c r="C17" t="s">
        <v>20</v>
      </c>
      <c r="D17" s="1">
        <v>0.040310077369213104</v>
      </c>
      <c r="E17" s="1">
        <v>0.067308209836483002</v>
      </c>
      <c r="F17" s="1">
        <v>0.034843768924474716</v>
      </c>
      <c r="G17" s="1">
        <v>0.070556610822677612</v>
      </c>
      <c r="H17" s="1">
        <v>0.067878447473049164</v>
      </c>
      <c r="I17" s="1">
        <v>0.098924554884433746</v>
      </c>
    </row>
    <row r="18">
      <c r="A18" t="s">
        <v>1</v>
      </c>
      <c r="B18" t="s">
        <v>9</v>
      </c>
      <c r="C18" t="s">
        <v>21</v>
      </c>
      <c r="D18" s="1">
        <v>0.041196983307600021</v>
      </c>
      <c r="E18" s="1">
        <v>0.059329647570848465</v>
      </c>
      <c r="F18" s="1">
        <v>0.03178974986076355</v>
      </c>
      <c r="G18" s="1">
        <v>0.050676636397838593</v>
      </c>
      <c r="H18" s="1">
        <v>0.046695537865161896</v>
      </c>
      <c r="I18" s="1">
        <v>0.071552000939846039</v>
      </c>
    </row>
    <row r="19">
      <c r="A19" t="s">
        <v>2</v>
      </c>
      <c r="B19" t="s">
        <v>10</v>
      </c>
      <c r="C19" t="s">
        <v>13</v>
      </c>
      <c r="D19" s="1">
        <v>0.044602975249290466</v>
      </c>
      <c r="E19" s="1">
        <v>0.047365710139274597</v>
      </c>
      <c r="F19" s="1">
        <v>0.036901488900184631</v>
      </c>
      <c r="G19" s="1">
        <v>0.041045889258384705</v>
      </c>
      <c r="H19" s="1">
        <v>0.044777132570743561</v>
      </c>
      <c r="I19" s="1">
        <v>0.051692120730876923</v>
      </c>
    </row>
    <row r="20">
      <c r="A20" t="s">
        <v>2</v>
      </c>
      <c r="B20" t="s">
        <v>10</v>
      </c>
      <c r="C20" t="s">
        <v>20</v>
      </c>
      <c r="D20" s="1">
        <v>0.047015395015478134</v>
      </c>
      <c r="E20" s="1">
        <v>0.061984565109014511</v>
      </c>
      <c r="F20" s="1">
        <v>0.04625726118683815</v>
      </c>
      <c r="G20" s="1">
        <v>0.057423654943704605</v>
      </c>
      <c r="H20" s="1">
        <v>0.050053652375936508</v>
      </c>
      <c r="I20" s="1">
        <v>0.082157902419567108</v>
      </c>
    </row>
    <row r="21">
      <c r="A21" t="s">
        <v>2</v>
      </c>
      <c r="B21" t="s">
        <v>10</v>
      </c>
      <c r="C21" t="s">
        <v>21</v>
      </c>
      <c r="D21" s="1">
        <v>0.04233773797750473</v>
      </c>
      <c r="E21" s="1">
        <v>0.054828748106956482</v>
      </c>
      <c r="F21" s="1">
        <v>0.039202205836772919</v>
      </c>
      <c r="G21" s="1">
        <v>0.049602121114730835</v>
      </c>
      <c r="H21" s="1">
        <v>0.043669760227203369</v>
      </c>
      <c r="I21" s="1">
        <v>0.072661422193050385</v>
      </c>
    </row>
    <row r="22">
      <c r="A22" t="s">
        <v>2</v>
      </c>
      <c r="B22" t="s">
        <v>7</v>
      </c>
      <c r="C22" t="s">
        <v>13</v>
      </c>
      <c r="D22" s="1">
        <v>0.047477968037128448</v>
      </c>
      <c r="E22" s="1">
        <v>0.051074277609586716</v>
      </c>
      <c r="F22" s="1">
        <v>0.043819610029459</v>
      </c>
      <c r="G22" s="1">
        <v>0.046039242297410965</v>
      </c>
      <c r="H22" s="1">
        <v>0.044349163770675659</v>
      </c>
      <c r="I22" s="1">
        <v>0.051638633012771607</v>
      </c>
    </row>
    <row r="23">
      <c r="A23" t="s">
        <v>2</v>
      </c>
      <c r="B23" t="s">
        <v>7</v>
      </c>
      <c r="C23" t="s">
        <v>21</v>
      </c>
      <c r="D23" s="1">
        <v>0.049226097762584686</v>
      </c>
      <c r="E23" s="1">
        <v>0.047770112752914429</v>
      </c>
      <c r="F23" s="1">
        <v>0.04465118795633316</v>
      </c>
      <c r="G23" s="1">
        <v>0.040601871907711029</v>
      </c>
      <c r="H23" s="1">
        <v>0.047669019550085068</v>
      </c>
      <c r="I23" s="1">
        <v>0.046178668737411499</v>
      </c>
    </row>
    <row r="24">
      <c r="A24" t="s">
        <v>2</v>
      </c>
      <c r="B24" t="s">
        <v>7</v>
      </c>
      <c r="C24" t="s">
        <v>20</v>
      </c>
      <c r="D24" s="1">
        <v>0.05383773148059845</v>
      </c>
      <c r="E24" s="1">
        <v>0.049614924937486649</v>
      </c>
      <c r="F24" s="1">
        <v>0.050557252019643784</v>
      </c>
      <c r="G24" s="1">
        <v>0.042925860732793808</v>
      </c>
      <c r="H24" s="1">
        <v>0.052826154977083206</v>
      </c>
      <c r="I24" s="1">
        <v>0.049093399196863174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1F3F-6F9B-452C-A26D-1655F47F071E}">
  <dimension ref="A1:M19"/>
  <sheetViews>
    <sheetView workbookViewId="0">
      <selection activeCell="H11" sqref="H11"/>
    </sheetView>
  </sheetViews>
  <sheetFormatPr xmlns:x14ac="http://schemas.microsoft.com/office/spreadsheetml/2009/9/ac" defaultRowHeight="15" x14ac:dyDescent="0.25"/>
  <cols>
    <col min="1" max="1" width="30.140625" bestFit="true" customWidth="true"/>
    <col min="5" max="6" width="11.7109375" bestFit="true" customWidth="true"/>
    <col min="8" max="8" width="16" customWidth="true"/>
    <col min="9" max="9" width="17.42578125" customWidth="true"/>
  </cols>
  <sheetData>
    <row xmlns:x14ac="http://schemas.microsoft.com/office/spreadsheetml/2009/9/ac" r="1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xmlns:x14ac="http://schemas.microsoft.com/office/spreadsheetml/2009/9/ac" r="2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xmlns:x14ac="http://schemas.microsoft.com/office/spreadsheetml/2009/9/ac" r="3" x14ac:dyDescent="0.25">
      <c r="A3" t="s">
        <v>33</v>
      </c>
      <c r="B3" s="4" cm="1">
        <f t="array" ref="B3">INDEX(raw_irs!$D$2:$I$21,MATCH(1,(raw_irs!$A$2:$A$21=$L3)*(raw_irs!$B$2:$B$21=$M3)*(raw_irs!$C$2:$C$21=B$17),0),MATCH(B$19,raw_irs!$D$1:$I$1,0))</f>
        <v>8.763287216424942E-2</v>
      </c>
      <c r="C3" s="4" cm="1">
        <f t="array" ref="C3">INDEX(raw_irs!$D$2:$I$21,MATCH(1,(raw_irs!$A$2:$A$21=$L3)*(raw_irs!$B$2:$B$21=$M3)*(raw_irs!$C$2:$C$21=C$17),0),MATCH(C$19,raw_irs!$D$1:$I$1,0))</f>
        <v>8.497629314661026E-2</v>
      </c>
      <c r="E3" s="4" cm="1">
        <f t="array" ref="E3">INDEX(raw_irs!$D$2:$I$21,MATCH(1,(raw_irs!$A$2:$A$21=$L3)*(raw_irs!$B$2:$B$21=$M3)*(raw_irs!$C$2:$C$21=E$17),0),MATCH(E$19,raw_irs!$D$1:$I$1,0))</f>
        <v>8.5019595921039581E-2</v>
      </c>
      <c r="F3" s="4" cm="1">
        <f t="array" ref="F3">INDEX(raw_irs!$D$2:$I$21,MATCH(1,(raw_irs!$A$2:$A$21=$L3)*(raw_irs!$B$2:$B$21=$M3)*(raw_irs!$C$2:$C$21=F$17),0),MATCH(F$19,raw_irs!$D$1:$I$1,0))</f>
        <v>9.6729584038257599E-2</v>
      </c>
      <c r="H3" s="5">
        <f>C3-F3-(B3-E3)</f>
        <v>-1.4366567134857178E-2</v>
      </c>
      <c r="I3" s="5"/>
      <c r="L3" t="s">
        <v>1</v>
      </c>
      <c r="M3" t="s">
        <v>48</v>
      </c>
    </row>
    <row xmlns:x14ac="http://schemas.microsoft.com/office/spreadsheetml/2009/9/ac" r="4" x14ac:dyDescent="0.25">
      <c r="A4" s="3" t="s">
        <v>34</v>
      </c>
      <c r="B4" s="4"/>
      <c r="C4" s="4"/>
      <c r="E4" s="4"/>
      <c r="F4" s="4"/>
    </row>
    <row xmlns:x14ac="http://schemas.microsoft.com/office/spreadsheetml/2009/9/ac" r="5" x14ac:dyDescent="0.25">
      <c r="A5" t="s">
        <v>2</v>
      </c>
      <c r="B5" s="4" cm="1">
        <f t="array" ref="B5">INDEX(raw_irs!$D$2:$I$21,MATCH(1,(raw_irs!$A$2:$A$21=$L5)*(raw_irs!$B$2:$B$21=$M5)*(raw_irs!$C$2:$C$21=B$17),0),MATCH(B$19,raw_irs!$D$1:$I$1,0))</f>
        <v>8.3253808319568634E-2</v>
      </c>
      <c r="C5" s="4" cm="1">
        <f t="array" ref="C5">INDEX(raw_irs!$D$2:$I$21,MATCH(1,(raw_irs!$A$2:$A$21=$L5)*(raw_irs!$B$2:$B$21=$M5)*(raw_irs!$C$2:$C$21=C$17),0),MATCH(C$19,raw_irs!$D$1:$I$1,0))</f>
        <v>8.0988436937332153E-2</v>
      </c>
      <c r="E5" s="4" cm="1">
        <f t="array" ref="E5">INDEX(raw_irs!$D$2:$I$21,MATCH(1,(raw_irs!$A$2:$A$21=$L5)*(raw_irs!$B$2:$B$21=$M5)*(raw_irs!$C$2:$C$21=E$17),0),MATCH(E$19,raw_irs!$D$1:$I$1,0))</f>
        <v>8.0126367509365082E-2</v>
      </c>
      <c r="F5" s="4" cm="1">
        <f t="array" ref="F5">INDEX(raw_irs!$D$2:$I$21,MATCH(1,(raw_irs!$A$2:$A$21=$L5)*(raw_irs!$B$2:$B$21=$M5)*(raw_irs!$C$2:$C$21=F$17),0),MATCH(F$19,raw_irs!$D$1:$I$1,0))</f>
        <v>8.4944598376750946E-2</v>
      </c>
      <c r="H5" s="5">
        <f>C5-F5-(B5-E5)</f>
        <v>-7.083602249622345E-3</v>
      </c>
      <c r="I5" s="5"/>
      <c r="L5" t="s">
        <v>1</v>
      </c>
      <c r="M5" t="s">
        <v>8</v>
      </c>
    </row>
    <row xmlns:x14ac="http://schemas.microsoft.com/office/spreadsheetml/2009/9/ac" r="6" x14ac:dyDescent="0.25">
      <c r="A6" t="s">
        <v>35</v>
      </c>
      <c r="B6" s="4" cm="1">
        <f t="array" ref="B6">INDEX(raw_irs!$D$2:$I$21,MATCH(1,(raw_irs!$A$2:$A$21=$L6)*(raw_irs!$B$2:$B$21=$M6)*(raw_irs!$C$2:$C$21=B$17),0),MATCH(B$19,raw_irs!$D$1:$I$1,0))</f>
        <v>8.7921030819416046E-2</v>
      </c>
      <c r="C6" s="4" cm="1">
        <f t="array" ref="C6">INDEX(raw_irs!$D$2:$I$21,MATCH(1,(raw_irs!$A$2:$A$21=$L6)*(raw_irs!$B$2:$B$21=$M6)*(raw_irs!$C$2:$C$21=C$17),0),MATCH(C$19,raw_irs!$D$1:$I$1,0))</f>
        <v>8.8014185428619385E-2</v>
      </c>
      <c r="E6" s="4" cm="1">
        <f t="array" ref="E6">INDEX(raw_irs!$D$2:$I$21,MATCH(1,(raw_irs!$A$2:$A$21=$L6)*(raw_irs!$B$2:$B$21=$M6)*(raw_irs!$C$2:$C$21=E$17),0),MATCH(E$19,raw_irs!$D$1:$I$1,0))</f>
        <v>8.1532232463359833E-2</v>
      </c>
      <c r="F6" s="4" cm="1">
        <f t="array" ref="F6">INDEX(raw_irs!$D$2:$I$21,MATCH(1,(raw_irs!$A$2:$A$21=$L6)*(raw_irs!$B$2:$B$21=$M6)*(raw_irs!$C$2:$C$21=F$17),0),MATCH(F$19,raw_irs!$D$1:$I$1,0))</f>
        <v>8.6629293859004974E-2</v>
      </c>
      <c r="H6" s="5">
        <f t="shared" ref="H6:H9" si="0">C6-F6-(B6-E6)</f>
        <v>-5.003906786441803E-3</v>
      </c>
      <c r="I6" s="5"/>
      <c r="L6" t="s">
        <v>1</v>
      </c>
      <c r="M6" t="s">
        <v>4</v>
      </c>
    </row>
    <row xmlns:x14ac="http://schemas.microsoft.com/office/spreadsheetml/2009/9/ac" r="7" x14ac:dyDescent="0.25">
      <c r="A7" t="s">
        <v>36</v>
      </c>
      <c r="B7" s="4" cm="1">
        <f t="array" ref="B7">INDEX(raw_irs!$D$2:$I$21,MATCH(1,(raw_irs!$A$2:$A$21=$L7)*(raw_irs!$B$2:$B$21=$M7)*(raw_irs!$C$2:$C$21=B$17),0),MATCH(B$19,raw_irs!$D$1:$I$1,0))</f>
        <v>6.7371338605880737E-2</v>
      </c>
      <c r="C7" s="4" cm="1">
        <f t="array" ref="C7">INDEX(raw_irs!$D$2:$I$21,MATCH(1,(raw_irs!$A$2:$A$21=$L7)*(raw_irs!$B$2:$B$21=$M7)*(raw_irs!$C$2:$C$21=C$17),0),MATCH(C$19,raw_irs!$D$1:$I$1,0))</f>
        <v>6.8800784647464752E-2</v>
      </c>
      <c r="E7" s="4" cm="1">
        <f t="array" ref="E7">INDEX(raw_irs!$D$2:$I$21,MATCH(1,(raw_irs!$A$2:$A$21=$L7)*(raw_irs!$B$2:$B$21=$M7)*(raw_irs!$C$2:$C$21=E$17),0),MATCH(E$19,raw_irs!$D$1:$I$1,0))</f>
        <v>6.0768041759729385E-2</v>
      </c>
      <c r="F7" s="4" cm="1">
        <f t="array" ref="F7">INDEX(raw_irs!$D$2:$I$21,MATCH(1,(raw_irs!$A$2:$A$21=$L7)*(raw_irs!$B$2:$B$21=$M7)*(raw_irs!$C$2:$C$21=F$17),0),MATCH(F$19,raw_irs!$D$1:$I$1,0))</f>
        <v>6.7704752087593079E-2</v>
      </c>
      <c r="H7" s="5">
        <f t="shared" si="0"/>
        <v>-5.5072642862796783E-3</v>
      </c>
      <c r="I7" s="5"/>
      <c r="L7" t="s">
        <v>1</v>
      </c>
      <c r="M7" t="s">
        <v>6</v>
      </c>
    </row>
    <row xmlns:x14ac="http://schemas.microsoft.com/office/spreadsheetml/2009/9/ac" r="8" x14ac:dyDescent="0.25">
      <c r="A8" t="s">
        <v>37</v>
      </c>
      <c r="B8" s="4" cm="1">
        <f t="array" ref="B8">INDEX(raw_irs!$D$2:$I$21,MATCH(1,(raw_irs!$A$2:$A$21=$L8)*(raw_irs!$B$2:$B$21=$M8)*(raw_irs!$C$2:$C$21=B$17),0),MATCH(B$19,raw_irs!$D$1:$I$1,0))</f>
        <v>7.8463777899742126E-2</v>
      </c>
      <c r="C8" s="4" cm="1">
        <f t="array" ref="C8">INDEX(raw_irs!$D$2:$I$21,MATCH(1,(raw_irs!$A$2:$A$21=$L8)*(raw_irs!$B$2:$B$21=$M8)*(raw_irs!$C$2:$C$21=C$17),0),MATCH(C$19,raw_irs!$D$1:$I$1,0))</f>
        <v>8.0935738980770111E-2</v>
      </c>
      <c r="E8" s="4" cm="1">
        <f t="array" ref="E8">INDEX(raw_irs!$D$2:$I$21,MATCH(1,(raw_irs!$A$2:$A$21=$L8)*(raw_irs!$B$2:$B$21=$M8)*(raw_irs!$C$2:$C$21=E$17),0),MATCH(E$19,raw_irs!$D$1:$I$1,0))</f>
        <v>7.1175716817378998E-2</v>
      </c>
      <c r="F8" s="4" cm="1">
        <f t="array" ref="F8">INDEX(raw_irs!$D$2:$I$21,MATCH(1,(raw_irs!$A$2:$A$21=$L8)*(raw_irs!$B$2:$B$21=$M8)*(raw_irs!$C$2:$C$21=F$17),0),MATCH(F$19,raw_irs!$D$1:$I$1,0))</f>
        <v>7.6071277260780334E-2</v>
      </c>
      <c r="H8" s="5">
        <f t="shared" si="0"/>
        <v>-2.4235993623733521E-3</v>
      </c>
      <c r="I8" s="5"/>
      <c r="L8" t="s">
        <v>1</v>
      </c>
      <c r="M8" t="s">
        <v>9</v>
      </c>
    </row>
    <row xmlns:x14ac="http://schemas.microsoft.com/office/spreadsheetml/2009/9/ac" r="9" x14ac:dyDescent="0.25">
      <c r="A9" t="s">
        <v>38</v>
      </c>
      <c r="B9" s="4" cm="1">
        <f t="array" ref="B9">INDEX(raw_irs!$D$2:$I$21,MATCH(1,(raw_irs!$A$2:$A$21=$L9)*(raw_irs!$B$2:$B$21=$M9)*(raw_irs!$C$2:$C$21=B$17),0),MATCH(B$19,raw_irs!$D$1:$I$1,0))</f>
        <v>7.8191906213760376E-2</v>
      </c>
      <c r="C9" s="4" cm="1">
        <f t="array" ref="C9">INDEX(raw_irs!$D$2:$I$21,MATCH(1,(raw_irs!$A$2:$A$21=$L9)*(raw_irs!$B$2:$B$21=$M9)*(raw_irs!$C$2:$C$21=C$17),0),MATCH(C$19,raw_irs!$D$1:$I$1,0))</f>
        <v>8.0506063997745514E-2</v>
      </c>
      <c r="E9" s="4" cm="1">
        <f t="array" ref="E9">INDEX(raw_irs!$D$2:$I$21,MATCH(1,(raw_irs!$A$2:$A$21=$L9)*(raw_irs!$B$2:$B$21=$M9)*(raw_irs!$C$2:$C$21=E$17),0),MATCH(E$19,raw_irs!$D$1:$I$1,0))</f>
        <v>6.5852485597133636E-2</v>
      </c>
      <c r="F9" s="4" cm="1">
        <f t="array" ref="F9">INDEX(raw_irs!$D$2:$I$21,MATCH(1,(raw_irs!$A$2:$A$21=$L9)*(raw_irs!$B$2:$B$21=$M9)*(raw_irs!$C$2:$C$21=F$17),0),MATCH(F$19,raw_irs!$D$1:$I$1,0))</f>
        <v>7.2237491607666016E-2</v>
      </c>
      <c r="H9" s="5">
        <f t="shared" si="0"/>
        <v>-4.0708482265472412E-3</v>
      </c>
      <c r="I9" s="5"/>
      <c r="L9" t="s">
        <v>1</v>
      </c>
      <c r="M9" t="s">
        <v>5</v>
      </c>
    </row>
    <row xmlns:x14ac="http://schemas.microsoft.com/office/spreadsheetml/2009/9/ac" r="10" x14ac:dyDescent="0.25">
      <c r="A10" s="3" t="s">
        <v>39</v>
      </c>
      <c r="B10" s="4"/>
      <c r="C10" s="4"/>
      <c r="E10" s="4"/>
      <c r="F10" s="4"/>
    </row>
    <row xmlns:x14ac="http://schemas.microsoft.com/office/spreadsheetml/2009/9/ac" r="11" x14ac:dyDescent="0.25">
      <c r="A11" t="s">
        <v>40</v>
      </c>
      <c r="B11" s="4" cm="1">
        <f t="array" ref="B11">INDEX(raw_irs!$D$2:$I$21,MATCH(1,(raw_irs!$A$2:$A$21=$L11)*(raw_irs!$B$2:$B$21=$M11)*(raw_irs!$C$2:$C$21=B$17),0),MATCH(B$19,raw_irs!$D$1:$I$1,0))</f>
        <v>7.4729807674884796E-2</v>
      </c>
      <c r="C11" s="4" cm="1">
        <f t="array" ref="C11">INDEX(raw_irs!$D$2:$I$21,MATCH(1,(raw_irs!$A$2:$A$21=$L11)*(raw_irs!$B$2:$B$21=$M11)*(raw_irs!$C$2:$C$21=C$17),0),MATCH(C$19,raw_irs!$D$1:$I$1,0))</f>
        <v>7.879175990819931E-2</v>
      </c>
      <c r="E11" s="4" cm="1">
        <f t="array" ref="E11">INDEX(raw_irs!$D$2:$I$21,MATCH(1,(raw_irs!$A$2:$A$21=$L11)*(raw_irs!$B$2:$B$21=$M11)*(raw_irs!$C$2:$C$21=E$17),0),MATCH(E$19,raw_irs!$D$1:$I$1,0))</f>
        <v>6.0066677629947662E-2</v>
      </c>
      <c r="F11" s="4" cm="1">
        <f t="array" ref="F11">INDEX(raw_irs!$D$2:$I$21,MATCH(1,(raw_irs!$A$2:$A$21=$L11)*(raw_irs!$B$2:$B$21=$M11)*(raw_irs!$C$2:$C$21=F$17),0),MATCH(F$19,raw_irs!$D$1:$I$1,0))</f>
        <v>6.5936900675296783E-2</v>
      </c>
      <c r="H11" s="5">
        <f t="shared" ref="H11:H12" si="1">C11-F11-(B11-E11)</f>
        <v>-1.8082708120346069E-3</v>
      </c>
      <c r="I11" s="5"/>
      <c r="L11" t="s">
        <v>2</v>
      </c>
      <c r="M11" t="s">
        <v>10</v>
      </c>
    </row>
    <row xmlns:x14ac="http://schemas.microsoft.com/office/spreadsheetml/2009/9/ac" r="12" x14ac:dyDescent="0.25">
      <c r="A12" t="s">
        <v>41</v>
      </c>
      <c r="B12" s="4" cm="1">
        <f t="array" ref="B12">INDEX(raw_irs!$D$2:$I$21,MATCH(1,(raw_irs!$A$2:$A$21=$L12)*(raw_irs!$B$2:$B$21=$M12)*(raw_irs!$C$2:$C$21=B$17),0),MATCH(B$19,raw_irs!$D$1:$I$1,0))</f>
        <v>9.5909900963306427E-2</v>
      </c>
      <c r="C12" s="4" cm="1">
        <f t="array" ref="C12">INDEX(raw_irs!$D$2:$I$21,MATCH(1,(raw_irs!$A$2:$A$21=$L12)*(raw_irs!$B$2:$B$21=$M12)*(raw_irs!$C$2:$C$21=C$17),0),MATCH(C$19,raw_irs!$D$1:$I$1,0))</f>
        <v>0.10224657505750656</v>
      </c>
      <c r="E12" s="4" cm="1">
        <f t="array" ref="E12">INDEX(raw_irs!$D$2:$I$21,MATCH(1,(raw_irs!$A$2:$A$21=$L12)*(raw_irs!$B$2:$B$21=$M12)*(raw_irs!$C$2:$C$21=E$17),0),MATCH(E$19,raw_irs!$D$1:$I$1,0))</f>
        <v>7.8719623386859894E-2</v>
      </c>
      <c r="F12" s="4" cm="1">
        <f t="array" ref="F12">INDEX(raw_irs!$D$2:$I$21,MATCH(1,(raw_irs!$A$2:$A$21=$L12)*(raw_irs!$B$2:$B$21=$M12)*(raw_irs!$C$2:$C$21=F$17),0),MATCH(F$19,raw_irs!$D$1:$I$1,0))</f>
        <v>7.9999998211860657E-2</v>
      </c>
      <c r="H12" s="5">
        <f t="shared" si="1"/>
        <v>5.0562992691993713E-3</v>
      </c>
      <c r="I12" s="5"/>
      <c r="L12" t="s">
        <v>2</v>
      </c>
      <c r="M12" t="s">
        <v>11</v>
      </c>
    </row>
    <row xmlns:x14ac="http://schemas.microsoft.com/office/spreadsheetml/2009/9/ac" r="13" x14ac:dyDescent="0.25">
      <c r="B13" s="4"/>
      <c r="C13" s="4"/>
      <c r="E13" s="4"/>
      <c r="F13" s="4"/>
    </row>
    <row xmlns:x14ac="http://schemas.microsoft.com/office/spreadsheetml/2009/9/ac" r="14" x14ac:dyDescent="0.25">
      <c r="A14" s="3" t="s">
        <v>42</v>
      </c>
      <c r="B14" s="4" cm="1">
        <f t="array" ref="B14">INDEX(raw_irs!$D$2:$I$21,MATCH(1,(raw_irs!$A$2:$A$21=$L14)*(raw_irs!$B$2:$B$21=$M14)*(raw_irs!$C$2:$C$21=B$17),0),MATCH(B$19,raw_irs!$D$1:$I$1,0))</f>
        <v>7.7107109129428864E-2</v>
      </c>
      <c r="C14" s="4" cm="1">
        <f t="array" ref="C14">INDEX(raw_irs!$D$2:$I$21,MATCH(1,(raw_irs!$A$2:$A$21=$L14)*(raw_irs!$B$2:$B$21=$M14)*(raw_irs!$C$2:$C$21=C$17),0),MATCH(C$19,raw_irs!$D$1:$I$1,0))</f>
        <v>7.7161580324172974E-2</v>
      </c>
      <c r="E14" s="4" cm="1">
        <f t="array" ref="E14">INDEX(raw_irs!$D$2:$I$21,MATCH(1,(raw_irs!$A$2:$A$21=$L14)*(raw_irs!$B$2:$B$21=$M14)*(raw_irs!$C$2:$C$21=E$17),0),MATCH(E$19,raw_irs!$D$1:$I$1,0))</f>
        <v>6.6454246640205383E-2</v>
      </c>
      <c r="F14" s="4" cm="1">
        <f t="array" ref="F14">INDEX(raw_irs!$D$2:$I$21,MATCH(1,(raw_irs!$A$2:$A$21=$L14)*(raw_irs!$B$2:$B$21=$M14)*(raw_irs!$C$2:$C$21=F$17),0),MATCH(F$19,raw_irs!$D$1:$I$1,0))</f>
        <v>7.1771502494812012E-2</v>
      </c>
      <c r="H14" s="5">
        <f t="shared" ref="H14:H15" si="2">C14-F14-(B14-E14)</f>
        <v>-5.2627846598625183E-3</v>
      </c>
      <c r="I14" s="5"/>
      <c r="L14" t="s">
        <v>1</v>
      </c>
      <c r="M14" t="s">
        <v>7</v>
      </c>
    </row>
    <row xmlns:x14ac="http://schemas.microsoft.com/office/spreadsheetml/2009/9/ac" r="15" x14ac:dyDescent="0.25">
      <c r="A15" s="3" t="s">
        <v>43</v>
      </c>
      <c r="B15" s="4" cm="1">
        <f t="array" ref="B15">INDEX(raw_irs!$D$2:$I$21,MATCH(1,(raw_irs!$A$2:$A$21=$L15)*(raw_irs!$B$2:$B$21=$M15)*(raw_irs!$C$2:$C$21=B$17),0),MATCH(B$19,raw_irs!$D$1:$I$1,0))</f>
        <v>7.3524676263332367E-2</v>
      </c>
      <c r="C15" s="4" cm="1">
        <f t="array" ref="C15">INDEX(raw_irs!$D$2:$I$21,MATCH(1,(raw_irs!$A$2:$A$21=$L15)*(raw_irs!$B$2:$B$21=$M15)*(raw_irs!$C$2:$C$21=C$17),0),MATCH(C$19,raw_irs!$D$1:$I$1,0))</f>
        <v>7.3518984019756317E-2</v>
      </c>
      <c r="E15" s="4" cm="1">
        <f t="array" ref="E15">INDEX(raw_irs!$D$2:$I$21,MATCH(1,(raw_irs!$A$2:$A$21=$L15)*(raw_irs!$B$2:$B$21=$M15)*(raw_irs!$C$2:$C$21=E$17),0),MATCH(E$19,raw_irs!$D$1:$I$1,0))</f>
        <v>6.6943518817424774E-2</v>
      </c>
      <c r="F15" s="4" cm="1">
        <f t="array" ref="F15">INDEX(raw_irs!$D$2:$I$21,MATCH(1,(raw_irs!$A$2:$A$21=$L15)*(raw_irs!$B$2:$B$21=$M15)*(raw_irs!$C$2:$C$21=F$17),0),MATCH(F$19,raw_irs!$D$1:$I$1,0))</f>
        <v>7.3303773999214172E-2</v>
      </c>
      <c r="H15" s="5">
        <f t="shared" si="2"/>
        <v>-6.365947425365448E-3</v>
      </c>
      <c r="I15" s="5"/>
      <c r="L15" t="s">
        <v>2</v>
      </c>
      <c r="M15" t="s">
        <v>7</v>
      </c>
    </row>
    <row xmlns:x14ac="http://schemas.microsoft.com/office/spreadsheetml/2009/9/ac" r="17" x14ac:dyDescent="0.25">
      <c r="B17" t="s">
        <v>13</v>
      </c>
      <c r="C17" t="s">
        <v>20</v>
      </c>
      <c r="E17" t="s">
        <v>13</v>
      </c>
      <c r="F17" t="s">
        <v>20</v>
      </c>
    </row>
    <row xmlns:x14ac="http://schemas.microsoft.com/office/spreadsheetml/2009/9/ac" r="19" x14ac:dyDescent="0.25">
      <c r="B19" t="s">
        <v>15</v>
      </c>
      <c r="C19" t="s">
        <v>15</v>
      </c>
      <c r="E19" t="s">
        <v>14</v>
      </c>
      <c r="F19" t="s">
        <v>14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8C4D4-0018-40AE-9D8C-0F9A114E6116}">
  <dimension ref="A1:M19"/>
  <sheetViews>
    <sheetView workbookViewId="0">
      <selection activeCell="L21" sqref="L21"/>
    </sheetView>
  </sheetViews>
  <sheetFormatPr xmlns:x14ac="http://schemas.microsoft.com/office/spreadsheetml/2009/9/ac" defaultRowHeight="15" x14ac:dyDescent="0.25"/>
  <cols>
    <col min="1" max="1" width="30.140625" bestFit="true" customWidth="true"/>
    <col min="5" max="6" width="11.7109375" bestFit="true" customWidth="true"/>
    <col min="8" max="8" width="16" customWidth="true"/>
    <col min="9" max="9" width="17.42578125" customWidth="true"/>
  </cols>
  <sheetData>
    <row xmlns:x14ac="http://schemas.microsoft.com/office/spreadsheetml/2009/9/ac" r="1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xmlns:x14ac="http://schemas.microsoft.com/office/spreadsheetml/2009/9/ac" r="2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xmlns:x14ac="http://schemas.microsoft.com/office/spreadsheetml/2009/9/ac" r="3" x14ac:dyDescent="0.25">
      <c r="A3" t="s">
        <v>33</v>
      </c>
      <c r="B3" s="4" cm="1">
        <f t="array" ref="B3">INDEX(raw_acs!$D$2:$I$24,MATCH(1,(raw_acs!$A$2:$A$24=$L3)*(raw_acs!$B$2:$B$24=$M3)*(raw_acs!$C$2:$C$24=B$17),0),MATCH(B$19,raw_acs!$D$1:$I$1,0))</f>
        <v>6.4845055341720581E-2</v>
      </c>
      <c r="C3" s="4" cm="1">
        <f t="array" ref="C3">INDEX(raw_acs!$D$2:$I$24,MATCH(1,(raw_acs!$A$2:$A$24=$L3)*(raw_acs!$B$2:$B$24=$M3)*(raw_acs!$C$2:$C$24=C$17),0),MATCH(C$19,raw_acs!$D$1:$I$1,0))</f>
        <v>7.1903564035892487E-2</v>
      </c>
      <c r="D3" s="4" cm="1">
        <f t="array" ref="D3">INDEX(raw_acs!$D$2:$I$24,MATCH(1,(raw_acs!$A$2:$A$24=$L3)*(raw_acs!$B$2:$B$24=$M3)*(raw_acs!$C$2:$C$24=D$17),0),MATCH(D$19,raw_acs!$D$1:$I$1,0))</f>
        <v>6.6890202462673187E-2</v>
      </c>
      <c r="E3" s="4" cm="1">
        <f t="array" ref="E3">INDEX(raw_acs!$D$2:$I$24,MATCH(1,(raw_acs!$A$2:$A$24=$L3)*(raw_acs!$B$2:$B$24=$M3)*(raw_acs!$C$2:$C$24=E$17),0),MATCH(E$19,raw_acs!$D$1:$I$1,0))</f>
        <v>5.705849826335907E-2</v>
      </c>
      <c r="F3" s="4" cm="1">
        <f t="array" ref="F3">INDEX(raw_acs!$D$2:$I$24,MATCH(1,(raw_acs!$A$2:$A$24=$L3)*(raw_acs!$B$2:$B$24=$M3)*(raw_acs!$C$2:$C$24=F$17),0),MATCH(F$19,raw_acs!$D$1:$I$1,0))</f>
        <v>8.3923906087875366E-2</v>
      </c>
      <c r="G3" s="4" cm="1">
        <f t="array" ref="G3">INDEX(raw_acs!$D$2:$I$24,MATCH(1,(raw_acs!$A$2:$A$24=$L3)*(raw_acs!$B$2:$B$24=$M3)*(raw_acs!$C$2:$C$24=G$17),0),MATCH(G$19,raw_acs!$D$1:$I$1,0))</f>
        <v>7.296154648065567E-2</v>
      </c>
      <c r="H3" s="5">
        <f>C3-F3-(B3-E3)</f>
        <v>-1.9806899130344391E-2</v>
      </c>
      <c r="I3" s="5">
        <f>D3-G3-(B3-E3)</f>
        <v>-1.3857901096343994E-2</v>
      </c>
      <c r="L3" t="s">
        <v>1</v>
      </c>
      <c r="M3" t="s">
        <v>48</v>
      </c>
    </row>
    <row xmlns:x14ac="http://schemas.microsoft.com/office/spreadsheetml/2009/9/ac" r="4" x14ac:dyDescent="0.25">
      <c r="A4" s="3" t="s">
        <v>34</v>
      </c>
      <c r="B4" s="4"/>
      <c r="C4" s="4"/>
      <c r="E4" s="4"/>
      <c r="F4" s="4"/>
    </row>
    <row xmlns:x14ac="http://schemas.microsoft.com/office/spreadsheetml/2009/9/ac" r="5" x14ac:dyDescent="0.25">
      <c r="A5" t="s">
        <v>2</v>
      </c>
      <c r="B5" s="4" cm="1">
        <f t="array" ref="B5">INDEX(raw_acs!$D$2:$I$24,MATCH(1,(raw_acs!$A$2:$A$24=$L5)*(raw_acs!$B$2:$B$24=$M5)*(raw_acs!$C$2:$C$24=B$17),0),MATCH(B$19,raw_acs!$D$1:$I$1,0))</f>
        <v>6.5429180860519409E-2</v>
      </c>
      <c r="C5" s="4" cm="1">
        <f t="array" ref="C5">INDEX(raw_acs!$D$2:$I$24,MATCH(1,(raw_acs!$A$2:$A$24=$L5)*(raw_acs!$B$2:$B$24=$M5)*(raw_acs!$C$2:$C$24=C$17),0),MATCH(C$19,raw_acs!$D$1:$I$1,0))</f>
        <v>7.7417343854904175E-2</v>
      </c>
      <c r="D5" s="4" cm="1">
        <f t="array" ref="D5">INDEX(raw_acs!$D$2:$I$24,MATCH(1,(raw_acs!$A$2:$A$24=$L5)*(raw_acs!$B$2:$B$24=$M5)*(raw_acs!$C$2:$C$24=D$17),0),MATCH(D$19,raw_acs!$D$1:$I$1,0))</f>
        <v>6.489437073469162E-2</v>
      </c>
      <c r="E5" s="4" cm="1">
        <f t="array" ref="E5">INDEX(raw_acs!$D$2:$I$24,MATCH(1,(raw_acs!$A$2:$A$24=$L5)*(raw_acs!$B$2:$B$24=$M5)*(raw_acs!$C$2:$C$24=E$17),0),MATCH(E$19,raw_acs!$D$1:$I$1,0))</f>
        <v>5.704064667224884E-2</v>
      </c>
      <c r="F5" s="4" cm="1">
        <f t="array" ref="F5">INDEX(raw_acs!$D$2:$I$24,MATCH(1,(raw_acs!$A$2:$A$24=$L5)*(raw_acs!$B$2:$B$24=$M5)*(raw_acs!$C$2:$C$24=F$17),0),MATCH(F$19,raw_acs!$D$1:$I$1,0))</f>
        <v>7.6325781643390656E-2</v>
      </c>
      <c r="G5" s="4" cm="1">
        <f t="array" ref="G5">INDEX(raw_acs!$D$2:$I$24,MATCH(1,(raw_acs!$A$2:$A$24=$L5)*(raw_acs!$B$2:$B$24=$M5)*(raw_acs!$C$2:$C$24=G$17),0),MATCH(G$19,raw_acs!$D$1:$I$1,0))</f>
        <v>6.5405286848545074E-2</v>
      </c>
      <c r="H5" s="5">
        <f t="shared" ref="H5:H7" si="0">C5-F5-(B5-E5)</f>
        <v>-7.2969719767570496E-3</v>
      </c>
      <c r="I5" s="5">
        <f>D5-G5-(B5-E5)</f>
        <v>-8.8994503021240234E-3</v>
      </c>
      <c r="L5" t="s">
        <v>1</v>
      </c>
      <c r="M5" t="s">
        <v>8</v>
      </c>
    </row>
    <row xmlns:x14ac="http://schemas.microsoft.com/office/spreadsheetml/2009/9/ac" r="6" x14ac:dyDescent="0.25">
      <c r="A6" t="s">
        <v>35</v>
      </c>
      <c r="B6" s="4" cm="1">
        <f t="array" ref="B6">INDEX(raw_acs!$D$2:$I$24,MATCH(1,(raw_acs!$A$2:$A$24=$L6)*(raw_acs!$B$2:$B$24=$M6)*(raw_acs!$C$2:$C$24=B$17),0),MATCH(B$19,raw_acs!$D$1:$I$1,0))</f>
        <v>6.4069397747516632E-2</v>
      </c>
      <c r="C6" s="4" cm="1">
        <f t="array" ref="C6">INDEX(raw_acs!$D$2:$I$24,MATCH(1,(raw_acs!$A$2:$A$24=$L6)*(raw_acs!$B$2:$B$24=$M6)*(raw_acs!$C$2:$C$24=C$17),0),MATCH(C$19,raw_acs!$D$1:$I$1,0))</f>
        <v>7.4239104986190796E-2</v>
      </c>
      <c r="D6" s="4" cm="1">
        <f t="array" ref="D6">INDEX(raw_acs!$D$2:$I$24,MATCH(1,(raw_acs!$A$2:$A$24=$L6)*(raw_acs!$B$2:$B$24=$M6)*(raw_acs!$C$2:$C$24=D$17),0),MATCH(D$19,raw_acs!$D$1:$I$1,0))</f>
        <v>6.3190922141075134E-2</v>
      </c>
      <c r="E6" s="4" cm="1">
        <f t="array" ref="E6">INDEX(raw_acs!$D$2:$I$24,MATCH(1,(raw_acs!$A$2:$A$24=$L6)*(raw_acs!$B$2:$B$24=$M6)*(raw_acs!$C$2:$C$24=E$17),0),MATCH(E$19,raw_acs!$D$1:$I$1,0))</f>
        <v>6.0732025653123856E-2</v>
      </c>
      <c r="F6" s="4" cm="1">
        <f t="array" ref="F6">INDEX(raw_acs!$D$2:$I$24,MATCH(1,(raw_acs!$A$2:$A$24=$L6)*(raw_acs!$B$2:$B$24=$M6)*(raw_acs!$C$2:$C$24=F$17),0),MATCH(F$19,raw_acs!$D$1:$I$1,0))</f>
        <v>7.0509985089302063E-2</v>
      </c>
      <c r="G6" s="4" cm="1">
        <f t="array" ref="G6">INDEX(raw_acs!$D$2:$I$24,MATCH(1,(raw_acs!$A$2:$A$24=$L6)*(raw_acs!$B$2:$B$24=$M6)*(raw_acs!$C$2:$C$24=G$17),0),MATCH(G$19,raw_acs!$D$1:$I$1,0))</f>
        <v>5.9880614280700684E-2</v>
      </c>
      <c r="H6" s="5">
        <f t="shared" si="0"/>
        <v>3.9174780249595642E-4</v>
      </c>
      <c r="I6" s="5">
        <f t="shared" ref="I6:I7" si="1">D6-G6-(B6-E6)</f>
        <v>-2.7064234018325806E-5</v>
      </c>
      <c r="L6" t="s">
        <v>1</v>
      </c>
      <c r="M6" t="s">
        <v>4</v>
      </c>
    </row>
    <row xmlns:x14ac="http://schemas.microsoft.com/office/spreadsheetml/2009/9/ac" r="7" x14ac:dyDescent="0.25">
      <c r="A7" t="s">
        <v>36</v>
      </c>
      <c r="B7" s="4" cm="1">
        <f t="array" ref="B7">INDEX(raw_acs!$D$2:$I$24,MATCH(1,(raw_acs!$A$2:$A$24=$L7)*(raw_acs!$B$2:$B$24=$M7)*(raw_acs!$C$2:$C$24=B$17),0),MATCH(B$19,raw_acs!$D$1:$I$1,0))</f>
        <v>4.6024877578020096E-2</v>
      </c>
      <c r="C7" s="4" cm="1">
        <f t="array" ref="C7">INDEX(raw_acs!$D$2:$I$24,MATCH(1,(raw_acs!$A$2:$A$24=$L7)*(raw_acs!$B$2:$B$24=$M7)*(raw_acs!$C$2:$C$24=C$17),0),MATCH(C$19,raw_acs!$D$1:$I$1,0))</f>
        <v>4.7753609716892242E-2</v>
      </c>
      <c r="D7" s="4" cm="1">
        <f t="array" ref="D7">INDEX(raw_acs!$D$2:$I$24,MATCH(1,(raw_acs!$A$2:$A$24=$L7)*(raw_acs!$B$2:$B$24=$M7)*(raw_acs!$C$2:$C$24=D$17),0),MATCH(D$19,raw_acs!$D$1:$I$1,0))</f>
        <v>4.6674016863107681E-2</v>
      </c>
      <c r="E7" s="4" cm="1">
        <f t="array" ref="E7">INDEX(raw_acs!$D$2:$I$24,MATCH(1,(raw_acs!$A$2:$A$24=$L7)*(raw_acs!$B$2:$B$24=$M7)*(raw_acs!$C$2:$C$24=E$17),0),MATCH(E$19,raw_acs!$D$1:$I$1,0))</f>
        <v>4.7510087490081787E-2</v>
      </c>
      <c r="F7" s="4" cm="1">
        <f t="array" ref="F7">INDEX(raw_acs!$D$2:$I$24,MATCH(1,(raw_acs!$A$2:$A$24=$L7)*(raw_acs!$B$2:$B$24=$M7)*(raw_acs!$C$2:$C$24=F$17),0),MATCH(F$19,raw_acs!$D$1:$I$1,0))</f>
        <v>4.7710075974464417E-2</v>
      </c>
      <c r="G7" s="4" cm="1">
        <f t="array" ref="G7">INDEX(raw_acs!$D$2:$I$24,MATCH(1,(raw_acs!$A$2:$A$24=$L7)*(raw_acs!$B$2:$B$24=$M7)*(raw_acs!$C$2:$C$24=G$17),0),MATCH(G$19,raw_acs!$D$1:$I$1,0))</f>
        <v>5.194174125790596E-2</v>
      </c>
      <c r="H7" s="5">
        <f t="shared" si="0"/>
        <v>1.5287436544895172E-3</v>
      </c>
      <c r="I7" s="5">
        <f t="shared" si="1"/>
        <v>-3.7825144827365875E-3</v>
      </c>
      <c r="L7" t="s">
        <v>1</v>
      </c>
      <c r="M7" t="s">
        <v>6</v>
      </c>
    </row>
    <row xmlns:x14ac="http://schemas.microsoft.com/office/spreadsheetml/2009/9/ac" r="8" x14ac:dyDescent="0.25">
      <c r="A8" t="s">
        <v>37</v>
      </c>
      <c r="B8" s="14" t="s">
        <v>49</v>
      </c>
      <c r="C8" s="14"/>
      <c r="D8" s="14"/>
      <c r="E8" s="14"/>
      <c r="F8" s="14"/>
      <c r="G8" s="14"/>
      <c r="H8" s="14"/>
      <c r="I8" s="14"/>
      <c r="L8" t="s">
        <v>1</v>
      </c>
      <c r="M8" t="s">
        <v>9</v>
      </c>
    </row>
    <row xmlns:x14ac="http://schemas.microsoft.com/office/spreadsheetml/2009/9/ac" r="9" x14ac:dyDescent="0.25">
      <c r="A9" t="s">
        <v>38</v>
      </c>
      <c r="B9" s="14" t="s">
        <v>49</v>
      </c>
      <c r="C9" s="14"/>
      <c r="D9" s="14"/>
      <c r="E9" s="14"/>
      <c r="F9" s="14"/>
      <c r="G9" s="14"/>
      <c r="H9" s="14"/>
      <c r="I9" s="14"/>
      <c r="L9" t="s">
        <v>1</v>
      </c>
      <c r="M9" t="s">
        <v>5</v>
      </c>
    </row>
    <row xmlns:x14ac="http://schemas.microsoft.com/office/spreadsheetml/2009/9/ac" r="10" x14ac:dyDescent="0.25">
      <c r="A10" s="3" t="s">
        <v>39</v>
      </c>
      <c r="B10" s="4"/>
      <c r="C10" s="4"/>
      <c r="E10" s="4"/>
      <c r="F10" s="4"/>
    </row>
    <row xmlns:x14ac="http://schemas.microsoft.com/office/spreadsheetml/2009/9/ac" r="11" x14ac:dyDescent="0.25">
      <c r="A11" t="s">
        <v>40</v>
      </c>
      <c r="B11" s="4" cm="1">
        <f t="array" ref="B11">INDEX(raw_acs!$D$2:$I$24,MATCH(1,(raw_acs!$A$2:$A$24=$L11)*(raw_acs!$B$2:$B$24=$M11)*(raw_acs!$C$2:$C$24=B$17),0),MATCH(B$19,raw_acs!$D$1:$I$1,0))</f>
        <v>5.1845591515302658E-2</v>
      </c>
      <c r="C11" s="4" cm="1">
        <f t="array" ref="C11">INDEX(raw_acs!$D$2:$I$24,MATCH(1,(raw_acs!$A$2:$A$24=$L11)*(raw_acs!$B$2:$B$24=$M11)*(raw_acs!$C$2:$C$24=C$17),0),MATCH(C$19,raw_acs!$D$1:$I$1,0))</f>
        <v>6.5786689519882202E-2</v>
      </c>
      <c r="D11" s="4" cm="1">
        <f t="array" ref="D11">INDEX(raw_acs!$D$2:$I$24,MATCH(1,(raw_acs!$A$2:$A$24=$L11)*(raw_acs!$B$2:$B$24=$M11)*(raw_acs!$C$2:$C$24=D$17),0),MATCH(D$19,raw_acs!$D$1:$I$1,0))</f>
        <v>5.9204187244176865E-2</v>
      </c>
      <c r="E11" s="4" cm="1">
        <f t="array" ref="E11">INDEX(raw_acs!$D$2:$I$24,MATCH(1,(raw_acs!$A$2:$A$24=$L11)*(raw_acs!$B$2:$B$24=$M11)*(raw_acs!$C$2:$C$24=E$17),0),MATCH(E$19,raw_acs!$D$1:$I$1,0))</f>
        <v>5.1039338111877441E-2</v>
      </c>
      <c r="F11" s="4" cm="1">
        <f t="array" ref="F11">INDEX(raw_acs!$D$2:$I$24,MATCH(1,(raw_acs!$A$2:$A$24=$L11)*(raw_acs!$B$2:$B$24=$M11)*(raw_acs!$C$2:$C$24=F$17),0),MATCH(F$19,raw_acs!$D$1:$I$1,0))</f>
        <v>5.4776258766651154E-2</v>
      </c>
      <c r="G11" s="4" cm="1">
        <f t="array" ref="G11">INDEX(raw_acs!$D$2:$I$24,MATCH(1,(raw_acs!$A$2:$A$24=$L11)*(raw_acs!$B$2:$B$24=$M11)*(raw_acs!$C$2:$C$24=G$17),0),MATCH(G$19,raw_acs!$D$1:$I$1,0))</f>
        <v>4.8938725143671036E-2</v>
      </c>
      <c r="H11" s="5">
        <f>C11-F11-(B11-E11)</f>
        <v>1.0204177349805832E-2</v>
      </c>
      <c r="I11" s="5">
        <f>D11-G11-(B11-E11)</f>
        <v>9.4592086970806122E-3</v>
      </c>
      <c r="L11" t="s">
        <v>2</v>
      </c>
      <c r="M11" t="s">
        <v>10</v>
      </c>
    </row>
    <row xmlns:x14ac="http://schemas.microsoft.com/office/spreadsheetml/2009/9/ac" r="12" x14ac:dyDescent="0.25">
      <c r="A12" t="s">
        <v>41</v>
      </c>
      <c r="B12" s="14" t="s">
        <v>49</v>
      </c>
      <c r="C12" s="14"/>
      <c r="D12" s="14"/>
      <c r="E12" s="14"/>
      <c r="F12" s="14"/>
      <c r="G12" s="14"/>
      <c r="H12" s="14"/>
      <c r="I12" s="14"/>
      <c r="L12" t="s">
        <v>2</v>
      </c>
      <c r="M12" t="s">
        <v>11</v>
      </c>
    </row>
    <row xmlns:x14ac="http://schemas.microsoft.com/office/spreadsheetml/2009/9/ac" r="13" x14ac:dyDescent="0.25">
      <c r="B13" s="4"/>
      <c r="C13" s="4"/>
      <c r="E13" s="4"/>
      <c r="F13" s="4"/>
    </row>
    <row xmlns:x14ac="http://schemas.microsoft.com/office/spreadsheetml/2009/9/ac" r="14" x14ac:dyDescent="0.25">
      <c r="A14" s="3" t="s">
        <v>42</v>
      </c>
      <c r="B14" s="4" cm="1">
        <f t="array" ref="B14">INDEX(raw_acs!$D$2:$I$24,MATCH(1,(raw_acs!$A$2:$A$24=$L14)*(raw_acs!$B$2:$B$24=$M14)*(raw_acs!$C$2:$C$24=B$17),0),MATCH(B$19,raw_acs!$D$1:$I$1,0))</f>
        <v>5.3952474147081375E-2</v>
      </c>
      <c r="C14" s="4" cm="1">
        <f t="array" ref="C14">INDEX(raw_acs!$D$2:$I$24,MATCH(1,(raw_acs!$A$2:$A$24=$L14)*(raw_acs!$B$2:$B$24=$M14)*(raw_acs!$C$2:$C$24=C$17),0),MATCH(C$19,raw_acs!$D$1:$I$1,0))</f>
        <v>4.9288969486951828E-2</v>
      </c>
      <c r="D14" s="4" cm="1">
        <f t="array" ref="D14">INDEX(raw_acs!$D$2:$I$24,MATCH(1,(raw_acs!$A$2:$A$24=$L14)*(raw_acs!$B$2:$B$24=$M14)*(raw_acs!$C$2:$C$24=D$17),0),MATCH(D$19,raw_acs!$D$1:$I$1,0))</f>
        <v>4.9160003662109375E-2</v>
      </c>
      <c r="E14" s="4" cm="1">
        <f t="array" ref="E14">INDEX(raw_acs!$D$2:$I$24,MATCH(1,(raw_acs!$A$2:$A$24=$L14)*(raw_acs!$B$2:$B$24=$M14)*(raw_acs!$C$2:$C$24=E$17),0),MATCH(E$19,raw_acs!$D$1:$I$1,0))</f>
        <v>4.4097885489463806E-2</v>
      </c>
      <c r="F14" s="4" cm="1">
        <f t="array" ref="F14">INDEX(raw_acs!$D$2:$I$24,MATCH(1,(raw_acs!$A$2:$A$24=$L14)*(raw_acs!$B$2:$B$24=$M14)*(raw_acs!$C$2:$C$24=F$17),0),MATCH(F$19,raw_acs!$D$1:$I$1,0))</f>
        <v>4.9888614565134048E-2</v>
      </c>
      <c r="G14" s="4" cm="1">
        <f t="array" ref="G14">INDEX(raw_acs!$D$2:$I$24,MATCH(1,(raw_acs!$A$2:$A$24=$L14)*(raw_acs!$B$2:$B$24=$M14)*(raw_acs!$C$2:$C$24=G$17),0),MATCH(G$19,raw_acs!$D$1:$I$1,0))</f>
        <v>4.4156964868307114E-2</v>
      </c>
      <c r="H14" s="5">
        <f>C14-F14-(B14-E14)</f>
        <v>-1.0454233735799789E-2</v>
      </c>
      <c r="I14" s="5">
        <f>D14-G14-(B14-E14)</f>
        <v>-4.8515498638153076E-3</v>
      </c>
      <c r="L14" t="s">
        <v>1</v>
      </c>
      <c r="M14" t="s">
        <v>7</v>
      </c>
    </row>
    <row xmlns:x14ac="http://schemas.microsoft.com/office/spreadsheetml/2009/9/ac" r="15" x14ac:dyDescent="0.25">
      <c r="A15" s="3" t="s">
        <v>43</v>
      </c>
      <c r="B15" s="4" cm="1">
        <f t="array" ref="B15">INDEX(raw_acs!$D$2:$I$24,MATCH(1,(raw_acs!$A$2:$A$24=$L15)*(raw_acs!$B$2:$B$24=$M15)*(raw_acs!$C$2:$C$24=B$17),0),MATCH(B$19,raw_acs!$D$1:$I$1,0))</f>
        <v>5.8615777641534805E-2</v>
      </c>
      <c r="C15" s="4" cm="1">
        <f t="array" ref="C15">INDEX(raw_acs!$D$2:$I$24,MATCH(1,(raw_acs!$A$2:$A$24=$L15)*(raw_acs!$B$2:$B$24=$M15)*(raw_acs!$C$2:$C$24=C$17),0),MATCH(C$19,raw_acs!$D$1:$I$1,0))</f>
        <v>5.7540323585271835E-2</v>
      </c>
      <c r="D15" s="4" cm="1">
        <f t="array" ref="D15">INDEX(raw_acs!$D$2:$I$24,MATCH(1,(raw_acs!$A$2:$A$24=$L15)*(raw_acs!$B$2:$B$24=$M15)*(raw_acs!$C$2:$C$24=D$17),0),MATCH(D$19,raw_acs!$D$1:$I$1,0))</f>
        <v>5.564223974943161E-2</v>
      </c>
      <c r="E15" s="4" cm="1">
        <f t="array" ref="E15">INDEX(raw_acs!$D$2:$I$24,MATCH(1,(raw_acs!$A$2:$A$24=$L15)*(raw_acs!$B$2:$B$24=$M15)*(raw_acs!$C$2:$C$24=E$17),0),MATCH(E$19,raw_acs!$D$1:$I$1,0))</f>
        <v>5.2134677767753601E-2</v>
      </c>
      <c r="F15" s="4" cm="1">
        <f t="array" ref="F15">INDEX(raw_acs!$D$2:$I$24,MATCH(1,(raw_acs!$A$2:$A$24=$L15)*(raw_acs!$B$2:$B$24=$M15)*(raw_acs!$C$2:$C$24=F$17),0),MATCH(F$19,raw_acs!$D$1:$I$1,0))</f>
        <v>6.030721589922905E-2</v>
      </c>
      <c r="G15" s="4" cm="1">
        <f t="array" ref="G15">INDEX(raw_acs!$D$2:$I$24,MATCH(1,(raw_acs!$A$2:$A$24=$L15)*(raw_acs!$B$2:$B$24=$M15)*(raw_acs!$C$2:$C$24=G$17),0),MATCH(G$19,raw_acs!$D$1:$I$1,0))</f>
        <v>5.5787641555070877E-2</v>
      </c>
      <c r="H15" s="5">
        <f>C15-F15-(B15-E15)</f>
        <v>-9.2479921877384186E-3</v>
      </c>
      <c r="I15" s="5">
        <f>D15-G15-(B15-E15)</f>
        <v>-6.6265016794204712E-3</v>
      </c>
      <c r="L15" t="s">
        <v>2</v>
      </c>
      <c r="M15" t="s">
        <v>7</v>
      </c>
    </row>
    <row xmlns:x14ac="http://schemas.microsoft.com/office/spreadsheetml/2009/9/ac" r="17" x14ac:dyDescent="0.25">
      <c r="B17" t="s">
        <v>13</v>
      </c>
      <c r="C17" t="s">
        <v>20</v>
      </c>
      <c r="D17" t="s">
        <v>21</v>
      </c>
      <c r="E17" t="s">
        <v>13</v>
      </c>
      <c r="F17" t="s">
        <v>20</v>
      </c>
      <c r="G17" t="s">
        <v>21</v>
      </c>
    </row>
    <row xmlns:x14ac="http://schemas.microsoft.com/office/spreadsheetml/2009/9/ac" r="19" x14ac:dyDescent="0.25">
      <c r="B19" t="s">
        <v>23</v>
      </c>
      <c r="C19" t="s">
        <v>23</v>
      </c>
      <c r="D19" t="s">
        <v>23</v>
      </c>
      <c r="E19" t="s">
        <v>22</v>
      </c>
      <c r="F19" t="s">
        <v>22</v>
      </c>
      <c r="G19" t="s">
        <v>22</v>
      </c>
    </row>
  </sheetData>
  <mergeCells count="6">
    <mergeCell ref="B12:I12"/>
    <mergeCell ref="B1:D1"/>
    <mergeCell ref="E1:G1"/>
    <mergeCell ref="H1:I1"/>
    <mergeCell ref="B8:I8"/>
    <mergeCell ref="B9:I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C922-0F20-4A9F-906A-AECCCAD51B22}">
  <dimension ref="A1:M19"/>
  <sheetViews>
    <sheetView workbookViewId="0">
      <selection activeCell="O33" sqref="O33"/>
    </sheetView>
  </sheetViews>
  <sheetFormatPr xmlns:x14ac="http://schemas.microsoft.com/office/spreadsheetml/2009/9/ac" defaultRowHeight="15" x14ac:dyDescent="0.25"/>
  <cols>
    <col min="1" max="1" width="30.140625" bestFit="true" customWidth="true"/>
    <col min="5" max="6" width="11.7109375" bestFit="true" customWidth="true"/>
    <col min="8" max="8" width="16" customWidth="true"/>
    <col min="9" max="9" width="17.42578125" customWidth="true"/>
  </cols>
  <sheetData>
    <row xmlns:x14ac="http://schemas.microsoft.com/office/spreadsheetml/2009/9/ac" r="1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xmlns:x14ac="http://schemas.microsoft.com/office/spreadsheetml/2009/9/ac" r="2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xmlns:x14ac="http://schemas.microsoft.com/office/spreadsheetml/2009/9/ac" r="3" x14ac:dyDescent="0.25">
      <c r="A3" t="s">
        <v>33</v>
      </c>
      <c r="B3" s="4" cm="1">
        <f t="array" ref="B3">INDEX(raw_irs!$D$2:$I$21,MATCH(1,(raw_irs!$A$2:$A$21=$L3)*(raw_irs!$B$2:$B$21=$M3)*(raw_irs!$C$2:$C$21=B$17),0),MATCH(B$19,raw_irs!$D$1:$I$1,0))</f>
        <v>6.5851092338562012E-2</v>
      </c>
      <c r="C3" s="4" cm="1">
        <f t="array" ref="C3">INDEX(raw_irs!$D$2:$I$21,MATCH(1,(raw_irs!$A$2:$A$21=$L3)*(raw_irs!$B$2:$B$21=$M3)*(raw_irs!$C$2:$C$21=C$17),0),MATCH(C$19,raw_irs!$D$1:$I$1,0))</f>
        <v>6.274983286857605E-2</v>
      </c>
      <c r="E3" s="4" cm="1">
        <f t="array" ref="E3">INDEX(raw_irs!$D$2:$I$21,MATCH(1,(raw_irs!$A$2:$A$21=$L3)*(raw_irs!$B$2:$B$21=$M3)*(raw_irs!$C$2:$C$21=E$17),0),MATCH(E$19,raw_irs!$D$1:$I$1,0))</f>
        <v>7.006537914276123E-2</v>
      </c>
      <c r="F3" s="4" cm="1">
        <f t="array" ref="F3">INDEX(raw_irs!$D$2:$I$21,MATCH(1,(raw_irs!$A$2:$A$21=$L3)*(raw_irs!$B$2:$B$21=$M3)*(raw_irs!$C$2:$C$21=F$17),0),MATCH(F$19,raw_irs!$D$1:$I$1,0))</f>
        <v>9.6766941249370575E-2</v>
      </c>
      <c r="H3" s="5">
        <f>C3-F3-(B3-E3)</f>
        <v>-2.9802821576595306E-2</v>
      </c>
      <c r="I3" s="5"/>
      <c r="L3" t="s">
        <v>1</v>
      </c>
      <c r="M3" t="s">
        <v>48</v>
      </c>
    </row>
    <row xmlns:x14ac="http://schemas.microsoft.com/office/spreadsheetml/2009/9/ac" r="4" x14ac:dyDescent="0.25">
      <c r="A4" s="3" t="s">
        <v>34</v>
      </c>
      <c r="B4" s="4"/>
      <c r="C4" s="4"/>
      <c r="E4" s="4"/>
      <c r="F4" s="4"/>
    </row>
    <row xmlns:x14ac="http://schemas.microsoft.com/office/spreadsheetml/2009/9/ac" r="5" x14ac:dyDescent="0.25">
      <c r="A5" t="s">
        <v>2</v>
      </c>
      <c r="B5" s="4" cm="1">
        <f t="array" ref="B5">INDEX(raw_irs!$D$2:$I$21,MATCH(1,(raw_irs!$A$2:$A$21=$L5)*(raw_irs!$B$2:$B$21=$M5)*(raw_irs!$C$2:$C$21=B$17),0),MATCH(B$19,raw_irs!$D$1:$I$1,0))</f>
        <v>6.0167685151100159E-2</v>
      </c>
      <c r="C5" s="4" cm="1">
        <f t="array" ref="C5">INDEX(raw_irs!$D$2:$I$21,MATCH(1,(raw_irs!$A$2:$A$21=$L5)*(raw_irs!$B$2:$B$21=$M5)*(raw_irs!$C$2:$C$21=C$17),0),MATCH(C$19,raw_irs!$D$1:$I$1,0))</f>
        <v>6.0554653406143188E-2</v>
      </c>
      <c r="E5" s="4" cm="1">
        <f t="array" ref="E5">INDEX(raw_irs!$D$2:$I$21,MATCH(1,(raw_irs!$A$2:$A$21=$L5)*(raw_irs!$B$2:$B$21=$M5)*(raw_irs!$C$2:$C$21=E$17),0),MATCH(E$19,raw_irs!$D$1:$I$1,0))</f>
        <v>6.1024479568004608E-2</v>
      </c>
      <c r="F5" s="4" cm="1">
        <f t="array" ref="F5">INDEX(raw_irs!$D$2:$I$21,MATCH(1,(raw_irs!$A$2:$A$21=$L5)*(raw_irs!$B$2:$B$21=$M5)*(raw_irs!$C$2:$C$21=F$17),0),MATCH(F$19,raw_irs!$D$1:$I$1,0))</f>
        <v>7.5108356773853302E-2</v>
      </c>
      <c r="H5" s="5">
        <f>C5-F5-(B5-E5)</f>
        <v>-1.3696908950805664E-2</v>
      </c>
      <c r="I5" s="5"/>
      <c r="L5" t="s">
        <v>1</v>
      </c>
      <c r="M5" t="s">
        <v>8</v>
      </c>
    </row>
    <row xmlns:x14ac="http://schemas.microsoft.com/office/spreadsheetml/2009/9/ac" r="6" x14ac:dyDescent="0.25">
      <c r="A6" t="s">
        <v>35</v>
      </c>
      <c r="B6" s="4" cm="1">
        <f t="array" ref="B6">INDEX(raw_irs!$D$2:$I$21,MATCH(1,(raw_irs!$A$2:$A$21=$L6)*(raw_irs!$B$2:$B$21=$M6)*(raw_irs!$C$2:$C$21=B$17),0),MATCH(B$19,raw_irs!$D$1:$I$1,0))</f>
        <v>6.4857304096221924E-2</v>
      </c>
      <c r="C6" s="4" cm="1">
        <f t="array" ref="C6">INDEX(raw_irs!$D$2:$I$21,MATCH(1,(raw_irs!$A$2:$A$21=$L6)*(raw_irs!$B$2:$B$21=$M6)*(raw_irs!$C$2:$C$21=C$17),0),MATCH(C$19,raw_irs!$D$1:$I$1,0))</f>
        <v>8.1016130745410919E-2</v>
      </c>
      <c r="E6" s="4" cm="1">
        <f t="array" ref="E6">INDEX(raw_irs!$D$2:$I$21,MATCH(1,(raw_irs!$A$2:$A$21=$L6)*(raw_irs!$B$2:$B$21=$M6)*(raw_irs!$C$2:$C$21=E$17),0),MATCH(E$19,raw_irs!$D$1:$I$1,0))</f>
        <v>5.8235693722963333E-2</v>
      </c>
      <c r="F6" s="4" cm="1">
        <f t="array" ref="F6">INDEX(raw_irs!$D$2:$I$21,MATCH(1,(raw_irs!$A$2:$A$21=$L6)*(raw_irs!$B$2:$B$21=$M6)*(raw_irs!$C$2:$C$21=F$17),0),MATCH(F$19,raw_irs!$D$1:$I$1,0))</f>
        <v>6.7215822637081146E-2</v>
      </c>
      <c r="H6" s="5">
        <f t="shared" ref="H6:H9" si="0">C6-F6-(B6-E6)</f>
        <v>7.1786977350711823E-3</v>
      </c>
      <c r="I6" s="5"/>
      <c r="L6" t="s">
        <v>1</v>
      </c>
      <c r="M6" t="s">
        <v>4</v>
      </c>
    </row>
    <row xmlns:x14ac="http://schemas.microsoft.com/office/spreadsheetml/2009/9/ac" r="7" x14ac:dyDescent="0.25">
      <c r="A7" t="s">
        <v>36</v>
      </c>
      <c r="B7" s="4" cm="1">
        <f t="array" ref="B7">INDEX(raw_irs!$D$2:$I$21,MATCH(1,(raw_irs!$A$2:$A$21=$L7)*(raw_irs!$B$2:$B$21=$M7)*(raw_irs!$C$2:$C$21=B$17),0),MATCH(B$19,raw_irs!$D$1:$I$1,0))</f>
        <v>5.1667891442775726E-2</v>
      </c>
      <c r="C7" s="4" cm="1">
        <f t="array" ref="C7">INDEX(raw_irs!$D$2:$I$21,MATCH(1,(raw_irs!$A$2:$A$21=$L7)*(raw_irs!$B$2:$B$21=$M7)*(raw_irs!$C$2:$C$21=C$17),0),MATCH(C$19,raw_irs!$D$1:$I$1,0))</f>
        <v>5.3673293441534042E-2</v>
      </c>
      <c r="E7" s="4" cm="1">
        <f t="array" ref="E7">INDEX(raw_irs!$D$2:$I$21,MATCH(1,(raw_irs!$A$2:$A$21=$L7)*(raw_irs!$B$2:$B$21=$M7)*(raw_irs!$C$2:$C$21=E$17),0),MATCH(E$19,raw_irs!$D$1:$I$1,0))</f>
        <v>5.2986618131399155E-2</v>
      </c>
      <c r="F7" s="4" cm="1">
        <f t="array" ref="F7">INDEX(raw_irs!$D$2:$I$21,MATCH(1,(raw_irs!$A$2:$A$21=$L7)*(raw_irs!$B$2:$B$21=$M7)*(raw_irs!$C$2:$C$21=F$17),0),MATCH(F$19,raw_irs!$D$1:$I$1,0))</f>
        <v>5.4442763328552246E-2</v>
      </c>
      <c r="H7" s="5">
        <f t="shared" si="0"/>
        <v>5.4925680160522461E-4</v>
      </c>
      <c r="I7" s="5"/>
      <c r="L7" t="s">
        <v>1</v>
      </c>
      <c r="M7" t="s">
        <v>6</v>
      </c>
    </row>
    <row xmlns:x14ac="http://schemas.microsoft.com/office/spreadsheetml/2009/9/ac" r="8" x14ac:dyDescent="0.25">
      <c r="A8" t="s">
        <v>37</v>
      </c>
      <c r="B8" s="4" cm="1">
        <f t="array" ref="B8">INDEX(raw_irs!$D$2:$I$21,MATCH(1,(raw_irs!$A$2:$A$21=$L8)*(raw_irs!$B$2:$B$21=$M8)*(raw_irs!$C$2:$C$21=B$17),0),MATCH(B$19,raw_irs!$D$1:$I$1,0))</f>
        <v>6.6213987767696381E-2</v>
      </c>
      <c r="C8" s="4" cm="1">
        <f t="array" ref="C8">INDEX(raw_irs!$D$2:$I$21,MATCH(1,(raw_irs!$A$2:$A$21=$L8)*(raw_irs!$B$2:$B$21=$M8)*(raw_irs!$C$2:$C$21=C$17),0),MATCH(C$19,raw_irs!$D$1:$I$1,0))</f>
        <v>7.2722166776657104E-2</v>
      </c>
      <c r="E8" s="4" cm="1">
        <f t="array" ref="E8">INDEX(raw_irs!$D$2:$I$21,MATCH(1,(raw_irs!$A$2:$A$21=$L8)*(raw_irs!$B$2:$B$21=$M8)*(raw_irs!$C$2:$C$21=E$17),0),MATCH(E$19,raw_irs!$D$1:$I$1,0))</f>
        <v>5.266648530960083E-2</v>
      </c>
      <c r="F8" s="4" cm="1">
        <f t="array" ref="F8">INDEX(raw_irs!$D$2:$I$21,MATCH(1,(raw_irs!$A$2:$A$21=$L8)*(raw_irs!$B$2:$B$21=$M8)*(raw_irs!$C$2:$C$21=F$17),0),MATCH(F$19,raw_irs!$D$1:$I$1,0))</f>
        <v>6.8064190447330475E-2</v>
      </c>
      <c r="H8" s="5">
        <f t="shared" si="0"/>
        <v>-8.8895261287689209E-3</v>
      </c>
      <c r="I8" s="5"/>
      <c r="L8" t="s">
        <v>1</v>
      </c>
      <c r="M8" t="s">
        <v>9</v>
      </c>
    </row>
    <row xmlns:x14ac="http://schemas.microsoft.com/office/spreadsheetml/2009/9/ac" r="9" x14ac:dyDescent="0.25">
      <c r="A9" t="s">
        <v>38</v>
      </c>
      <c r="B9" s="4" cm="1">
        <f t="array" ref="B9">INDEX(raw_irs!$D$2:$I$21,MATCH(1,(raw_irs!$A$2:$A$21=$L9)*(raw_irs!$B$2:$B$21=$M9)*(raw_irs!$C$2:$C$21=B$17),0),MATCH(B$19,raw_irs!$D$1:$I$1,0))</f>
        <v>6.325937807559967E-2</v>
      </c>
      <c r="C9" s="4" cm="1">
        <f t="array" ref="C9">INDEX(raw_irs!$D$2:$I$21,MATCH(1,(raw_irs!$A$2:$A$21=$L9)*(raw_irs!$B$2:$B$21=$M9)*(raw_irs!$C$2:$C$21=C$17),0),MATCH(C$19,raw_irs!$D$1:$I$1,0))</f>
        <v>6.6666498780250549E-2</v>
      </c>
      <c r="E9" s="4" cm="1">
        <f t="array" ref="E9">INDEX(raw_irs!$D$2:$I$21,MATCH(1,(raw_irs!$A$2:$A$21=$L9)*(raw_irs!$B$2:$B$21=$M9)*(raw_irs!$C$2:$C$21=E$17),0),MATCH(E$19,raw_irs!$D$1:$I$1,0))</f>
        <v>5.2635479718446732E-2</v>
      </c>
      <c r="F9" s="4" cm="1">
        <f t="array" ref="F9">INDEX(raw_irs!$D$2:$I$21,MATCH(1,(raw_irs!$A$2:$A$21=$L9)*(raw_irs!$B$2:$B$21=$M9)*(raw_irs!$C$2:$C$21=F$17),0),MATCH(F$19,raw_irs!$D$1:$I$1,0))</f>
        <v>5.9354282915592194E-2</v>
      </c>
      <c r="H9" s="5">
        <f t="shared" si="0"/>
        <v>-3.3116824924945831E-3</v>
      </c>
      <c r="I9" s="5"/>
      <c r="L9" t="s">
        <v>1</v>
      </c>
      <c r="M9" t="s">
        <v>5</v>
      </c>
    </row>
    <row xmlns:x14ac="http://schemas.microsoft.com/office/spreadsheetml/2009/9/ac" r="10" x14ac:dyDescent="0.25">
      <c r="A10" s="3" t="s">
        <v>39</v>
      </c>
      <c r="B10" s="4"/>
      <c r="C10" s="4"/>
      <c r="E10" s="4"/>
      <c r="F10" s="4"/>
    </row>
    <row xmlns:x14ac="http://schemas.microsoft.com/office/spreadsheetml/2009/9/ac" r="11" x14ac:dyDescent="0.25">
      <c r="A11" t="s">
        <v>40</v>
      </c>
      <c r="B11" s="4" cm="1">
        <f t="array" ref="B11">INDEX(raw_irs!$D$2:$I$21,MATCH(1,(raw_irs!$A$2:$A$21=$L11)*(raw_irs!$B$2:$B$21=$M11)*(raw_irs!$C$2:$C$21=B$17),0),MATCH(B$19,raw_irs!$D$1:$I$1,0))</f>
        <v>5.9751883149147034E-2</v>
      </c>
      <c r="C11" s="4" cm="1">
        <f t="array" ref="C11">INDEX(raw_irs!$D$2:$I$21,MATCH(1,(raw_irs!$A$2:$A$21=$L11)*(raw_irs!$B$2:$B$21=$M11)*(raw_irs!$C$2:$C$21=C$17),0),MATCH(C$19,raw_irs!$D$1:$I$1,0))</f>
        <v>7.7620796859264374E-2</v>
      </c>
      <c r="E11" s="4" cm="1">
        <f t="array" ref="E11">INDEX(raw_irs!$D$2:$I$21,MATCH(1,(raw_irs!$A$2:$A$21=$L11)*(raw_irs!$B$2:$B$21=$M11)*(raw_irs!$C$2:$C$21=E$17),0),MATCH(E$19,raw_irs!$D$1:$I$1,0))</f>
        <v>4.7169208526611328E-2</v>
      </c>
      <c r="F11" s="4" cm="1">
        <f t="array" ref="F11">INDEX(raw_irs!$D$2:$I$21,MATCH(1,(raw_irs!$A$2:$A$21=$L11)*(raw_irs!$B$2:$B$21=$M11)*(raw_irs!$C$2:$C$21=F$17),0),MATCH(F$19,raw_irs!$D$1:$I$1,0))</f>
        <v>5.8515794575214386E-2</v>
      </c>
      <c r="H11" s="5">
        <f>C11-F11-(B11-E11)</f>
        <v>6.5223276615142822E-3</v>
      </c>
      <c r="I11" s="5">
        <f>C11-F11</f>
        <v>1.9105002284049988E-2</v>
      </c>
      <c r="J11" s="5">
        <f>B11-E11</f>
        <v>1.2582674622535706E-2</v>
      </c>
      <c r="L11" t="s">
        <v>2</v>
      </c>
      <c r="M11" t="s">
        <v>10</v>
      </c>
    </row>
    <row xmlns:x14ac="http://schemas.microsoft.com/office/spreadsheetml/2009/9/ac" r="12" x14ac:dyDescent="0.25">
      <c r="A12" t="s">
        <v>41</v>
      </c>
      <c r="B12" s="4" cm="1">
        <f t="array" ref="B12">INDEX(raw_irs!$D$2:$I$21,MATCH(1,(raw_irs!$A$2:$A$21=$L12)*(raw_irs!$B$2:$B$21=$M12)*(raw_irs!$C$2:$C$21=B$17),0),MATCH(B$19,raw_irs!$D$1:$I$1,0))</f>
        <v>8.5216939449310303E-2</v>
      </c>
      <c r="C12" s="4" cm="1">
        <f t="array" ref="C12">INDEX(raw_irs!$D$2:$I$21,MATCH(1,(raw_irs!$A$2:$A$21=$L12)*(raw_irs!$B$2:$B$21=$M12)*(raw_irs!$C$2:$C$21=C$17),0),MATCH(C$19,raw_irs!$D$1:$I$1,0))</f>
        <v>9.1132178902626038E-2</v>
      </c>
      <c r="E12" s="4" cm="1">
        <f t="array" ref="E12">INDEX(raw_irs!$D$2:$I$21,MATCH(1,(raw_irs!$A$2:$A$21=$L12)*(raw_irs!$B$2:$B$21=$M12)*(raw_irs!$C$2:$C$21=E$17),0),MATCH(E$19,raw_irs!$D$1:$I$1,0))</f>
        <v>5.6506790220737457E-2</v>
      </c>
      <c r="F12" s="4" cm="1">
        <f t="array" ref="F12">INDEX(raw_irs!$D$2:$I$21,MATCH(1,(raw_irs!$A$2:$A$21=$L12)*(raw_irs!$B$2:$B$21=$M12)*(raw_irs!$C$2:$C$21=F$17),0),MATCH(F$19,raw_irs!$D$1:$I$1,0))</f>
        <v>6.007617712020874E-2</v>
      </c>
      <c r="H12" s="5">
        <f t="shared" ref="H11:H12" si="1">C12-F12-(B12-E12)</f>
        <v>2.3458525538444519E-3</v>
      </c>
      <c r="I12" s="5"/>
      <c r="L12" t="s">
        <v>2</v>
      </c>
      <c r="M12" t="s">
        <v>11</v>
      </c>
    </row>
    <row xmlns:x14ac="http://schemas.microsoft.com/office/spreadsheetml/2009/9/ac" r="13" x14ac:dyDescent="0.25">
      <c r="B13" s="4"/>
      <c r="C13" s="4"/>
      <c r="E13" s="4"/>
      <c r="F13" s="4"/>
    </row>
    <row xmlns:x14ac="http://schemas.microsoft.com/office/spreadsheetml/2009/9/ac" r="14" x14ac:dyDescent="0.25">
      <c r="A14" s="3" t="s">
        <v>42</v>
      </c>
      <c r="B14" s="4" cm="1">
        <f t="array" ref="B14">INDEX(raw_irs!$D$2:$I$21,MATCH(1,(raw_irs!$A$2:$A$21=$L14)*(raw_irs!$B$2:$B$21=$M14)*(raw_irs!$C$2:$C$21=B$17),0),MATCH(B$19,raw_irs!$D$1:$I$1,0))</f>
        <v>6.7591950297355652E-2</v>
      </c>
      <c r="C14" s="4" cm="1">
        <f t="array" ref="C14">INDEX(raw_irs!$D$2:$I$21,MATCH(1,(raw_irs!$A$2:$A$21=$L14)*(raw_irs!$B$2:$B$21=$M14)*(raw_irs!$C$2:$C$21=C$17),0),MATCH(C$19,raw_irs!$D$1:$I$1,0))</f>
        <v>7.6302647590637207E-2</v>
      </c>
      <c r="E14" s="4" cm="1">
        <f t="array" ref="E14">INDEX(raw_irs!$D$2:$I$21,MATCH(1,(raw_irs!$A$2:$A$21=$L14)*(raw_irs!$B$2:$B$21=$M14)*(raw_irs!$C$2:$C$21=E$17),0),MATCH(E$19,raw_irs!$D$1:$I$1,0))</f>
        <v>5.0893060863018036E-2</v>
      </c>
      <c r="F14" s="4" cm="1">
        <f t="array" ref="F14">INDEX(raw_irs!$D$2:$I$21,MATCH(1,(raw_irs!$A$2:$A$21=$L14)*(raw_irs!$B$2:$B$21=$M14)*(raw_irs!$C$2:$C$21=F$17),0),MATCH(F$19,raw_irs!$D$1:$I$1,0))</f>
        <v>6.0106795281171799E-2</v>
      </c>
      <c r="H14" s="5">
        <f t="shared" ref="H14:H15" si="2">C14-F14-(B14-E14)</f>
        <v>-5.0303712487220764E-4</v>
      </c>
      <c r="I14" s="5"/>
      <c r="L14" t="s">
        <v>1</v>
      </c>
      <c r="M14" t="s">
        <v>7</v>
      </c>
    </row>
    <row xmlns:x14ac="http://schemas.microsoft.com/office/spreadsheetml/2009/9/ac" r="15" x14ac:dyDescent="0.25">
      <c r="A15" s="3" t="s">
        <v>43</v>
      </c>
      <c r="B15" s="4" cm="1">
        <f t="array" ref="B15">INDEX(raw_irs!$D$2:$I$21,MATCH(1,(raw_irs!$A$2:$A$21=$L15)*(raw_irs!$B$2:$B$21=$M15)*(raw_irs!$C$2:$C$21=B$17),0),MATCH(B$19,raw_irs!$D$1:$I$1,0))</f>
        <v>5.3211066871881485E-2</v>
      </c>
      <c r="C15" s="4" cm="1">
        <f t="array" ref="C15">INDEX(raw_irs!$D$2:$I$21,MATCH(1,(raw_irs!$A$2:$A$21=$L15)*(raw_irs!$B$2:$B$21=$M15)*(raw_irs!$C$2:$C$21=C$17),0),MATCH(C$19,raw_irs!$D$1:$I$1,0))</f>
        <v>5.6753363460302353E-2</v>
      </c>
      <c r="E15" s="4" cm="1">
        <f t="array" ref="E15">INDEX(raw_irs!$D$2:$I$21,MATCH(1,(raw_irs!$A$2:$A$21=$L15)*(raw_irs!$B$2:$B$21=$M15)*(raw_irs!$C$2:$C$21=E$17),0),MATCH(E$19,raw_irs!$D$1:$I$1,0))</f>
        <v>4.8897575587034225E-2</v>
      </c>
      <c r="F15" s="4" cm="1">
        <f t="array" ref="F15">INDEX(raw_irs!$D$2:$I$21,MATCH(1,(raw_irs!$A$2:$A$21=$L15)*(raw_irs!$B$2:$B$21=$M15)*(raw_irs!$C$2:$C$21=F$17),0),MATCH(F$19,raw_irs!$D$1:$I$1,0))</f>
        <v>6.009707972407341E-2</v>
      </c>
      <c r="H15" s="5">
        <f t="shared" si="2"/>
        <v>-7.6572075486183167E-3</v>
      </c>
      <c r="I15" s="5"/>
      <c r="L15" t="s">
        <v>2</v>
      </c>
      <c r="M15" t="s">
        <v>7</v>
      </c>
    </row>
    <row xmlns:x14ac="http://schemas.microsoft.com/office/spreadsheetml/2009/9/ac" r="17" x14ac:dyDescent="0.25">
      <c r="B17" t="s">
        <v>13</v>
      </c>
      <c r="C17" t="s">
        <v>20</v>
      </c>
      <c r="E17" t="s">
        <v>13</v>
      </c>
      <c r="F17" t="s">
        <v>20</v>
      </c>
    </row>
    <row xmlns:x14ac="http://schemas.microsoft.com/office/spreadsheetml/2009/9/ac" r="19" x14ac:dyDescent="0.25">
      <c r="B19" t="s">
        <v>19</v>
      </c>
      <c r="C19" t="s">
        <v>19</v>
      </c>
      <c r="E19" t="s">
        <v>18</v>
      </c>
      <c r="F19" t="s">
        <v>18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D74C1-4B06-45DE-9DF5-952ADBD2B8F2}">
  <dimension ref="A1:M19"/>
  <sheetViews>
    <sheetView workbookViewId="0">
      <selection activeCell="F23" sqref="F23"/>
    </sheetView>
  </sheetViews>
  <sheetFormatPr xmlns:x14ac="http://schemas.microsoft.com/office/spreadsheetml/2009/9/ac" defaultRowHeight="15" x14ac:dyDescent="0.25"/>
  <cols>
    <col min="1" max="1" width="30.140625" bestFit="true" customWidth="true"/>
    <col min="5" max="6" width="11.7109375" bestFit="true" customWidth="true"/>
    <col min="8" max="8" width="16" customWidth="true"/>
    <col min="9" max="9" width="17.42578125" customWidth="true"/>
  </cols>
  <sheetData>
    <row xmlns:x14ac="http://schemas.microsoft.com/office/spreadsheetml/2009/9/ac" r="1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xmlns:x14ac="http://schemas.microsoft.com/office/spreadsheetml/2009/9/ac" r="2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xmlns:x14ac="http://schemas.microsoft.com/office/spreadsheetml/2009/9/ac" r="3" x14ac:dyDescent="0.25">
      <c r="A3" t="s">
        <v>33</v>
      </c>
      <c r="B3" s="4" cm="1">
        <f t="array" ref="B3">INDEX(raw_acs!$D$2:$I$24,MATCH(1,(raw_acs!$A$2:$A$24=$L3)*(raw_acs!$B$2:$B$24=$M3)*(raw_acs!$C$2:$C$24=B$17),0),MATCH(B$19,raw_acs!$D$1:$I$1,0))</f>
        <v>6.3354134559631348E-2</v>
      </c>
      <c r="C3" s="4" cm="1">
        <f t="array" ref="C3">INDEX(raw_acs!$D$2:$I$24,MATCH(1,(raw_acs!$A$2:$A$24=$L3)*(raw_acs!$B$2:$B$24=$M3)*(raw_acs!$C$2:$C$24=C$17),0),MATCH(C$19,raw_acs!$D$1:$I$1,0))</f>
        <v>6.373528391122818E-2</v>
      </c>
      <c r="D3" s="4" cm="1">
        <f t="array" ref="D3">INDEX(raw_acs!$D$2:$I$24,MATCH(1,(raw_acs!$A$2:$A$24=$L3)*(raw_acs!$B$2:$B$24=$M3)*(raw_acs!$C$2:$C$24=D$17),0),MATCH(D$19,raw_acs!$D$1:$I$1,0))</f>
        <v>5.6489013135433197E-2</v>
      </c>
      <c r="E3" s="4" cm="1">
        <f t="array" ref="E3">INDEX(raw_acs!$D$2:$I$24,MATCH(1,(raw_acs!$A$2:$A$24=$L3)*(raw_acs!$B$2:$B$24=$M3)*(raw_acs!$C$2:$C$24=E$17),0),MATCH(E$19,raw_acs!$D$1:$I$1,0))</f>
        <v>5.7844016700983047E-2</v>
      </c>
      <c r="F3" s="4" cm="1">
        <f t="array" ref="F3">INDEX(raw_acs!$D$2:$I$24,MATCH(1,(raw_acs!$A$2:$A$24=$L3)*(raw_acs!$B$2:$B$24=$M3)*(raw_acs!$C$2:$C$24=F$17),0),MATCH(F$19,raw_acs!$D$1:$I$1,0))</f>
        <v>8.9838892221450806E-2</v>
      </c>
      <c r="G3" s="4" cm="1">
        <f t="array" ref="G3">INDEX(raw_acs!$D$2:$I$24,MATCH(1,(raw_acs!$A$2:$A$24=$L3)*(raw_acs!$B$2:$B$24=$M3)*(raw_acs!$C$2:$C$24=G$17),0),MATCH(G$19,raw_acs!$D$1:$I$1,0))</f>
        <v>8.2802049815654755E-2</v>
      </c>
      <c r="H3" s="5">
        <f>C3-F3-(B3-E3)</f>
        <v>-3.1613726168870926E-2</v>
      </c>
      <c r="I3" s="5">
        <f>D3-G3-(B3-E3)</f>
        <v>-3.1823154538869858E-2</v>
      </c>
      <c r="L3" t="s">
        <v>1</v>
      </c>
      <c r="M3" t="s">
        <v>48</v>
      </c>
    </row>
    <row xmlns:x14ac="http://schemas.microsoft.com/office/spreadsheetml/2009/9/ac" r="4" x14ac:dyDescent="0.25">
      <c r="A4" s="3" t="s">
        <v>34</v>
      </c>
      <c r="B4" s="4"/>
      <c r="C4" s="4"/>
      <c r="E4" s="4"/>
      <c r="F4" s="4"/>
    </row>
    <row xmlns:x14ac="http://schemas.microsoft.com/office/spreadsheetml/2009/9/ac" r="5" x14ac:dyDescent="0.25">
      <c r="A5" t="s">
        <v>2</v>
      </c>
      <c r="B5" s="4" cm="1">
        <f t="array" ref="B5">INDEX(raw_acs!$D$2:$I$24,MATCH(1,(raw_acs!$A$2:$A$24=$L5)*(raw_acs!$B$2:$B$24=$M5)*(raw_acs!$C$2:$C$24=B$17),0),MATCH(B$19,raw_acs!$D$1:$I$1,0))</f>
        <v>5.5641300976276398E-2</v>
      </c>
      <c r="C5" s="4" cm="1">
        <f t="array" ref="C5">INDEX(raw_acs!$D$2:$I$24,MATCH(1,(raw_acs!$A$2:$A$24=$L5)*(raw_acs!$B$2:$B$24=$M5)*(raw_acs!$C$2:$C$24=C$17),0),MATCH(C$19,raw_acs!$D$1:$I$1,0))</f>
        <v>6.0378029942512512E-2</v>
      </c>
      <c r="D5" s="4" cm="1">
        <f t="array" ref="D5">INDEX(raw_acs!$D$2:$I$24,MATCH(1,(raw_acs!$A$2:$A$24=$L5)*(raw_acs!$B$2:$B$24=$M5)*(raw_acs!$C$2:$C$24=D$17),0),MATCH(D$19,raw_acs!$D$1:$I$1,0))</f>
        <v>5.5317871272563934E-2</v>
      </c>
      <c r="E5" s="4" cm="1">
        <f t="array" ref="E5">INDEX(raw_acs!$D$2:$I$24,MATCH(1,(raw_acs!$A$2:$A$24=$L5)*(raw_acs!$B$2:$B$24=$M5)*(raw_acs!$C$2:$C$24=E$17),0),MATCH(E$19,raw_acs!$D$1:$I$1,0))</f>
        <v>5.2657000720500946E-2</v>
      </c>
      <c r="F5" s="4" cm="1">
        <f t="array" ref="F5">INDEX(raw_acs!$D$2:$I$24,MATCH(1,(raw_acs!$A$2:$A$24=$L5)*(raw_acs!$B$2:$B$24=$M5)*(raw_acs!$C$2:$C$24=F$17),0),MATCH(F$19,raw_acs!$D$1:$I$1,0))</f>
        <v>7.1009114384651184E-2</v>
      </c>
      <c r="G5" s="4" cm="1">
        <f t="array" ref="G5">INDEX(raw_acs!$D$2:$I$24,MATCH(1,(raw_acs!$A$2:$A$24=$L5)*(raw_acs!$B$2:$B$24=$M5)*(raw_acs!$C$2:$C$24=G$17),0),MATCH(G$19,raw_acs!$D$1:$I$1,0))</f>
        <v>5.6045219302177429E-2</v>
      </c>
      <c r="H5" s="5">
        <f t="shared" ref="H5:H7" si="0">C5-F5-(B5-E5)</f>
        <v>-1.3615384697914124E-2</v>
      </c>
      <c r="I5" s="5">
        <f>D5-G5-(B5-E5)</f>
        <v>-3.7116482853889465E-3</v>
      </c>
      <c r="L5" t="s">
        <v>1</v>
      </c>
      <c r="M5" t="s">
        <v>8</v>
      </c>
    </row>
    <row xmlns:x14ac="http://schemas.microsoft.com/office/spreadsheetml/2009/9/ac" r="6" x14ac:dyDescent="0.25">
      <c r="A6" t="s">
        <v>35</v>
      </c>
      <c r="B6" s="4" cm="1">
        <f t="array" ref="B6">INDEX(raw_acs!$D$2:$I$24,MATCH(1,(raw_acs!$A$2:$A$24=$L6)*(raw_acs!$B$2:$B$24=$M6)*(raw_acs!$C$2:$C$24=B$17),0),MATCH(B$19,raw_acs!$D$1:$I$1,0))</f>
        <v>6.1221208423376083E-2</v>
      </c>
      <c r="C6" s="4" cm="1">
        <f t="array" ref="C6">INDEX(raw_acs!$D$2:$I$24,MATCH(1,(raw_acs!$A$2:$A$24=$L6)*(raw_acs!$B$2:$B$24=$M6)*(raw_acs!$C$2:$C$24=C$17),0),MATCH(C$19,raw_acs!$D$1:$I$1,0))</f>
        <v>7.6222792267799377E-2</v>
      </c>
      <c r="D6" s="4" cm="1">
        <f t="array" ref="D6">INDEX(raw_acs!$D$2:$I$24,MATCH(1,(raw_acs!$A$2:$A$24=$L6)*(raw_acs!$B$2:$B$24=$M6)*(raw_acs!$C$2:$C$24=D$17),0),MATCH(D$19,raw_acs!$D$1:$I$1,0))</f>
        <v>7.1508444845676422E-2</v>
      </c>
      <c r="E6" s="4" cm="1">
        <f t="array" ref="E6">INDEX(raw_acs!$D$2:$I$24,MATCH(1,(raw_acs!$A$2:$A$24=$L6)*(raw_acs!$B$2:$B$24=$M6)*(raw_acs!$C$2:$C$24=E$17),0),MATCH(E$19,raw_acs!$D$1:$I$1,0))</f>
        <v>4.8739612102508545E-2</v>
      </c>
      <c r="F6" s="4" cm="1">
        <f t="array" ref="F6">INDEX(raw_acs!$D$2:$I$24,MATCH(1,(raw_acs!$A$2:$A$24=$L6)*(raw_acs!$B$2:$B$24=$M6)*(raw_acs!$C$2:$C$24=F$17),0),MATCH(F$19,raw_acs!$D$1:$I$1,0))</f>
        <v>6.2092546373605728E-2</v>
      </c>
      <c r="G6" s="4" cm="1">
        <f t="array" ref="G6">INDEX(raw_acs!$D$2:$I$24,MATCH(1,(raw_acs!$A$2:$A$24=$L6)*(raw_acs!$B$2:$B$24=$M6)*(raw_acs!$C$2:$C$24=G$17),0),MATCH(G$19,raw_acs!$D$1:$I$1,0))</f>
        <v>5.4175112396478653E-2</v>
      </c>
      <c r="H6" s="5">
        <f t="shared" si="0"/>
        <v>1.6486495733261108E-3</v>
      </c>
      <c r="I6" s="5">
        <f>D6-G6-(B6-E6)</f>
        <v>4.8517361283302307E-3</v>
      </c>
      <c r="L6" t="s">
        <v>1</v>
      </c>
      <c r="M6" t="s">
        <v>4</v>
      </c>
    </row>
    <row xmlns:x14ac="http://schemas.microsoft.com/office/spreadsheetml/2009/9/ac" r="7" x14ac:dyDescent="0.25">
      <c r="A7" t="s">
        <v>36</v>
      </c>
      <c r="B7" s="4" cm="1">
        <f t="array" ref="B7">INDEX(raw_acs!$D$2:$I$24,MATCH(1,(raw_acs!$A$2:$A$24=$L7)*(raw_acs!$B$2:$B$24=$M7)*(raw_acs!$C$2:$C$24=B$17),0),MATCH(B$19,raw_acs!$D$1:$I$1,0))</f>
        <v>4.9081113189458847E-2</v>
      </c>
      <c r="C7" s="4" cm="1">
        <f t="array" ref="C7">INDEX(raw_acs!$D$2:$I$24,MATCH(1,(raw_acs!$A$2:$A$24=$L7)*(raw_acs!$B$2:$B$24=$M7)*(raw_acs!$C$2:$C$24=C$17),0),MATCH(C$19,raw_acs!$D$1:$I$1,0))</f>
        <v>5.0730876624584198E-2</v>
      </c>
      <c r="D7" s="4" cm="1">
        <f t="array" ref="D7">INDEX(raw_acs!$D$2:$I$24,MATCH(1,(raw_acs!$A$2:$A$24=$L7)*(raw_acs!$B$2:$B$24=$M7)*(raw_acs!$C$2:$C$24=D$17),0),MATCH(D$19,raw_acs!$D$1:$I$1,0))</f>
        <v>4.560474306344986E-2</v>
      </c>
      <c r="E7" s="4" cm="1">
        <f t="array" ref="E7">INDEX(raw_acs!$D$2:$I$24,MATCH(1,(raw_acs!$A$2:$A$24=$L7)*(raw_acs!$B$2:$B$24=$M7)*(raw_acs!$C$2:$C$24=E$17),0),MATCH(E$19,raw_acs!$D$1:$I$1,0))</f>
        <v>4.750530794262886E-2</v>
      </c>
      <c r="F7" s="4" cm="1">
        <f t="array" ref="F7">INDEX(raw_acs!$D$2:$I$24,MATCH(1,(raw_acs!$A$2:$A$24=$L7)*(raw_acs!$B$2:$B$24=$M7)*(raw_acs!$C$2:$C$24=F$17),0),MATCH(F$19,raw_acs!$D$1:$I$1,0))</f>
        <v>4.6862687915563583E-2</v>
      </c>
      <c r="G7" s="4" cm="1">
        <f t="array" ref="G7">INDEX(raw_acs!$D$2:$I$24,MATCH(1,(raw_acs!$A$2:$A$24=$L7)*(raw_acs!$B$2:$B$24=$M7)*(raw_acs!$C$2:$C$24=G$17),0),MATCH(G$19,raw_acs!$D$1:$I$1,0))</f>
        <v>5.0596162676811218E-2</v>
      </c>
      <c r="H7" s="5">
        <f t="shared" si="0"/>
        <v>2.2923834621906281E-3</v>
      </c>
      <c r="I7" s="5">
        <f>D7-G7-(B7-E7)</f>
        <v>-6.5672248601913452E-3</v>
      </c>
      <c r="L7" t="s">
        <v>1</v>
      </c>
      <c r="M7" t="s">
        <v>6</v>
      </c>
    </row>
    <row xmlns:x14ac="http://schemas.microsoft.com/office/spreadsheetml/2009/9/ac" r="8" x14ac:dyDescent="0.25">
      <c r="A8" t="s">
        <v>37</v>
      </c>
      <c r="B8" s="4"/>
      <c r="C8" s="4"/>
      <c r="D8" s="4"/>
      <c r="E8" s="4"/>
      <c r="F8" s="4"/>
      <c r="G8" s="4"/>
      <c r="H8" s="5"/>
      <c r="I8" s="5"/>
      <c r="L8" t="s">
        <v>1</v>
      </c>
      <c r="M8" t="s">
        <v>9</v>
      </c>
    </row>
    <row xmlns:x14ac="http://schemas.microsoft.com/office/spreadsheetml/2009/9/ac" r="9" x14ac:dyDescent="0.25">
      <c r="A9" t="s">
        <v>38</v>
      </c>
      <c r="B9" s="4"/>
      <c r="C9" s="4"/>
      <c r="D9" s="4"/>
      <c r="E9" s="4"/>
      <c r="F9" s="4"/>
      <c r="G9" s="4"/>
      <c r="H9" s="5"/>
      <c r="I9" s="5"/>
      <c r="L9" t="s">
        <v>1</v>
      </c>
      <c r="M9" t="s">
        <v>5</v>
      </c>
    </row>
    <row xmlns:x14ac="http://schemas.microsoft.com/office/spreadsheetml/2009/9/ac" r="10" x14ac:dyDescent="0.25">
      <c r="A10" s="3" t="s">
        <v>39</v>
      </c>
      <c r="B10" s="4"/>
      <c r="C10" s="4"/>
      <c r="E10" s="4"/>
      <c r="F10" s="4"/>
    </row>
    <row xmlns:x14ac="http://schemas.microsoft.com/office/spreadsheetml/2009/9/ac" r="11" x14ac:dyDescent="0.25">
      <c r="A11" t="s">
        <v>40</v>
      </c>
      <c r="B11" s="4" cm="1">
        <f t="array" ref="B11">INDEX(raw_acs!$D$2:$I$24,MATCH(1,(raw_acs!$A$2:$A$24=$L11)*(raw_acs!$B$2:$B$24=$M11)*(raw_acs!$C$2:$C$24=B$17),0),MATCH(B$19,raw_acs!$D$1:$I$1,0))</f>
        <v>5.4432656615972519E-2</v>
      </c>
      <c r="C11" s="4" cm="1">
        <f t="array" ref="C11">INDEX(raw_acs!$D$2:$I$24,MATCH(1,(raw_acs!$A$2:$A$24=$L11)*(raw_acs!$B$2:$B$24=$M11)*(raw_acs!$C$2:$C$24=C$17),0),MATCH(C$19,raw_acs!$D$1:$I$1,0))</f>
        <v>8.2657575607299805E-2</v>
      </c>
      <c r="D11" s="4" cm="1">
        <f t="array" ref="D11">INDEX(raw_acs!$D$2:$I$24,MATCH(1,(raw_acs!$A$2:$A$24=$L11)*(raw_acs!$B$2:$B$24=$M11)*(raw_acs!$C$2:$C$24=D$17),0),MATCH(D$19,raw_acs!$D$1:$I$1,0))</f>
        <v>7.3792897164821625E-2</v>
      </c>
      <c r="E11" s="4" cm="1">
        <f t="array" ref="E11">INDEX(raw_acs!$D$2:$I$24,MATCH(1,(raw_acs!$A$2:$A$24=$L11)*(raw_acs!$B$2:$B$24=$M11)*(raw_acs!$C$2:$C$24=E$17),0),MATCH(E$19,raw_acs!$D$1:$I$1,0))</f>
        <v>4.6210054308176041E-2</v>
      </c>
      <c r="F11" s="4" cm="1">
        <f t="array" ref="F11">INDEX(raw_acs!$D$2:$I$24,MATCH(1,(raw_acs!$A$2:$A$24=$L11)*(raw_acs!$B$2:$B$24=$M11)*(raw_acs!$C$2:$C$24=F$17),0),MATCH(F$19,raw_acs!$D$1:$I$1,0))</f>
        <v>5.2455045282840729E-2</v>
      </c>
      <c r="G11" s="4" cm="1">
        <f t="array" ref="G11">INDEX(raw_acs!$D$2:$I$24,MATCH(1,(raw_acs!$A$2:$A$24=$L11)*(raw_acs!$B$2:$B$24=$M11)*(raw_acs!$C$2:$C$24=G$17),0),MATCH(G$19,raw_acs!$D$1:$I$1,0))</f>
        <v>4.6159025281667709E-2</v>
      </c>
      <c r="H11" s="5">
        <f>C11-F11-(B11-E11)</f>
        <v>2.1979928016662598E-2</v>
      </c>
      <c r="I11" s="5">
        <f>D11-G11-(B11-E11)</f>
        <v>1.9411269575357437E-2</v>
      </c>
      <c r="L11" t="s">
        <v>2</v>
      </c>
      <c r="M11" t="s">
        <v>10</v>
      </c>
    </row>
    <row xmlns:x14ac="http://schemas.microsoft.com/office/spreadsheetml/2009/9/ac" r="12" x14ac:dyDescent="0.25">
      <c r="A12" t="s">
        <v>41</v>
      </c>
      <c r="B12" s="4"/>
      <c r="C12" s="4"/>
      <c r="D12" s="4"/>
      <c r="E12" s="4"/>
      <c r="F12" s="4"/>
      <c r="G12" s="4"/>
      <c r="H12" s="5"/>
      <c r="I12" s="5"/>
      <c r="L12" t="s">
        <v>2</v>
      </c>
      <c r="M12" t="s">
        <v>11</v>
      </c>
    </row>
    <row xmlns:x14ac="http://schemas.microsoft.com/office/spreadsheetml/2009/9/ac" r="13" x14ac:dyDescent="0.25">
      <c r="B13" s="4"/>
      <c r="C13" s="4"/>
      <c r="E13" s="4"/>
      <c r="F13" s="4"/>
    </row>
    <row xmlns:x14ac="http://schemas.microsoft.com/office/spreadsheetml/2009/9/ac" r="14" x14ac:dyDescent="0.25">
      <c r="A14" s="3" t="s">
        <v>42</v>
      </c>
      <c r="B14" s="4" cm="1">
        <f t="array" ref="B14">INDEX(raw_acs!$D$2:$I$24,MATCH(1,(raw_acs!$A$2:$A$24=$L14)*(raw_acs!$B$2:$B$24=$M14)*(raw_acs!$C$2:$C$24=B$17),0),MATCH(B$19,raw_acs!$D$1:$I$1,0))</f>
        <v>5.8649804443120956E-2</v>
      </c>
      <c r="C14" s="4" cm="1">
        <f t="array" ref="C14">INDEX(raw_acs!$D$2:$I$24,MATCH(1,(raw_acs!$A$2:$A$24=$L14)*(raw_acs!$B$2:$B$24=$M14)*(raw_acs!$C$2:$C$24=C$17),0),MATCH(C$19,raw_acs!$D$1:$I$1,0))</f>
        <v>5.5496521294116974E-2</v>
      </c>
      <c r="D14" s="4" cm="1">
        <f t="array" ref="D14">INDEX(raw_acs!$D$2:$I$24,MATCH(1,(raw_acs!$A$2:$A$24=$L14)*(raw_acs!$B$2:$B$24=$M14)*(raw_acs!$C$2:$C$24=D$17),0),MATCH(D$19,raw_acs!$D$1:$I$1,0))</f>
        <v>5.392015352845192E-2</v>
      </c>
      <c r="E14" s="4" cm="1">
        <f t="array" ref="E14">INDEX(raw_acs!$D$2:$I$24,MATCH(1,(raw_acs!$A$2:$A$24=$L14)*(raw_acs!$B$2:$B$24=$M14)*(raw_acs!$C$2:$C$24=E$17),0),MATCH(E$19,raw_acs!$D$1:$I$1,0))</f>
        <v>4.5561544597148895E-2</v>
      </c>
      <c r="F14" s="4" cm="1">
        <f t="array" ref="F14">INDEX(raw_acs!$D$2:$I$24,MATCH(1,(raw_acs!$A$2:$A$24=$L14)*(raw_acs!$B$2:$B$24=$M14)*(raw_acs!$C$2:$C$24=F$17),0),MATCH(F$19,raw_acs!$D$1:$I$1,0))</f>
        <v>5.9658464044332504E-2</v>
      </c>
      <c r="G14" s="4" cm="1">
        <f t="array" ref="G14">INDEX(raw_acs!$D$2:$I$24,MATCH(1,(raw_acs!$A$2:$A$24=$L14)*(raw_acs!$B$2:$B$24=$M14)*(raw_acs!$C$2:$C$24=G$17),0),MATCH(G$19,raw_acs!$D$1:$I$1,0))</f>
        <v>4.99735027551651E-2</v>
      </c>
      <c r="H14" s="5">
        <f>C14-F14-(B14-E14)</f>
        <v>-1.7250202596187592E-2</v>
      </c>
      <c r="I14" s="5">
        <f>D14-G14-(B14-E14)</f>
        <v>-9.1416090726852417E-3</v>
      </c>
      <c r="L14" t="s">
        <v>1</v>
      </c>
      <c r="M14" t="s">
        <v>7</v>
      </c>
    </row>
    <row xmlns:x14ac="http://schemas.microsoft.com/office/spreadsheetml/2009/9/ac" r="15" x14ac:dyDescent="0.25">
      <c r="A15" s="3" t="s">
        <v>43</v>
      </c>
      <c r="B15" s="4" cm="1">
        <f t="array" ref="B15">INDEX(raw_acs!$D$2:$I$24,MATCH(1,(raw_acs!$A$2:$A$24=$L15)*(raw_acs!$B$2:$B$24=$M15)*(raw_acs!$C$2:$C$24=B$17),0),MATCH(B$19,raw_acs!$D$1:$I$1,0))</f>
        <v>5.5301066488027573E-2</v>
      </c>
      <c r="C15" s="4" cm="1">
        <f t="array" ref="C15">INDEX(raw_acs!$D$2:$I$24,MATCH(1,(raw_acs!$A$2:$A$24=$L15)*(raw_acs!$B$2:$B$24=$M15)*(raw_acs!$C$2:$C$24=C$17),0),MATCH(C$19,raw_acs!$D$1:$I$1,0))</f>
        <v>5.2587557584047318E-2</v>
      </c>
      <c r="D15" s="4" cm="1">
        <f t="array" ref="D15">INDEX(raw_acs!$D$2:$I$24,MATCH(1,(raw_acs!$A$2:$A$24=$L15)*(raw_acs!$B$2:$B$24=$M15)*(raw_acs!$C$2:$C$24=D$17),0),MATCH(D$19,raw_acs!$D$1:$I$1,0))</f>
        <v>4.9882706254720688E-2</v>
      </c>
      <c r="E15" s="4" cm="1">
        <f t="array" ref="E15">INDEX(raw_acs!$D$2:$I$24,MATCH(1,(raw_acs!$A$2:$A$24=$L15)*(raw_acs!$B$2:$B$24=$M15)*(raw_acs!$C$2:$C$24=E$17),0),MATCH(E$19,raw_acs!$D$1:$I$1,0))</f>
        <v>4.6609316021203995E-2</v>
      </c>
      <c r="F15" s="4" cm="1">
        <f t="array" ref="F15">INDEX(raw_acs!$D$2:$I$24,MATCH(1,(raw_acs!$A$2:$A$24=$L15)*(raw_acs!$B$2:$B$24=$M15)*(raw_acs!$C$2:$C$24=F$17),0),MATCH(F$19,raw_acs!$D$1:$I$1,0))</f>
        <v>5.5123060941696167E-2</v>
      </c>
      <c r="G15" s="4" cm="1">
        <f t="array" ref="G15">INDEX(raw_acs!$D$2:$I$24,MATCH(1,(raw_acs!$A$2:$A$24=$L15)*(raw_acs!$B$2:$B$24=$M15)*(raw_acs!$C$2:$C$24=G$17),0),MATCH(G$19,raw_acs!$D$1:$I$1,0))</f>
        <v>5.0142049789428711E-2</v>
      </c>
      <c r="H15" s="5">
        <f>C15-F15-(B15-E15)</f>
        <v>-1.1227253824472427E-2</v>
      </c>
      <c r="I15" s="5">
        <f>D15-G15-(B15-E15)</f>
        <v>-8.951094001531601E-3</v>
      </c>
      <c r="L15" t="s">
        <v>2</v>
      </c>
      <c r="M15" t="s">
        <v>7</v>
      </c>
    </row>
    <row xmlns:x14ac="http://schemas.microsoft.com/office/spreadsheetml/2009/9/ac" r="17" x14ac:dyDescent="0.25">
      <c r="B17" t="s">
        <v>13</v>
      </c>
      <c r="C17" t="s">
        <v>20</v>
      </c>
      <c r="D17" t="s">
        <v>21</v>
      </c>
      <c r="E17" t="s">
        <v>13</v>
      </c>
      <c r="F17" t="s">
        <v>20</v>
      </c>
      <c r="G17" t="s">
        <v>21</v>
      </c>
    </row>
    <row xmlns:x14ac="http://schemas.microsoft.com/office/spreadsheetml/2009/9/ac" r="19" x14ac:dyDescent="0.25">
      <c r="B19" t="s">
        <v>27</v>
      </c>
      <c r="C19" t="s">
        <v>27</v>
      </c>
      <c r="D19" t="s">
        <v>27</v>
      </c>
      <c r="E19" t="s">
        <v>26</v>
      </c>
      <c r="F19" t="s">
        <v>26</v>
      </c>
      <c r="G19" t="s">
        <v>26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Table 2 combo AGI, panel A</vt:lpstr>
      <vt:lpstr>Table 2 combo Ret HH, panel A</vt:lpstr>
      <vt:lpstr>Table 2 combo panel b</vt:lpstr>
      <vt:lpstr>raw_irs</vt:lpstr>
      <vt:lpstr>raw_acs</vt:lpstr>
      <vt:lpstr>Table 2a (IRS) (Migr = Returns)</vt:lpstr>
      <vt:lpstr>Table 2b (ACS) (Migr = HHs)</vt:lpstr>
      <vt:lpstr>Table 2a (IRS) (Migr=AGI)</vt:lpstr>
      <vt:lpstr>Table 2b (ACS) (Migr = income)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Conway</dc:creator>
  <cp:lastModifiedBy>Iselin, John</cp:lastModifiedBy>
  <dcterms:created xsi:type="dcterms:W3CDTF">2026-01-20T19:40:10Z</dcterms:created>
  <dcterms:modified xsi:type="dcterms:W3CDTF">2026-01-20T23:01:57Z</dcterms:modified>
</cp:coreProperties>
</file>