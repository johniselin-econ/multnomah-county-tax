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252\Documents\GitHub\multnomah-county-tax\data\"/>
    </mc:Choice>
  </mc:AlternateContent>
  <xr:revisionPtr revIDLastSave="0" documentId="13_ncr:1_{5AE666BF-1C9C-4189-9E93-E786BE105834}" xr6:coauthVersionLast="47" xr6:coauthVersionMax="47" xr10:uidLastSave="{00000000-0000-0000-0000-000000000000}"/>
  <bookViews>
    <workbookView xWindow="-120" yWindow="-120" windowWidth="29040" windowHeight="15720" firstSheet="1" activeTab="1"/>
  </bookViews>
  <sheets>
    <sheet name="ANALYSIS" sheetId="6" r:id="rId1"/>
    <sheet name="IRS Summary" sheetId="12" r:id="rId2"/>
    <sheet name="PIVOT - IRS OUT" sheetId="8" r:id="rId3"/>
    <sheet name="PIVOT - ACS OUT" sheetId="10" r:id="rId4"/>
    <sheet name="PIVOT - IRS IN" sheetId="9" r:id="rId5"/>
    <sheet name="PIVOT - ACS IN" sheetId="11" r:id="rId6"/>
    <sheet name="DATA" sheetId="5" r:id="rId7"/>
    <sheet name="irs_o" sheetId="1" r:id="rId8"/>
    <sheet name="irs_d" sheetId="2" r:id="rId9"/>
    <sheet name="acs_o" sheetId="3" r:id="rId10"/>
    <sheet name="acs_d" sheetId="4" r:id="rId11"/>
  </sheets>
  <calcPr calcId="191029" fullCalcOnLoad="true"/>
  <pivotCaches>
    <pivotCache cacheId="0" r:id="rId12"/>
    <pivotCache cacheId="1" r:id="rId13"/>
    <pivotCache cacheId="2" r:id="rId14"/>
    <pivotCache cacheId="3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<sst xmlns="http://schemas.openxmlformats.org/spreadsheetml/2006/main" xmlns:r="http://schemas.openxmlformats.org/officeDocument/2006/relationships" xmlns:xdr="http://schemas.openxmlformats.org/drawingml/2006/spreadsheetDrawing" count="111545" uniqueCount="412">
  <si>
    <t>year</t>
  </si>
  <si>
    <t>state_fips_o</t>
  </si>
  <si>
    <t>state_name_o</t>
  </si>
  <si>
    <t>Oregon</t>
  </si>
  <si>
    <t>county_fips_o</t>
  </si>
  <si>
    <t>county_name_o</t>
  </si>
  <si>
    <t>Multnomah County</t>
  </si>
  <si>
    <t>state_fips_d</t>
  </si>
  <si>
    <t>state_name_d</t>
  </si>
  <si>
    <t>Alaska</t>
  </si>
  <si>
    <t>Arizona</t>
  </si>
  <si>
    <t>California</t>
  </si>
  <si>
    <t>Colorado</t>
  </si>
  <si>
    <t>Connecticut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</si>
  <si>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</si>
  <si>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</si>
  <si>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</si>
  <si>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</si>
  <si>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</si>
  <si>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</si>
  <si>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</si>
  <si>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</si>
  <si>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Louisiana</t>
  </si>
  <si>
    <t>Maine</t>
  </si>
  <si>
    <t>Maryland</t>
  </si>
  <si>
    <t>Massachusetts</t>
  </si>
  <si>
    <t>Michigan</t>
  </si>
  <si>
    <t>Minnesota</t>
  </si>
  <si>
    <t>Montana</t>
  </si>
  <si>
    <t>Nevada</t>
  </si>
  <si>
    <t>New Mexico</t>
  </si>
  <si>
    <t>New York</t>
  </si>
  <si>
    <t>North Carolina</t>
  </si>
  <si>
    <t>Ohio</t>
  </si>
  <si>
    <t>Pennsylvania</t>
  </si>
  <si>
    <t>Tennessee</t>
  </si>
  <si>
    <t>Texas</t>
  </si>
  <si>
    <t>Utah</t>
  </si>
  <si>
    <t>Vermont</t>
  </si>
  <si>
    <t>Virginia</t>
  </si>
  <si>
    <t>Washington</t>
  </si>
  <si>
    <t>Wisconsin</t>
  </si>
  <si>
    <t>Kansas</t>
  </si>
  <si>
    <t>Kentucky</t>
  </si>
  <si>
    <t>Missouri</t>
  </si>
  <si>
    <t>Nebraska</t>
  </si>
  <si>
    <t>New Jersey</t>
  </si>
  <si>
    <t>Oklahoma</t>
  </si>
  <si>
    <t>Rhode Island</t>
  </si>
  <si>
    <t>South Carolina</t>
  </si>
  <si>
    <t>county_fips_d</t>
  </si>
  <si>
    <t>county_name_d</t>
  </si>
  <si>
    <t>Anchorage Municipality</t>
  </si>
  <si>
    <t>Maricopa County</t>
  </si>
  <si>
    <t>Pima County</t>
  </si>
  <si>
    <t>Pinal County</t>
  </si>
  <si>
    <t>Alameda County</t>
  </si>
  <si>
    <t>Contra Costa County</t>
  </si>
  <si>
    <t>Fresno County</t>
  </si>
  <si>
    <t>Humboldt County</t>
  </si>
  <si>
    <t>Kern County</t>
  </si>
  <si>
    <t>Los Angeles County</t>
  </si>
  <si>
    <t>Marin County</t>
  </si>
  <si>
    <t>Monterey County</t>
  </si>
  <si>
    <t>Orange County</t>
  </si>
  <si>
    <t>Placer County</t>
  </si>
  <si>
    <t>Riverside County</t>
  </si>
  <si>
    <t>Sacramento County</t>
  </si>
  <si>
    <t>San Bernardino County</t>
  </si>
  <si>
    <t>San Diego County</t>
  </si>
  <si>
    <t>San Francisco County</t>
  </si>
  <si>
    <t>San Luis Obispo County</t>
  </si>
  <si>
    <t>San Mateo County</t>
  </si>
  <si>
    <t>Santa Barbara County</t>
  </si>
  <si>
    <t>Santa Clara County</t>
  </si>
  <si>
    <t>Santa Cruz County</t>
  </si>
  <si>
    <t>Shasta County</t>
  </si>
  <si>
    <t>Sonoma County</t>
  </si>
  <si>
    <t>Ventura County</t>
  </si>
  <si>
    <t>Arapahoe County</t>
  </si>
  <si>
    <t>Boulder County</t>
  </si>
  <si>
    <t>Denver County</t>
  </si>
  <si>
    <t>El Paso County</t>
  </si>
  <si>
    <t>Jefferson County</t>
  </si>
  <si>
    <t>Larimer County</t>
  </si>
  <si>
    <t>New Haven County</t>
  </si>
  <si>
    <t>Hillsborough County</t>
  </si>
  <si>
    <t>Miami-Dade County</t>
  </si>
  <si>
    <t>Palm Beach County</t>
  </si>
  <si>
    <t>Pinellas County</t>
  </si>
  <si>
    <t>DeKalb County</t>
  </si>
  <si>
    <t>Fulton County</t>
  </si>
  <si>
    <t>Hawaii County</t>
  </si>
  <si>
    <t>Honolulu County</t>
  </si>
  <si>
    <t>Maui County</t>
  </si>
  <si>
    <t>Ada County</t>
  </si>
  <si>
    <t>Canyon County</t>
  </si>
  <si>
    <t>Kootenai County</t>
  </si>
  <si>
    <t>Cook County</t>
  </si>
  <si>
    <t>Marion County</t>
  </si>
  <si>
    <t>Polk County</t>
  </si>
  <si>
    <t>Orleans Parish</t>
  </si>
  <si>
    <t>Cumberland County</t>
  </si>
  <si>
    <t>Montgomery County</t>
  </si>
  <si>
    <t>Middlesex County</t>
  </si>
  <si>
    <t>Suffolk County</t>
  </si>
  <si>
    <t>Washtenaw County</t>
  </si>
  <si>
    <t>Hennepin County</t>
  </si>
  <si>
    <t>Ramsey County</t>
  </si>
  <si>
    <t>Gallatin County</t>
  </si>
  <si>
    <t>Missoula County</t>
  </si>
  <si>
    <t>Yellowstone County</t>
  </si>
  <si>
    <t>Clark County</t>
  </si>
  <si>
    <t>Washoe County</t>
  </si>
  <si>
    <t>Bernalillo County</t>
  </si>
  <si>
    <t>Santa Fe County</t>
  </si>
  <si>
    <t>Kings County</t>
  </si>
  <si>
    <t>New York County</t>
  </si>
  <si>
    <t>Queens County</t>
  </si>
  <si>
    <t>Westchester County</t>
  </si>
  <si>
    <t>Buncombe County</t>
  </si>
  <si>
    <t>Mecklenburg County</t>
  </si>
  <si>
    <t>Franklin County</t>
  </si>
  <si>
    <t>Baker County</t>
  </si>
  <si>
    <t>Benton County</t>
  </si>
  <si>
    <t>Clackamas County</t>
  </si>
  <si>
    <t>Clatsop County</t>
  </si>
  <si>
    <t>Columbia County</t>
  </si>
  <si>
    <t>Coos County</t>
  </si>
  <si>
    <t>Crook County</t>
  </si>
  <si>
    <t>Deschutes County</t>
  </si>
  <si>
    <t>Douglas County</t>
  </si>
  <si>
    <t>Hood River County</t>
  </si>
  <si>
    <t>Jackson County</t>
  </si>
  <si>
    <t>Josephine County</t>
  </si>
  <si>
    <t>Klamath County</t>
  </si>
  <si>
    <t>Lane County</t>
  </si>
  <si>
    <t>Lincoln County</t>
  </si>
  <si>
    <t>Linn County</t>
  </si>
  <si>
    <t>Tillamook County</t>
  </si>
  <si>
    <t>Umatilla County</t>
  </si>
  <si>
    <t>Union County</t>
  </si>
  <si>
    <t>Wasco County</t>
  </si>
  <si>
    <t>Washington County</t>
  </si>
  <si>
    <t>Yamhill County</t>
  </si>
  <si>
    <t>Allegheny County</t>
  </si>
  <si>
    <t>Philadelphia County</t>
  </si>
  <si>
    <t>Davidson County</t>
  </si>
  <si>
    <t>Knox County</t>
  </si>
  <si>
    <t>Bexar County</t>
  </si>
  <si>
    <t>Dallas County</t>
  </si>
  <si>
    <t>Harris County</t>
  </si>
  <si>
    <t>Tarrant County</t>
  </si>
  <si>
    <t>Travis County</t>
  </si>
  <si>
    <t>Salt Lake County</t>
  </si>
  <si>
    <t>Chittenden County</t>
  </si>
  <si>
    <t>Fairfax County</t>
  </si>
  <si>
    <t>Cowlitz County</t>
  </si>
  <si>
    <t>Grays Harbor County</t>
  </si>
  <si>
    <t>Island County</t>
  </si>
  <si>
    <t>King County</t>
  </si>
  <si>
    <t>Kitsap County</t>
  </si>
  <si>
    <t>Klickitat County</t>
  </si>
  <si>
    <t>Lewis County</t>
  </si>
  <si>
    <t>Pacific County</t>
  </si>
  <si>
    <t>Pierce County</t>
  </si>
  <si>
    <t>Skamania County</t>
  </si>
  <si>
    <t>Snohomish County</t>
  </si>
  <si>
    <t>Spokane County</t>
  </si>
  <si>
    <t>Thurston County</t>
  </si>
  <si>
    <t>Walla Walla County</t>
  </si>
  <si>
    <t>Whatcom County</t>
  </si>
  <si>
    <t>Yakima County</t>
  </si>
  <si>
    <t>Dane County</t>
  </si>
  <si>
    <t>Milwaukee County</t>
  </si>
  <si>
    <t>Coconino County</t>
  </si>
  <si>
    <t>Yavapai County</t>
  </si>
  <si>
    <t>Butte County</t>
  </si>
  <si>
    <t>Mendocino County</t>
  </si>
  <si>
    <t>San Joaquin County</t>
  </si>
  <si>
    <t>Solano County</t>
  </si>
  <si>
    <t>Yolo County</t>
  </si>
  <si>
    <t>Hartford County</t>
  </si>
  <si>
    <t>Broward County</t>
  </si>
  <si>
    <t>Duval County</t>
  </si>
  <si>
    <t>Kauai County</t>
  </si>
  <si>
    <t>Blaine County</t>
  </si>
  <si>
    <t>DuPage County</t>
  </si>
  <si>
    <t>Johnson County</t>
  </si>
  <si>
    <t>Prince George's County</t>
  </si>
  <si>
    <t>Baltimore city</t>
  </si>
  <si>
    <t>Hampshire County</t>
  </si>
  <si>
    <t>Norfolk County</t>
  </si>
  <si>
    <t>Kent County</t>
  </si>
  <si>
    <t>Oakland County</t>
  </si>
  <si>
    <t>Wayne County</t>
  </si>
  <si>
    <t>Greene County</t>
  </si>
  <si>
    <t>St. Louis County</t>
  </si>
  <si>
    <t>St. Louis city</t>
  </si>
  <si>
    <t>Flathead County</t>
  </si>
  <si>
    <t>Lewis and Clark County</t>
  </si>
  <si>
    <t>Hudson County</t>
  </si>
  <si>
    <t>Erie County</t>
  </si>
  <si>
    <t>Monroe County</t>
  </si>
  <si>
    <t>Onondaga County</t>
  </si>
  <si>
    <t>Durham County</t>
  </si>
  <si>
    <t>Wake County</t>
  </si>
  <si>
    <t>Cuyahoga County</t>
  </si>
  <si>
    <t>Hamilton County</t>
  </si>
  <si>
    <t>Oklahoma County</t>
  </si>
  <si>
    <t>Curry County</t>
  </si>
  <si>
    <t>Wallowa County</t>
  </si>
  <si>
    <t>Providence County</t>
  </si>
  <si>
    <t>Charleston County</t>
  </si>
  <si>
    <t>Spartanburg County</t>
  </si>
  <si>
    <t>Shelby County</t>
  </si>
  <si>
    <t>Collin County</t>
  </si>
  <si>
    <t>Williamson County</t>
  </si>
  <si>
    <t>Davis County</t>
  </si>
  <si>
    <t>Utah County</t>
  </si>
  <si>
    <t>Weber County</t>
  </si>
  <si>
    <t>Arlington County</t>
  </si>
  <si>
    <t>Clallam County</t>
  </si>
  <si>
    <t>Skagit County</t>
  </si>
  <si>
    <t>Mohave County</t>
  </si>
  <si>
    <t>Adams County</t>
  </si>
  <si>
    <t>Lee County</t>
  </si>
  <si>
    <t>Richmond city</t>
  </si>
  <si>
    <t>Whitman County</t>
  </si>
  <si>
    <t>El Dorado County</t>
  </si>
  <si>
    <t>Nevada County</t>
  </si>
  <si>
    <t>Sarasota County</t>
  </si>
  <si>
    <t>Lake County</t>
  </si>
  <si>
    <t>Tulsa County</t>
  </si>
  <si>
    <t>Denton County</t>
  </si>
  <si>
    <t>Hays County</t>
  </si>
  <si>
    <t>Chelan County</t>
  </si>
  <si>
    <t>Mason County</t>
  </si>
  <si>
    <t>San Juan County</t>
  </si>
  <si>
    <t>Stevens County</t>
  </si>
  <si>
    <t>Yuma County</t>
  </si>
  <si>
    <t>Fairfield County</t>
  </si>
  <si>
    <t>Manatee County</t>
  </si>
  <si>
    <t>Cobb County</t>
  </si>
  <si>
    <t>Bonner County</t>
  </si>
  <si>
    <t>Bonneville County</t>
  </si>
  <si>
    <t>Allen County</t>
  </si>
  <si>
    <t>Christian County</t>
  </si>
  <si>
    <t>Malheur County</t>
  </si>
  <si>
    <t>Pasco County</t>
  </si>
  <si>
    <t>Volusia County</t>
  </si>
  <si>
    <t>Gwinnett County</t>
  </si>
  <si>
    <t>Greenville County</t>
  </si>
  <si>
    <t>Fort Bend County</t>
  </si>
  <si>
    <t>n1</t>
  </si>
  <si>
    <t>n2</t>
  </si>
  <si>
    <t>agi</t>
  </si>
  <si>
    <t>n1_mover</t>
  </si>
  <si>
    <t>n2_mover</t>
  </si>
  <si>
    <t>agi_mover</t>
  </si>
  <si>
    <t>n1_total</t>
  </si>
  <si>
    <t>n2_total</t>
  </si>
  <si>
    <t>agi_total</t>
  </si>
  <si>
    <t>fips</t>
  </si>
  <si>
    <t>fips_o</t>
  </si>
  <si>
    <t>fips_d</t>
  </si>
  <si>
    <t>multnomah_o</t>
  </si>
  <si>
    <t>multnomah_d</t>
  </si>
  <si>
    <t>Alabama</t>
  </si>
  <si>
    <t>New Hampshire</t>
  </si>
  <si>
    <t>Mississippi</t>
  </si>
  <si>
    <t>Wyoming</t>
  </si>
  <si>
    <t>Arkansas</t>
  </si>
  <si>
    <t>North Dakota</t>
  </si>
  <si>
    <t>West Virginia</t>
  </si>
  <si>
    <t>South Dakota</t>
  </si>
  <si>
    <t>Other</t>
  </si>
  <si>
    <t>Brevard County</t>
  </si>
  <si>
    <t>Okaloosa County</t>
  </si>
  <si>
    <t>Kane County</t>
  </si>
  <si>
    <t>Mobile County</t>
  </si>
  <si>
    <t>Tolland County</t>
  </si>
  <si>
    <t>St. Joseph County</t>
  </si>
  <si>
    <t>Fayette County</t>
  </si>
  <si>
    <t>Baltimore County</t>
  </si>
  <si>
    <t>Frederick County</t>
  </si>
  <si>
    <t>Mercer County</t>
  </si>
  <si>
    <t>Sandoval County</t>
  </si>
  <si>
    <t>Bronx County</t>
  </si>
  <si>
    <t>Dutchess County</t>
  </si>
  <si>
    <t>Tompkins County</t>
  </si>
  <si>
    <t>Guilford County</t>
  </si>
  <si>
    <t>Delaware County</t>
  </si>
  <si>
    <t>Newport News city</t>
  </si>
  <si>
    <t>Virginia Beach city</t>
  </si>
  <si>
    <t>Collier County</t>
  </si>
  <si>
    <t>St. Clair County</t>
  </si>
  <si>
    <t>Hidalgo County</t>
  </si>
  <si>
    <t>Nueces County</t>
  </si>
  <si>
    <t>Napa County</t>
  </si>
  <si>
    <t>Macomb County</t>
  </si>
  <si>
    <t>DoÃ±a Ana County</t>
  </si>
  <si>
    <t>Litchfield County</t>
  </si>
  <si>
    <t>Seminole County</t>
  </si>
  <si>
    <t>Tippecanoe County</t>
  </si>
  <si>
    <t>Essex County</t>
  </si>
  <si>
    <t>Bell County</t>
  </si>
  <si>
    <t>Clarke County</t>
  </si>
  <si>
    <t>Madison County</t>
  </si>
  <si>
    <t>Warren County</t>
  </si>
  <si>
    <t>Muskegon County</t>
  </si>
  <si>
    <t>Burlington County</t>
  </si>
  <si>
    <t>Centre County</t>
  </si>
  <si>
    <t>Lubbock County</t>
  </si>
  <si>
    <t>St. Charles County</t>
  </si>
  <si>
    <t>Albany County</t>
  </si>
  <si>
    <t>Nassau County</t>
  </si>
  <si>
    <t>Rensselaer County</t>
  </si>
  <si>
    <t>Bucks County</t>
  </si>
  <si>
    <t>Horry County</t>
  </si>
  <si>
    <t>Rutherford County</t>
  </si>
  <si>
    <t>Comal County</t>
  </si>
  <si>
    <t>Martin County</t>
  </si>
  <si>
    <t>Plymouth County</t>
  </si>
  <si>
    <t>Berks County</t>
  </si>
  <si>
    <t>Stanislaus County</t>
  </si>
  <si>
    <t>Bartow County</t>
  </si>
  <si>
    <t>Chatham County</t>
  </si>
  <si>
    <t>Kalamazoo County</t>
  </si>
  <si>
    <t>Camden County</t>
  </si>
  <si>
    <t>Hunterdon County</t>
  </si>
  <si>
    <t>Chautauqua County</t>
  </si>
  <si>
    <t>Berkeley County</t>
  </si>
  <si>
    <t>Henrico County</t>
  </si>
  <si>
    <t>Alexandria city</t>
  </si>
  <si>
    <t>Hampton city</t>
  </si>
  <si>
    <t>Winnebago County</t>
  </si>
  <si>
    <t>persons</t>
  </si>
  <si>
    <t>households</t>
  </si>
  <si>
    <t>income_total</t>
  </si>
  <si>
    <t>Sum of n1</t>
  </si>
  <si>
    <t>Percent</t>
  </si>
  <si>
    <t>Cumulative</t>
  </si>
  <si>
    <t>Delaware</t>
  </si>
  <si>
    <t>Fairbanks North Star Borough</t>
  </si>
  <si>
    <t>Leon County</t>
  </si>
  <si>
    <t>Juneau City and Borough</t>
  </si>
  <si>
    <t>Kenai Peninsula Borough</t>
  </si>
  <si>
    <t>Weld County</t>
  </si>
  <si>
    <t>New Castle County</t>
  </si>
  <si>
    <t>Alachua County</t>
  </si>
  <si>
    <t>Champaign County</t>
  </si>
  <si>
    <t>Sedgwick County</t>
  </si>
  <si>
    <t>Howard County</t>
  </si>
  <si>
    <t>Worcester County</t>
  </si>
  <si>
    <t>Ingham County</t>
  </si>
  <si>
    <t>Lancaster County</t>
  </si>
  <si>
    <t>Bergen County</t>
  </si>
  <si>
    <t>Cass County</t>
  </si>
  <si>
    <t>Cleveland County</t>
  </si>
  <si>
    <t>Chester County</t>
  </si>
  <si>
    <t>Anne Arundel County</t>
  </si>
  <si>
    <t>Will County</t>
  </si>
  <si>
    <t>Dakota County</t>
  </si>
  <si>
    <t>East Baton Rouge Parish</t>
  </si>
  <si>
    <t>Tulare County</t>
  </si>
  <si>
    <t>McLean County</t>
  </si>
  <si>
    <t>Summit County</t>
  </si>
  <si>
    <t>Pulaski County</t>
  </si>
  <si>
    <t>Black Hawk County</t>
  </si>
  <si>
    <t>Caddo Parish</t>
  </si>
  <si>
    <t>Kennebec County</t>
  </si>
  <si>
    <t>St. Tammany Parish</t>
  </si>
  <si>
    <t>Catawba County</t>
  </si>
  <si>
    <t>Taylor County</t>
  </si>
  <si>
    <t>Waukesha County</t>
  </si>
  <si>
    <t>Merced County</t>
  </si>
  <si>
    <t>Butler County</t>
  </si>
  <si>
    <t>Chesterfield County</t>
  </si>
  <si>
    <t>Loudoun County</t>
  </si>
  <si>
    <t>Sheboygan County</t>
  </si>
  <si>
    <t>New London County</t>
  </si>
  <si>
    <t>Escambia County</t>
  </si>
  <si>
    <t>Morris County</t>
  </si>
  <si>
    <t>Forsyth County</t>
  </si>
  <si>
    <t>Madera County</t>
  </si>
  <si>
    <t>LaPorte County</t>
  </si>
  <si>
    <t>York County</t>
  </si>
  <si>
    <t>Cherokee County</t>
  </si>
  <si>
    <t>Wyandotte County</t>
  </si>
  <si>
    <t>Ocean County</t>
  </si>
  <si>
    <t>Sussex County</t>
  </si>
  <si>
    <t>Saratoga County</t>
  </si>
  <si>
    <t>Lorain County</t>
  </si>
  <si>
    <t>Clay County</t>
  </si>
  <si>
    <t>Coweta County</t>
  </si>
  <si>
    <t>Berkshire County</t>
  </si>
  <si>
    <t>Olmsted County</t>
  </si>
  <si>
    <t>mover</t>
  </si>
  <si>
    <t>Sum of households</t>
  </si>
  <si>
    <t>(Multiple Items)</t>
  </si>
  <si>
    <t>state</t>
  </si>
  <si>
    <t>county</t>
  </si>
  <si>
    <t>Out Migration, Returns</t>
  </si>
  <si>
    <t>In Migration, Returns</t>
  </si>
  <si>
    <t>Rank Out</t>
  </si>
  <si>
    <t>Rank In</t>
  </si>
  <si>
    <t>Percent Out</t>
  </si>
  <si>
    <t>Percent In</t>
  </si>
  <si>
    <t>Cumul. Percent Out</t>
  </si>
  <si>
    <t>Cumul. Percent In</t>
  </si>
  <si>
    <t/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</si>
</sst>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43" formatCode="_(* #,##0.00_);_(* \(#,##0.00\);_(* &quot;-&quot;??_);_(@_)"/>
    <numFmt numFmtId="164" formatCode="0.0%"/>
  </numFmts>
  <fonts count="2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9" fontId="1" fillId="0" borderId="0" applyFont="false" applyFill="false" applyBorder="false" applyAlignment="false" applyProtection="false"/>
    <xf numFmtId="43" fontId="1" fillId="0" borderId="0" applyFont="false" applyFill="false" applyBorder="false" applyAlignment="false" applyProtection="false"/>
  </cellStyleXfs>
  <cellXfs count="11">
    <xf numFmtId="0" fontId="0" fillId="0" borderId="0" xfId="0"/>
    <xf numFmtId="1" fontId="0" fillId="0" borderId="1" xfId="0" applyNumberFormat="true" applyBorder="true"/>
    <xf numFmtId="0" fontId="0" fillId="0" borderId="0" xfId="0" pivotButton="true"/>
    <xf numFmtId="1" fontId="0" fillId="0" borderId="0" xfId="0" applyNumberFormat="true"/>
    <xf numFmtId="1" fontId="0" fillId="0" borderId="0" xfId="0" applyNumberFormat="true" applyAlignment="true">
      <alignment horizontal="left"/>
    </xf>
    <xf numFmtId="9" fontId="0" fillId="0" borderId="0" xfId="1" applyFont="true"/>
    <xf numFmtId="9" fontId="0" fillId="0" borderId="0" xfId="0" applyNumberFormat="true"/>
    <xf numFmtId="0" fontId="0" fillId="0" borderId="0" xfId="0" applyAlignment="true">
      <alignment horizontal="left"/>
    </xf>
    <xf numFmtId="43" fontId="0" fillId="0" borderId="0" xfId="2" applyFont="true"/>
    <xf numFmtId="164" fontId="0" fillId="0" borderId="0" xfId="1" applyNumberFormat="true" applyFont="true"/>
    <xf numFmtId="164" fontId="0" fillId="0" borderId="0" xfId="0" applyNumberFormat="true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pivotCache/pivotCacheDefinition2.xml" Type="http://schemas.openxmlformats.org/officeDocument/2006/relationships/pivotCacheDefinition" Id="rId13"/><Relationship Target="sharedStrings.xml" Type="http://schemas.openxmlformats.org/officeDocument/2006/relationships/sharedStrings" Id="rId1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pivotCache/pivotCacheDefinition1.xml" Type="http://schemas.openxmlformats.org/officeDocument/2006/relationships/pivotCacheDefinition" Id="rId12"/><Relationship Target="styles.xml" Type="http://schemas.openxmlformats.org/officeDocument/2006/relationships/styles" Id="rId17"/><Relationship Target="worksheets/sheet2.xml" Type="http://schemas.openxmlformats.org/officeDocument/2006/relationships/worksheet" Id="rId2"/><Relationship Target="theme/theme1.xml" Type="http://schemas.openxmlformats.org/officeDocument/2006/relationships/theme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5.xml" Type="http://schemas.openxmlformats.org/officeDocument/2006/relationships/worksheet" Id="rId5"/><Relationship Target="pivotCache/pivotCacheDefinition4.xml" Type="http://schemas.openxmlformats.org/officeDocument/2006/relationships/pivotCacheDefinition" Id="rId15"/><Relationship Target="worksheets/sheet10.xml" Type="http://schemas.openxmlformats.org/officeDocument/2006/relationships/worksheet" Id="rId10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pivotCache/pivotCacheDefinition3.xml" Type="http://schemas.openxmlformats.org/officeDocument/2006/relationships/pivotCacheDefinition" Id="rId14"/></Relationships>
</file>

<file path=xl/pivotCache/_rels/pivotCacheDefinition1.xml.rels><?xml version="1.0" encoding="UTF-8"?><Relationships xmlns="http://schemas.openxmlformats.org/package/2006/relationships"><Relationship Target="pivotCacheRecords1.xml" Type="http://schemas.openxmlformats.org/officeDocument/2006/relationships/pivotCacheRecords" Id="rId1"/></Relationships>
</file>

<file path=xl/pivotCache/_rels/pivotCacheDefinition2.xml.rels><?xml version="1.0" encoding="UTF-8"?><Relationships xmlns="http://schemas.openxmlformats.org/package/2006/relationships"><Relationship Target="pivotCacheRecords2.xml" Type="http://schemas.openxmlformats.org/officeDocument/2006/relationships/pivotCacheRecords" Id="rId1"/></Relationships>
</file>

<file path=xl/pivotCache/_rels/pivotCacheDefinition3.xml.rels><?xml version="1.0" encoding="UTF-8"?><Relationships xmlns="http://schemas.openxmlformats.org/package/2006/relationships"><Relationship Target="pivotCacheRecords3.xml" Type="http://schemas.openxmlformats.org/officeDocument/2006/relationships/pivotCacheRecords" Id="rId1"/></Relationships>
</file>

<file path=xl/pivotCache/_rels/pivotCacheDefinition4.xml.rels><?xml version="1.0" encoding="UTF-8"?><Relationships xmlns="http://schemas.openxmlformats.org/package/2006/relationships"><Relationship Target="pivotCacheRecords4.xml" Type="http://schemas.openxmlformats.org/officeDocument/2006/relationships/pivotCacheRecords" Id="rId1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606377315" createdVersion="8" refreshedVersion="8" minRefreshableVersion="3" recordCount="1132" xr:uid="{A21CB66F-AA1E-4D3A-BF42-9103500F4066}">
  <cacheSource type="worksheet">
    <worksheetSource ref="A1:W1133" sheet="irs_d"/>
  </cacheSource>
  <cacheFields count="23">
    <cacheField name="year" numFmtId="1">
      <sharedItems containsSemiMixedTypes="0" containsString="0" containsNumber="1" containsInteger="1" minValue="2015" maxValue="2021" count="7">
        <n v="2015"/>
        <n v="2016"/>
        <n v="2017"/>
        <n v="2018"/>
        <n v="2019"/>
        <n v="2020"/>
        <n v="2021"/>
      </sharedItems>
    </cacheField>
    <cacheField name="state_fips_o" numFmtId="1">
      <sharedItems containsSemiMixedTypes="0" containsString="0" containsNumber="1" containsInteger="1" minValue="2" maxValue="55"/>
    </cacheField>
    <cacheField name="state_name_o" numFmtId="0">
      <sharedItems count="45">
        <s v="Alaska"/>
        <s v="Arizona"/>
        <s v="California"/>
        <s v="Colorado"/>
        <s v="Connecticut"/>
        <s v="District of Columbia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ouri"/>
        <s v="Montana"/>
        <s v="Nebraska"/>
        <s v="Nevada"/>
        <s v="New Jersey"/>
        <s v="New Mexico"/>
        <s v="New York"/>
        <s v="North Carolina"/>
        <s v="Ohio"/>
        <s v="Oklahoma"/>
        <s v="Oregon"/>
        <s v="Pennsylvania"/>
        <s v="Rhode Island"/>
        <s v="Tennessee"/>
        <s v="Texas"/>
        <s v="Utah"/>
        <s v="Vermont"/>
        <s v="Virginia"/>
        <s v="Washington"/>
        <s v="Wisconsin"/>
        <s v="Delaware"/>
        <s v="New Hampshire"/>
        <s v="North Dakota"/>
        <s v="South Carolina"/>
      </sharedItems>
    </cacheField>
    <cacheField name="county_fips_o" numFmtId="1">
      <sharedItems containsSemiMixedTypes="0" containsString="0" containsNumber="1" containsInteger="1" minValue="1" maxValue="760"/>
    </cacheField>
    <cacheField name="county_name_o" numFmtId="0">
      <sharedItems count="211">
        <s v="Anchorage Municipality"/>
        <s v="Fairbanks North Star Borough"/>
        <s v="Coconino County"/>
        <s v="Maricopa County"/>
        <s v="Pima County"/>
        <s v="Yavapai County"/>
        <s v="Alameda County"/>
        <s v="Butte County"/>
        <s v="Contra Costa County"/>
        <s v="El Dorado County"/>
        <s v="Fresno County"/>
        <s v="Humboldt County"/>
        <s v="Kern County"/>
        <s v="Los Angeles County"/>
        <s v="Marin County"/>
        <s v="Mendocino County"/>
        <s v="Monterey County"/>
        <s v="Napa County"/>
        <s v="Orange County"/>
        <s v="Placer County"/>
        <s v="Riverside County"/>
        <s v="Sacramento County"/>
        <s v="San Bernardino County"/>
        <s v="San Diego County"/>
        <s v="San Francisco County"/>
        <s v="San Joaquin County"/>
        <s v="San Luis Obispo County"/>
        <s v="San Mateo County"/>
        <s v="Santa Barbara County"/>
        <s v="Santa Clara County"/>
        <s v="Santa Cruz County"/>
        <s v="Shasta County"/>
        <s v="Solano County"/>
        <s v="Sonoma County"/>
        <s v="Stanislaus County"/>
        <s v="Ventura County"/>
        <s v="Yolo County"/>
        <s v="Adams County"/>
        <s v="Arapahoe County"/>
        <s v="Boulder County"/>
        <s v="Denver County"/>
        <s v="El Paso County"/>
        <s v="Jefferson County"/>
        <s v="Larimer County"/>
        <s v="Fairfield County"/>
        <s v="New Haven County"/>
        <s v="District of Columbia"/>
        <s v="Broward County"/>
        <s v="Duval County"/>
        <s v="Hillsborough County"/>
        <s v="Lee County"/>
        <s v="Leon County"/>
        <s v="Miami-Dade County"/>
        <s v="Palm Beach County"/>
        <s v="Pinellas County"/>
        <s v="Cobb County"/>
        <s v="DeKalb County"/>
        <s v="Fulton County"/>
        <s v="Hawaii County"/>
        <s v="Honolulu County"/>
        <s v="Kauai County"/>
        <s v="Maui County"/>
        <s v="Ada County"/>
        <s v="Canyon County"/>
        <s v="Kootenai County"/>
        <s v="Cook County"/>
        <s v="DuPage County"/>
        <s v="Lake County"/>
        <s v="Marion County"/>
        <s v="Monroe County"/>
        <s v="Polk County"/>
        <s v="Johnson County"/>
        <s v="Orleans Parish"/>
        <s v="Cumberland County"/>
        <s v="Montgomery County"/>
        <s v="Baltimore city"/>
        <s v="Essex County"/>
        <s v="Hampshire County"/>
        <s v="Middlesex County"/>
        <s v="Norfolk County"/>
        <s v="Suffolk County"/>
        <s v="Kent County"/>
        <s v="Oakland County"/>
        <s v="Washtenaw County"/>
        <s v="Wayne County"/>
        <s v="Hennepin County"/>
        <s v="Ramsey County"/>
        <s v="Jackson County"/>
        <s v="St. Louis County"/>
        <s v="St. Louis city"/>
        <s v="Gallatin County"/>
        <s v="Lewis and Clark County"/>
        <s v="Missoula County"/>
        <s v="Douglas County"/>
        <s v="Clark County"/>
        <s v="Washoe County"/>
        <s v="Hudson County"/>
        <s v="Bernalillo County"/>
        <s v="Santa Fe County"/>
        <s v="Erie County"/>
        <s v="Kings County"/>
        <s v="Nassau County"/>
        <s v="New York County"/>
        <s v="Queens County"/>
        <s v="Westchester County"/>
        <s v="Buncombe County"/>
        <s v="Mecklenburg County"/>
        <s v="Wake County"/>
        <s v="Cuyahoga County"/>
        <s v="Franklin County"/>
        <s v="Hamilton County"/>
        <s v="Oklahoma County"/>
        <s v="Tulsa County"/>
        <s v="Benton County"/>
        <s v="Clackamas County"/>
        <s v="Clatsop County"/>
        <s v="Columbia County"/>
        <s v="Coos County"/>
        <s v="Deschutes County"/>
        <s v="Hood River County"/>
        <s v="Josephine County"/>
        <s v="Klamath County"/>
        <s v="Lane County"/>
        <s v="Lincoln County"/>
        <s v="Linn County"/>
        <s v="Tillamook County"/>
        <s v="Umatilla County"/>
        <s v="Wasco County"/>
        <s v="Washington County"/>
        <s v="Yamhill County"/>
        <s v="Allegheny County"/>
        <s v="Philadelphia County"/>
        <s v="Providence County"/>
        <s v="Davidson County"/>
        <s v="Knox County"/>
        <s v="Shelby County"/>
        <s v="Bexar County"/>
        <s v="Collin County"/>
        <s v="Dallas County"/>
        <s v="Harris County"/>
        <s v="Tarrant County"/>
        <s v="Travis County"/>
        <s v="Williamson County"/>
        <s v="Salt Lake County"/>
        <s v="Utah County"/>
        <s v="Weber County"/>
        <s v="Chittenden County"/>
        <s v="Arlington County"/>
        <s v="Fairfax County"/>
        <s v="Richmond city"/>
        <s v="Cowlitz County"/>
        <s v="King County"/>
        <s v="Kitsap County"/>
        <s v="Klickitat County"/>
        <s v="Pacific County"/>
        <s v="Pierce County"/>
        <s v="Skagit County"/>
        <s v="Skamania County"/>
        <s v="Snohomish County"/>
        <s v="Spokane County"/>
        <s v="Thurston County"/>
        <s v="Walla Walla County"/>
        <s v="Whatcom County"/>
        <s v="Yakima County"/>
        <s v="Dane County"/>
        <s v="Milwaukee County"/>
        <s v="Juneau City and Borough"/>
        <s v="Kenai Peninsula Borough"/>
        <s v="Nevada County"/>
        <s v="Weld County"/>
        <s v="Hartford County"/>
        <s v="New Castle County"/>
        <s v="Alachua County"/>
        <s v="Chatham County"/>
        <s v="Gwinnett County"/>
        <s v="Champaign County"/>
        <s v="Sedgwick County"/>
        <s v="Baltimore County"/>
        <s v="Howard County"/>
        <s v="Worcester County"/>
        <s v="Ingham County"/>
        <s v="Greene County"/>
        <s v="Yellowstone County"/>
        <s v="Lancaster County"/>
        <s v="Bergen County"/>
        <s v="Onondaga County"/>
        <s v="Durham County"/>
        <s v="Cass County"/>
        <s v="Cleveland County"/>
        <s v="Union County"/>
        <s v="Chester County"/>
        <s v="Charleston County"/>
        <s v="Denton County"/>
        <s v="Alexandria city"/>
        <s v="Chelan County"/>
        <s v="Island County"/>
        <s v="Whitman County"/>
        <s v="Sarasota County"/>
        <s v="Kane County"/>
        <s v="St. Joseph County"/>
        <s v="Anne Arundel County"/>
        <s v="Lewis County"/>
        <s v="Will County"/>
        <s v="Flathead County"/>
        <s v="Clallam County"/>
        <s v="Mohave County"/>
        <s v="Dakota County"/>
        <s v="Pinal County"/>
        <s v="East Baton Rouge Parish"/>
        <s v="Tulare County"/>
        <s v="Multnomah County" u="1"/>
      </sharedItems>
    </cacheField>
    <cacheField name="state_fips_d" numFmtId="1">
      <sharedItems containsSemiMixedTypes="0" containsString="0" containsNumber="1" containsInteger="1" minValue="41" maxValue="41"/>
    </cacheField>
    <cacheField name="state_name_d" numFmtId="0">
      <sharedItems/>
    </cacheField>
    <cacheField name="county_fips_d" numFmtId="1">
      <sharedItems containsSemiMixedTypes="0" containsString="0" containsNumber="1" containsInteger="1" minValue="51" maxValue="51"/>
    </cacheField>
    <cacheField name="county_name_d" numFmtId="0">
      <sharedItems/>
    </cacheField>
    <cacheField name="n1" numFmtId="1">
      <sharedItems containsSemiMixedTypes="0" containsString="0" containsNumber="1" containsInteger="1" minValue="20" maxValue="5729"/>
    </cacheField>
    <cacheField name="n2" numFmtId="1">
      <sharedItems containsSemiMixedTypes="0" containsString="0" containsNumber="1" containsInteger="1" minValue="21" maxValue="8355"/>
    </cacheField>
    <cacheField name="agi" numFmtId="1">
      <sharedItems containsSemiMixedTypes="0" containsString="0" containsNumber="1" containsInteger="1" minValue="175" maxValue="388877"/>
    </cacheField>
    <cacheField name="n1_mover" numFmtId="1">
      <sharedItems containsSemiMixedTypes="0" containsString="0" containsNumber="1" containsInteger="1" minValue="280" maxValue="188269"/>
    </cacheField>
    <cacheField name="n2_mover" numFmtId="1">
      <sharedItems containsSemiMixedTypes="0" containsString="0" containsNumber="1" containsInteger="1" minValue="542" maxValue="340909"/>
    </cacheField>
    <cacheField name="agi_mover" numFmtId="1">
      <sharedItems containsSemiMixedTypes="0" containsString="0" containsNumber="1" containsInteger="1" minValue="14314" maxValue="24510353"/>
    </cacheField>
    <cacheField name="n1_total" numFmtId="1">
      <sharedItems containsSemiMixedTypes="0" containsString="0" containsNumber="1" containsInteger="1" minValue="3938" maxValue="4122148"/>
    </cacheField>
    <cacheField name="n2_total" numFmtId="1">
      <sharedItems containsSemiMixedTypes="0" containsString="0" containsNumber="1" containsInteger="1" minValue="8246" maxValue="8100363"/>
    </cacheField>
    <cacheField name="agi_total" numFmtId="1">
      <sharedItems containsSemiMixedTypes="0" containsString="0" containsNumber="1" containsInteger="1" minValue="305255" maxValue="449229664"/>
    </cacheField>
    <cacheField name="fips" numFmtId="1">
      <sharedItems containsSemiMixedTypes="0" containsString="0" containsNumber="1" containsInteger="1" minValue="2020" maxValue="55079"/>
    </cacheField>
    <cacheField name="fips_o" numFmtId="1">
      <sharedItems containsSemiMixedTypes="0" containsString="0" containsNumber="1" containsInteger="1" minValue="2020" maxValue="55079" count="234">
        <n v="2020"/>
        <n v="2090"/>
        <n v="4005"/>
        <n v="4013"/>
        <n v="4019"/>
        <n v="4025"/>
        <n v="6001"/>
        <n v="6007"/>
        <n v="6013"/>
        <n v="6017"/>
        <n v="6019"/>
        <n v="6023"/>
        <n v="6029"/>
        <n v="6037"/>
        <n v="6041"/>
        <n v="6045"/>
        <n v="6053"/>
        <n v="6055"/>
        <n v="6059"/>
        <n v="6061"/>
        <n v="6065"/>
        <n v="6067"/>
        <n v="6071"/>
        <n v="6073"/>
        <n v="6075"/>
        <n v="6077"/>
        <n v="6079"/>
        <n v="6081"/>
        <n v="6083"/>
        <n v="6085"/>
        <n v="6087"/>
        <n v="6089"/>
        <n v="6095"/>
        <n v="6097"/>
        <n v="6099"/>
        <n v="6111"/>
        <n v="6113"/>
        <n v="8001"/>
        <n v="8005"/>
        <n v="8013"/>
        <n v="8031"/>
        <n v="8041"/>
        <n v="8059"/>
        <n v="8069"/>
        <n v="9001"/>
        <n v="9009"/>
        <n v="11001"/>
        <n v="12011"/>
        <n v="12031"/>
        <n v="12057"/>
        <n v="12071"/>
        <n v="12073"/>
        <n v="12086"/>
        <n v="12095"/>
        <n v="12099"/>
        <n v="12103"/>
        <n v="13067"/>
        <n v="13089"/>
        <n v="13121"/>
        <n v="15001"/>
        <n v="15003"/>
        <n v="15007"/>
        <n v="15009"/>
        <n v="16001"/>
        <n v="16027"/>
        <n v="16055"/>
        <n v="17031"/>
        <n v="17043"/>
        <n v="17097"/>
        <n v="18097"/>
        <n v="18105"/>
        <n v="19153"/>
        <n v="20091"/>
        <n v="21111"/>
        <n v="22071"/>
        <n v="23005"/>
        <n v="24031"/>
        <n v="24510"/>
        <n v="25009"/>
        <n v="25015"/>
        <n v="25017"/>
        <n v="25021"/>
        <n v="25025"/>
        <n v="26081"/>
        <n v="26125"/>
        <n v="26161"/>
        <n v="26163"/>
        <n v="27053"/>
        <n v="27123"/>
        <n v="29095"/>
        <n v="29189"/>
        <n v="29510"/>
        <n v="30031"/>
        <n v="30049"/>
        <n v="30063"/>
        <n v="31055"/>
        <n v="32003"/>
        <n v="32031"/>
        <n v="34017"/>
        <n v="35001"/>
        <n v="35049"/>
        <n v="36029"/>
        <n v="36047"/>
        <n v="36055"/>
        <n v="36059"/>
        <n v="36061"/>
        <n v="36081"/>
        <n v="36103"/>
        <n v="36119"/>
        <n v="37021"/>
        <n v="37119"/>
        <n v="37135"/>
        <n v="37183"/>
        <n v="39035"/>
        <n v="39049"/>
        <n v="39061"/>
        <n v="40109"/>
        <n v="40143"/>
        <n v="41003"/>
        <n v="41005"/>
        <n v="41007"/>
        <n v="41009"/>
        <n v="41011"/>
        <n v="41017"/>
        <n v="41019"/>
        <n v="41027"/>
        <n v="41029"/>
        <n v="41031"/>
        <n v="41033"/>
        <n v="41035"/>
        <n v="41039"/>
        <n v="41041"/>
        <n v="41043"/>
        <n v="41047"/>
        <n v="41053"/>
        <n v="41057"/>
        <n v="41059"/>
        <n v="41065"/>
        <n v="41067"/>
        <n v="41071"/>
        <n v="42003"/>
        <n v="42091"/>
        <n v="42101"/>
        <n v="44007"/>
        <n v="47037"/>
        <n v="47093"/>
        <n v="47157"/>
        <n v="48029"/>
        <n v="48085"/>
        <n v="48113"/>
        <n v="48141"/>
        <n v="48201"/>
        <n v="48439"/>
        <n v="48453"/>
        <n v="48491"/>
        <n v="49035"/>
        <n v="49049"/>
        <n v="49057"/>
        <n v="50007"/>
        <n v="51013"/>
        <n v="51059"/>
        <n v="51760"/>
        <n v="53005"/>
        <n v="53011"/>
        <n v="53015"/>
        <n v="53033"/>
        <n v="53035"/>
        <n v="53039"/>
        <n v="53049"/>
        <n v="53053"/>
        <n v="53057"/>
        <n v="53059"/>
        <n v="53061"/>
        <n v="53063"/>
        <n v="53067"/>
        <n v="53071"/>
        <n v="53073"/>
        <n v="53077"/>
        <n v="55025"/>
        <n v="55079"/>
        <n v="2110"/>
        <n v="2122"/>
        <n v="6057"/>
        <n v="8123"/>
        <n v="9003"/>
        <n v="10003"/>
        <n v="12001"/>
        <n v="13051"/>
        <n v="13135"/>
        <n v="17019"/>
        <n v="19103"/>
        <n v="20045"/>
        <n v="20173"/>
        <n v="24005"/>
        <n v="24027"/>
        <n v="25027"/>
        <n v="26065"/>
        <n v="29077"/>
        <n v="30111"/>
        <n v="31109"/>
        <n v="33011"/>
        <n v="34003"/>
        <n v="34013"/>
        <n v="36067"/>
        <n v="37063"/>
        <n v="38017"/>
        <n v="40027"/>
        <n v="41061"/>
        <n v="42029"/>
        <n v="42071"/>
        <n v="45019"/>
        <n v="48121"/>
        <n v="49053"/>
        <n v="51510"/>
        <n v="53007"/>
        <n v="53029"/>
        <n v="53075"/>
        <n v="8035"/>
        <n v="12115"/>
        <n v="17089"/>
        <n v="18141"/>
        <n v="24003"/>
        <n v="53041"/>
        <n v="17197"/>
        <n v="30029"/>
        <n v="53009"/>
        <n v="4015"/>
        <n v="27037"/>
        <n v="34023"/>
        <n v="53031"/>
        <n v="4021"/>
        <n v="22033"/>
        <n v="6107"/>
        <n v="41051" u="1"/>
      </sharedItems>
    </cacheField>
    <cacheField name="fips_d" numFmtId="1">
      <sharedItems containsSemiMixedTypes="0" containsString="0" containsNumber="1" containsInteger="1" minValue="41051" maxValue="41051"/>
    </cacheField>
    <cacheField name="multnomah_o" numFmtId="1">
      <sharedItems containsSemiMixedTypes="0" containsString="0" containsNumber="1" containsInteger="1" minValue="0" maxValue="0"/>
    </cacheField>
    <cacheField name="multnomah_d" numFmtId="1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6105208332" createdVersion="8" refreshedVersion="8" minRefreshableVersion="3" recordCount="1132" xr:uid="{1AE44E88-1FEB-4304-BF8A-3F53C608C853}">
  <cacheSource type="worksheet">
    <worksheetSource ref="A1:W1133" sheet="irs_o"/>
  </cacheSource>
  <cacheFields count="23">
    <cacheField name="year" numFmtId="1">
      <sharedItems containsSemiMixedTypes="0" containsString="0" containsNumber="1" containsInteger="1" minValue="2015" maxValue="2021" count="7">
        <n v="2015"/>
        <n v="2016"/>
        <n v="2017"/>
        <n v="2018"/>
        <n v="2019"/>
        <n v="2020"/>
        <n v="2021"/>
      </sharedItems>
    </cacheField>
    <cacheField name="state_fips_o" numFmtId="1">
      <sharedItems containsSemiMixedTypes="0" containsString="0" containsNumber="1" containsInteger="1" minValue="41" maxValue="41"/>
    </cacheField>
    <cacheField name="state_name_o" numFmtId="0">
      <sharedItems/>
    </cacheField>
    <cacheField name="county_fips_o" numFmtId="1">
      <sharedItems containsSemiMixedTypes="0" containsString="0" containsNumber="1" containsInteger="1" minValue="51" maxValue="51"/>
    </cacheField>
    <cacheField name="county_name_o" numFmtId="0">
      <sharedItems/>
    </cacheField>
    <cacheField name="state_fips_d" numFmtId="1">
      <sharedItems containsSemiMixedTypes="0" containsString="0" containsNumber="1" containsInteger="1" minValue="2" maxValue="55"/>
    </cacheField>
    <cacheField name="state_name_d" numFmtId="0">
      <sharedItems count="42">
        <s v="Alaska"/>
        <s v="Arizona"/>
        <s v="California"/>
        <s v="Colorado"/>
        <s v="Connecticut"/>
        <s v="District of Columbia"/>
        <s v="Florida"/>
        <s v="Georgia"/>
        <s v="Hawaii"/>
        <s v="Idaho"/>
        <s v="Illinois"/>
        <s v="Indiana"/>
        <s v="Iowa"/>
        <s v="Louisiana"/>
        <s v="Maine"/>
        <s v="Maryland"/>
        <s v="Massachusetts"/>
        <s v="Michigan"/>
        <s v="Minnesota"/>
        <s v="Montana"/>
        <s v="Nevada"/>
        <s v="New Mexico"/>
        <s v="New York"/>
        <s v="North Carolina"/>
        <s v="Ohio"/>
        <s v="Oregon"/>
        <s v="Pennsylvania"/>
        <s v="Tennessee"/>
        <s v="Texas"/>
        <s v="Utah"/>
        <s v="Vermont"/>
        <s v="Virginia"/>
        <s v="Washington"/>
        <s v="Wisconsin"/>
        <s v="Kansas"/>
        <s v="Kentucky"/>
        <s v="Missouri"/>
        <s v="Nebraska"/>
        <s v="New Jersey"/>
        <s v="Oklahoma"/>
        <s v="Rhode Island"/>
        <s v="South Carolina"/>
      </sharedItems>
    </cacheField>
    <cacheField name="county_fips_d" numFmtId="1">
      <sharedItems containsSemiMixedTypes="0" containsString="0" containsNumber="1" containsInteger="1" minValue="1" maxValue="760"/>
    </cacheField>
    <cacheField name="county_name_d" numFmtId="0">
      <sharedItems count="203">
        <s v="Anchorage Municipality"/>
        <s v="Maricopa County"/>
        <s v="Pima County"/>
        <s v="Pinal County"/>
        <s v="Alameda County"/>
        <s v="Contra Costa County"/>
        <s v="Fresno County"/>
        <s v="Humboldt County"/>
        <s v="Kern County"/>
        <s v="Los Angeles County"/>
        <s v="Marin County"/>
        <s v="Monterey County"/>
        <s v="Orange County"/>
        <s v="Placer County"/>
        <s v="Riverside County"/>
        <s v="Sacramento County"/>
        <s v="San Bernardino County"/>
        <s v="San Diego County"/>
        <s v="San Francisco County"/>
        <s v="San Luis Obispo County"/>
        <s v="San Mateo County"/>
        <s v="Santa Barbara County"/>
        <s v="Santa Clara County"/>
        <s v="Santa Cruz County"/>
        <s v="Shasta County"/>
        <s v="Sonoma County"/>
        <s v="Ventura County"/>
        <s v="Arapahoe County"/>
        <s v="Boulder County"/>
        <s v="Denver County"/>
        <s v="El Paso County"/>
        <s v="Jefferson County"/>
        <s v="Larimer County"/>
        <s v="New Haven County"/>
        <s v="District of Columbia"/>
        <s v="Hillsborough County"/>
        <s v="Miami-Dade County"/>
        <s v="Palm Beach County"/>
        <s v="Pinellas County"/>
        <s v="DeKalb County"/>
        <s v="Fulton County"/>
        <s v="Hawaii County"/>
        <s v="Honolulu County"/>
        <s v="Maui County"/>
        <s v="Ada County"/>
        <s v="Canyon County"/>
        <s v="Kootenai County"/>
        <s v="Cook County"/>
        <s v="Marion County"/>
        <s v="Polk County"/>
        <s v="Orleans Parish"/>
        <s v="Cumberland County"/>
        <s v="Montgomery County"/>
        <s v="Middlesex County"/>
        <s v="Suffolk County"/>
        <s v="Washtenaw County"/>
        <s v="Hennepin County"/>
        <s v="Ramsey County"/>
        <s v="Gallatin County"/>
        <s v="Missoula County"/>
        <s v="Yellowstone County"/>
        <s v="Clark County"/>
        <s v="Washoe County"/>
        <s v="Bernalillo County"/>
        <s v="Santa Fe County"/>
        <s v="Kings County"/>
        <s v="New York County"/>
        <s v="Queens County"/>
        <s v="Westchester County"/>
        <s v="Buncombe County"/>
        <s v="Mecklenburg County"/>
        <s v="Franklin County"/>
        <s v="Baker County"/>
        <s v="Benton County"/>
        <s v="Clackamas County"/>
        <s v="Clatsop County"/>
        <s v="Columbia County"/>
        <s v="Coos County"/>
        <s v="Crook County"/>
        <s v="Deschutes County"/>
        <s v="Douglas County"/>
        <s v="Hood River County"/>
        <s v="Jackson County"/>
        <s v="Josephine County"/>
        <s v="Klamath County"/>
        <s v="Lane County"/>
        <s v="Lincoln County"/>
        <s v="Linn County"/>
        <s v="Tillamook County"/>
        <s v="Umatilla County"/>
        <s v="Union County"/>
        <s v="Wasco County"/>
        <s v="Washington County"/>
        <s v="Yamhill County"/>
        <s v="Allegheny County"/>
        <s v="Philadelphia County"/>
        <s v="Davidson County"/>
        <s v="Knox County"/>
        <s v="Bexar County"/>
        <s v="Dallas County"/>
        <s v="Harris County"/>
        <s v="Tarrant County"/>
        <s v="Travis County"/>
        <s v="Salt Lake County"/>
        <s v="Chittenden County"/>
        <s v="Fairfax County"/>
        <s v="Cowlitz County"/>
        <s v="Grays Harbor County"/>
        <s v="Island County"/>
        <s v="King County"/>
        <s v="Kitsap County"/>
        <s v="Klickitat County"/>
        <s v="Lewis County"/>
        <s v="Pacific County"/>
        <s v="Pierce County"/>
        <s v="Skamania County"/>
        <s v="Snohomish County"/>
        <s v="Spokane County"/>
        <s v="Thurston County"/>
        <s v="Walla Walla County"/>
        <s v="Whatcom County"/>
        <s v="Yakima County"/>
        <s v="Dane County"/>
        <s v="Milwaukee County"/>
        <s v="Coconino County"/>
        <s v="Yavapai County"/>
        <s v="Butte County"/>
        <s v="Mendocino County"/>
        <s v="San Joaquin County"/>
        <s v="Solano County"/>
        <s v="Yolo County"/>
        <s v="Hartford County"/>
        <s v="Broward County"/>
        <s v="Duval County"/>
        <s v="Kauai County"/>
        <s v="Blaine County"/>
        <s v="DuPage County"/>
        <s v="Johnson County"/>
        <s v="Prince George's County"/>
        <s v="Baltimore city"/>
        <s v="Hampshire County"/>
        <s v="Norfolk County"/>
        <s v="Kent County"/>
        <s v="Oakland County"/>
        <s v="Wayne County"/>
        <s v="Greene County"/>
        <s v="St. Louis County"/>
        <s v="St. Louis city"/>
        <s v="Flathead County"/>
        <s v="Lewis and Clark County"/>
        <s v="Hudson County"/>
        <s v="Erie County"/>
        <s v="Monroe County"/>
        <s v="Onondaga County"/>
        <s v="Durham County"/>
        <s v="Wake County"/>
        <s v="Cuyahoga County"/>
        <s v="Hamilton County"/>
        <s v="Oklahoma County"/>
        <s v="Curry County"/>
        <s v="Wallowa County"/>
        <s v="Providence County"/>
        <s v="Charleston County"/>
        <s v="Spartanburg County"/>
        <s v="Shelby County"/>
        <s v="Collin County"/>
        <s v="Williamson County"/>
        <s v="Davis County"/>
        <s v="Utah County"/>
        <s v="Weber County"/>
        <s v="Arlington County"/>
        <s v="Clallam County"/>
        <s v="Skagit County"/>
        <s v="Mohave County"/>
        <s v="Adams County"/>
        <s v="Lee County"/>
        <s v="Richmond city"/>
        <s v="Whitman County"/>
        <s v="El Dorado County"/>
        <s v="Nevada County"/>
        <s v="Sarasota County"/>
        <s v="Lake County"/>
        <s v="Tulsa County"/>
        <s v="Denton County"/>
        <s v="Hays County"/>
        <s v="Chelan County"/>
        <s v="Mason County"/>
        <s v="San Juan County"/>
        <s v="Stevens County"/>
        <s v="Yuma County"/>
        <s v="Fairfield County"/>
        <s v="Manatee County"/>
        <s v="Cobb County"/>
        <s v="Bonner County"/>
        <s v="Bonneville County"/>
        <s v="Allen County"/>
        <s v="Christian County"/>
        <s v="Malheur County"/>
        <s v="Pasco County"/>
        <s v="Volusia County"/>
        <s v="Gwinnett County"/>
        <s v="Greenville County"/>
        <s v="Fort Bend County"/>
      </sharedItems>
    </cacheField>
    <cacheField name="n1" numFmtId="1">
      <sharedItems containsSemiMixedTypes="0" containsString="0" containsNumber="1" containsInteger="1" minValue="20" maxValue="7499"/>
    </cacheField>
    <cacheField name="n2" numFmtId="1">
      <sharedItems containsSemiMixedTypes="0" containsString="0" containsNumber="1" containsInteger="1" minValue="22" maxValue="13814"/>
    </cacheField>
    <cacheField name="agi" numFmtId="1">
      <sharedItems containsSemiMixedTypes="0" containsString="0" containsNumber="1" containsInteger="1" minValue="387" maxValue="586969"/>
    </cacheField>
    <cacheField name="n1_mover" numFmtId="1">
      <sharedItems containsSemiMixedTypes="0" containsString="0" containsNumber="1" containsInteger="1" minValue="27256" maxValue="39037"/>
    </cacheField>
    <cacheField name="n2_mover" numFmtId="1">
      <sharedItems containsSemiMixedTypes="0" containsString="0" containsNumber="1" containsInteger="1" minValue="44411" maxValue="65103"/>
    </cacheField>
    <cacheField name="agi_mover" numFmtId="1">
      <sharedItems containsSemiMixedTypes="0" containsString="0" containsNumber="1" containsInteger="1" minValue="1565266" maxValue="3438234"/>
    </cacheField>
    <cacheField name="n1_total" numFmtId="1">
      <sharedItems containsSemiMixedTypes="0" containsString="0" containsNumber="1" containsInteger="1" minValue="326949" maxValue="353386"/>
    </cacheField>
    <cacheField name="n2_total" numFmtId="1">
      <sharedItems containsSemiMixedTypes="0" containsString="0" containsNumber="1" containsInteger="1" minValue="611005" maxValue="638004"/>
    </cacheField>
    <cacheField name="agi_total" numFmtId="1">
      <sharedItems containsSemiMixedTypes="0" containsString="0" containsNumber="1" containsInteger="1" minValue="24887144" maxValue="36220220"/>
    </cacheField>
    <cacheField name="fips" numFmtId="1">
      <sharedItems containsSemiMixedTypes="0" containsString="0" containsNumber="1" containsInteger="1" minValue="41051" maxValue="41051"/>
    </cacheField>
    <cacheField name="fips_o" numFmtId="1">
      <sharedItems containsSemiMixedTypes="0" containsString="0" containsNumber="1" containsInteger="1" minValue="41051" maxValue="41051"/>
    </cacheField>
    <cacheField name="fips_d" numFmtId="1">
      <sharedItems containsSemiMixedTypes="0" containsString="0" containsNumber="1" containsInteger="1" minValue="2020" maxValue="55079" count="222">
        <n v="2020"/>
        <n v="4013"/>
        <n v="4019"/>
        <n v="4021"/>
        <n v="6001"/>
        <n v="6013"/>
        <n v="6019"/>
        <n v="6023"/>
        <n v="6029"/>
        <n v="6037"/>
        <n v="6041"/>
        <n v="6053"/>
        <n v="6059"/>
        <n v="6061"/>
        <n v="6065"/>
        <n v="6067"/>
        <n v="6071"/>
        <n v="6073"/>
        <n v="6075"/>
        <n v="6079"/>
        <n v="6081"/>
        <n v="6083"/>
        <n v="6085"/>
        <n v="6087"/>
        <n v="6089"/>
        <n v="6097"/>
        <n v="6111"/>
        <n v="8005"/>
        <n v="8013"/>
        <n v="8031"/>
        <n v="8041"/>
        <n v="8059"/>
        <n v="8069"/>
        <n v="9009"/>
        <n v="11001"/>
        <n v="12057"/>
        <n v="12086"/>
        <n v="12095"/>
        <n v="12099"/>
        <n v="12103"/>
        <n v="13089"/>
        <n v="13121"/>
        <n v="15001"/>
        <n v="15003"/>
        <n v="15009"/>
        <n v="16001"/>
        <n v="16027"/>
        <n v="16055"/>
        <n v="17031"/>
        <n v="18097"/>
        <n v="19153"/>
        <n v="22071"/>
        <n v="23005"/>
        <n v="24031"/>
        <n v="25017"/>
        <n v="25025"/>
        <n v="26161"/>
        <n v="27053"/>
        <n v="27123"/>
        <n v="30031"/>
        <n v="30063"/>
        <n v="30111"/>
        <n v="32003"/>
        <n v="32031"/>
        <n v="35001"/>
        <n v="35049"/>
        <n v="36047"/>
        <n v="36061"/>
        <n v="36081"/>
        <n v="36119"/>
        <n v="37021"/>
        <n v="37119"/>
        <n v="39049"/>
        <n v="41001"/>
        <n v="41003"/>
        <n v="41005"/>
        <n v="41007"/>
        <n v="41009"/>
        <n v="41011"/>
        <n v="41013"/>
        <n v="41017"/>
        <n v="41019"/>
        <n v="41027"/>
        <n v="41029"/>
        <n v="41031"/>
        <n v="41033"/>
        <n v="41035"/>
        <n v="41039"/>
        <n v="41041"/>
        <n v="41043"/>
        <n v="41047"/>
        <n v="41053"/>
        <n v="41057"/>
        <n v="41059"/>
        <n v="41061"/>
        <n v="41065"/>
        <n v="41067"/>
        <n v="41071"/>
        <n v="42003"/>
        <n v="42101"/>
        <n v="47037"/>
        <n v="47093"/>
        <n v="48029"/>
        <n v="48113"/>
        <n v="48201"/>
        <n v="48439"/>
        <n v="48453"/>
        <n v="49035"/>
        <n v="50007"/>
        <n v="51059"/>
        <n v="53005"/>
        <n v="53011"/>
        <n v="53015"/>
        <n v="53027"/>
        <n v="53029"/>
        <n v="53031"/>
        <n v="53033"/>
        <n v="53035"/>
        <n v="53039"/>
        <n v="53041"/>
        <n v="53049"/>
        <n v="53053"/>
        <n v="53059"/>
        <n v="53061"/>
        <n v="53063"/>
        <n v="53067"/>
        <n v="53071"/>
        <n v="53073"/>
        <n v="53077"/>
        <n v="55025"/>
        <n v="55079"/>
        <n v="4005"/>
        <n v="4025"/>
        <n v="6007"/>
        <n v="6045"/>
        <n v="6077"/>
        <n v="6095"/>
        <n v="6113"/>
        <n v="9003"/>
        <n v="12011"/>
        <n v="12031"/>
        <n v="15007"/>
        <n v="16013"/>
        <n v="17043"/>
        <n v="20091"/>
        <n v="21111"/>
        <n v="24033"/>
        <n v="24510"/>
        <n v="25015"/>
        <n v="25021"/>
        <n v="26081"/>
        <n v="26125"/>
        <n v="26163"/>
        <n v="29077"/>
        <n v="29095"/>
        <n v="29189"/>
        <n v="29510"/>
        <n v="30029"/>
        <n v="30049"/>
        <n v="31055"/>
        <n v="34017"/>
        <n v="36029"/>
        <n v="36055"/>
        <n v="36067"/>
        <n v="37063"/>
        <n v="37135"/>
        <n v="37183"/>
        <n v="39035"/>
        <n v="39061"/>
        <n v="40109"/>
        <n v="41015"/>
        <n v="41063"/>
        <n v="44007"/>
        <n v="45019"/>
        <n v="45083"/>
        <n v="47157"/>
        <n v="48085"/>
        <n v="48491"/>
        <n v="49011"/>
        <n v="49049"/>
        <n v="49057"/>
        <n v="51013"/>
        <n v="53009"/>
        <n v="53021"/>
        <n v="53057"/>
        <n v="4015"/>
        <n v="8001"/>
        <n v="12071"/>
        <n v="51760"/>
        <n v="53075"/>
        <n v="6017"/>
        <n v="6057"/>
        <n v="8035"/>
        <n v="12115"/>
        <n v="17097"/>
        <n v="40143"/>
        <n v="48121"/>
        <n v="48209"/>
        <n v="49053"/>
        <n v="53007"/>
        <n v="53045"/>
        <n v="53055"/>
        <n v="53065"/>
        <n v="4027"/>
        <n v="9001"/>
        <n v="12081"/>
        <n v="13067"/>
        <n v="16017"/>
        <n v="16019"/>
        <n v="18003"/>
        <n v="29043"/>
        <n v="41045"/>
        <n v="47065"/>
        <n v="48141"/>
        <n v="48339"/>
        <n v="12101"/>
        <n v="12127"/>
        <n v="13135"/>
        <n v="36103"/>
        <n v="39113"/>
        <n v="45045"/>
        <n v="48157"/>
      </sharedItems>
    </cacheField>
    <cacheField name="multnomah_o" numFmtId="1">
      <sharedItems containsSemiMixedTypes="0" containsString="0" containsNumber="1" containsInteger="1" minValue="1" maxValue="1"/>
    </cacheField>
    <cacheField name="multnomah_d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7306828701" createdVersion="8" refreshedVersion="8" minRefreshableVersion="3" recordCount="746" xr:uid="{25AF7BAF-D18E-4DC4-9CAE-831D410F21A7}">
  <cacheSource type="worksheet">
    <worksheetSource ref="A1:R747" sheet="acs_o"/>
  </cacheSource>
  <cacheFields count="18">
    <cacheField name="year" numFmtId="1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state_fips_o" numFmtId="1">
      <sharedItems containsSemiMixedTypes="0" containsString="0" containsNumber="1" containsInteger="1" minValue="41" maxValue="41" count="1">
        <n v="41"/>
      </sharedItems>
    </cacheField>
    <cacheField name="county_fips_o" numFmtId="1">
      <sharedItems containsSemiMixedTypes="0" containsString="0" containsNumber="1" containsInteger="1" minValue="51" maxValue="51"/>
    </cacheField>
    <cacheField name="state_name_o" numFmtId="0">
      <sharedItems/>
    </cacheField>
    <cacheField name="county_name_o" numFmtId="0">
      <sharedItems/>
    </cacheField>
    <cacheField name="fips_o" numFmtId="1">
      <sharedItems containsSemiMixedTypes="0" containsString="0" containsNumber="1" containsInteger="1" minValue="41051" maxValue="41051"/>
    </cacheField>
    <cacheField name="state_fips_d" numFmtId="1">
      <sharedItems containsSemiMixedTypes="0" containsString="0" containsNumber="1" containsInteger="1" minValue="1" maxValue="56"/>
    </cacheField>
    <cacheField name="county_fips_d" numFmtId="1">
      <sharedItems containsSemiMixedTypes="0" containsString="0" containsNumber="1" containsInteger="1" minValue="0" maxValue="810"/>
    </cacheField>
    <cacheField name="state_name_d" numFmtId="0">
      <sharedItems count="50">
        <s v="Alabama"/>
        <s v="Alaska"/>
        <s v="Arizona"/>
        <s v="California"/>
        <s v="Colorado"/>
        <s v="Connecticut"/>
        <s v="Florida"/>
        <s v="Georgia"/>
        <s v="Hawaii"/>
        <s v="Idaho"/>
        <s v="Illinois"/>
        <s v="Kansas"/>
        <s v="Louisiana"/>
        <s v="Maine"/>
        <s v="Maryland"/>
        <s v="Massachusetts"/>
        <s v="Michigan"/>
        <s v="Minnesota"/>
        <s v="Nevada"/>
        <s v="New Hampshire"/>
        <s v="New Mexico"/>
        <s v="New York"/>
        <s v="North Carolina"/>
        <s v="Ohio"/>
        <s v="Oregon"/>
        <s v="Pennsylvania"/>
        <s v="Texas"/>
        <s v="Utah"/>
        <s v="Washington"/>
        <s v="District of Columbia"/>
        <s v="Indiana"/>
        <s v="Kentucky"/>
        <s v="Mississippi"/>
        <s v="Montana"/>
        <s v="Nebraska"/>
        <s v="New Jersey"/>
        <s v="Rhode Island"/>
        <s v="South Carolina"/>
        <s v="Tennessee"/>
        <s v="Virginia"/>
        <s v="Wisconsin"/>
        <s v="Missouri"/>
        <s v="Oklahoma"/>
        <s v="Wyoming"/>
        <s v="Arkansas"/>
        <s v="North Dakota"/>
        <s v="Vermont"/>
        <s v="Iowa"/>
        <s v="West Virginia"/>
        <s v="South Dakota"/>
      </sharedItems>
    </cacheField>
    <cacheField name="county_name_d" numFmtId="0">
      <sharedItems count="191">
        <s v="Other"/>
        <s v="Maricopa County"/>
        <s v="Alameda County"/>
        <s v="Contra Costa County"/>
        <s v="Fresno County"/>
        <s v="Humboldt County"/>
        <s v="Los Angeles County"/>
        <s v="Orange County"/>
        <s v="Placer County"/>
        <s v="Sacramento County"/>
        <s v="San Diego County"/>
        <s v="San Francisco County"/>
        <s v="Yolo County"/>
        <s v="New Haven County"/>
        <s v="Brevard County"/>
        <s v="Okaloosa County"/>
        <s v="Honolulu County"/>
        <s v="Kane County"/>
        <s v="Orleans Parish"/>
        <s v="Baltimore city"/>
        <s v="Suffolk County"/>
        <s v="Hennepin County"/>
        <s v="Clark County"/>
        <s v="Kings County"/>
        <s v="New York County"/>
        <s v="Queens County"/>
        <s v="Franklin County"/>
        <s v="Clackamas County"/>
        <s v="Deschutes County"/>
        <s v="Douglas County"/>
        <s v="Jackson County"/>
        <s v="Lane County"/>
        <s v="Marion County"/>
        <s v="Multnomah County"/>
        <s v="Washington County"/>
        <s v="Allegheny County"/>
        <s v="Philadelphia County"/>
        <s v="El Paso County"/>
        <s v="Travis County"/>
        <s v="Salt Lake County"/>
        <s v="Utah County"/>
        <s v="King County"/>
        <s v="Kitsap County"/>
        <s v="Pierce County"/>
        <s v="Snohomish County"/>
        <s v="Spokane County"/>
        <s v="Mobile County"/>
        <s v="Pima County"/>
        <s v="San Luis Obispo County"/>
        <s v="Santa Barbara County"/>
        <s v="Santa Clara County"/>
        <s v="Solano County"/>
        <s v="Sonoma County"/>
        <s v="Ventura County"/>
        <s v="Tolland County"/>
        <s v="District of Columbia"/>
        <s v="Sarasota County"/>
        <s v="Allen County"/>
        <s v="St. Joseph County"/>
        <s v="Fayette County"/>
        <s v="Jefferson County"/>
        <s v="Baltimore County"/>
        <s v="Frederick County"/>
        <s v="Montgomery County"/>
        <s v="Mercer County"/>
        <s v="Sandoval County"/>
        <s v="Bronx County"/>
        <s v="Dutchess County"/>
        <s v="Tompkins County"/>
        <s v="Durham County"/>
        <s v="Guilford County"/>
        <s v="Mecklenburg County"/>
        <s v="Hamilton County"/>
        <s v="Delaware County"/>
        <s v="Providence County"/>
        <s v="Davidson County"/>
        <s v="Collin County"/>
        <s v="Dallas County"/>
        <s v="Tarrant County"/>
        <s v="Newport News city"/>
        <s v="Virginia Beach city"/>
        <s v="Thurston County"/>
        <s v="Dane County"/>
        <s v="Riverside County"/>
        <s v="San Mateo County"/>
        <s v="Hartford County"/>
        <s v="Collier County"/>
        <s v="Hillsborough County"/>
        <s v="Pasco County"/>
        <s v="Cook County"/>
        <s v="St. Clair County"/>
        <s v="Ramsey County"/>
        <s v="St. Louis County"/>
        <s v="Middlesex County"/>
        <s v="Monroe County"/>
        <s v="Cuyahoga County"/>
        <s v="Oklahoma County"/>
        <s v="Hidalgo County"/>
        <s v="Nueces County"/>
        <s v="Milwaukee County"/>
        <s v="Coconino County"/>
        <s v="Benton County"/>
        <s v="El Dorado County"/>
        <s v="Kern County"/>
        <s v="Marin County"/>
        <s v="Napa County"/>
        <s v="Larimer County"/>
        <s v="Broward County"/>
        <s v="Cobb County"/>
        <s v="DuPage County"/>
        <s v="Macomb County"/>
        <s v="Washoe County"/>
        <s v="DoÃ±a Ana County"/>
        <s v="Wake County"/>
        <s v="Bexar County"/>
        <s v="Arlington County"/>
        <s v="San Joaquin County"/>
        <s v="Litchfield County"/>
        <s v="Duval County"/>
        <s v="Polk County"/>
        <s v="Seminole County"/>
        <s v="Gwinnett County"/>
        <s v="Hawaii County"/>
        <s v="Bonneville County"/>
        <s v="Tippecanoe County"/>
        <s v="Wayne County"/>
        <s v="Essex County"/>
        <s v="Erie County"/>
        <s v="Bell County"/>
        <s v="Clarke County"/>
        <s v="Madison County"/>
        <s v="Johnson County"/>
        <s v="Warren County"/>
        <s v="Muskegon County"/>
        <s v="Burlington County"/>
        <s v="Hudson County"/>
        <s v="Centre County"/>
        <s v="Williamson County"/>
        <s v="Lubbock County"/>
        <s v="Davis County"/>
        <s v="Whatcom County"/>
        <s v="Yuma County"/>
        <s v="Santa Cruz County"/>
        <s v="Palm Beach County"/>
        <s v="St. Charles County"/>
        <s v="St. Louis city"/>
        <s v="Albany County"/>
        <s v="Nassau County"/>
        <s v="Rensselaer County"/>
        <s v="Buncombe County"/>
        <s v="Bucks County"/>
        <s v="Horry County"/>
        <s v="Rutherford County"/>
        <s v="Comal County"/>
        <s v="Harris County"/>
        <s v="Richmond city"/>
        <s v="Yakima County"/>
        <s v="Anchorage Municipality"/>
        <s v="Yavapai County"/>
        <s v="San Bernardino County"/>
        <s v="Shasta County"/>
        <s v="Martin County"/>
        <s v="Prince George's County"/>
        <s v="Plymouth County"/>
        <s v="Yamhill County"/>
        <s v="Berks County"/>
        <s v="Knox County"/>
        <s v="Hays County"/>
        <s v="Skagit County"/>
        <s v="Mohave County"/>
        <s v="Butte County"/>
        <s v="Stanislaus County"/>
        <s v="Lee County"/>
        <s v="Volusia County"/>
        <s v="Bartow County"/>
        <s v="Chatham County"/>
        <s v="Fulton County"/>
        <s v="Kalamazoo County"/>
        <s v="Oakland County"/>
        <s v="Gallatin County"/>
        <s v="Camden County"/>
        <s v="Hunterdon County"/>
        <s v="Chautauqua County"/>
        <s v="Tulsa County"/>
        <s v="Berkeley County"/>
        <s v="Weber County"/>
        <s v="Chittenden County"/>
        <s v="Henrico County"/>
        <s v="Alexandria city"/>
        <s v="Hampton city"/>
        <s v="Winnebago County"/>
      </sharedItems>
    </cacheField>
    <cacheField name="fips_d" numFmtId="1">
      <sharedItems containsSemiMixedTypes="0" containsString="0" containsNumber="1" containsInteger="1" minValue="1000" maxValue="56000" count="251">
        <n v="1000"/>
        <n v="2000"/>
        <n v="4000"/>
        <n v="4013"/>
        <n v="6000"/>
        <n v="6001"/>
        <n v="6013"/>
        <n v="6019"/>
        <n v="6023"/>
        <n v="6037"/>
        <n v="6059"/>
        <n v="6061"/>
        <n v="6067"/>
        <n v="6073"/>
        <n v="6075"/>
        <n v="6113"/>
        <n v="8000"/>
        <n v="9009"/>
        <n v="12000"/>
        <n v="12009"/>
        <n v="12091"/>
        <n v="13000"/>
        <n v="15000"/>
        <n v="15003"/>
        <n v="16000"/>
        <n v="17089"/>
        <n v="20000"/>
        <n v="22071"/>
        <n v="23000"/>
        <n v="24510"/>
        <n v="25000"/>
        <n v="25025"/>
        <n v="26000"/>
        <n v="27053"/>
        <n v="32000"/>
        <n v="32003"/>
        <n v="33000"/>
        <n v="35000"/>
        <n v="36000"/>
        <n v="36047"/>
        <n v="36061"/>
        <n v="36081"/>
        <n v="36103"/>
        <n v="37000"/>
        <n v="39049"/>
        <n v="41000"/>
        <n v="41005"/>
        <n v="41017"/>
        <n v="41019"/>
        <n v="41029"/>
        <n v="41039"/>
        <n v="41047"/>
        <n v="41051"/>
        <n v="41067"/>
        <n v="42003"/>
        <n v="42101"/>
        <n v="48141"/>
        <n v="48453"/>
        <n v="49035"/>
        <n v="49049"/>
        <n v="53000"/>
        <n v="53011"/>
        <n v="53033"/>
        <n v="53035"/>
        <n v="53053"/>
        <n v="53061"/>
        <n v="53063"/>
        <n v="1097"/>
        <n v="4019"/>
        <n v="6079"/>
        <n v="6083"/>
        <n v="6085"/>
        <n v="6095"/>
        <n v="6097"/>
        <n v="6111"/>
        <n v="9013"/>
        <n v="11001"/>
        <n v="12115"/>
        <n v="17000"/>
        <n v="18003"/>
        <n v="18141"/>
        <n v="21000"/>
        <n v="21067"/>
        <n v="21111"/>
        <n v="24005"/>
        <n v="24021"/>
        <n v="24031"/>
        <n v="27000"/>
        <n v="28000"/>
        <n v="30000"/>
        <n v="31055"/>
        <n v="34021"/>
        <n v="35043"/>
        <n v="36005"/>
        <n v="36027"/>
        <n v="36109"/>
        <n v="37063"/>
        <n v="37081"/>
        <n v="37119"/>
        <n v="39061"/>
        <n v="42045"/>
        <n v="44007"/>
        <n v="45000"/>
        <n v="47000"/>
        <n v="47037"/>
        <n v="48085"/>
        <n v="48113"/>
        <n v="48439"/>
        <n v="51000"/>
        <n v="51700"/>
        <n v="51810"/>
        <n v="53067"/>
        <n v="55025"/>
        <n v="6065"/>
        <n v="6081"/>
        <n v="9003"/>
        <n v="12021"/>
        <n v="12057"/>
        <n v="12101"/>
        <n v="17031"/>
        <n v="26147"/>
        <n v="27123"/>
        <n v="29189"/>
        <n v="34023"/>
        <n v="36055"/>
        <n v="39000"/>
        <n v="39035"/>
        <n v="40109"/>
        <n v="48000"/>
        <n v="48215"/>
        <n v="48339"/>
        <n v="48355"/>
        <n v="55079"/>
        <n v="56000"/>
        <n v="4005"/>
        <n v="5007"/>
        <n v="6017"/>
        <n v="6029"/>
        <n v="6041"/>
        <n v="6055"/>
        <n v="8069"/>
        <n v="12011"/>
        <n v="13067"/>
        <n v="17043"/>
        <n v="22000"/>
        <n v="26099"/>
        <n v="32031"/>
        <n v="35013"/>
        <n v="37183"/>
        <n v="38000"/>
        <n v="42000"/>
        <n v="48029"/>
        <n v="49000"/>
        <n v="50000"/>
        <n v="51013"/>
        <n v="55000"/>
        <n v="6077"/>
        <n v="9005"/>
        <n v="12031"/>
        <n v="12095"/>
        <n v="12105"/>
        <n v="12117"/>
        <n v="13135"/>
        <n v="15001"/>
        <n v="16019"/>
        <n v="18157"/>
        <n v="19000"/>
        <n v="26163"/>
        <n v="29095"/>
        <n v="34013"/>
        <n v="36029"/>
        <n v="40000"/>
        <n v="48027"/>
        <n v="13059"/>
        <n v="17119"/>
        <n v="20091"/>
        <n v="21227"/>
        <n v="26121"/>
        <n v="34005"/>
        <n v="34017"/>
        <n v="36071"/>
        <n v="42027"/>
        <n v="47187"/>
        <n v="48303"/>
        <n v="49011"/>
        <n v="53073"/>
        <n v="4027"/>
        <n v="6087"/>
        <n v="12099"/>
        <n v="18097"/>
        <n v="29000"/>
        <n v="29183"/>
        <n v="29510"/>
        <n v="31000"/>
        <n v="36001"/>
        <n v="36059"/>
        <n v="36083"/>
        <n v="37021"/>
        <n v="37135"/>
        <n v="42017"/>
        <n v="45051"/>
        <n v="47149"/>
        <n v="48091"/>
        <n v="48201"/>
        <n v="49053"/>
        <n v="51760"/>
        <n v="53077"/>
        <n v="2020"/>
        <n v="4025"/>
        <n v="6071"/>
        <n v="6089"/>
        <n v="12085"/>
        <n v="24000"/>
        <n v="24033"/>
        <n v="25017"/>
        <n v="25023"/>
        <n v="39041"/>
        <n v="41071"/>
        <n v="42011"/>
        <n v="47093"/>
        <n v="48209"/>
        <n v="48491"/>
        <n v="53057"/>
        <n v="54000"/>
        <n v="4015"/>
        <n v="6007"/>
        <n v="6099"/>
        <n v="12071"/>
        <n v="12083"/>
        <n v="12127"/>
        <n v="13015"/>
        <n v="13051"/>
        <n v="13121"/>
        <n v="25009"/>
        <n v="26077"/>
        <n v="26125"/>
        <n v="27163"/>
        <n v="30031"/>
        <n v="34007"/>
        <n v="34019"/>
        <n v="36013"/>
        <n v="40143"/>
        <n v="42049"/>
        <n v="45015"/>
        <n v="46000"/>
        <n v="49057"/>
        <n v="50007"/>
        <n v="51087"/>
        <n v="51510"/>
        <n v="51650"/>
        <n v="55139"/>
      </sharedItems>
    </cacheField>
    <cacheField name="persons" numFmtId="1">
      <sharedItems containsSemiMixedTypes="0" containsString="0" containsNumber="1" containsInteger="1" minValue="7" maxValue="596774"/>
    </cacheField>
    <cacheField name="households" numFmtId="1">
      <sharedItems containsString="0" containsBlank="1" containsNumber="1" containsInteger="1" minValue="8" maxValue="327299" count="330">
        <n v="140"/>
        <m/>
        <n v="1057"/>
        <n v="146"/>
        <n v="37"/>
        <n v="252"/>
        <n v="301"/>
        <n v="123"/>
        <n v="86"/>
        <n v="607"/>
        <n v="317"/>
        <n v="486"/>
        <n v="121"/>
        <n v="66"/>
        <n v="76"/>
        <n v="47"/>
        <n v="69"/>
        <n v="196"/>
        <n v="101"/>
        <n v="28"/>
        <n v="68"/>
        <n v="153"/>
        <n v="57"/>
        <n v="109"/>
        <n v="495"/>
        <n v="41"/>
        <n v="141"/>
        <n v="63"/>
        <n v="64"/>
        <n v="189"/>
        <n v="72"/>
        <n v="95"/>
        <n v="2496"/>
        <n v="3785"/>
        <n v="366"/>
        <n v="82"/>
        <n v="172"/>
        <n v="640"/>
        <n v="61"/>
        <n v="292849"/>
        <n v="3287"/>
        <n v="85"/>
        <n v="106"/>
        <n v="250"/>
        <n v="408"/>
        <n v="2138"/>
        <n v="1908"/>
        <n v="190"/>
        <n v="11"/>
        <n v="115"/>
        <n v="71"/>
        <n v="228"/>
        <n v="270"/>
        <n v="125"/>
        <n v="148"/>
        <n v="288"/>
        <n v="45"/>
        <n v="157"/>
        <n v="127"/>
        <n v="145"/>
        <n v="30"/>
        <n v="313"/>
        <n v="23"/>
        <n v="58"/>
        <n v="12"/>
        <n v="306"/>
        <n v="150"/>
        <n v="221"/>
        <n v="36"/>
        <n v="65"/>
        <n v="39"/>
        <n v="60"/>
        <n v="139"/>
        <n v="53"/>
        <n v="160"/>
        <n v="33"/>
        <n v="99"/>
        <n v="265"/>
        <n v="105"/>
        <n v="83"/>
        <n v="48"/>
        <n v="1430"/>
        <n v="3895"/>
        <n v="575"/>
        <n v="422"/>
        <n v="297534"/>
        <n v="4029"/>
        <n v="89"/>
        <n v="171"/>
        <n v="102"/>
        <n v="330"/>
        <n v="44"/>
        <n v="353"/>
        <n v="2453"/>
        <n v="215"/>
        <n v="419"/>
        <n v="126"/>
        <n v="271"/>
        <n v="59"/>
        <n v="111"/>
        <n v="276"/>
        <n v="195"/>
        <n v="217"/>
        <n v="103"/>
        <n v="570"/>
        <n v="70"/>
        <n v="32"/>
        <n v="108"/>
        <n v="558"/>
        <n v="257"/>
        <n v="122"/>
        <n v="97"/>
        <n v="88"/>
        <n v="292"/>
        <n v="294"/>
        <n v="758"/>
        <n v="1149"/>
        <n v="3772"/>
        <n v="110"/>
        <n v="124"/>
        <n v="286"/>
        <n v="299971"/>
        <n v="3252"/>
        <n v="163"/>
        <n v="81"/>
        <n v="92"/>
        <n v="46"/>
        <n v="512"/>
        <n v="2115"/>
        <n v="534"/>
        <n v="52"/>
        <n v="320"/>
        <n v="213"/>
        <n v="192"/>
        <n v="540"/>
        <n v="120"/>
        <n v="191"/>
        <n v="209"/>
        <n v="149"/>
        <n v="316"/>
        <n v="264"/>
        <n v="402"/>
        <n v="318"/>
        <n v="42"/>
        <n v="344"/>
        <n v="176"/>
        <n v="155"/>
        <n v="223"/>
        <n v="128"/>
        <n v="78"/>
        <n v="335"/>
        <n v="114"/>
        <n v="43"/>
        <n v="35"/>
        <n v="369"/>
        <n v="1394"/>
        <n v="4095"/>
        <n v="216"/>
        <n v="158"/>
        <n v="684"/>
        <n v="16"/>
        <n v="306609"/>
        <n v="3414"/>
        <n v="55"/>
        <n v="104"/>
        <n v="293"/>
        <n v="167"/>
        <n v="755"/>
        <n v="1448"/>
        <n v="1242"/>
        <n v="137"/>
        <n v="21"/>
        <n v="93"/>
        <n v="396"/>
        <n v="322"/>
        <n v="107"/>
        <n v="358"/>
        <n v="143"/>
        <n v="219"/>
        <n v="112"/>
        <n v="34"/>
        <n v="197"/>
        <n v="220"/>
        <n v="181"/>
        <n v="91"/>
        <n v="169"/>
        <n v="154"/>
        <n v="135"/>
        <n v="96"/>
        <n v="75"/>
        <n v="87"/>
        <n v="162"/>
        <n v="3069"/>
        <n v="98"/>
        <n v="212"/>
        <n v="315838"/>
        <n v="3233"/>
        <n v="25"/>
        <n v="227"/>
        <n v="152"/>
        <n v="494"/>
        <n v="1679"/>
        <n v="307"/>
        <n v="94"/>
        <n v="166"/>
        <n v="258"/>
        <n v="426"/>
        <n v="26"/>
        <n v="179"/>
        <n v="133"/>
        <n v="295"/>
        <n v="424"/>
        <n v="79"/>
        <n v="439"/>
        <n v="244"/>
        <n v="132"/>
        <n v="175"/>
        <n v="370"/>
        <n v="151"/>
        <n v="187"/>
        <n v="260"/>
        <n v="2806"/>
        <n v="134"/>
        <n v="229"/>
        <n v="356"/>
        <n v="363"/>
        <n v="326048"/>
        <n v="4396"/>
        <n v="249"/>
        <n v="253"/>
        <n v="77"/>
        <n v="502"/>
        <n v="2239"/>
        <n v="290"/>
        <n v="224"/>
        <n v="489"/>
        <n v="870"/>
        <n v="231"/>
        <n v="248"/>
        <n v="652"/>
        <n v="119"/>
        <n v="282"/>
        <n v="346"/>
        <n v="214"/>
        <n v="38"/>
        <n v="311"/>
        <n v="142"/>
        <n v="168"/>
        <n v="360"/>
        <n v="113"/>
        <n v="207"/>
        <n v="51"/>
        <n v="592"/>
        <n v="1820"/>
        <n v="4590"/>
        <n v="751"/>
        <n v="144"/>
        <n v="573"/>
        <n v="322040"/>
        <n v="4134"/>
        <n v="90"/>
        <n v="204"/>
        <n v="170"/>
        <n v="1124"/>
        <n v="1833"/>
        <n v="520"/>
        <n v="437"/>
        <n v="73"/>
        <n v="182"/>
        <n v="351"/>
        <n v="1084"/>
        <n v="323"/>
        <n v="1801"/>
        <n v="256"/>
        <n v="831"/>
        <n v="165"/>
        <n v="446"/>
        <n v="241"/>
        <n v="178"/>
        <n v="255"/>
        <n v="10"/>
        <n v="50"/>
        <n v="180"/>
        <n v="62"/>
        <n v="20"/>
        <n v="517"/>
        <n v="2253"/>
        <n v="6858"/>
        <n v="699"/>
        <n v="319500"/>
        <n v="5154"/>
        <n v="518"/>
        <n v="49"/>
        <n v="185"/>
        <n v="31"/>
        <n v="584"/>
        <n v="3172"/>
        <n v="1161"/>
        <n v="116"/>
        <n v="560"/>
        <n v="236"/>
        <n v="24"/>
        <n v="297"/>
        <n v="161"/>
        <n v="603"/>
        <n v="345"/>
        <n v="194"/>
        <n v="100"/>
        <n v="367"/>
        <n v="40"/>
        <n v="17"/>
        <n v="19"/>
        <n v="291"/>
        <n v="186"/>
        <n v="56"/>
        <n v="84"/>
        <n v="199"/>
        <n v="118"/>
        <n v="2532"/>
        <n v="382"/>
        <n v="468"/>
        <n v="327299"/>
        <n v="2872"/>
        <n v="67"/>
        <n v="240"/>
        <n v="8"/>
        <n v="473"/>
        <n v="1675"/>
        <n v="869"/>
        <n v="246"/>
      </sharedItems>
    </cacheField>
    <cacheField name="income_total" numFmtId="1">
      <sharedItems containsSemiMixedTypes="0" containsString="0" containsNumber="1" containsInteger="1" minValue="0" maxValue="37462494354"/>
    </cacheField>
    <cacheField name="fips" numFmtId="1">
      <sharedItems containsSemiMixedTypes="0" containsString="0" containsNumber="1" containsInteger="1" minValue="41051" maxValue="41051"/>
    </cacheField>
    <cacheField name="multnomah_o" numFmtId="1">
      <sharedItems containsSemiMixedTypes="0" containsString="0" containsNumber="1" containsInteger="1" minValue="1" maxValue="1"/>
    </cacheField>
    <cacheField name="multnomah_d" numFmtId="1">
      <sharedItems containsSemiMixedTypes="0" containsString="0" containsNumber="1" containsInteger="1" minValue="0" maxValue="1"/>
    </cacheField>
    <cacheField name="mover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9231249997" createdVersion="8" refreshedVersion="8" minRefreshableVersion="3" recordCount="803" xr:uid="{552563AE-2E0D-422F-817E-3A1600327D03}">
  <cacheSource type="worksheet">
    <worksheetSource ref="A1:R804" sheet="acs_d"/>
  </cacheSource>
  <cacheFields count="18">
    <cacheField name="year" numFmtId="1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state_fips_o" numFmtId="1">
      <sharedItems containsSemiMixedTypes="0" containsString="0" containsNumber="1" containsInteger="1" minValue="1" maxValue="56"/>
    </cacheField>
    <cacheField name="county_fips_o" numFmtId="1">
      <sharedItems containsSemiMixedTypes="0" containsString="0" containsNumber="1" containsInteger="1" minValue="0" maxValue="810"/>
    </cacheField>
    <cacheField name="state_name_o" numFmtId="0">
      <sharedItems count="51">
        <s v="Alaska"/>
        <s v="Arizona"/>
        <s v="Arkansas"/>
        <s v="California"/>
        <s v="Colorado"/>
        <s v="District of Columbia"/>
        <s v="Florida"/>
        <s v="Georgia"/>
        <s v="Hawaii"/>
        <s v="Idaho"/>
        <s v="Illinois"/>
        <s v="Indiana"/>
        <s v="Iowa"/>
        <s v="Louisiana"/>
        <s v="Maryland"/>
        <s v="Massachusetts"/>
        <s v="Minnesota"/>
        <s v="Missouri"/>
        <s v="Nevada"/>
        <s v="New Hampshire"/>
        <s v="New York"/>
        <s v="North Carolina"/>
        <s v="Ohio"/>
        <s v="Oregon"/>
        <s v="Pennsylvania"/>
        <s v="Rhode Island"/>
        <s v="Tennessee"/>
        <s v="Texas"/>
        <s v="Utah"/>
        <s v="Vermont"/>
        <s v="Virginia"/>
        <s v="Washington"/>
        <s v="Wisconsin"/>
        <s v="Connecticut"/>
        <s v="Kansas"/>
        <s v="Maine"/>
        <s v="Michigan"/>
        <s v="Montana"/>
        <s v="New Jersey"/>
        <s v="New Mexico"/>
        <s v="Oklahoma"/>
        <s v="South Carolina"/>
        <s v="South Dakota"/>
        <s v="Mississippi"/>
        <s v="West Virginia"/>
        <s v="North Dakota"/>
        <s v="Wyoming"/>
        <s v="Alabama"/>
        <s v="Delaware"/>
        <s v="Nebraska"/>
        <s v="Kentucky"/>
      </sharedItems>
    </cacheField>
    <cacheField name="county_name_o" numFmtId="0">
      <sharedItems count="197">
        <s v="Other"/>
        <s v="Anchorage Municipality"/>
        <s v="Coconino County"/>
        <s v="Maricopa County"/>
        <s v="Alameda County"/>
        <s v="Contra Costa County"/>
        <s v="Fresno County"/>
        <s v="Kern County"/>
        <s v="Los Angeles County"/>
        <s v="Napa County"/>
        <s v="Orange County"/>
        <s v="Sacramento County"/>
        <s v="San Bernardino County"/>
        <s v="San Diego County"/>
        <s v="San Francisco County"/>
        <s v="San Luis Obispo County"/>
        <s v="Santa Barbara County"/>
        <s v="Santa Clara County"/>
        <s v="Sonoma County"/>
        <s v="Stanislaus County"/>
        <s v="Tulare County"/>
        <s v="District of Columbia"/>
        <s v="Duval County"/>
        <s v="Lee County"/>
        <s v="Gwinnett County"/>
        <s v="Hawaii County"/>
        <s v="Honolulu County"/>
        <s v="Bonneville County"/>
        <s v="Cook County"/>
        <s v="McLean County"/>
        <s v="Monroe County"/>
        <s v="Tippecanoe County"/>
        <s v="Johnson County"/>
        <s v="Howard County"/>
        <s v="Baltimore city"/>
        <s v="Suffolk County"/>
        <s v="Hennepin County"/>
        <s v="St. Charles County"/>
        <s v="Clark County"/>
        <s v="Bronx County"/>
        <s v="Kings County"/>
        <s v="New York County"/>
        <s v="Franklin County"/>
        <s v="Summit County"/>
        <s v="Clackamas County"/>
        <s v="Deschutes County"/>
        <s v="Jackson County"/>
        <s v="Lane County"/>
        <s v="Marion County"/>
        <s v="Multnomah County"/>
        <s v="Washington County"/>
        <s v="Centre County"/>
        <s v="Montgomery County"/>
        <s v="Philadelphia County"/>
        <s v="Providence County"/>
        <s v="Davidson County"/>
        <s v="Collin County"/>
        <s v="Travis County"/>
        <s v="Salt Lake County"/>
        <s v="King County"/>
        <s v="Kitsap County"/>
        <s v="Pierce County"/>
        <s v="Snohomish County"/>
        <s v="Spokane County"/>
        <s v="Thurston County"/>
        <s v="Milwaukee County"/>
        <s v="Pulaski County"/>
        <s v="Butte County"/>
        <s v="Humboldt County"/>
        <s v="Placer County"/>
        <s v="Riverside County"/>
        <s v="Santa Cruz County"/>
        <s v="Ventura County"/>
        <s v="Larimer County"/>
        <s v="New Haven County"/>
        <s v="Alachua County"/>
        <s v="Brevard County"/>
        <s v="Broward County"/>
        <s v="Lake County"/>
        <s v="Douglas County"/>
        <s v="Baltimore County"/>
        <s v="Washtenaw County"/>
        <s v="Wayne County"/>
        <s v="St. Louis County"/>
        <s v="Hudson County"/>
        <s v="Santa Fe County"/>
        <s v="Erie County"/>
        <s v="Wake County"/>
        <s v="Dallas County"/>
        <s v="Denton County"/>
        <s v="Tarrant County"/>
        <s v="Arlington County"/>
        <s v="Alexandria city"/>
        <s v="Whatcom County"/>
        <s v="Yakima County"/>
        <s v="Pima County"/>
        <s v="Yavapai County"/>
        <s v="Yuma County"/>
        <s v="Marin County"/>
        <s v="San Joaquin County"/>
        <s v="San Mateo County"/>
        <s v="Shasta County"/>
        <s v="Solano County"/>
        <s v="Yolo County"/>
        <s v="Hartford County"/>
        <s v="Palm Beach County"/>
        <s v="Kane County"/>
        <s v="Allen County"/>
        <s v="Black Hawk County"/>
        <s v="Caddo Parish"/>
        <s v="East Baton Rouge Parish"/>
        <s v="Kennebec County"/>
        <s v="Ingham County"/>
        <s v="Kent County"/>
        <s v="Oakland County"/>
        <s v="St. Louis city"/>
        <s v="Washoe County"/>
        <s v="Essex County"/>
        <s v="Dutchess County"/>
        <s v="Queens County"/>
        <s v="Oklahoma County"/>
        <s v="Allegheny County"/>
        <s v="Delaware County"/>
        <s v="Bexar County"/>
        <s v="Virginia Beach city"/>
        <s v="Polk County"/>
        <s v="Cobb County"/>
        <s v="St. Tammany Parish"/>
        <s v="Ramsey County"/>
        <s v="Mercer County"/>
        <s v="Middlesex County"/>
        <s v="Buncombe County"/>
        <s v="Catawba County"/>
        <s v="Guilford County"/>
        <s v="Mecklenburg County"/>
        <s v="Bucks County"/>
        <s v="Williamson County"/>
        <s v="Jefferson County"/>
        <s v="Taylor County"/>
        <s v="Utah County"/>
        <s v="Richmond city"/>
        <s v="Dane County"/>
        <s v="Waukesha County"/>
        <s v="Merced County"/>
        <s v="Okaloosa County"/>
        <s v="Sarasota County"/>
        <s v="DuPage County"/>
        <s v="Orleans Parish"/>
        <s v="Kalamazoo County"/>
        <s v="Albany County"/>
        <s v="Butler County"/>
        <s v="Fayette County"/>
        <s v="Bell County"/>
        <s v="Harris County"/>
        <s v="Lubbock County"/>
        <s v="Weber County"/>
        <s v="Chesterfield County"/>
        <s v="Loudoun County"/>
        <s v="Sheboygan County"/>
        <s v="New London County"/>
        <s v="Escambia County"/>
        <s v="Macomb County"/>
        <s v="Morris County"/>
        <s v="Forsyth County"/>
        <s v="Cass County"/>
        <s v="Hamilton County"/>
        <s v="Chester County"/>
        <s v="Shelby County"/>
        <s v="Fort Bend County"/>
        <s v="Madera County"/>
        <s v="New Castle County"/>
        <s v="LaPorte County"/>
        <s v="Berks County"/>
        <s v="York County"/>
        <s v="Cherokee County"/>
        <s v="Fulton County"/>
        <s v="Wyandotte County"/>
        <s v="Norfolk County"/>
        <s v="Gallatin County"/>
        <s v="Lancaster County"/>
        <s v="Ocean County"/>
        <s v="Sussex County"/>
        <s v="Chautauqua County"/>
        <s v="Saratoga County"/>
        <s v="Lorain County"/>
        <s v="Yamhill County"/>
        <s v="Greenville County"/>
        <s v="Chittenden County"/>
        <s v="El Dorado County"/>
        <s v="Clay County"/>
        <s v="Hillsborough County"/>
        <s v="Coweta County"/>
        <s v="Berkshire County"/>
        <s v="Muskegon County"/>
        <s v="Olmsted County"/>
        <s v="Nueces County"/>
        <s v="Skagit County"/>
      </sharedItems>
    </cacheField>
    <cacheField name="fips_o" numFmtId="1">
      <sharedItems containsSemiMixedTypes="0" containsString="0" containsNumber="1" containsInteger="1" minValue="1000" maxValue="56000" count="264">
        <n v="2000"/>
        <n v="2020"/>
        <n v="4000"/>
        <n v="4005"/>
        <n v="4013"/>
        <n v="5000"/>
        <n v="6000"/>
        <n v="6001"/>
        <n v="6013"/>
        <n v="6019"/>
        <n v="6029"/>
        <n v="6037"/>
        <n v="6055"/>
        <n v="6059"/>
        <n v="6067"/>
        <n v="6071"/>
        <n v="6073"/>
        <n v="6075"/>
        <n v="6079"/>
        <n v="6083"/>
        <n v="6085"/>
        <n v="6097"/>
        <n v="6099"/>
        <n v="6107"/>
        <n v="8000"/>
        <n v="11001"/>
        <n v="12000"/>
        <n v="12031"/>
        <n v="12071"/>
        <n v="13135"/>
        <n v="15001"/>
        <n v="15003"/>
        <n v="16000"/>
        <n v="16019"/>
        <n v="17031"/>
        <n v="17113"/>
        <n v="18000"/>
        <n v="18105"/>
        <n v="18157"/>
        <n v="19103"/>
        <n v="22000"/>
        <n v="24027"/>
        <n v="24510"/>
        <n v="25000"/>
        <n v="25025"/>
        <n v="27053"/>
        <n v="29183"/>
        <n v="32003"/>
        <n v="33000"/>
        <n v="36005"/>
        <n v="36047"/>
        <n v="36055"/>
        <n v="36061"/>
        <n v="37135"/>
        <n v="39000"/>
        <n v="39049"/>
        <n v="39153"/>
        <n v="41000"/>
        <n v="41005"/>
        <n v="41017"/>
        <n v="41029"/>
        <n v="41039"/>
        <n v="41047"/>
        <n v="41051"/>
        <n v="41067"/>
        <n v="42000"/>
        <n v="42027"/>
        <n v="42091"/>
        <n v="42101"/>
        <n v="44007"/>
        <n v="47037"/>
        <n v="48085"/>
        <n v="48453"/>
        <n v="49035"/>
        <n v="50000"/>
        <n v="51000"/>
        <n v="53000"/>
        <n v="53011"/>
        <n v="53033"/>
        <n v="53035"/>
        <n v="53053"/>
        <n v="53061"/>
        <n v="53063"/>
        <n v="53067"/>
        <n v="55000"/>
        <n v="55079"/>
        <n v="5119"/>
        <n v="6007"/>
        <n v="6023"/>
        <n v="6031"/>
        <n v="6061"/>
        <n v="6065"/>
        <n v="6087"/>
        <n v="6111"/>
        <n v="8069"/>
        <n v="9009"/>
        <n v="12001"/>
        <n v="12009"/>
        <n v="12011"/>
        <n v="12095"/>
        <n v="13000"/>
        <n v="17097"/>
        <n v="18097"/>
        <n v="20000"/>
        <n v="20045"/>
        <n v="23000"/>
        <n v="24005"/>
        <n v="26161"/>
        <n v="26163"/>
        <n v="27000"/>
        <n v="29189"/>
        <n v="30000"/>
        <n v="34017"/>
        <n v="35000"/>
        <n v="35049"/>
        <n v="36029"/>
        <n v="37183"/>
        <n v="40000"/>
        <n v="44000"/>
        <n v="45000"/>
        <n v="46000"/>
        <n v="47000"/>
        <n v="48113"/>
        <n v="48121"/>
        <n v="48439"/>
        <n v="49000"/>
        <n v="51013"/>
        <n v="51510"/>
        <n v="53073"/>
        <n v="53077"/>
        <n v="4019"/>
        <n v="4025"/>
        <n v="4027"/>
        <n v="6041"/>
        <n v="6077"/>
        <n v="6081"/>
        <n v="6089"/>
        <n v="6095"/>
        <n v="6113"/>
        <n v="9003"/>
        <n v="12099"/>
        <n v="15000"/>
        <n v="17000"/>
        <n v="17089"/>
        <n v="18003"/>
        <n v="18081"/>
        <n v="19013"/>
        <n v="22017"/>
        <n v="22033"/>
        <n v="23011"/>
        <n v="26065"/>
        <n v="26081"/>
        <n v="26125"/>
        <n v="28000"/>
        <n v="29510"/>
        <n v="32031"/>
        <n v="34013"/>
        <n v="36000"/>
        <n v="36027"/>
        <n v="36081"/>
        <n v="36103"/>
        <n v="39113"/>
        <n v="40109"/>
        <n v="41019"/>
        <n v="42003"/>
        <n v="42045"/>
        <n v="44003"/>
        <n v="48029"/>
        <n v="51810"/>
        <n v="54000"/>
        <n v="12105"/>
        <n v="13067"/>
        <n v="20091"/>
        <n v="22103"/>
        <n v="24031"/>
        <n v="27123"/>
        <n v="29000"/>
        <n v="34021"/>
        <n v="34023"/>
        <n v="37000"/>
        <n v="37021"/>
        <n v="37035"/>
        <n v="37081"/>
        <n v="37119"/>
        <n v="38000"/>
        <n v="42017"/>
        <n v="47187"/>
        <n v="48245"/>
        <n v="48441"/>
        <n v="49049"/>
        <n v="49053"/>
        <n v="51760"/>
        <n v="55025"/>
        <n v="55133"/>
        <n v="56000"/>
        <n v="5143"/>
        <n v="6047"/>
        <n v="12083"/>
        <n v="12091"/>
        <n v="12115"/>
        <n v="17043"/>
        <n v="19000"/>
        <n v="22071"/>
        <n v="26077"/>
        <n v="27163"/>
        <n v="34000"/>
        <n v="36001"/>
        <n v="39017"/>
        <n v="42051"/>
        <n v="48027"/>
        <n v="48201"/>
        <n v="48251"/>
        <n v="48303"/>
        <n v="49057"/>
        <n v="51041"/>
        <n v="51107"/>
        <n v="55117"/>
        <n v="1000"/>
        <n v="9011"/>
        <n v="12033"/>
        <n v="26099"/>
        <n v="34027"/>
        <n v="37067"/>
        <n v="38017"/>
        <n v="39061"/>
        <n v="42029"/>
        <n v="47157"/>
        <n v="48157"/>
        <n v="6039"/>
        <n v="10003"/>
        <n v="18091"/>
        <n v="26000"/>
        <n v="31055"/>
        <n v="42011"/>
        <n v="42133"/>
        <n v="9000"/>
        <n v="13057"/>
        <n v="13121"/>
        <n v="20209"/>
        <n v="21000"/>
        <n v="25009"/>
        <n v="25021"/>
        <n v="30031"/>
        <n v="31109"/>
        <n v="34029"/>
        <n v="34037"/>
        <n v="36013"/>
        <n v="36091"/>
        <n v="39093"/>
        <n v="41071"/>
        <n v="42071"/>
        <n v="45045"/>
        <n v="50007"/>
        <n v="6017"/>
        <n v="12019"/>
        <n v="12057"/>
        <n v="13077"/>
        <n v="25003"/>
        <n v="26121"/>
        <n v="27109"/>
        <n v="29095"/>
        <n v="48355"/>
        <n v="48491"/>
        <n v="53057"/>
      </sharedItems>
    </cacheField>
    <cacheField name="state_fips_d" numFmtId="1">
      <sharedItems containsSemiMixedTypes="0" containsString="0" containsNumber="1" containsInteger="1" minValue="41" maxValue="41"/>
    </cacheField>
    <cacheField name="county_fips_d" numFmtId="1">
      <sharedItems containsSemiMixedTypes="0" containsString="0" containsNumber="1" containsInteger="1" minValue="51" maxValue="51"/>
    </cacheField>
    <cacheField name="state_name_d" numFmtId="0">
      <sharedItems/>
    </cacheField>
    <cacheField name="county_name_d" numFmtId="0">
      <sharedItems/>
    </cacheField>
    <cacheField name="fips_d" numFmtId="1">
      <sharedItems containsSemiMixedTypes="0" containsString="0" containsNumber="1" containsInteger="1" minValue="41051" maxValue="41051"/>
    </cacheField>
    <cacheField name="persons" numFmtId="1">
      <sharedItems containsSemiMixedTypes="0" containsString="0" containsNumber="1" containsInteger="1" minValue="11" maxValue="596774"/>
    </cacheField>
    <cacheField name="households" numFmtId="1">
      <sharedItems containsString="0" containsBlank="1" containsNumber="1" containsInteger="1" minValue="11" maxValue="327299" count="341">
        <m/>
        <n v="368"/>
        <n v="175"/>
        <n v="591"/>
        <n v="73"/>
        <n v="91"/>
        <n v="215"/>
        <n v="144"/>
        <n v="275"/>
        <n v="221"/>
        <n v="86"/>
        <n v="462"/>
        <n v="27"/>
        <n v="154"/>
        <n v="242"/>
        <n v="132"/>
        <n v="101"/>
        <n v="134"/>
        <n v="193"/>
        <n v="133"/>
        <n v="60"/>
        <n v="66"/>
        <n v="78"/>
        <n v="98"/>
        <n v="131"/>
        <n v="129"/>
        <n v="269"/>
        <n v="683"/>
        <n v="171"/>
        <n v="88"/>
        <n v="262"/>
        <n v="162"/>
        <n v="139"/>
        <n v="176"/>
        <n v="81"/>
        <n v="92"/>
        <n v="112"/>
        <n v="288"/>
        <n v="124"/>
        <n v="2333"/>
        <n v="304"/>
        <n v="189"/>
        <n v="72"/>
        <n v="267"/>
        <n v="292849"/>
        <n v="1450"/>
        <n v="108"/>
        <n v="56"/>
        <n v="174"/>
        <n v="62"/>
        <n v="148"/>
        <n v="65"/>
        <n v="74"/>
        <n v="403"/>
        <n v="146"/>
        <n v="2013"/>
        <n v="1301"/>
        <n v="61"/>
        <n v="100"/>
        <n v="417"/>
        <n v="113"/>
        <n v="64"/>
        <n v="202"/>
        <n v="104"/>
        <n v="153"/>
        <n v="195"/>
        <n v="677"/>
        <n v="468"/>
        <n v="205"/>
        <n v="70"/>
        <n v="127"/>
        <n v="878"/>
        <n v="42"/>
        <n v="69"/>
        <n v="556"/>
        <n v="853"/>
        <n v="380"/>
        <n v="236"/>
        <n v="240"/>
        <n v="244"/>
        <n v="94"/>
        <n v="77"/>
        <n v="52"/>
        <n v="90"/>
        <n v="473"/>
        <n v="161"/>
        <n v="177"/>
        <n v="71"/>
        <n v="84"/>
        <n v="87"/>
        <n v="85"/>
        <n v="80"/>
        <n v="220"/>
        <n v="263"/>
        <n v="38"/>
        <n v="252"/>
        <n v="31"/>
        <n v="1721"/>
        <n v="1676"/>
        <n v="256"/>
        <n v="369"/>
        <n v="297534"/>
        <n v="2151"/>
        <n v="140"/>
        <n v="123"/>
        <n v="359"/>
        <n v="126"/>
        <n v="106"/>
        <n v="415"/>
        <n v="1022"/>
        <n v="1045"/>
        <n v="151"/>
        <n v="53"/>
        <n v="227"/>
        <n v="109"/>
        <n v="241"/>
        <n v="622"/>
        <n v="51"/>
        <n v="705"/>
        <n v="1135"/>
        <n v="150"/>
        <n v="327"/>
        <n v="1260"/>
        <n v="114"/>
        <n v="198"/>
        <n v="102"/>
        <n v="216"/>
        <n v="155"/>
        <n v="59"/>
        <n v="103"/>
        <n v="118"/>
        <n v="58"/>
        <n v="196"/>
        <n v="107"/>
        <n v="219"/>
        <n v="39"/>
        <n v="67"/>
        <n v="187"/>
        <n v="63"/>
        <n v="253"/>
        <n v="1869"/>
        <n v="1893"/>
        <n v="560"/>
        <n v="1724"/>
        <n v="299971"/>
        <n v="2852"/>
        <n v="97"/>
        <n v="111"/>
        <n v="213"/>
        <n v="648"/>
        <n v="1008"/>
        <n v="542"/>
        <n v="313"/>
        <n v="180"/>
        <n v="68"/>
        <n v="228"/>
        <n v="135"/>
        <n v="165"/>
        <n v="89"/>
        <n v="445"/>
        <n v="197"/>
        <n v="200"/>
        <n v="392"/>
        <n v="201"/>
        <n v="234"/>
        <n v="138"/>
        <n v="185"/>
        <n v="375"/>
        <n v="328"/>
        <n v="137"/>
        <n v="287"/>
        <n v="82"/>
        <n v="235"/>
        <n v="246"/>
        <n v="121"/>
        <n v="115"/>
        <n v="1464"/>
        <n v="4023"/>
        <n v="46"/>
        <n v="166"/>
        <n v="306609"/>
        <n v="3545"/>
        <n v="116"/>
        <n v="704"/>
        <n v="561"/>
        <n v="1203"/>
        <n v="399"/>
        <n v="76"/>
        <n v="245"/>
        <n v="658"/>
        <n v="310"/>
        <n v="660"/>
        <n v="37"/>
        <n v="120"/>
        <n v="99"/>
        <n v="192"/>
        <n v="466"/>
        <n v="265"/>
        <n v="435"/>
        <n v="49"/>
        <n v="194"/>
        <n v="361"/>
        <n v="527"/>
        <n v="258"/>
        <n v="44"/>
        <n v="55"/>
        <n v="159"/>
        <n v="136"/>
        <n v="130"/>
        <n v="348"/>
        <n v="273"/>
        <n v="429"/>
        <n v="646"/>
        <n v="2987"/>
        <n v="696"/>
        <n v="517"/>
        <n v="315838"/>
        <n v="2051"/>
        <n v="239"/>
        <n v="79"/>
        <n v="105"/>
        <n v="47"/>
        <n v="1353"/>
        <n v="664"/>
        <n v="374"/>
        <n v="377"/>
        <n v="119"/>
        <n v="794"/>
        <n v="492"/>
        <n v="110"/>
        <n v="525"/>
        <n v="257"/>
        <n v="184"/>
        <n v="268"/>
        <n v="336"/>
        <n v="1121"/>
        <n v="188"/>
        <n v="43"/>
        <n v="788"/>
        <n v="3167"/>
        <n v="117"/>
        <n v="1042"/>
        <n v="800"/>
        <n v="639"/>
        <n v="326048"/>
        <n v="3624"/>
        <n v="186"/>
        <n v="199"/>
        <n v="603"/>
        <n v="163"/>
        <n v="559"/>
        <n v="1026"/>
        <n v="170"/>
        <n v="957"/>
        <n v="285"/>
        <n v="460"/>
        <n v="1247"/>
        <n v="1537"/>
        <n v="475"/>
        <n v="1017"/>
        <n v="324"/>
        <n v="497"/>
        <n v="57"/>
        <n v="312"/>
        <n v="11"/>
        <n v="157"/>
        <n v="181"/>
        <n v="307"/>
        <n v="182"/>
        <n v="93"/>
        <n v="773"/>
        <n v="152"/>
        <n v="156"/>
        <n v="160"/>
        <n v="918"/>
        <n v="2362"/>
        <n v="387"/>
        <n v="553"/>
        <n v="826"/>
        <n v="322040"/>
        <n v="6068"/>
        <n v="95"/>
        <n v="83"/>
        <n v="1161"/>
        <n v="41"/>
        <n v="128"/>
        <n v="835"/>
        <n v="698"/>
        <n v="178"/>
        <n v="147"/>
        <n v="657"/>
        <n v="211"/>
        <n v="330"/>
        <n v="149"/>
        <n v="2591"/>
        <n v="3497"/>
        <n v="753"/>
        <n v="319500"/>
        <n v="4161"/>
        <n v="34"/>
        <n v="317"/>
        <n v="206"/>
        <n v="541"/>
        <n v="1416"/>
        <n v="547"/>
        <n v="122"/>
        <n v="142"/>
        <n v="222"/>
        <n v="209"/>
        <n v="75"/>
        <n v="54"/>
        <n v="345"/>
        <n v="191"/>
        <n v="607"/>
        <n v="376"/>
        <n v="756"/>
        <n v="586"/>
        <n v="385"/>
        <n v="365"/>
        <n v="261"/>
        <n v="315"/>
        <n v="208"/>
        <n v="347"/>
        <n v="24"/>
        <n v="50"/>
        <n v="40"/>
        <n v="973"/>
        <n v="2372"/>
        <n v="1077"/>
        <n v="2385"/>
        <n v="327299"/>
        <n v="3231"/>
        <n v="451"/>
        <n v="30"/>
        <n v="204"/>
        <n v="36"/>
        <n v="530"/>
        <n v="372"/>
        <n v="1200"/>
        <n v="472"/>
        <n v="290"/>
      </sharedItems>
    </cacheField>
    <cacheField name="income_total" numFmtId="1">
      <sharedItems containsSemiMixedTypes="0" containsString="0" containsNumber="1" containsInteger="1" minValue="0" maxValue="37462494354"/>
    </cacheField>
    <cacheField name="fips" numFmtId="1">
      <sharedItems containsString="0" containsBlank="1" containsNumber="1" containsInteger="1" minValue="2020" maxValue="55133"/>
    </cacheField>
    <cacheField name="multnomah_o" numFmtId="1">
      <sharedItems containsSemiMixedTypes="0" containsString="0" containsNumber="1" containsInteger="1" minValue="0" maxValue="1"/>
    </cacheField>
    <cacheField name="multnomah_d" numFmtId="1">
      <sharedItems containsSemiMixedTypes="0" containsString="0" containsNumber="1" containsInteger="1" minValue="1" maxValue="1"/>
    </cacheField>
    <cacheField name="mover" numFmtId="0">
      <sharedItems containsString="0" containsBlank="1" containsNumber="1" containsInteger="1" minValue="0" maxValue="1" count="3">
        <n v="1"/>
        <n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2">
  <r>
    <x v="0"/>
    <n v="2"/>
    <x v="0"/>
    <n v="20"/>
    <x v="0"/>
    <n v="41"/>
    <s v="Oregon"/>
    <n v="51"/>
    <s v="Multnomah County"/>
    <n v="90"/>
    <n v="143"/>
    <n v="4905"/>
    <n v="10617"/>
    <n v="21013"/>
    <n v="685846"/>
    <n v="124669"/>
    <n v="252384"/>
    <n v="11024865"/>
    <n v="2020"/>
    <x v="0"/>
    <n v="41051"/>
    <n v="0"/>
    <n v="1"/>
  </r>
  <r>
    <x v="0"/>
    <n v="2"/>
    <x v="0"/>
    <n v="90"/>
    <x v="1"/>
    <n v="41"/>
    <s v="Oregon"/>
    <n v="51"/>
    <s v="Multnomah County"/>
    <n v="21"/>
    <n v="27"/>
    <n v="723"/>
    <n v="4224"/>
    <n v="9056"/>
    <n v="219438"/>
    <n v="39367"/>
    <n v="81932"/>
    <n v="3034194"/>
    <n v="2090"/>
    <x v="1"/>
    <n v="41051"/>
    <n v="0"/>
    <n v="1"/>
  </r>
  <r>
    <x v="0"/>
    <n v="4"/>
    <x v="1"/>
    <n v="5"/>
    <x v="2"/>
    <n v="41"/>
    <s v="Oregon"/>
    <n v="51"/>
    <s v="Multnomah County"/>
    <n v="34"/>
    <n v="43"/>
    <n v="462"/>
    <n v="4694"/>
    <n v="8092"/>
    <n v="211552"/>
    <n v="48296"/>
    <n v="100665"/>
    <n v="2971739"/>
    <n v="4005"/>
    <x v="2"/>
    <n v="41051"/>
    <n v="0"/>
    <n v="1"/>
  </r>
  <r>
    <x v="0"/>
    <n v="4"/>
    <x v="1"/>
    <n v="13"/>
    <x v="3"/>
    <n v="41"/>
    <s v="Oregon"/>
    <n v="51"/>
    <s v="Multnomah County"/>
    <n v="369"/>
    <n v="549"/>
    <n v="19411"/>
    <n v="62330"/>
    <n v="119320"/>
    <n v="3838468"/>
    <n v="1472638"/>
    <n v="3228536"/>
    <n v="106889680"/>
    <n v="4013"/>
    <x v="3"/>
    <n v="41051"/>
    <n v="0"/>
    <n v="1"/>
  </r>
  <r>
    <x v="0"/>
    <n v="4"/>
    <x v="1"/>
    <n v="19"/>
    <x v="4"/>
    <n v="41"/>
    <s v="Oregon"/>
    <n v="51"/>
    <s v="Multnomah County"/>
    <n v="88"/>
    <n v="119"/>
    <n v="4645"/>
    <n v="17270"/>
    <n v="32205"/>
    <n v="926882"/>
    <n v="365608"/>
    <n v="758462"/>
    <n v="22271760"/>
    <n v="4019"/>
    <x v="4"/>
    <n v="41051"/>
    <n v="0"/>
    <n v="1"/>
  </r>
  <r>
    <x v="0"/>
    <n v="4"/>
    <x v="1"/>
    <n v="25"/>
    <x v="5"/>
    <n v="41"/>
    <s v="Oregon"/>
    <n v="51"/>
    <s v="Multnomah County"/>
    <n v="42"/>
    <n v="57"/>
    <n v="1680"/>
    <n v="5562"/>
    <n v="9796"/>
    <n v="243351"/>
    <n v="85628"/>
    <n v="167490"/>
    <n v="4681280"/>
    <n v="4025"/>
    <x v="5"/>
    <n v="41051"/>
    <n v="0"/>
    <n v="1"/>
  </r>
  <r>
    <x v="0"/>
    <n v="6"/>
    <x v="2"/>
    <n v="1"/>
    <x v="6"/>
    <n v="41"/>
    <s v="Oregon"/>
    <n v="51"/>
    <s v="Multnomah County"/>
    <n v="453"/>
    <n v="668"/>
    <n v="33960"/>
    <n v="44258"/>
    <n v="79660"/>
    <n v="3929643"/>
    <n v="644977"/>
    <n v="1365711"/>
    <n v="65344044"/>
    <n v="6001"/>
    <x v="6"/>
    <n v="41051"/>
    <n v="0"/>
    <n v="1"/>
  </r>
  <r>
    <x v="0"/>
    <n v="6"/>
    <x v="2"/>
    <n v="7"/>
    <x v="7"/>
    <n v="41"/>
    <s v="Oregon"/>
    <n v="51"/>
    <s v="Multnomah County"/>
    <n v="42"/>
    <n v="69"/>
    <n v="1475"/>
    <n v="4324"/>
    <n v="7346"/>
    <n v="187328"/>
    <n v="76029"/>
    <n v="157427"/>
    <n v="4605695"/>
    <n v="6007"/>
    <x v="7"/>
    <n v="41051"/>
    <n v="0"/>
    <n v="1"/>
  </r>
  <r>
    <x v="0"/>
    <n v="6"/>
    <x v="2"/>
    <n v="13"/>
    <x v="8"/>
    <n v="41"/>
    <s v="Oregon"/>
    <n v="51"/>
    <s v="Multnomah County"/>
    <n v="146"/>
    <n v="220"/>
    <n v="19874"/>
    <n v="26186"/>
    <n v="47429"/>
    <n v="2248903"/>
    <n v="440892"/>
    <n v="972717"/>
    <n v="50786644"/>
    <n v="6013"/>
    <x v="8"/>
    <n v="41051"/>
    <n v="0"/>
    <n v="1"/>
  </r>
  <r>
    <x v="0"/>
    <n v="6"/>
    <x v="2"/>
    <n v="17"/>
    <x v="9"/>
    <n v="41"/>
    <s v="Oregon"/>
    <n v="51"/>
    <s v="Multnomah County"/>
    <n v="20"/>
    <n v="25"/>
    <n v="1379"/>
    <n v="4969"/>
    <n v="8467"/>
    <n v="355658"/>
    <n v="71941"/>
    <n v="153201"/>
    <n v="6683118"/>
    <n v="6017"/>
    <x v="9"/>
    <n v="41051"/>
    <n v="0"/>
    <n v="1"/>
  </r>
  <r>
    <x v="0"/>
    <n v="6"/>
    <x v="2"/>
    <n v="19"/>
    <x v="10"/>
    <n v="41"/>
    <s v="Oregon"/>
    <n v="51"/>
    <s v="Multnomah County"/>
    <n v="60"/>
    <n v="100"/>
    <n v="2770"/>
    <n v="11987"/>
    <n v="24440"/>
    <n v="593893"/>
    <n v="317509"/>
    <n v="778103"/>
    <n v="18746184"/>
    <n v="6019"/>
    <x v="10"/>
    <n v="41051"/>
    <n v="0"/>
    <n v="1"/>
  </r>
  <r>
    <x v="0"/>
    <n v="6"/>
    <x v="2"/>
    <n v="23"/>
    <x v="11"/>
    <n v="41"/>
    <s v="Oregon"/>
    <n v="51"/>
    <s v="Multnomah County"/>
    <n v="58"/>
    <n v="80"/>
    <n v="1963"/>
    <n v="2555"/>
    <n v="4080"/>
    <n v="108114"/>
    <n v="46522"/>
    <n v="91633"/>
    <n v="2573196"/>
    <n v="6023"/>
    <x v="11"/>
    <n v="41051"/>
    <n v="0"/>
    <n v="1"/>
  </r>
  <r>
    <x v="0"/>
    <n v="6"/>
    <x v="2"/>
    <n v="29"/>
    <x v="12"/>
    <n v="41"/>
    <s v="Oregon"/>
    <n v="51"/>
    <s v="Multnomah County"/>
    <n v="53"/>
    <n v="80"/>
    <n v="3075"/>
    <n v="11661"/>
    <n v="25244"/>
    <n v="599731"/>
    <n v="276476"/>
    <n v="695447"/>
    <n v="16261980"/>
    <n v="6029"/>
    <x v="12"/>
    <n v="41051"/>
    <n v="0"/>
    <n v="1"/>
  </r>
  <r>
    <x v="0"/>
    <n v="6"/>
    <x v="2"/>
    <n v="37"/>
    <x v="13"/>
    <n v="41"/>
    <s v="Oregon"/>
    <n v="51"/>
    <s v="Multnomah County"/>
    <n v="908"/>
    <n v="1287"/>
    <n v="63703"/>
    <n v="138300"/>
    <n v="254422"/>
    <n v="9810450"/>
    <n v="3799932"/>
    <n v="8100363"/>
    <n v="308029184"/>
    <n v="6037"/>
    <x v="13"/>
    <n v="41051"/>
    <n v="0"/>
    <n v="1"/>
  </r>
  <r>
    <x v="0"/>
    <n v="6"/>
    <x v="2"/>
    <n v="41"/>
    <x v="14"/>
    <n v="41"/>
    <s v="Oregon"/>
    <n v="51"/>
    <s v="Multnomah County"/>
    <n v="78"/>
    <n v="128"/>
    <n v="8962"/>
    <n v="7020"/>
    <n v="11453"/>
    <n v="876091"/>
    <n v="110488"/>
    <n v="221907"/>
    <n v="21008660"/>
    <n v="6041"/>
    <x v="14"/>
    <n v="41051"/>
    <n v="0"/>
    <n v="1"/>
  </r>
  <r>
    <x v="0"/>
    <n v="6"/>
    <x v="2"/>
    <n v="45"/>
    <x v="15"/>
    <n v="41"/>
    <s v="Oregon"/>
    <n v="51"/>
    <s v="Multnomah County"/>
    <n v="20"/>
    <n v="42"/>
    <n v="893"/>
    <n v="1607"/>
    <n v="2861"/>
    <n v="81368"/>
    <n v="31933"/>
    <n v="67004"/>
    <n v="1714067"/>
    <n v="6045"/>
    <x v="15"/>
    <n v="41051"/>
    <n v="0"/>
    <n v="1"/>
  </r>
  <r>
    <x v="0"/>
    <n v="6"/>
    <x v="2"/>
    <n v="53"/>
    <x v="16"/>
    <n v="41"/>
    <s v="Oregon"/>
    <n v="51"/>
    <s v="Multnomah County"/>
    <n v="40"/>
    <n v="55"/>
    <n v="1884"/>
    <n v="8806"/>
    <n v="17853"/>
    <n v="502473"/>
    <n v="161114"/>
    <n v="404548"/>
    <n v="11124996"/>
    <n v="6053"/>
    <x v="16"/>
    <n v="41051"/>
    <n v="0"/>
    <n v="1"/>
  </r>
  <r>
    <x v="0"/>
    <n v="6"/>
    <x v="2"/>
    <n v="55"/>
    <x v="17"/>
    <n v="41"/>
    <s v="Oregon"/>
    <n v="51"/>
    <s v="Multnomah County"/>
    <n v="30"/>
    <n v="42"/>
    <n v="1256"/>
    <n v="3536"/>
    <n v="6354"/>
    <n v="303857"/>
    <n v="56829"/>
    <n v="126739"/>
    <n v="5684526"/>
    <n v="6055"/>
    <x v="17"/>
    <n v="41051"/>
    <n v="0"/>
    <n v="1"/>
  </r>
  <r>
    <x v="0"/>
    <n v="6"/>
    <x v="2"/>
    <n v="59"/>
    <x v="18"/>
    <n v="41"/>
    <s v="Oregon"/>
    <n v="51"/>
    <s v="Multnomah County"/>
    <n v="314"/>
    <n v="434"/>
    <n v="11818"/>
    <n v="60473"/>
    <n v="111350"/>
    <n v="4391982"/>
    <n v="1228914"/>
    <n v="2723971"/>
    <n v="119403392"/>
    <n v="6059"/>
    <x v="18"/>
    <n v="41051"/>
    <n v="0"/>
    <n v="1"/>
  </r>
  <r>
    <x v="0"/>
    <n v="6"/>
    <x v="2"/>
    <n v="61"/>
    <x v="19"/>
    <n v="41"/>
    <s v="Oregon"/>
    <n v="51"/>
    <s v="Multnomah County"/>
    <n v="26"/>
    <n v="34"/>
    <n v="1450"/>
    <n v="10509"/>
    <n v="18784"/>
    <n v="680649"/>
    <n v="145152"/>
    <n v="319454"/>
    <n v="13989475"/>
    <n v="6061"/>
    <x v="19"/>
    <n v="41051"/>
    <n v="0"/>
    <n v="1"/>
  </r>
  <r>
    <x v="0"/>
    <n v="6"/>
    <x v="2"/>
    <n v="65"/>
    <x v="20"/>
    <n v="41"/>
    <s v="Oregon"/>
    <n v="51"/>
    <s v="Multnomah County"/>
    <n v="110"/>
    <n v="193"/>
    <n v="4180"/>
    <n v="43671"/>
    <n v="87564"/>
    <n v="2299310"/>
    <n v="779571"/>
    <n v="1855520"/>
    <n v="47135564"/>
    <n v="6065"/>
    <x v="20"/>
    <n v="41051"/>
    <n v="0"/>
    <n v="1"/>
  </r>
  <r>
    <x v="0"/>
    <n v="6"/>
    <x v="2"/>
    <n v="67"/>
    <x v="21"/>
    <n v="41"/>
    <s v="Oregon"/>
    <n v="51"/>
    <s v="Multnomah County"/>
    <n v="149"/>
    <n v="210"/>
    <n v="7273"/>
    <n v="28389"/>
    <n v="52048"/>
    <n v="1629159"/>
    <n v="550505"/>
    <n v="1201369"/>
    <n v="36924940"/>
    <n v="6067"/>
    <x v="21"/>
    <n v="41051"/>
    <n v="0"/>
    <n v="1"/>
  </r>
  <r>
    <x v="0"/>
    <n v="6"/>
    <x v="2"/>
    <n v="71"/>
    <x v="22"/>
    <n v="41"/>
    <s v="Oregon"/>
    <n v="51"/>
    <s v="Multnomah County"/>
    <n v="79"/>
    <n v="123"/>
    <n v="2867"/>
    <n v="42736"/>
    <n v="88946"/>
    <n v="2155512"/>
    <n v="714780"/>
    <n v="1697092"/>
    <n v="41016664"/>
    <n v="6071"/>
    <x v="22"/>
    <n v="41051"/>
    <n v="0"/>
    <n v="1"/>
  </r>
  <r>
    <x v="0"/>
    <n v="6"/>
    <x v="2"/>
    <n v="73"/>
    <x v="23"/>
    <n v="41"/>
    <s v="Oregon"/>
    <n v="51"/>
    <s v="Multnomah County"/>
    <n v="442"/>
    <n v="674"/>
    <n v="24893"/>
    <n v="65584"/>
    <n v="123593"/>
    <n v="4635224"/>
    <n v="1285863"/>
    <n v="2754251"/>
    <n v="107209152"/>
    <n v="6073"/>
    <x v="23"/>
    <n v="41051"/>
    <n v="0"/>
    <n v="1"/>
  </r>
  <r>
    <x v="0"/>
    <n v="6"/>
    <x v="2"/>
    <n v="75"/>
    <x v="24"/>
    <n v="41"/>
    <s v="Oregon"/>
    <n v="51"/>
    <s v="Multnomah County"/>
    <n v="600"/>
    <n v="895"/>
    <n v="84916"/>
    <n v="34592"/>
    <n v="51778"/>
    <n v="4654895"/>
    <n v="407836"/>
    <n v="686049"/>
    <n v="60728348"/>
    <n v="6075"/>
    <x v="24"/>
    <n v="41051"/>
    <n v="0"/>
    <n v="1"/>
  </r>
  <r>
    <x v="0"/>
    <n v="6"/>
    <x v="2"/>
    <n v="77"/>
    <x v="25"/>
    <n v="41"/>
    <s v="Oregon"/>
    <n v="51"/>
    <s v="Multnomah County"/>
    <n v="46"/>
    <n v="82"/>
    <n v="1605"/>
    <n v="11980"/>
    <n v="24517"/>
    <n v="636508"/>
    <n v="243440"/>
    <n v="598158"/>
    <n v="15207243"/>
    <n v="6077"/>
    <x v="25"/>
    <n v="41051"/>
    <n v="0"/>
    <n v="1"/>
  </r>
  <r>
    <x v="0"/>
    <n v="6"/>
    <x v="2"/>
    <n v="79"/>
    <x v="26"/>
    <n v="41"/>
    <s v="Oregon"/>
    <n v="51"/>
    <s v="Multnomah County"/>
    <n v="58"/>
    <n v="74"/>
    <n v="2838"/>
    <n v="6254"/>
    <n v="10505"/>
    <n v="335485"/>
    <n v="108552"/>
    <n v="220583"/>
    <n v="8156351"/>
    <n v="6079"/>
    <x v="26"/>
    <n v="41051"/>
    <n v="0"/>
    <n v="1"/>
  </r>
  <r>
    <x v="0"/>
    <n v="6"/>
    <x v="2"/>
    <n v="81"/>
    <x v="27"/>
    <n v="41"/>
    <s v="Oregon"/>
    <n v="51"/>
    <s v="Multnomah County"/>
    <n v="181"/>
    <n v="314"/>
    <n v="23195"/>
    <n v="23946"/>
    <n v="43120"/>
    <n v="3446755"/>
    <n v="324046"/>
    <n v="677235"/>
    <n v="56054912"/>
    <n v="6081"/>
    <x v="27"/>
    <n v="41051"/>
    <n v="0"/>
    <n v="1"/>
  </r>
  <r>
    <x v="0"/>
    <n v="6"/>
    <x v="2"/>
    <n v="83"/>
    <x v="28"/>
    <n v="41"/>
    <s v="Oregon"/>
    <n v="51"/>
    <s v="Multnomah County"/>
    <n v="84"/>
    <n v="117"/>
    <n v="4765"/>
    <n v="9176"/>
    <n v="16000"/>
    <n v="630790"/>
    <n v="166614"/>
    <n v="371591"/>
    <n v="14285010"/>
    <n v="6083"/>
    <x v="28"/>
    <n v="41051"/>
    <n v="0"/>
    <n v="1"/>
  </r>
  <r>
    <x v="0"/>
    <n v="6"/>
    <x v="2"/>
    <n v="85"/>
    <x v="29"/>
    <n v="41"/>
    <s v="Oregon"/>
    <n v="51"/>
    <s v="Multnomah County"/>
    <n v="273"/>
    <n v="429"/>
    <n v="33950"/>
    <n v="44597"/>
    <n v="84615"/>
    <n v="7365708"/>
    <n v="764547"/>
    <n v="1702165"/>
    <n v="121766920"/>
    <n v="6085"/>
    <x v="29"/>
    <n v="41051"/>
    <n v="0"/>
    <n v="1"/>
  </r>
  <r>
    <x v="0"/>
    <n v="6"/>
    <x v="2"/>
    <n v="87"/>
    <x v="30"/>
    <n v="41"/>
    <s v="Oregon"/>
    <n v="51"/>
    <s v="Multnomah County"/>
    <n v="97"/>
    <n v="123"/>
    <n v="4354"/>
    <n v="6406"/>
    <n v="10953"/>
    <n v="428038"/>
    <n v="108486"/>
    <n v="229065"/>
    <n v="9470751"/>
    <n v="6087"/>
    <x v="30"/>
    <n v="41051"/>
    <n v="0"/>
    <n v="1"/>
  </r>
  <r>
    <x v="0"/>
    <n v="6"/>
    <x v="2"/>
    <n v="89"/>
    <x v="31"/>
    <n v="41"/>
    <s v="Oregon"/>
    <n v="51"/>
    <s v="Multnomah County"/>
    <n v="48"/>
    <n v="69"/>
    <n v="2095"/>
    <n v="3673"/>
    <n v="6673"/>
    <n v="175126"/>
    <n v="63451"/>
    <n v="132606"/>
    <n v="3704428"/>
    <n v="6089"/>
    <x v="31"/>
    <n v="41051"/>
    <n v="0"/>
    <n v="1"/>
  </r>
  <r>
    <x v="0"/>
    <n v="6"/>
    <x v="2"/>
    <n v="95"/>
    <x v="32"/>
    <n v="41"/>
    <s v="Oregon"/>
    <n v="51"/>
    <s v="Multnomah County"/>
    <n v="28"/>
    <n v="43"/>
    <n v="1036"/>
    <n v="10454"/>
    <n v="20158"/>
    <n v="590102"/>
    <n v="166534"/>
    <n v="361340"/>
    <n v="11847998"/>
    <n v="6095"/>
    <x v="32"/>
    <n v="41051"/>
    <n v="0"/>
    <n v="1"/>
  </r>
  <r>
    <x v="0"/>
    <n v="6"/>
    <x v="2"/>
    <n v="97"/>
    <x v="33"/>
    <n v="41"/>
    <s v="Oregon"/>
    <n v="51"/>
    <s v="Multnomah County"/>
    <n v="103"/>
    <n v="139"/>
    <n v="4405"/>
    <n v="9008"/>
    <n v="15115"/>
    <n v="576986"/>
    <n v="204548"/>
    <n v="422655"/>
    <n v="16807464"/>
    <n v="6097"/>
    <x v="33"/>
    <n v="41051"/>
    <n v="0"/>
    <n v="1"/>
  </r>
  <r>
    <x v="0"/>
    <n v="6"/>
    <x v="2"/>
    <n v="99"/>
    <x v="34"/>
    <n v="41"/>
    <s v="Oregon"/>
    <n v="51"/>
    <s v="Multnomah County"/>
    <n v="30"/>
    <n v="42"/>
    <n v="1251"/>
    <n v="8170"/>
    <n v="16665"/>
    <n v="434690"/>
    <n v="179705"/>
    <n v="437002"/>
    <n v="10887300"/>
    <n v="6099"/>
    <x v="34"/>
    <n v="41051"/>
    <n v="0"/>
    <n v="1"/>
  </r>
  <r>
    <x v="0"/>
    <n v="6"/>
    <x v="2"/>
    <n v="111"/>
    <x v="35"/>
    <n v="41"/>
    <s v="Oregon"/>
    <n v="51"/>
    <s v="Multnomah County"/>
    <n v="130"/>
    <n v="198"/>
    <n v="7573"/>
    <n v="16564"/>
    <n v="31750"/>
    <n v="1280897"/>
    <n v="330548"/>
    <n v="757391"/>
    <n v="28475600"/>
    <n v="6111"/>
    <x v="35"/>
    <n v="41051"/>
    <n v="0"/>
    <n v="1"/>
  </r>
  <r>
    <x v="0"/>
    <n v="6"/>
    <x v="2"/>
    <n v="113"/>
    <x v="36"/>
    <n v="41"/>
    <s v="Oregon"/>
    <n v="51"/>
    <s v="Multnomah County"/>
    <n v="27"/>
    <n v="38"/>
    <n v="1212"/>
    <n v="6110"/>
    <n v="10423"/>
    <n v="356381"/>
    <n v="72147"/>
    <n v="160618"/>
    <n v="5781161"/>
    <n v="6113"/>
    <x v="36"/>
    <n v="41051"/>
    <n v="0"/>
    <n v="1"/>
  </r>
  <r>
    <x v="0"/>
    <n v="8"/>
    <x v="3"/>
    <n v="1"/>
    <x v="37"/>
    <n v="41"/>
    <s v="Oregon"/>
    <n v="51"/>
    <s v="Multnomah County"/>
    <n v="22"/>
    <n v="35"/>
    <n v="1357"/>
    <n v="19278"/>
    <n v="39054"/>
    <n v="1004597"/>
    <n v="182942"/>
    <n v="413959"/>
    <n v="11206334"/>
    <n v="8001"/>
    <x v="37"/>
    <n v="41051"/>
    <n v="0"/>
    <n v="1"/>
  </r>
  <r>
    <x v="0"/>
    <n v="8"/>
    <x v="3"/>
    <n v="5"/>
    <x v="38"/>
    <n v="41"/>
    <s v="Oregon"/>
    <n v="51"/>
    <s v="Multnomah County"/>
    <n v="43"/>
    <n v="71"/>
    <n v="2466"/>
    <n v="29138"/>
    <n v="54024"/>
    <n v="1846794"/>
    <n v="251837"/>
    <n v="533869"/>
    <n v="21942226"/>
    <n v="8005"/>
    <x v="38"/>
    <n v="41051"/>
    <n v="0"/>
    <n v="1"/>
  </r>
  <r>
    <x v="0"/>
    <n v="8"/>
    <x v="3"/>
    <n v="13"/>
    <x v="39"/>
    <n v="41"/>
    <s v="Oregon"/>
    <n v="51"/>
    <s v="Multnomah County"/>
    <n v="90"/>
    <n v="116"/>
    <n v="5899"/>
    <n v="12638"/>
    <n v="20084"/>
    <n v="853968"/>
    <n v="129253"/>
    <n v="257258"/>
    <n v="13974359"/>
    <n v="8013"/>
    <x v="39"/>
    <n v="41051"/>
    <n v="0"/>
    <n v="1"/>
  </r>
  <r>
    <x v="0"/>
    <n v="8"/>
    <x v="3"/>
    <n v="31"/>
    <x v="40"/>
    <n v="41"/>
    <s v="Oregon"/>
    <n v="51"/>
    <s v="Multnomah County"/>
    <n v="148"/>
    <n v="205"/>
    <n v="9157"/>
    <n v="38188"/>
    <n v="64932"/>
    <n v="2433737"/>
    <n v="285859"/>
    <n v="537106"/>
    <n v="24925232"/>
    <n v="8031"/>
    <x v="40"/>
    <n v="41051"/>
    <n v="0"/>
    <n v="1"/>
  </r>
  <r>
    <x v="0"/>
    <n v="8"/>
    <x v="3"/>
    <n v="41"/>
    <x v="41"/>
    <n v="41"/>
    <s v="Oregon"/>
    <n v="51"/>
    <s v="Multnomah County"/>
    <n v="54"/>
    <n v="90"/>
    <n v="2909"/>
    <n v="21673"/>
    <n v="45449"/>
    <n v="1132296"/>
    <n v="255934"/>
    <n v="560470"/>
    <n v="17490338"/>
    <n v="8041"/>
    <x v="41"/>
    <n v="41051"/>
    <n v="0"/>
    <n v="1"/>
  </r>
  <r>
    <x v="0"/>
    <n v="8"/>
    <x v="3"/>
    <n v="59"/>
    <x v="42"/>
    <n v="41"/>
    <s v="Oregon"/>
    <n v="51"/>
    <s v="Multnomah County"/>
    <n v="39"/>
    <n v="60"/>
    <n v="1916"/>
    <n v="23117"/>
    <n v="39717"/>
    <n v="1364696"/>
    <n v="240560"/>
    <n v="478036"/>
    <n v="20981376"/>
    <n v="8059"/>
    <x v="42"/>
    <n v="41051"/>
    <n v="0"/>
    <n v="1"/>
  </r>
  <r>
    <x v="0"/>
    <n v="8"/>
    <x v="3"/>
    <n v="69"/>
    <x v="43"/>
    <n v="41"/>
    <s v="Oregon"/>
    <n v="51"/>
    <s v="Multnomah County"/>
    <n v="44"/>
    <n v="55"/>
    <n v="1629"/>
    <n v="10978"/>
    <n v="18521"/>
    <n v="559926"/>
    <n v="132996"/>
    <n v="268721"/>
    <n v="10701560"/>
    <n v="8069"/>
    <x v="43"/>
    <n v="41051"/>
    <n v="0"/>
    <n v="1"/>
  </r>
  <r>
    <x v="0"/>
    <n v="9"/>
    <x v="4"/>
    <n v="1"/>
    <x v="44"/>
    <n v="41"/>
    <s v="Oregon"/>
    <n v="51"/>
    <s v="Multnomah County"/>
    <n v="21"/>
    <n v="28"/>
    <n v="1568"/>
    <n v="19416"/>
    <n v="33330"/>
    <n v="3634883"/>
    <n v="373050"/>
    <n v="793367"/>
    <n v="68392112"/>
    <n v="9001"/>
    <x v="44"/>
    <n v="41051"/>
    <n v="0"/>
    <n v="1"/>
  </r>
  <r>
    <x v="0"/>
    <n v="9"/>
    <x v="4"/>
    <n v="9"/>
    <x v="45"/>
    <n v="41"/>
    <s v="Oregon"/>
    <n v="51"/>
    <s v="Multnomah County"/>
    <n v="32"/>
    <n v="51"/>
    <n v="1777"/>
    <n v="17043"/>
    <n v="28625"/>
    <n v="1157995"/>
    <n v="344269"/>
    <n v="685549"/>
    <n v="27386268"/>
    <n v="9009"/>
    <x v="45"/>
    <n v="41051"/>
    <n v="0"/>
    <n v="1"/>
  </r>
  <r>
    <x v="0"/>
    <n v="11"/>
    <x v="5"/>
    <n v="1"/>
    <x v="46"/>
    <n v="41"/>
    <s v="Oregon"/>
    <n v="51"/>
    <s v="Multnomah County"/>
    <n v="129"/>
    <n v="166"/>
    <n v="10064"/>
    <n v="29036"/>
    <n v="43786"/>
    <n v="2548265"/>
    <n v="286002"/>
    <n v="474139"/>
    <n v="29700454"/>
    <n v="11001"/>
    <x v="46"/>
    <n v="41051"/>
    <n v="0"/>
    <n v="1"/>
  </r>
  <r>
    <x v="0"/>
    <n v="12"/>
    <x v="6"/>
    <n v="11"/>
    <x v="47"/>
    <n v="41"/>
    <s v="Oregon"/>
    <n v="51"/>
    <s v="Multnomah County"/>
    <n v="58"/>
    <n v="87"/>
    <n v="3031"/>
    <n v="45302"/>
    <n v="80395"/>
    <n v="2857537"/>
    <n v="758658"/>
    <n v="1496038"/>
    <n v="53629992"/>
    <n v="12011"/>
    <x v="47"/>
    <n v="41051"/>
    <n v="0"/>
    <n v="1"/>
  </r>
  <r>
    <x v="0"/>
    <n v="12"/>
    <x v="6"/>
    <n v="31"/>
    <x v="48"/>
    <n v="41"/>
    <s v="Oregon"/>
    <n v="51"/>
    <s v="Multnomah County"/>
    <n v="35"/>
    <n v="64"/>
    <n v="1938"/>
    <n v="23928"/>
    <n v="45343"/>
    <n v="1422331"/>
    <n v="361544"/>
    <n v="727234"/>
    <n v="22492752"/>
    <n v="12031"/>
    <x v="48"/>
    <n v="41051"/>
    <n v="0"/>
    <n v="1"/>
  </r>
  <r>
    <x v="0"/>
    <n v="12"/>
    <x v="6"/>
    <n v="57"/>
    <x v="49"/>
    <n v="41"/>
    <s v="Oregon"/>
    <n v="51"/>
    <s v="Multnomah County"/>
    <n v="41"/>
    <n v="59"/>
    <n v="2022"/>
    <n v="35174"/>
    <n v="64253"/>
    <n v="2049423"/>
    <n v="512492"/>
    <n v="1057662"/>
    <n v="35821864"/>
    <n v="12057"/>
    <x v="49"/>
    <n v="41051"/>
    <n v="0"/>
    <n v="1"/>
  </r>
  <r>
    <x v="0"/>
    <n v="12"/>
    <x v="6"/>
    <n v="71"/>
    <x v="50"/>
    <n v="41"/>
    <s v="Oregon"/>
    <n v="51"/>
    <s v="Multnomah County"/>
    <n v="25"/>
    <n v="35"/>
    <n v="853"/>
    <n v="15645"/>
    <n v="27377"/>
    <n v="934406"/>
    <n v="270285"/>
    <n v="531797"/>
    <n v="20628528"/>
    <n v="12071"/>
    <x v="50"/>
    <n v="41051"/>
    <n v="0"/>
    <n v="1"/>
  </r>
  <r>
    <x v="0"/>
    <n v="12"/>
    <x v="6"/>
    <n v="73"/>
    <x v="51"/>
    <n v="41"/>
    <s v="Oregon"/>
    <n v="51"/>
    <s v="Multnomah County"/>
    <n v="23"/>
    <n v="29"/>
    <n v="970"/>
    <n v="8699"/>
    <n v="14467"/>
    <n v="365409"/>
    <n v="102454"/>
    <n v="198979"/>
    <n v="6802388"/>
    <n v="12073"/>
    <x v="51"/>
    <n v="41051"/>
    <n v="0"/>
    <n v="1"/>
  </r>
  <r>
    <x v="0"/>
    <n v="12"/>
    <x v="6"/>
    <n v="86"/>
    <x v="52"/>
    <n v="41"/>
    <s v="Oregon"/>
    <n v="51"/>
    <s v="Multnomah County"/>
    <n v="51"/>
    <n v="79"/>
    <n v="2633"/>
    <n v="46738"/>
    <n v="83164"/>
    <n v="2458954"/>
    <n v="1050178"/>
    <n v="2055296"/>
    <n v="67966640"/>
    <n v="12086"/>
    <x v="52"/>
    <n v="41051"/>
    <n v="0"/>
    <n v="1"/>
  </r>
  <r>
    <x v="0"/>
    <n v="12"/>
    <x v="6"/>
    <n v="95"/>
    <x v="18"/>
    <n v="41"/>
    <s v="Oregon"/>
    <n v="51"/>
    <s v="Multnomah County"/>
    <n v="47"/>
    <n v="64"/>
    <n v="2203"/>
    <n v="42858"/>
    <n v="76645"/>
    <n v="2019549"/>
    <n v="502063"/>
    <n v="1021656"/>
    <n v="32488984"/>
    <n v="12095"/>
    <x v="53"/>
    <n v="41051"/>
    <n v="0"/>
    <n v="1"/>
  </r>
  <r>
    <x v="0"/>
    <n v="12"/>
    <x v="6"/>
    <n v="99"/>
    <x v="53"/>
    <n v="41"/>
    <s v="Oregon"/>
    <n v="51"/>
    <s v="Multnomah County"/>
    <n v="34"/>
    <n v="49"/>
    <n v="3257"/>
    <n v="30296"/>
    <n v="51369"/>
    <n v="2178477"/>
    <n v="575166"/>
    <n v="1117614"/>
    <n v="60271880"/>
    <n v="12099"/>
    <x v="54"/>
    <n v="41051"/>
    <n v="0"/>
    <n v="1"/>
  </r>
  <r>
    <x v="0"/>
    <n v="12"/>
    <x v="6"/>
    <n v="103"/>
    <x v="54"/>
    <n v="41"/>
    <s v="Oregon"/>
    <n v="51"/>
    <s v="Multnomah County"/>
    <n v="47"/>
    <n v="62"/>
    <n v="2232"/>
    <n v="23113"/>
    <n v="38917"/>
    <n v="1280640"/>
    <n v="388253"/>
    <n v="711942"/>
    <n v="26886816"/>
    <n v="12103"/>
    <x v="55"/>
    <n v="41051"/>
    <n v="0"/>
    <n v="1"/>
  </r>
  <r>
    <x v="0"/>
    <n v="13"/>
    <x v="7"/>
    <n v="67"/>
    <x v="55"/>
    <n v="41"/>
    <s v="Oregon"/>
    <n v="51"/>
    <s v="Multnomah County"/>
    <n v="31"/>
    <n v="47"/>
    <n v="1965"/>
    <n v="28135"/>
    <n v="53300"/>
    <n v="1810242"/>
    <n v="282400"/>
    <n v="620163"/>
    <n v="24739556"/>
    <n v="13067"/>
    <x v="56"/>
    <n v="41051"/>
    <n v="0"/>
    <n v="1"/>
  </r>
  <r>
    <x v="0"/>
    <n v="13"/>
    <x v="7"/>
    <n v="89"/>
    <x v="56"/>
    <n v="41"/>
    <s v="Oregon"/>
    <n v="51"/>
    <s v="Multnomah County"/>
    <n v="39"/>
    <n v="60"/>
    <n v="2503"/>
    <n v="32713"/>
    <n v="61618"/>
    <n v="1966583"/>
    <n v="280995"/>
    <n v="576343"/>
    <n v="19977068"/>
    <n v="13089"/>
    <x v="57"/>
    <n v="41051"/>
    <n v="0"/>
    <n v="1"/>
  </r>
  <r>
    <x v="0"/>
    <n v="13"/>
    <x v="7"/>
    <n v="121"/>
    <x v="57"/>
    <n v="41"/>
    <s v="Oregon"/>
    <n v="51"/>
    <s v="Multnomah County"/>
    <n v="58"/>
    <n v="91"/>
    <n v="4744"/>
    <n v="44300"/>
    <n v="80811"/>
    <n v="3249859"/>
    <n v="369313"/>
    <n v="758885"/>
    <n v="42695904"/>
    <n v="13121"/>
    <x v="58"/>
    <n v="41051"/>
    <n v="0"/>
    <n v="1"/>
  </r>
  <r>
    <x v="0"/>
    <n v="15"/>
    <x v="8"/>
    <n v="1"/>
    <x v="58"/>
    <n v="41"/>
    <s v="Oregon"/>
    <n v="51"/>
    <s v="Multnomah County"/>
    <n v="49"/>
    <n v="66"/>
    <n v="2551"/>
    <n v="3321"/>
    <n v="5785"/>
    <n v="144477"/>
    <n v="71731"/>
    <n v="145168"/>
    <n v="3958567"/>
    <n v="15001"/>
    <x v="59"/>
    <n v="41051"/>
    <n v="0"/>
    <n v="1"/>
  </r>
  <r>
    <x v="0"/>
    <n v="15"/>
    <x v="8"/>
    <n v="3"/>
    <x v="59"/>
    <n v="41"/>
    <s v="Oregon"/>
    <n v="51"/>
    <s v="Multnomah County"/>
    <n v="176"/>
    <n v="294"/>
    <n v="9816"/>
    <n v="23233"/>
    <n v="50194"/>
    <n v="1272317"/>
    <n v="409901"/>
    <n v="833951"/>
    <n v="28864576"/>
    <n v="15003"/>
    <x v="60"/>
    <n v="41051"/>
    <n v="0"/>
    <n v="1"/>
  </r>
  <r>
    <x v="0"/>
    <n v="15"/>
    <x v="8"/>
    <n v="7"/>
    <x v="60"/>
    <n v="41"/>
    <s v="Oregon"/>
    <n v="51"/>
    <s v="Multnomah County"/>
    <n v="20"/>
    <n v="31"/>
    <n v="508"/>
    <n v="1313"/>
    <n v="2309"/>
    <n v="69216"/>
    <n v="29148"/>
    <n v="57928"/>
    <n v="1781562"/>
    <n v="15007"/>
    <x v="61"/>
    <n v="41051"/>
    <n v="0"/>
    <n v="1"/>
  </r>
  <r>
    <x v="0"/>
    <n v="15"/>
    <x v="8"/>
    <n v="9"/>
    <x v="61"/>
    <n v="41"/>
    <s v="Oregon"/>
    <n v="51"/>
    <s v="Multnomah County"/>
    <n v="31"/>
    <n v="46"/>
    <n v="2234"/>
    <n v="3035"/>
    <n v="5171"/>
    <n v="154448"/>
    <n v="65733"/>
    <n v="130486"/>
    <n v="3933571"/>
    <n v="15009"/>
    <x v="62"/>
    <n v="41051"/>
    <n v="0"/>
    <n v="1"/>
  </r>
  <r>
    <x v="0"/>
    <n v="16"/>
    <x v="9"/>
    <n v="1"/>
    <x v="62"/>
    <n v="41"/>
    <s v="Oregon"/>
    <n v="51"/>
    <s v="Multnomah County"/>
    <n v="153"/>
    <n v="219"/>
    <n v="5624"/>
    <n v="9974"/>
    <n v="19514"/>
    <n v="533945"/>
    <n v="164077"/>
    <n v="358791"/>
    <n v="12306786"/>
    <n v="16001"/>
    <x v="63"/>
    <n v="41051"/>
    <n v="0"/>
    <n v="1"/>
  </r>
  <r>
    <x v="0"/>
    <n v="16"/>
    <x v="9"/>
    <n v="27"/>
    <x v="63"/>
    <n v="41"/>
    <s v="Oregon"/>
    <n v="51"/>
    <s v="Multnomah County"/>
    <n v="29"/>
    <n v="51"/>
    <n v="838"/>
    <n v="4887"/>
    <n v="10582"/>
    <n v="194985"/>
    <n v="67172"/>
    <n v="167453"/>
    <n v="3311260"/>
    <n v="16027"/>
    <x v="64"/>
    <n v="41051"/>
    <n v="0"/>
    <n v="1"/>
  </r>
  <r>
    <x v="0"/>
    <n v="16"/>
    <x v="9"/>
    <n v="55"/>
    <x v="64"/>
    <n v="41"/>
    <s v="Oregon"/>
    <n v="51"/>
    <s v="Multnomah County"/>
    <n v="25"/>
    <n v="36"/>
    <n v="740"/>
    <n v="3376"/>
    <n v="6286"/>
    <n v="150288"/>
    <n v="58422"/>
    <n v="124502"/>
    <n v="3578320"/>
    <n v="16055"/>
    <x v="65"/>
    <n v="41051"/>
    <n v="0"/>
    <n v="1"/>
  </r>
  <r>
    <x v="0"/>
    <n v="17"/>
    <x v="10"/>
    <n v="31"/>
    <x v="65"/>
    <n v="41"/>
    <s v="Oregon"/>
    <n v="51"/>
    <s v="Multnomah County"/>
    <n v="412"/>
    <n v="552"/>
    <n v="28968"/>
    <n v="96453"/>
    <n v="176792"/>
    <n v="8028185"/>
    <n v="2116903"/>
    <n v="4413259"/>
    <n v="178541696"/>
    <n v="17031"/>
    <x v="66"/>
    <n v="41051"/>
    <n v="0"/>
    <n v="1"/>
  </r>
  <r>
    <x v="0"/>
    <n v="17"/>
    <x v="10"/>
    <n v="43"/>
    <x v="66"/>
    <n v="41"/>
    <s v="Oregon"/>
    <n v="51"/>
    <s v="Multnomah County"/>
    <n v="30"/>
    <n v="45"/>
    <n v="1970"/>
    <n v="28635"/>
    <n v="53321"/>
    <n v="2506003"/>
    <n v="388716"/>
    <n v="870891"/>
    <n v="43184004"/>
    <n v="17043"/>
    <x v="67"/>
    <n v="41051"/>
    <n v="0"/>
    <n v="1"/>
  </r>
  <r>
    <x v="0"/>
    <n v="17"/>
    <x v="10"/>
    <n v="97"/>
    <x v="67"/>
    <n v="41"/>
    <s v="Oregon"/>
    <n v="51"/>
    <s v="Multnomah County"/>
    <n v="20"/>
    <n v="30"/>
    <n v="2169"/>
    <n v="16847"/>
    <n v="31302"/>
    <n v="1667266"/>
    <n v="278510"/>
    <n v="652781"/>
    <n v="36183396"/>
    <n v="17097"/>
    <x v="68"/>
    <n v="41051"/>
    <n v="0"/>
    <n v="1"/>
  </r>
  <r>
    <x v="0"/>
    <n v="18"/>
    <x v="11"/>
    <n v="97"/>
    <x v="68"/>
    <n v="41"/>
    <s v="Oregon"/>
    <n v="51"/>
    <s v="Multnomah County"/>
    <n v="45"/>
    <n v="62"/>
    <n v="2869"/>
    <n v="26845"/>
    <n v="48301"/>
    <n v="1456356"/>
    <n v="376045"/>
    <n v="778106"/>
    <n v="21847366"/>
    <n v="18097"/>
    <x v="69"/>
    <n v="41051"/>
    <n v="0"/>
    <n v="1"/>
  </r>
  <r>
    <x v="0"/>
    <n v="18"/>
    <x v="11"/>
    <n v="105"/>
    <x v="69"/>
    <n v="41"/>
    <s v="Oregon"/>
    <n v="51"/>
    <s v="Multnomah County"/>
    <n v="20"/>
    <n v="28"/>
    <n v="981"/>
    <n v="4277"/>
    <n v="6831"/>
    <n v="191675"/>
    <n v="47250"/>
    <n v="90883"/>
    <n v="3138862"/>
    <n v="18105"/>
    <x v="70"/>
    <n v="41051"/>
    <n v="0"/>
    <n v="1"/>
  </r>
  <r>
    <x v="0"/>
    <n v="19"/>
    <x v="12"/>
    <n v="153"/>
    <x v="70"/>
    <n v="41"/>
    <s v="Oregon"/>
    <n v="51"/>
    <s v="Multnomah County"/>
    <n v="23"/>
    <n v="32"/>
    <n v="1566"/>
    <n v="11640"/>
    <n v="21525"/>
    <n v="766832"/>
    <n v="186647"/>
    <n v="400566"/>
    <n v="14677746"/>
    <n v="19153"/>
    <x v="71"/>
    <n v="41051"/>
    <n v="0"/>
    <n v="1"/>
  </r>
  <r>
    <x v="0"/>
    <n v="20"/>
    <x v="13"/>
    <n v="91"/>
    <x v="71"/>
    <n v="41"/>
    <s v="Oregon"/>
    <n v="51"/>
    <s v="Multnomah County"/>
    <n v="32"/>
    <n v="47"/>
    <n v="4121"/>
    <n v="15840"/>
    <n v="29029"/>
    <n v="1117542"/>
    <n v="233721"/>
    <n v="519325"/>
    <n v="26396424"/>
    <n v="20091"/>
    <x v="72"/>
    <n v="41051"/>
    <n v="0"/>
    <n v="1"/>
  </r>
  <r>
    <x v="0"/>
    <n v="21"/>
    <x v="14"/>
    <n v="111"/>
    <x v="42"/>
    <n v="41"/>
    <s v="Oregon"/>
    <n v="51"/>
    <s v="Multnomah County"/>
    <n v="32"/>
    <n v="39"/>
    <n v="1070"/>
    <n v="16793"/>
    <n v="31775"/>
    <n v="970230"/>
    <n v="307550"/>
    <n v="616963"/>
    <n v="21453860"/>
    <n v="21111"/>
    <x v="73"/>
    <n v="41051"/>
    <n v="0"/>
    <n v="1"/>
  </r>
  <r>
    <x v="0"/>
    <n v="22"/>
    <x v="15"/>
    <n v="71"/>
    <x v="72"/>
    <n v="41"/>
    <s v="Oregon"/>
    <n v="51"/>
    <s v="Multnomah County"/>
    <n v="62"/>
    <n v="78"/>
    <n v="2580"/>
    <n v="12388"/>
    <n v="21923"/>
    <n v="621128"/>
    <n v="131511"/>
    <n v="251624"/>
    <n v="8521553"/>
    <n v="22071"/>
    <x v="74"/>
    <n v="41051"/>
    <n v="0"/>
    <n v="1"/>
  </r>
  <r>
    <x v="0"/>
    <n v="23"/>
    <x v="16"/>
    <n v="5"/>
    <x v="73"/>
    <n v="41"/>
    <s v="Oregon"/>
    <n v="51"/>
    <s v="Multnomah County"/>
    <n v="33"/>
    <n v="44"/>
    <n v="1322"/>
    <n v="7774"/>
    <n v="12432"/>
    <n v="443384"/>
    <n v="125440"/>
    <n v="241357"/>
    <n v="9969002"/>
    <n v="23005"/>
    <x v="75"/>
    <n v="41051"/>
    <n v="0"/>
    <n v="1"/>
  </r>
  <r>
    <x v="0"/>
    <n v="24"/>
    <x v="17"/>
    <n v="31"/>
    <x v="74"/>
    <n v="41"/>
    <s v="Oregon"/>
    <n v="51"/>
    <s v="Multnomah County"/>
    <n v="67"/>
    <n v="104"/>
    <n v="5602"/>
    <n v="30558"/>
    <n v="53273"/>
    <n v="2659472"/>
    <n v="428939"/>
    <n v="905235"/>
    <n v="51669852"/>
    <n v="24031"/>
    <x v="76"/>
    <n v="41051"/>
    <n v="0"/>
    <n v="1"/>
  </r>
  <r>
    <x v="0"/>
    <n v="24"/>
    <x v="17"/>
    <n v="510"/>
    <x v="75"/>
    <n v="41"/>
    <s v="Oregon"/>
    <n v="51"/>
    <s v="Multnomah County"/>
    <n v="34"/>
    <n v="44"/>
    <n v="2116"/>
    <n v="21858"/>
    <n v="39396"/>
    <n v="1279320"/>
    <n v="218464"/>
    <n v="417528"/>
    <n v="12612109"/>
    <n v="24510"/>
    <x v="77"/>
    <n v="41051"/>
    <n v="0"/>
    <n v="1"/>
  </r>
  <r>
    <x v="0"/>
    <n v="25"/>
    <x v="18"/>
    <n v="9"/>
    <x v="76"/>
    <n v="41"/>
    <s v="Oregon"/>
    <n v="51"/>
    <s v="Multnomah County"/>
    <n v="27"/>
    <n v="38"/>
    <n v="1280"/>
    <n v="15832"/>
    <n v="26302"/>
    <n v="1123012"/>
    <n v="321045"/>
    <n v="650797"/>
    <n v="30368012"/>
    <n v="25009"/>
    <x v="78"/>
    <n v="41051"/>
    <n v="0"/>
    <n v="1"/>
  </r>
  <r>
    <x v="0"/>
    <n v="25"/>
    <x v="18"/>
    <n v="15"/>
    <x v="77"/>
    <n v="41"/>
    <s v="Oregon"/>
    <n v="51"/>
    <s v="Multnomah County"/>
    <n v="27"/>
    <n v="38"/>
    <n v="1304"/>
    <n v="4470"/>
    <n v="6605"/>
    <n v="232382"/>
    <n v="60981"/>
    <n v="114870"/>
    <n v="4618229"/>
    <n v="25015"/>
    <x v="79"/>
    <n v="41051"/>
    <n v="0"/>
    <n v="1"/>
  </r>
  <r>
    <x v="0"/>
    <n v="25"/>
    <x v="18"/>
    <n v="17"/>
    <x v="78"/>
    <n v="41"/>
    <s v="Oregon"/>
    <n v="51"/>
    <s v="Multnomah County"/>
    <n v="153"/>
    <n v="199"/>
    <n v="18857"/>
    <n v="45215"/>
    <n v="72508"/>
    <n v="4436656"/>
    <n v="656423"/>
    <n v="1319239"/>
    <n v="83549536"/>
    <n v="25017"/>
    <x v="80"/>
    <n v="41051"/>
    <n v="0"/>
    <n v="1"/>
  </r>
  <r>
    <x v="0"/>
    <n v="25"/>
    <x v="18"/>
    <n v="21"/>
    <x v="79"/>
    <n v="41"/>
    <s v="Oregon"/>
    <n v="51"/>
    <s v="Multnomah County"/>
    <n v="29"/>
    <n v="40"/>
    <n v="2981"/>
    <n v="22537"/>
    <n v="36202"/>
    <n v="2386579"/>
    <n v="288581"/>
    <n v="599776"/>
    <n v="41360224"/>
    <n v="25021"/>
    <x v="81"/>
    <n v="41051"/>
    <n v="0"/>
    <n v="1"/>
  </r>
  <r>
    <x v="0"/>
    <n v="25"/>
    <x v="18"/>
    <n v="25"/>
    <x v="80"/>
    <n v="41"/>
    <s v="Oregon"/>
    <n v="51"/>
    <s v="Multnomah County"/>
    <n v="94"/>
    <n v="114"/>
    <n v="6773"/>
    <n v="33930"/>
    <n v="51189"/>
    <n v="3015486"/>
    <n v="315328"/>
    <n v="543520"/>
    <n v="31980098"/>
    <n v="25025"/>
    <x v="82"/>
    <n v="41051"/>
    <n v="0"/>
    <n v="1"/>
  </r>
  <r>
    <x v="0"/>
    <n v="26"/>
    <x v="19"/>
    <n v="81"/>
    <x v="81"/>
    <n v="41"/>
    <s v="Oregon"/>
    <n v="51"/>
    <s v="Multnomah County"/>
    <n v="49"/>
    <n v="62"/>
    <n v="1965"/>
    <n v="13302"/>
    <n v="24280"/>
    <n v="721145"/>
    <n v="249164"/>
    <n v="540851"/>
    <n v="18047280"/>
    <n v="26081"/>
    <x v="83"/>
    <n v="41051"/>
    <n v="0"/>
    <n v="1"/>
  </r>
  <r>
    <x v="0"/>
    <n v="26"/>
    <x v="19"/>
    <n v="125"/>
    <x v="82"/>
    <n v="41"/>
    <s v="Oregon"/>
    <n v="51"/>
    <s v="Multnomah County"/>
    <n v="36"/>
    <n v="49"/>
    <n v="2381"/>
    <n v="30446"/>
    <n v="53403"/>
    <n v="2181399"/>
    <n v="514534"/>
    <n v="1065520"/>
    <n v="51534304"/>
    <n v="26125"/>
    <x v="84"/>
    <n v="41051"/>
    <n v="0"/>
    <n v="1"/>
  </r>
  <r>
    <x v="0"/>
    <n v="26"/>
    <x v="19"/>
    <n v="161"/>
    <x v="83"/>
    <n v="41"/>
    <s v="Oregon"/>
    <n v="51"/>
    <s v="Multnomah County"/>
    <n v="49"/>
    <n v="71"/>
    <n v="2602"/>
    <n v="11599"/>
    <n v="19141"/>
    <n v="761458"/>
    <n v="135252"/>
    <n v="272405"/>
    <n v="12353166"/>
    <n v="26161"/>
    <x v="85"/>
    <n v="41051"/>
    <n v="0"/>
    <n v="1"/>
  </r>
  <r>
    <x v="0"/>
    <n v="26"/>
    <x v="19"/>
    <n v="163"/>
    <x v="84"/>
    <n v="41"/>
    <s v="Oregon"/>
    <n v="51"/>
    <s v="Multnomah County"/>
    <n v="34"/>
    <n v="45"/>
    <n v="1546"/>
    <n v="31042"/>
    <n v="57128"/>
    <n v="1608411"/>
    <n v="647335"/>
    <n v="1346913"/>
    <n v="37174020"/>
    <n v="26163"/>
    <x v="86"/>
    <n v="41051"/>
    <n v="0"/>
    <n v="1"/>
  </r>
  <r>
    <x v="0"/>
    <n v="27"/>
    <x v="20"/>
    <n v="53"/>
    <x v="85"/>
    <n v="41"/>
    <s v="Oregon"/>
    <n v="51"/>
    <s v="Multnomah County"/>
    <n v="151"/>
    <n v="212"/>
    <n v="10727"/>
    <n v="37476"/>
    <n v="65198"/>
    <n v="2671606"/>
    <n v="526774"/>
    <n v="1051579"/>
    <n v="53725360"/>
    <n v="27053"/>
    <x v="87"/>
    <n v="41051"/>
    <n v="0"/>
    <n v="1"/>
  </r>
  <r>
    <x v="0"/>
    <n v="27"/>
    <x v="20"/>
    <n v="123"/>
    <x v="86"/>
    <n v="41"/>
    <s v="Oregon"/>
    <n v="51"/>
    <s v="Multnomah County"/>
    <n v="43"/>
    <n v="65"/>
    <n v="4185"/>
    <n v="20259"/>
    <n v="34908"/>
    <n v="1141713"/>
    <n v="221297"/>
    <n v="444208"/>
    <n v="16789112"/>
    <n v="27123"/>
    <x v="88"/>
    <n v="41051"/>
    <n v="0"/>
    <n v="1"/>
  </r>
  <r>
    <x v="0"/>
    <n v="29"/>
    <x v="21"/>
    <n v="95"/>
    <x v="87"/>
    <n v="41"/>
    <s v="Oregon"/>
    <n v="51"/>
    <s v="Multnomah County"/>
    <n v="44"/>
    <n v="69"/>
    <n v="2966"/>
    <n v="17474"/>
    <n v="31456"/>
    <n v="929748"/>
    <n v="267334"/>
    <n v="540562"/>
    <n v="16672136"/>
    <n v="29095"/>
    <x v="89"/>
    <n v="41051"/>
    <n v="0"/>
    <n v="1"/>
  </r>
  <r>
    <x v="0"/>
    <n v="29"/>
    <x v="21"/>
    <n v="189"/>
    <x v="88"/>
    <n v="41"/>
    <s v="Oregon"/>
    <n v="51"/>
    <s v="Multnomah County"/>
    <n v="30"/>
    <n v="50"/>
    <n v="2482"/>
    <n v="27033"/>
    <n v="48785"/>
    <n v="1753164"/>
    <n v="415121"/>
    <n v="850368"/>
    <n v="40509056"/>
    <n v="29189"/>
    <x v="90"/>
    <n v="41051"/>
    <n v="0"/>
    <n v="1"/>
  </r>
  <r>
    <x v="0"/>
    <n v="29"/>
    <x v="21"/>
    <n v="510"/>
    <x v="89"/>
    <n v="41"/>
    <s v="Oregon"/>
    <n v="51"/>
    <s v="Multnomah County"/>
    <n v="22"/>
    <n v="29"/>
    <n v="1677"/>
    <n v="14512"/>
    <n v="26033"/>
    <n v="929720"/>
    <n v="120438"/>
    <n v="218372"/>
    <n v="6295269"/>
    <n v="29510"/>
    <x v="91"/>
    <n v="41051"/>
    <n v="0"/>
    <n v="1"/>
  </r>
  <r>
    <x v="0"/>
    <n v="30"/>
    <x v="22"/>
    <n v="31"/>
    <x v="90"/>
    <n v="41"/>
    <s v="Oregon"/>
    <n v="51"/>
    <s v="Multnomah County"/>
    <n v="27"/>
    <n v="31"/>
    <n v="1240"/>
    <n v="3602"/>
    <n v="5800"/>
    <n v="150533"/>
    <n v="42764"/>
    <n v="82735"/>
    <n v="3186450"/>
    <n v="30031"/>
    <x v="92"/>
    <n v="41051"/>
    <n v="0"/>
    <n v="1"/>
  </r>
  <r>
    <x v="0"/>
    <n v="30"/>
    <x v="22"/>
    <n v="49"/>
    <x v="91"/>
    <n v="41"/>
    <s v="Oregon"/>
    <n v="51"/>
    <s v="Multnomah County"/>
    <n v="23"/>
    <n v="28"/>
    <n v="987"/>
    <n v="1760"/>
    <n v="3039"/>
    <n v="86466"/>
    <n v="27905"/>
    <n v="55518"/>
    <n v="1799113"/>
    <n v="30049"/>
    <x v="93"/>
    <n v="41051"/>
    <n v="0"/>
    <n v="1"/>
  </r>
  <r>
    <x v="0"/>
    <n v="30"/>
    <x v="22"/>
    <n v="63"/>
    <x v="92"/>
    <n v="41"/>
    <s v="Oregon"/>
    <n v="51"/>
    <s v="Multnomah County"/>
    <n v="57"/>
    <n v="69"/>
    <n v="1682"/>
    <n v="3395"/>
    <n v="5495"/>
    <n v="135339"/>
    <n v="46633"/>
    <n v="87944"/>
    <n v="3194400"/>
    <n v="30063"/>
    <x v="94"/>
    <n v="41051"/>
    <n v="0"/>
    <n v="1"/>
  </r>
  <r>
    <x v="0"/>
    <n v="31"/>
    <x v="23"/>
    <n v="55"/>
    <x v="93"/>
    <n v="41"/>
    <s v="Oregon"/>
    <n v="51"/>
    <s v="Multnomah County"/>
    <n v="41"/>
    <n v="74"/>
    <n v="1559"/>
    <n v="14310"/>
    <n v="27318"/>
    <n v="904763"/>
    <n v="219376"/>
    <n v="474510"/>
    <n v="17808672"/>
    <n v="31055"/>
    <x v="95"/>
    <n v="41051"/>
    <n v="0"/>
    <n v="1"/>
  </r>
  <r>
    <x v="0"/>
    <n v="32"/>
    <x v="24"/>
    <n v="3"/>
    <x v="94"/>
    <n v="41"/>
    <s v="Oregon"/>
    <n v="51"/>
    <s v="Multnomah County"/>
    <n v="228"/>
    <n v="337"/>
    <n v="9839"/>
    <n v="35566"/>
    <n v="67572"/>
    <n v="2051892"/>
    <n v="795637"/>
    <n v="1698547"/>
    <n v="53111048"/>
    <n v="32003"/>
    <x v="96"/>
    <n v="41051"/>
    <n v="0"/>
    <n v="1"/>
  </r>
  <r>
    <x v="0"/>
    <n v="32"/>
    <x v="24"/>
    <n v="31"/>
    <x v="95"/>
    <n v="41"/>
    <s v="Oregon"/>
    <n v="51"/>
    <s v="Multnomah County"/>
    <n v="75"/>
    <n v="104"/>
    <n v="3419"/>
    <n v="8911"/>
    <n v="15828"/>
    <n v="475483"/>
    <n v="178030"/>
    <n v="361469"/>
    <n v="13710849"/>
    <n v="32031"/>
    <x v="97"/>
    <n v="41051"/>
    <n v="0"/>
    <n v="1"/>
  </r>
  <r>
    <x v="0"/>
    <n v="34"/>
    <x v="25"/>
    <n v="17"/>
    <x v="96"/>
    <n v="41"/>
    <s v="Oregon"/>
    <n v="51"/>
    <s v="Multnomah County"/>
    <n v="32"/>
    <n v="42"/>
    <n v="2961"/>
    <n v="24508"/>
    <n v="44832"/>
    <n v="2428623"/>
    <n v="275278"/>
    <n v="530483"/>
    <n v="21257588"/>
    <n v="34017"/>
    <x v="98"/>
    <n v="41051"/>
    <n v="0"/>
    <n v="1"/>
  </r>
  <r>
    <x v="0"/>
    <n v="35"/>
    <x v="26"/>
    <n v="1"/>
    <x v="97"/>
    <n v="41"/>
    <s v="Oregon"/>
    <n v="51"/>
    <s v="Multnomah County"/>
    <n v="77"/>
    <n v="131"/>
    <n v="3420"/>
    <n v="14263"/>
    <n v="27097"/>
    <n v="775232"/>
    <n v="256277"/>
    <n v="518151"/>
    <n v="15867306"/>
    <n v="35001"/>
    <x v="99"/>
    <n v="41051"/>
    <n v="0"/>
    <n v="1"/>
  </r>
  <r>
    <x v="0"/>
    <n v="35"/>
    <x v="26"/>
    <n v="49"/>
    <x v="98"/>
    <n v="41"/>
    <s v="Oregon"/>
    <n v="51"/>
    <s v="Multnomah County"/>
    <n v="37"/>
    <n v="45"/>
    <n v="1608"/>
    <n v="3714"/>
    <n v="6304"/>
    <n v="279256"/>
    <n v="63318"/>
    <n v="120090"/>
    <n v="4674925"/>
    <n v="35049"/>
    <x v="100"/>
    <n v="41051"/>
    <n v="0"/>
    <n v="1"/>
  </r>
  <r>
    <x v="0"/>
    <n v="36"/>
    <x v="27"/>
    <n v="29"/>
    <x v="99"/>
    <n v="41"/>
    <s v="Oregon"/>
    <n v="51"/>
    <s v="Multnomah County"/>
    <n v="27"/>
    <n v="31"/>
    <n v="1065"/>
    <n v="11791"/>
    <n v="20164"/>
    <n v="677072"/>
    <n v="372818"/>
    <n v="733449"/>
    <n v="25340556"/>
    <n v="36029"/>
    <x v="101"/>
    <n v="41051"/>
    <n v="0"/>
    <n v="1"/>
  </r>
  <r>
    <x v="0"/>
    <n v="36"/>
    <x v="27"/>
    <n v="47"/>
    <x v="100"/>
    <n v="41"/>
    <s v="Oregon"/>
    <n v="51"/>
    <s v="Multnomah County"/>
    <n v="346"/>
    <n v="478"/>
    <n v="27133"/>
    <n v="67918"/>
    <n v="120144"/>
    <n v="4484694"/>
    <n v="1021063"/>
    <n v="2038512"/>
    <n v="64021008"/>
    <n v="36047"/>
    <x v="102"/>
    <n v="41051"/>
    <n v="0"/>
    <n v="1"/>
  </r>
  <r>
    <x v="0"/>
    <n v="36"/>
    <x v="27"/>
    <n v="55"/>
    <x v="69"/>
    <n v="41"/>
    <s v="Oregon"/>
    <n v="51"/>
    <s v="Multnomah County"/>
    <n v="29"/>
    <n v="41"/>
    <n v="1680"/>
    <n v="11705"/>
    <n v="19639"/>
    <n v="675000"/>
    <n v="303846"/>
    <n v="602276"/>
    <n v="21751732"/>
    <n v="36055"/>
    <x v="103"/>
    <n v="41051"/>
    <n v="0"/>
    <n v="1"/>
  </r>
  <r>
    <x v="0"/>
    <n v="36"/>
    <x v="27"/>
    <n v="59"/>
    <x v="101"/>
    <n v="41"/>
    <s v="Oregon"/>
    <n v="51"/>
    <s v="Multnomah County"/>
    <n v="29"/>
    <n v="36"/>
    <n v="1266"/>
    <n v="26758"/>
    <n v="45378"/>
    <n v="2387340"/>
    <n v="588275"/>
    <n v="1240637"/>
    <n v="73602064"/>
    <n v="36059"/>
    <x v="104"/>
    <n v="41051"/>
    <n v="0"/>
    <n v="1"/>
  </r>
  <r>
    <x v="0"/>
    <n v="36"/>
    <x v="27"/>
    <n v="61"/>
    <x v="102"/>
    <n v="41"/>
    <s v="Oregon"/>
    <n v="51"/>
    <s v="Multnomah County"/>
    <n v="181"/>
    <n v="246"/>
    <n v="17226"/>
    <n v="75793"/>
    <n v="117143"/>
    <n v="10850584"/>
    <n v="759104"/>
    <n v="1242242"/>
    <n v="174441360"/>
    <n v="36061"/>
    <x v="105"/>
    <n v="41051"/>
    <n v="0"/>
    <n v="1"/>
  </r>
  <r>
    <x v="0"/>
    <n v="36"/>
    <x v="27"/>
    <n v="81"/>
    <x v="103"/>
    <n v="41"/>
    <s v="Oregon"/>
    <n v="51"/>
    <s v="Multnomah County"/>
    <n v="81"/>
    <n v="99"/>
    <n v="4576"/>
    <n v="55523"/>
    <n v="101090"/>
    <n v="3324798"/>
    <n v="965711"/>
    <n v="1912278"/>
    <n v="53633384"/>
    <n v="36081"/>
    <x v="106"/>
    <n v="41051"/>
    <n v="0"/>
    <n v="1"/>
  </r>
  <r>
    <x v="0"/>
    <n v="36"/>
    <x v="27"/>
    <n v="103"/>
    <x v="80"/>
    <n v="41"/>
    <s v="Oregon"/>
    <n v="51"/>
    <s v="Multnomah County"/>
    <n v="21"/>
    <n v="27"/>
    <n v="984"/>
    <n v="23391"/>
    <n v="39613"/>
    <n v="2543408"/>
    <n v="638551"/>
    <n v="1323688"/>
    <n v="63366248"/>
    <n v="36103"/>
    <x v="107"/>
    <n v="41051"/>
    <n v="0"/>
    <n v="1"/>
  </r>
  <r>
    <x v="0"/>
    <n v="36"/>
    <x v="27"/>
    <n v="119"/>
    <x v="104"/>
    <n v="41"/>
    <s v="Oregon"/>
    <n v="51"/>
    <s v="Multnomah County"/>
    <n v="27"/>
    <n v="34"/>
    <n v="3240"/>
    <n v="21269"/>
    <n v="37755"/>
    <n v="3245063"/>
    <n v="397812"/>
    <n v="836248"/>
    <n v="67925120"/>
    <n v="36119"/>
    <x v="108"/>
    <n v="41051"/>
    <n v="0"/>
    <n v="1"/>
  </r>
  <r>
    <x v="0"/>
    <n v="37"/>
    <x v="28"/>
    <n v="21"/>
    <x v="105"/>
    <n v="41"/>
    <s v="Oregon"/>
    <n v="51"/>
    <s v="Multnomah County"/>
    <n v="42"/>
    <n v="54"/>
    <n v="1379"/>
    <n v="7188"/>
    <n v="12170"/>
    <n v="329686"/>
    <n v="102153"/>
    <n v="199760"/>
    <n v="6358978"/>
    <n v="37021"/>
    <x v="109"/>
    <n v="41051"/>
    <n v="0"/>
    <n v="1"/>
  </r>
  <r>
    <x v="0"/>
    <n v="37"/>
    <x v="28"/>
    <n v="119"/>
    <x v="106"/>
    <n v="41"/>
    <s v="Oregon"/>
    <n v="51"/>
    <s v="Multnomah County"/>
    <n v="42"/>
    <n v="69"/>
    <n v="3624"/>
    <n v="30011"/>
    <n v="56825"/>
    <n v="2179318"/>
    <n v="393228"/>
    <n v="833861"/>
    <n v="36153020"/>
    <n v="37119"/>
    <x v="110"/>
    <n v="41051"/>
    <n v="0"/>
    <n v="1"/>
  </r>
  <r>
    <x v="0"/>
    <n v="37"/>
    <x v="28"/>
    <n v="135"/>
    <x v="18"/>
    <n v="41"/>
    <s v="Oregon"/>
    <n v="51"/>
    <s v="Multnomah County"/>
    <n v="22"/>
    <n v="33"/>
    <n v="1373"/>
    <n v="5619"/>
    <n v="9622"/>
    <n v="379004"/>
    <n v="49632"/>
    <n v="105979"/>
    <n v="5185361"/>
    <n v="37135"/>
    <x v="111"/>
    <n v="41051"/>
    <n v="0"/>
    <n v="1"/>
  </r>
  <r>
    <x v="0"/>
    <n v="37"/>
    <x v="28"/>
    <n v="183"/>
    <x v="107"/>
    <n v="41"/>
    <s v="Oregon"/>
    <n v="51"/>
    <s v="Multnomah County"/>
    <n v="49"/>
    <n v="78"/>
    <n v="3321"/>
    <n v="26509"/>
    <n v="49179"/>
    <n v="1774702"/>
    <n v="386529"/>
    <n v="858879"/>
    <n v="35405188"/>
    <n v="37183"/>
    <x v="112"/>
    <n v="41051"/>
    <n v="0"/>
    <n v="1"/>
  </r>
  <r>
    <x v="0"/>
    <n v="39"/>
    <x v="29"/>
    <n v="35"/>
    <x v="108"/>
    <n v="41"/>
    <s v="Oregon"/>
    <n v="51"/>
    <s v="Multnomah County"/>
    <n v="40"/>
    <n v="58"/>
    <n v="1554"/>
    <n v="22773"/>
    <n v="39262"/>
    <n v="1581184"/>
    <n v="518191"/>
    <n v="994652"/>
    <n v="35729284"/>
    <n v="39035"/>
    <x v="113"/>
    <n v="41051"/>
    <n v="0"/>
    <n v="1"/>
  </r>
  <r>
    <x v="0"/>
    <n v="39"/>
    <x v="29"/>
    <n v="49"/>
    <x v="109"/>
    <n v="41"/>
    <s v="Oregon"/>
    <n v="51"/>
    <s v="Multnomah County"/>
    <n v="65"/>
    <n v="82"/>
    <n v="3477"/>
    <n v="30698"/>
    <n v="55925"/>
    <n v="1966960"/>
    <n v="511213"/>
    <n v="1015835"/>
    <n v="35526732"/>
    <n v="39049"/>
    <x v="114"/>
    <n v="41051"/>
    <n v="0"/>
    <n v="1"/>
  </r>
  <r>
    <x v="0"/>
    <n v="39"/>
    <x v="29"/>
    <n v="61"/>
    <x v="110"/>
    <n v="41"/>
    <s v="Oregon"/>
    <n v="51"/>
    <s v="Multnomah County"/>
    <n v="44"/>
    <n v="56"/>
    <n v="2950"/>
    <n v="18541"/>
    <n v="32505"/>
    <n v="1266433"/>
    <n v="330622"/>
    <n v="657294"/>
    <n v="26245158"/>
    <n v="39061"/>
    <x v="115"/>
    <n v="41051"/>
    <n v="0"/>
    <n v="1"/>
  </r>
  <r>
    <x v="0"/>
    <n v="40"/>
    <x v="30"/>
    <n v="109"/>
    <x v="111"/>
    <n v="41"/>
    <s v="Oregon"/>
    <n v="51"/>
    <s v="Multnomah County"/>
    <n v="28"/>
    <n v="33"/>
    <n v="1007"/>
    <n v="19682"/>
    <n v="39054"/>
    <n v="1054028"/>
    <n v="280769"/>
    <n v="604380"/>
    <n v="21728576"/>
    <n v="40109"/>
    <x v="116"/>
    <n v="41051"/>
    <n v="0"/>
    <n v="1"/>
  </r>
  <r>
    <x v="0"/>
    <n v="40"/>
    <x v="30"/>
    <n v="143"/>
    <x v="112"/>
    <n v="41"/>
    <s v="Oregon"/>
    <n v="51"/>
    <s v="Multnomah County"/>
    <n v="32"/>
    <n v="47"/>
    <n v="1324"/>
    <n v="14587"/>
    <n v="29363"/>
    <n v="861762"/>
    <n v="233906"/>
    <n v="516022"/>
    <n v="18045164"/>
    <n v="40143"/>
    <x v="117"/>
    <n v="41051"/>
    <n v="0"/>
    <n v="1"/>
  </r>
  <r>
    <x v="0"/>
    <n v="41"/>
    <x v="31"/>
    <n v="3"/>
    <x v="113"/>
    <n v="41"/>
    <s v="Oregon"/>
    <n v="51"/>
    <s v="Multnomah County"/>
    <n v="266"/>
    <n v="331"/>
    <n v="10217"/>
    <n v="3414"/>
    <n v="5440"/>
    <n v="160113"/>
    <n v="31387"/>
    <n v="62594"/>
    <n v="2401863"/>
    <n v="41003"/>
    <x v="118"/>
    <n v="41051"/>
    <n v="0"/>
    <n v="1"/>
  </r>
  <r>
    <x v="0"/>
    <n v="41"/>
    <x v="31"/>
    <n v="5"/>
    <x v="114"/>
    <n v="41"/>
    <s v="Oregon"/>
    <n v="51"/>
    <s v="Multnomah County"/>
    <n v="3956"/>
    <n v="6347"/>
    <n v="197377"/>
    <n v="12814"/>
    <n v="22376"/>
    <n v="784918"/>
    <n v="157064"/>
    <n v="333608"/>
    <n v="14200643"/>
    <n v="41005"/>
    <x v="119"/>
    <n v="41051"/>
    <n v="0"/>
    <n v="1"/>
  </r>
  <r>
    <x v="0"/>
    <n v="41"/>
    <x v="31"/>
    <n v="7"/>
    <x v="115"/>
    <n v="41"/>
    <s v="Oregon"/>
    <n v="51"/>
    <s v="Multnomah County"/>
    <n v="100"/>
    <n v="146"/>
    <n v="4359"/>
    <n v="1126"/>
    <n v="2138"/>
    <n v="54932"/>
    <n v="14455"/>
    <n v="29056"/>
    <n v="821960"/>
    <n v="41007"/>
    <x v="120"/>
    <n v="41051"/>
    <n v="0"/>
    <n v="1"/>
  </r>
  <r>
    <x v="0"/>
    <n v="41"/>
    <x v="31"/>
    <n v="9"/>
    <x v="116"/>
    <n v="41"/>
    <s v="Oregon"/>
    <n v="51"/>
    <s v="Multnomah County"/>
    <n v="138"/>
    <n v="239"/>
    <n v="5829"/>
    <n v="1031"/>
    <n v="1968"/>
    <n v="48873"/>
    <n v="18242"/>
    <n v="38944"/>
    <n v="1160560"/>
    <n v="41009"/>
    <x v="121"/>
    <n v="41051"/>
    <n v="0"/>
    <n v="1"/>
  </r>
  <r>
    <x v="0"/>
    <n v="41"/>
    <x v="31"/>
    <n v="11"/>
    <x v="117"/>
    <n v="41"/>
    <s v="Oregon"/>
    <n v="51"/>
    <s v="Multnomah County"/>
    <n v="55"/>
    <n v="83"/>
    <n v="2212"/>
    <n v="1328"/>
    <n v="2467"/>
    <n v="57624"/>
    <n v="22453"/>
    <n v="44744"/>
    <n v="1143329"/>
    <n v="41011"/>
    <x v="122"/>
    <n v="41051"/>
    <n v="0"/>
    <n v="1"/>
  </r>
  <r>
    <x v="0"/>
    <n v="41"/>
    <x v="31"/>
    <n v="17"/>
    <x v="118"/>
    <n v="41"/>
    <s v="Oregon"/>
    <n v="51"/>
    <s v="Multnomah County"/>
    <n v="259"/>
    <n v="349"/>
    <n v="10573"/>
    <n v="4278"/>
    <n v="7456"/>
    <n v="209696"/>
    <n v="67873"/>
    <n v="139099"/>
    <n v="4930485"/>
    <n v="41017"/>
    <x v="123"/>
    <n v="41051"/>
    <n v="0"/>
    <n v="1"/>
  </r>
  <r>
    <x v="0"/>
    <n v="41"/>
    <x v="31"/>
    <n v="19"/>
    <x v="93"/>
    <n v="41"/>
    <s v="Oregon"/>
    <n v="51"/>
    <s v="Multnomah County"/>
    <n v="63"/>
    <n v="99"/>
    <n v="2566"/>
    <n v="1966"/>
    <n v="3666"/>
    <n v="83148"/>
    <n v="37465"/>
    <n v="77284"/>
    <n v="1950044"/>
    <n v="41019"/>
    <x v="124"/>
    <n v="41051"/>
    <n v="0"/>
    <n v="1"/>
  </r>
  <r>
    <x v="0"/>
    <n v="41"/>
    <x v="31"/>
    <n v="27"/>
    <x v="119"/>
    <n v="41"/>
    <s v="Oregon"/>
    <n v="51"/>
    <s v="Multnomah County"/>
    <n v="90"/>
    <n v="157"/>
    <n v="4371"/>
    <n v="641"/>
    <n v="1214"/>
    <n v="35332"/>
    <n v="9535"/>
    <n v="22074"/>
    <n v="638836"/>
    <n v="41027"/>
    <x v="125"/>
    <n v="41051"/>
    <n v="0"/>
    <n v="1"/>
  </r>
  <r>
    <x v="0"/>
    <n v="41"/>
    <x v="31"/>
    <n v="29"/>
    <x v="87"/>
    <n v="41"/>
    <s v="Oregon"/>
    <n v="51"/>
    <s v="Multnomah County"/>
    <n v="261"/>
    <n v="330"/>
    <n v="10361"/>
    <n v="4219"/>
    <n v="7236"/>
    <n v="184251"/>
    <n v="81172"/>
    <n v="165431"/>
    <n v="4857393"/>
    <n v="41029"/>
    <x v="126"/>
    <n v="41051"/>
    <n v="0"/>
    <n v="1"/>
  </r>
  <r>
    <x v="0"/>
    <n v="41"/>
    <x v="31"/>
    <n v="31"/>
    <x v="42"/>
    <n v="41"/>
    <s v="Oregon"/>
    <n v="51"/>
    <s v="Multnomah County"/>
    <n v="24"/>
    <n v="44"/>
    <n v="632"/>
    <n v="524"/>
    <n v="1025"/>
    <n v="23084"/>
    <n v="7360"/>
    <n v="16778"/>
    <n v="347081"/>
    <n v="41031"/>
    <x v="127"/>
    <n v="41051"/>
    <n v="0"/>
    <n v="1"/>
  </r>
  <r>
    <x v="0"/>
    <n v="41"/>
    <x v="31"/>
    <n v="33"/>
    <x v="120"/>
    <n v="41"/>
    <s v="Oregon"/>
    <n v="51"/>
    <s v="Multnomah County"/>
    <n v="56"/>
    <n v="73"/>
    <n v="1791"/>
    <n v="1754"/>
    <n v="3166"/>
    <n v="70192"/>
    <n v="29927"/>
    <n v="60560"/>
    <n v="1556756"/>
    <n v="41033"/>
    <x v="128"/>
    <n v="41051"/>
    <n v="0"/>
    <n v="1"/>
  </r>
  <r>
    <x v="0"/>
    <n v="41"/>
    <x v="31"/>
    <n v="35"/>
    <x v="121"/>
    <n v="41"/>
    <s v="Oregon"/>
    <n v="51"/>
    <s v="Multnomah County"/>
    <n v="34"/>
    <n v="57"/>
    <n v="1128"/>
    <n v="1446"/>
    <n v="2757"/>
    <n v="63886"/>
    <n v="22699"/>
    <n v="48182"/>
    <n v="1139401"/>
    <n v="41035"/>
    <x v="129"/>
    <n v="41051"/>
    <n v="0"/>
    <n v="1"/>
  </r>
  <r>
    <x v="0"/>
    <n v="41"/>
    <x v="31"/>
    <n v="39"/>
    <x v="122"/>
    <n v="41"/>
    <s v="Oregon"/>
    <n v="51"/>
    <s v="Multnomah County"/>
    <n v="662"/>
    <n v="851"/>
    <n v="27949"/>
    <n v="7257"/>
    <n v="11960"/>
    <n v="334229"/>
    <n v="134921"/>
    <n v="264328"/>
    <n v="8614843"/>
    <n v="41039"/>
    <x v="130"/>
    <n v="41051"/>
    <n v="0"/>
    <n v="1"/>
  </r>
  <r>
    <x v="0"/>
    <n v="41"/>
    <x v="31"/>
    <n v="41"/>
    <x v="123"/>
    <n v="41"/>
    <s v="Oregon"/>
    <n v="51"/>
    <s v="Multnomah County"/>
    <n v="81"/>
    <n v="115"/>
    <n v="3183"/>
    <n v="1443"/>
    <n v="2497"/>
    <n v="62561"/>
    <n v="17926"/>
    <n v="34335"/>
    <n v="942322"/>
    <n v="41041"/>
    <x v="131"/>
    <n v="41051"/>
    <n v="0"/>
    <n v="1"/>
  </r>
  <r>
    <x v="0"/>
    <n v="41"/>
    <x v="31"/>
    <n v="43"/>
    <x v="124"/>
    <n v="41"/>
    <s v="Oregon"/>
    <n v="51"/>
    <s v="Multnomah County"/>
    <n v="100"/>
    <n v="135"/>
    <n v="3047"/>
    <n v="2805"/>
    <n v="5311"/>
    <n v="119655"/>
    <n v="42901"/>
    <n v="92556"/>
    <n v="2365281"/>
    <n v="41043"/>
    <x v="132"/>
    <n v="41051"/>
    <n v="0"/>
    <n v="1"/>
  </r>
  <r>
    <x v="0"/>
    <n v="41"/>
    <x v="31"/>
    <n v="47"/>
    <x v="68"/>
    <n v="41"/>
    <s v="Oregon"/>
    <n v="51"/>
    <s v="Multnomah County"/>
    <n v="461"/>
    <n v="722"/>
    <n v="21536"/>
    <n v="6710"/>
    <n v="12800"/>
    <n v="316986"/>
    <n v="116629"/>
    <n v="264132"/>
    <n v="6953938"/>
    <n v="41047"/>
    <x v="133"/>
    <n v="41051"/>
    <n v="0"/>
    <n v="1"/>
  </r>
  <r>
    <x v="0"/>
    <n v="41"/>
    <x v="31"/>
    <n v="53"/>
    <x v="70"/>
    <n v="41"/>
    <s v="Oregon"/>
    <n v="51"/>
    <s v="Multnomah County"/>
    <n v="109"/>
    <n v="149"/>
    <n v="4828"/>
    <n v="2592"/>
    <n v="4767"/>
    <n v="118469"/>
    <n v="28009"/>
    <n v="62134"/>
    <n v="1814384"/>
    <n v="41053"/>
    <x v="134"/>
    <n v="41051"/>
    <n v="0"/>
    <n v="1"/>
  </r>
  <r>
    <x v="0"/>
    <n v="41"/>
    <x v="31"/>
    <n v="57"/>
    <x v="125"/>
    <n v="41"/>
    <s v="Oregon"/>
    <n v="51"/>
    <s v="Multnomah County"/>
    <n v="57"/>
    <n v="80"/>
    <n v="2623"/>
    <n v="576"/>
    <n v="1017"/>
    <n v="24457"/>
    <n v="9679"/>
    <n v="19773"/>
    <n v="523991"/>
    <n v="41057"/>
    <x v="135"/>
    <n v="41051"/>
    <n v="0"/>
    <n v="1"/>
  </r>
  <r>
    <x v="0"/>
    <n v="41"/>
    <x v="31"/>
    <n v="59"/>
    <x v="126"/>
    <n v="41"/>
    <s v="Oregon"/>
    <n v="51"/>
    <s v="Multnomah County"/>
    <n v="45"/>
    <n v="66"/>
    <n v="1422"/>
    <n v="1564"/>
    <n v="3256"/>
    <n v="66488"/>
    <n v="25945"/>
    <n v="60004"/>
    <n v="1383636"/>
    <n v="41059"/>
    <x v="136"/>
    <n v="41051"/>
    <n v="0"/>
    <n v="1"/>
  </r>
  <r>
    <x v="0"/>
    <n v="41"/>
    <x v="31"/>
    <n v="65"/>
    <x v="127"/>
    <n v="41"/>
    <s v="Oregon"/>
    <n v="51"/>
    <s v="Multnomah County"/>
    <n v="55"/>
    <n v="84"/>
    <n v="1913"/>
    <n v="615"/>
    <n v="1185"/>
    <n v="35066"/>
    <n v="9223"/>
    <n v="19786"/>
    <n v="501766"/>
    <n v="41065"/>
    <x v="137"/>
    <n v="41051"/>
    <n v="0"/>
    <n v="1"/>
  </r>
  <r>
    <x v="0"/>
    <n v="41"/>
    <x v="31"/>
    <n v="67"/>
    <x v="128"/>
    <n v="41"/>
    <s v="Oregon"/>
    <n v="51"/>
    <s v="Multnomah County"/>
    <n v="4375"/>
    <n v="6229"/>
    <n v="302776"/>
    <n v="17870"/>
    <n v="32064"/>
    <n v="1229312"/>
    <n v="223282"/>
    <n v="485417"/>
    <n v="19711708"/>
    <n v="41067"/>
    <x v="138"/>
    <n v="41051"/>
    <n v="0"/>
    <n v="1"/>
  </r>
  <r>
    <x v="0"/>
    <n v="41"/>
    <x v="31"/>
    <n v="71"/>
    <x v="129"/>
    <n v="41"/>
    <s v="Oregon"/>
    <n v="51"/>
    <s v="Multnomah County"/>
    <n v="173"/>
    <n v="254"/>
    <n v="8153"/>
    <n v="2436"/>
    <n v="4585"/>
    <n v="104015"/>
    <n v="35718"/>
    <n v="80294"/>
    <n v="2338856"/>
    <n v="41071"/>
    <x v="139"/>
    <n v="41051"/>
    <n v="0"/>
    <n v="1"/>
  </r>
  <r>
    <x v="0"/>
    <n v="42"/>
    <x v="32"/>
    <n v="3"/>
    <x v="130"/>
    <n v="41"/>
    <s v="Oregon"/>
    <n v="51"/>
    <s v="Multnomah County"/>
    <n v="52"/>
    <n v="81"/>
    <n v="4173"/>
    <n v="22919"/>
    <n v="38262"/>
    <n v="2232816"/>
    <n v="527781"/>
    <n v="1008123"/>
    <n v="43376120"/>
    <n v="42003"/>
    <x v="140"/>
    <n v="41051"/>
    <n v="0"/>
    <n v="1"/>
  </r>
  <r>
    <x v="0"/>
    <n v="42"/>
    <x v="32"/>
    <n v="91"/>
    <x v="74"/>
    <n v="41"/>
    <s v="Oregon"/>
    <n v="51"/>
    <s v="Multnomah County"/>
    <n v="22"/>
    <n v="27"/>
    <n v="1752"/>
    <n v="19705"/>
    <n v="33759"/>
    <n v="1796970"/>
    <n v="342375"/>
    <n v="722554"/>
    <n v="42215320"/>
    <n v="42091"/>
    <x v="141"/>
    <n v="41051"/>
    <n v="0"/>
    <n v="1"/>
  </r>
  <r>
    <x v="0"/>
    <n v="42"/>
    <x v="32"/>
    <n v="101"/>
    <x v="131"/>
    <n v="41"/>
    <s v="Oregon"/>
    <n v="51"/>
    <s v="Multnomah County"/>
    <n v="86"/>
    <n v="118"/>
    <n v="5893"/>
    <n v="32899"/>
    <n v="56953"/>
    <n v="2136163"/>
    <n v="549250"/>
    <n v="1061563"/>
    <n v="30379790"/>
    <n v="42101"/>
    <x v="142"/>
    <n v="41051"/>
    <n v="0"/>
    <n v="1"/>
  </r>
  <r>
    <x v="0"/>
    <n v="44"/>
    <x v="33"/>
    <n v="7"/>
    <x v="132"/>
    <n v="41"/>
    <s v="Oregon"/>
    <n v="51"/>
    <s v="Multnomah County"/>
    <n v="22"/>
    <n v="39"/>
    <n v="1229"/>
    <n v="12781"/>
    <n v="21154"/>
    <n v="792028"/>
    <n v="252369"/>
    <n v="491764"/>
    <n v="15649773"/>
    <n v="44007"/>
    <x v="143"/>
    <n v="41051"/>
    <n v="0"/>
    <n v="1"/>
  </r>
  <r>
    <x v="0"/>
    <n v="47"/>
    <x v="34"/>
    <n v="37"/>
    <x v="133"/>
    <n v="41"/>
    <s v="Oregon"/>
    <n v="51"/>
    <s v="Multnomah County"/>
    <n v="66"/>
    <n v="88"/>
    <n v="3988"/>
    <n v="25764"/>
    <n v="46748"/>
    <n v="1436465"/>
    <n v="280774"/>
    <n v="542667"/>
    <n v="21466830"/>
    <n v="47037"/>
    <x v="144"/>
    <n v="41051"/>
    <n v="0"/>
    <n v="1"/>
  </r>
  <r>
    <x v="0"/>
    <n v="47"/>
    <x v="34"/>
    <n v="93"/>
    <x v="134"/>
    <n v="41"/>
    <s v="Oregon"/>
    <n v="51"/>
    <s v="Multnomah County"/>
    <n v="20"/>
    <n v="29"/>
    <n v="1817"/>
    <n v="10305"/>
    <n v="18781"/>
    <n v="582335"/>
    <n v="168733"/>
    <n v="354062"/>
    <n v="12945089"/>
    <n v="47093"/>
    <x v="145"/>
    <n v="41051"/>
    <n v="0"/>
    <n v="1"/>
  </r>
  <r>
    <x v="0"/>
    <n v="47"/>
    <x v="34"/>
    <n v="157"/>
    <x v="135"/>
    <n v="41"/>
    <s v="Oregon"/>
    <n v="51"/>
    <s v="Multnomah County"/>
    <n v="22"/>
    <n v="32"/>
    <n v="943"/>
    <n v="17084"/>
    <n v="34235"/>
    <n v="1032640"/>
    <n v="359980"/>
    <n v="772535"/>
    <n v="23999018"/>
    <n v="47157"/>
    <x v="146"/>
    <n v="41051"/>
    <n v="0"/>
    <n v="1"/>
  </r>
  <r>
    <x v="0"/>
    <n v="48"/>
    <x v="35"/>
    <n v="29"/>
    <x v="136"/>
    <n v="41"/>
    <s v="Oregon"/>
    <n v="51"/>
    <s v="Multnomah County"/>
    <n v="57"/>
    <n v="83"/>
    <n v="3133"/>
    <n v="34954"/>
    <n v="70196"/>
    <n v="2078519"/>
    <n v="692523"/>
    <n v="1500649"/>
    <n v="45239148"/>
    <n v="48029"/>
    <x v="147"/>
    <n v="41051"/>
    <n v="0"/>
    <n v="1"/>
  </r>
  <r>
    <x v="0"/>
    <n v="48"/>
    <x v="35"/>
    <n v="85"/>
    <x v="137"/>
    <n v="41"/>
    <s v="Oregon"/>
    <n v="51"/>
    <s v="Multnomah County"/>
    <n v="20"/>
    <n v="27"/>
    <n v="882"/>
    <n v="30063"/>
    <n v="58270"/>
    <n v="2406499"/>
    <n v="331944"/>
    <n v="795223"/>
    <n v="36840856"/>
    <n v="48085"/>
    <x v="148"/>
    <n v="41051"/>
    <n v="0"/>
    <n v="1"/>
  </r>
  <r>
    <x v="0"/>
    <n v="48"/>
    <x v="35"/>
    <n v="113"/>
    <x v="138"/>
    <n v="41"/>
    <s v="Oregon"/>
    <n v="51"/>
    <s v="Multnomah County"/>
    <n v="99"/>
    <n v="164"/>
    <n v="6924"/>
    <n v="66572"/>
    <n v="127526"/>
    <n v="4530172"/>
    <n v="946564"/>
    <n v="2105252"/>
    <n v="77567320"/>
    <n v="48113"/>
    <x v="149"/>
    <n v="41051"/>
    <n v="0"/>
    <n v="1"/>
  </r>
  <r>
    <x v="0"/>
    <n v="48"/>
    <x v="35"/>
    <n v="141"/>
    <x v="41"/>
    <n v="41"/>
    <s v="Oregon"/>
    <n v="51"/>
    <s v="Multnomah County"/>
    <n v="21"/>
    <n v="29"/>
    <n v="615"/>
    <n v="15759"/>
    <n v="36551"/>
    <n v="710098"/>
    <n v="297473"/>
    <n v="703780"/>
    <n v="14020452"/>
    <n v="48141"/>
    <x v="150"/>
    <n v="41051"/>
    <n v="0"/>
    <n v="1"/>
  </r>
  <r>
    <x v="0"/>
    <n v="48"/>
    <x v="35"/>
    <n v="201"/>
    <x v="139"/>
    <n v="41"/>
    <s v="Oregon"/>
    <n v="51"/>
    <s v="Multnomah County"/>
    <n v="127"/>
    <n v="207"/>
    <n v="9664"/>
    <n v="86075"/>
    <n v="172831"/>
    <n v="6715673"/>
    <n v="1628792"/>
    <n v="3682347"/>
    <n v="139352944"/>
    <n v="48201"/>
    <x v="151"/>
    <n v="41051"/>
    <n v="0"/>
    <n v="1"/>
  </r>
  <r>
    <x v="0"/>
    <n v="48"/>
    <x v="35"/>
    <n v="439"/>
    <x v="140"/>
    <n v="41"/>
    <s v="Oregon"/>
    <n v="51"/>
    <s v="Multnomah County"/>
    <n v="52"/>
    <n v="78"/>
    <n v="2570"/>
    <n v="46131"/>
    <n v="90449"/>
    <n v="2899548"/>
    <n v="736098"/>
    <n v="1663045"/>
    <n v="56795392"/>
    <n v="48439"/>
    <x v="152"/>
    <n v="41051"/>
    <n v="0"/>
    <n v="1"/>
  </r>
  <r>
    <x v="0"/>
    <n v="48"/>
    <x v="35"/>
    <n v="453"/>
    <x v="141"/>
    <n v="41"/>
    <s v="Oregon"/>
    <n v="51"/>
    <s v="Multnomah County"/>
    <n v="274"/>
    <n v="421"/>
    <n v="17170"/>
    <n v="77114"/>
    <n v="144283"/>
    <n v="4610727"/>
    <n v="493964"/>
    <n v="1000776"/>
    <n v="48194496"/>
    <n v="48453"/>
    <x v="153"/>
    <n v="41051"/>
    <n v="0"/>
    <n v="1"/>
  </r>
  <r>
    <x v="0"/>
    <n v="48"/>
    <x v="35"/>
    <n v="491"/>
    <x v="142"/>
    <n v="41"/>
    <s v="Oregon"/>
    <n v="51"/>
    <s v="Multnomah County"/>
    <n v="22"/>
    <n v="30"/>
    <n v="1399"/>
    <n v="16968"/>
    <n v="32033"/>
    <n v="1052643"/>
    <n v="187975"/>
    <n v="430480"/>
    <n v="15647973"/>
    <n v="48491"/>
    <x v="154"/>
    <n v="41051"/>
    <n v="0"/>
    <n v="1"/>
  </r>
  <r>
    <x v="0"/>
    <n v="49"/>
    <x v="36"/>
    <n v="35"/>
    <x v="143"/>
    <n v="41"/>
    <s v="Oregon"/>
    <n v="51"/>
    <s v="Multnomah County"/>
    <n v="150"/>
    <n v="211"/>
    <n v="7116"/>
    <n v="21797"/>
    <n v="46112"/>
    <n v="1290956"/>
    <n v="403161"/>
    <n v="955292"/>
    <n v="29984792"/>
    <n v="49035"/>
    <x v="155"/>
    <n v="41051"/>
    <n v="0"/>
    <n v="1"/>
  </r>
  <r>
    <x v="0"/>
    <n v="49"/>
    <x v="36"/>
    <n v="49"/>
    <x v="144"/>
    <n v="41"/>
    <s v="Oregon"/>
    <n v="51"/>
    <s v="Multnomah County"/>
    <n v="23"/>
    <n v="34"/>
    <n v="644"/>
    <n v="11635"/>
    <n v="27803"/>
    <n v="576867"/>
    <n v="167975"/>
    <n v="491601"/>
    <n v="12675055"/>
    <n v="49049"/>
    <x v="156"/>
    <n v="41051"/>
    <n v="0"/>
    <n v="1"/>
  </r>
  <r>
    <x v="0"/>
    <n v="49"/>
    <x v="36"/>
    <n v="57"/>
    <x v="145"/>
    <n v="41"/>
    <s v="Oregon"/>
    <n v="51"/>
    <s v="Multnomah County"/>
    <n v="22"/>
    <n v="40"/>
    <n v="630"/>
    <n v="5719"/>
    <n v="12404"/>
    <n v="269473"/>
    <n v="86453"/>
    <n v="207096"/>
    <n v="5312292"/>
    <n v="49057"/>
    <x v="157"/>
    <n v="41051"/>
    <n v="0"/>
    <n v="1"/>
  </r>
  <r>
    <x v="0"/>
    <n v="50"/>
    <x v="37"/>
    <n v="7"/>
    <x v="146"/>
    <n v="41"/>
    <s v="Oregon"/>
    <n v="51"/>
    <s v="Multnomah County"/>
    <n v="40"/>
    <n v="56"/>
    <n v="1925"/>
    <n v="4983"/>
    <n v="7626"/>
    <n v="286636"/>
    <n v="71403"/>
    <n v="134852"/>
    <n v="5797972"/>
    <n v="50007"/>
    <x v="158"/>
    <n v="41051"/>
    <n v="0"/>
    <n v="1"/>
  </r>
  <r>
    <x v="0"/>
    <n v="51"/>
    <x v="38"/>
    <n v="13"/>
    <x v="147"/>
    <n v="41"/>
    <s v="Oregon"/>
    <n v="51"/>
    <s v="Multnomah County"/>
    <n v="27"/>
    <n v="42"/>
    <n v="3320"/>
    <n v="18121"/>
    <n v="26894"/>
    <n v="1712868"/>
    <n v="108758"/>
    <n v="187180"/>
    <n v="13721487"/>
    <n v="51013"/>
    <x v="159"/>
    <n v="41051"/>
    <n v="0"/>
    <n v="1"/>
  </r>
  <r>
    <x v="0"/>
    <n v="51"/>
    <x v="38"/>
    <n v="59"/>
    <x v="148"/>
    <n v="41"/>
    <s v="Oregon"/>
    <n v="51"/>
    <s v="Multnomah County"/>
    <n v="57"/>
    <n v="85"/>
    <n v="4500"/>
    <n v="44217"/>
    <n v="83415"/>
    <n v="4096485"/>
    <n v="460273"/>
    <n v="1002678"/>
    <n v="60505956"/>
    <n v="51059"/>
    <x v="160"/>
    <n v="41051"/>
    <n v="0"/>
    <n v="1"/>
  </r>
  <r>
    <x v="0"/>
    <n v="51"/>
    <x v="38"/>
    <n v="760"/>
    <x v="149"/>
    <n v="41"/>
    <s v="Oregon"/>
    <n v="51"/>
    <s v="Multnomah County"/>
    <n v="25"/>
    <n v="34"/>
    <n v="1405"/>
    <n v="10764"/>
    <n v="18241"/>
    <n v="536706"/>
    <n v="81987"/>
    <n v="146595"/>
    <n v="5785657"/>
    <n v="51760"/>
    <x v="161"/>
    <n v="41051"/>
    <n v="0"/>
    <n v="1"/>
  </r>
  <r>
    <x v="0"/>
    <n v="53"/>
    <x v="39"/>
    <n v="5"/>
    <x v="113"/>
    <n v="41"/>
    <s v="Oregon"/>
    <n v="51"/>
    <s v="Multnomah County"/>
    <n v="46"/>
    <n v="72"/>
    <n v="3043"/>
    <n v="4884"/>
    <n v="10217"/>
    <n v="276983"/>
    <n v="69936"/>
    <n v="161880"/>
    <n v="5143727"/>
    <n v="53005"/>
    <x v="162"/>
    <n v="41051"/>
    <n v="0"/>
    <n v="1"/>
  </r>
  <r>
    <x v="0"/>
    <n v="53"/>
    <x v="39"/>
    <n v="11"/>
    <x v="94"/>
    <n v="41"/>
    <s v="Oregon"/>
    <n v="51"/>
    <s v="Multnomah County"/>
    <n v="1672"/>
    <n v="2859"/>
    <n v="86378"/>
    <n v="10110"/>
    <n v="19528"/>
    <n v="597729"/>
    <n v="175146"/>
    <n v="389173"/>
    <n v="13949572"/>
    <n v="53011"/>
    <x v="163"/>
    <n v="41051"/>
    <n v="0"/>
    <n v="1"/>
  </r>
  <r>
    <x v="0"/>
    <n v="53"/>
    <x v="39"/>
    <n v="15"/>
    <x v="150"/>
    <n v="41"/>
    <s v="Oregon"/>
    <n v="51"/>
    <s v="Multnomah County"/>
    <n v="68"/>
    <n v="118"/>
    <n v="4579"/>
    <n v="2183"/>
    <n v="4193"/>
    <n v="116830"/>
    <n v="37424"/>
    <n v="81100"/>
    <n v="2232118"/>
    <n v="53015"/>
    <x v="164"/>
    <n v="41051"/>
    <n v="0"/>
    <n v="1"/>
  </r>
  <r>
    <x v="0"/>
    <n v="53"/>
    <x v="39"/>
    <n v="33"/>
    <x v="151"/>
    <n v="41"/>
    <s v="Oregon"/>
    <n v="51"/>
    <s v="Multnomah County"/>
    <n v="828"/>
    <n v="1176"/>
    <n v="61185"/>
    <n v="54474"/>
    <n v="94764"/>
    <n v="4272902"/>
    <n v="893478"/>
    <n v="1794214"/>
    <n v="106301544"/>
    <n v="53033"/>
    <x v="165"/>
    <n v="41051"/>
    <n v="0"/>
    <n v="1"/>
  </r>
  <r>
    <x v="0"/>
    <n v="53"/>
    <x v="39"/>
    <n v="35"/>
    <x v="152"/>
    <n v="41"/>
    <s v="Oregon"/>
    <n v="51"/>
    <s v="Multnomah County"/>
    <n v="55"/>
    <n v="76"/>
    <n v="3764"/>
    <n v="7370"/>
    <n v="14187"/>
    <n v="400750"/>
    <n v="102612"/>
    <n v="214183"/>
    <n v="7935086"/>
    <n v="53035"/>
    <x v="166"/>
    <n v="41051"/>
    <n v="0"/>
    <n v="1"/>
  </r>
  <r>
    <x v="0"/>
    <n v="53"/>
    <x v="39"/>
    <n v="39"/>
    <x v="153"/>
    <n v="41"/>
    <s v="Oregon"/>
    <n v="51"/>
    <s v="Multnomah County"/>
    <n v="21"/>
    <n v="33"/>
    <n v="826"/>
    <n v="546"/>
    <n v="1031"/>
    <n v="25387"/>
    <n v="8030"/>
    <n v="17349"/>
    <n v="511715"/>
    <n v="53039"/>
    <x v="167"/>
    <n v="41051"/>
    <n v="0"/>
    <n v="1"/>
  </r>
  <r>
    <x v="0"/>
    <n v="53"/>
    <x v="39"/>
    <n v="49"/>
    <x v="154"/>
    <n v="41"/>
    <s v="Oregon"/>
    <n v="51"/>
    <s v="Multnomah County"/>
    <n v="20"/>
    <n v="29"/>
    <n v="1241"/>
    <n v="514"/>
    <n v="927"/>
    <n v="23093"/>
    <n v="7836"/>
    <n v="15881"/>
    <n v="410319"/>
    <n v="53049"/>
    <x v="168"/>
    <n v="41051"/>
    <n v="0"/>
    <n v="1"/>
  </r>
  <r>
    <x v="0"/>
    <n v="53"/>
    <x v="39"/>
    <n v="53"/>
    <x v="155"/>
    <n v="41"/>
    <s v="Oregon"/>
    <n v="51"/>
    <s v="Multnomah County"/>
    <n v="165"/>
    <n v="259"/>
    <n v="7929"/>
    <n v="22901"/>
    <n v="45576"/>
    <n v="1165054"/>
    <n v="325854"/>
    <n v="697846"/>
    <n v="22925276"/>
    <n v="53053"/>
    <x v="169"/>
    <n v="41051"/>
    <n v="0"/>
    <n v="1"/>
  </r>
  <r>
    <x v="0"/>
    <n v="53"/>
    <x v="39"/>
    <n v="57"/>
    <x v="156"/>
    <n v="41"/>
    <s v="Oregon"/>
    <n v="51"/>
    <s v="Multnomah County"/>
    <n v="28"/>
    <n v="33"/>
    <n v="1071"/>
    <n v="2808"/>
    <n v="5267"/>
    <n v="143629"/>
    <n v="47615"/>
    <n v="101582"/>
    <n v="3224812"/>
    <n v="53057"/>
    <x v="170"/>
    <n v="41051"/>
    <n v="0"/>
    <n v="1"/>
  </r>
  <r>
    <x v="0"/>
    <n v="53"/>
    <x v="39"/>
    <n v="59"/>
    <x v="157"/>
    <n v="41"/>
    <s v="Oregon"/>
    <n v="51"/>
    <s v="Multnomah County"/>
    <n v="25"/>
    <n v="49"/>
    <n v="1079"/>
    <n v="280"/>
    <n v="542"/>
    <n v="14314"/>
    <n v="3938"/>
    <n v="8246"/>
    <n v="305255"/>
    <n v="53059"/>
    <x v="171"/>
    <n v="41051"/>
    <n v="0"/>
    <n v="1"/>
  </r>
  <r>
    <x v="0"/>
    <n v="53"/>
    <x v="39"/>
    <n v="61"/>
    <x v="158"/>
    <n v="41"/>
    <s v="Oregon"/>
    <n v="51"/>
    <s v="Multnomah County"/>
    <n v="94"/>
    <n v="141"/>
    <n v="4427"/>
    <n v="17970"/>
    <n v="32219"/>
    <n v="1151648"/>
    <n v="302540"/>
    <n v="647763"/>
    <n v="24289450"/>
    <n v="53061"/>
    <x v="172"/>
    <n v="41051"/>
    <n v="0"/>
    <n v="1"/>
  </r>
  <r>
    <x v="0"/>
    <n v="53"/>
    <x v="39"/>
    <n v="63"/>
    <x v="159"/>
    <n v="41"/>
    <s v="Oregon"/>
    <n v="51"/>
    <s v="Multnomah County"/>
    <n v="113"/>
    <n v="162"/>
    <n v="4547"/>
    <n v="8865"/>
    <n v="16417"/>
    <n v="440798"/>
    <n v="186603"/>
    <n v="390045"/>
    <n v="12151486"/>
    <n v="53063"/>
    <x v="173"/>
    <n v="41051"/>
    <n v="0"/>
    <n v="1"/>
  </r>
  <r>
    <x v="0"/>
    <n v="53"/>
    <x v="39"/>
    <n v="67"/>
    <x v="160"/>
    <n v="41"/>
    <s v="Oregon"/>
    <n v="51"/>
    <s v="Multnomah County"/>
    <n v="97"/>
    <n v="135"/>
    <n v="3988"/>
    <n v="8232"/>
    <n v="16236"/>
    <n v="426264"/>
    <n v="108155"/>
    <n v="223970"/>
    <n v="7358601"/>
    <n v="53067"/>
    <x v="174"/>
    <n v="41051"/>
    <n v="0"/>
    <n v="1"/>
  </r>
  <r>
    <x v="0"/>
    <n v="53"/>
    <x v="39"/>
    <n v="71"/>
    <x v="161"/>
    <n v="41"/>
    <s v="Oregon"/>
    <n v="51"/>
    <s v="Multnomah County"/>
    <n v="20"/>
    <n v="21"/>
    <n v="697"/>
    <n v="1370"/>
    <n v="2560"/>
    <n v="62605"/>
    <n v="21050"/>
    <n v="46511"/>
    <n v="1329999"/>
    <n v="53071"/>
    <x v="175"/>
    <n v="41051"/>
    <n v="0"/>
    <n v="1"/>
  </r>
  <r>
    <x v="0"/>
    <n v="53"/>
    <x v="39"/>
    <n v="73"/>
    <x v="162"/>
    <n v="41"/>
    <s v="Oregon"/>
    <n v="51"/>
    <s v="Multnomah County"/>
    <n v="70"/>
    <n v="87"/>
    <n v="1770"/>
    <n v="4465"/>
    <n v="7254"/>
    <n v="210749"/>
    <n v="81589"/>
    <n v="165733"/>
    <n v="5701676"/>
    <n v="53073"/>
    <x v="176"/>
    <n v="41051"/>
    <n v="0"/>
    <n v="1"/>
  </r>
  <r>
    <x v="0"/>
    <n v="53"/>
    <x v="39"/>
    <n v="77"/>
    <x v="163"/>
    <n v="41"/>
    <s v="Oregon"/>
    <n v="51"/>
    <s v="Multnomah County"/>
    <n v="41"/>
    <n v="57"/>
    <n v="2452"/>
    <n v="3507"/>
    <n v="7132"/>
    <n v="159198"/>
    <n v="89129"/>
    <n v="221178"/>
    <n v="4812521"/>
    <n v="53077"/>
    <x v="177"/>
    <n v="41051"/>
    <n v="0"/>
    <n v="1"/>
  </r>
  <r>
    <x v="0"/>
    <n v="55"/>
    <x v="40"/>
    <n v="25"/>
    <x v="164"/>
    <n v="41"/>
    <s v="Oregon"/>
    <n v="51"/>
    <s v="Multnomah County"/>
    <n v="70"/>
    <n v="96"/>
    <n v="3401"/>
    <n v="13430"/>
    <n v="21715"/>
    <n v="827255"/>
    <n v="224570"/>
    <n v="445737"/>
    <n v="19282264"/>
    <n v="55025"/>
    <x v="178"/>
    <n v="41051"/>
    <n v="0"/>
    <n v="1"/>
  </r>
  <r>
    <x v="0"/>
    <n v="55"/>
    <x v="40"/>
    <n v="79"/>
    <x v="165"/>
    <n v="41"/>
    <s v="Oregon"/>
    <n v="51"/>
    <s v="Multnomah County"/>
    <n v="60"/>
    <n v="82"/>
    <n v="2735"/>
    <n v="20691"/>
    <n v="37252"/>
    <n v="1313678"/>
    <n v="374261"/>
    <n v="762151"/>
    <n v="23086126"/>
    <n v="55079"/>
    <x v="179"/>
    <n v="41051"/>
    <n v="0"/>
    <n v="1"/>
  </r>
  <r>
    <x v="1"/>
    <n v="2"/>
    <x v="0"/>
    <n v="20"/>
    <x v="0"/>
    <n v="41"/>
    <s v="Oregon"/>
    <n v="51"/>
    <s v="Multnomah County"/>
    <n v="136"/>
    <n v="200"/>
    <n v="7297"/>
    <n v="14246"/>
    <n v="29448"/>
    <n v="958159"/>
    <n v="123962"/>
    <n v="251184"/>
    <n v="10574441"/>
    <n v="2020"/>
    <x v="0"/>
    <n v="41051"/>
    <n v="0"/>
    <n v="1"/>
  </r>
  <r>
    <x v="1"/>
    <n v="2"/>
    <x v="0"/>
    <n v="90"/>
    <x v="1"/>
    <n v="41"/>
    <s v="Oregon"/>
    <n v="51"/>
    <s v="Multnomah County"/>
    <n v="30"/>
    <n v="44"/>
    <n v="1546"/>
    <n v="6215"/>
    <n v="14024"/>
    <n v="332638"/>
    <n v="39534"/>
    <n v="82316"/>
    <n v="2923236"/>
    <n v="2090"/>
    <x v="1"/>
    <n v="41051"/>
    <n v="0"/>
    <n v="1"/>
  </r>
  <r>
    <x v="1"/>
    <n v="2"/>
    <x v="0"/>
    <n v="110"/>
    <x v="166"/>
    <n v="41"/>
    <s v="Oregon"/>
    <n v="51"/>
    <s v="Multnomah County"/>
    <n v="26"/>
    <n v="35"/>
    <n v="1507"/>
    <n v="1420"/>
    <n v="2549"/>
    <n v="92415"/>
    <n v="13933"/>
    <n v="26807"/>
    <n v="1158143"/>
    <n v="2110"/>
    <x v="180"/>
    <n v="41051"/>
    <n v="0"/>
    <n v="1"/>
  </r>
  <r>
    <x v="1"/>
    <n v="2"/>
    <x v="0"/>
    <n v="122"/>
    <x v="167"/>
    <n v="41"/>
    <s v="Oregon"/>
    <n v="51"/>
    <s v="Multnomah County"/>
    <n v="23"/>
    <n v="39"/>
    <n v="840"/>
    <n v="1903"/>
    <n v="3635"/>
    <n v="109290"/>
    <n v="23086"/>
    <n v="47571"/>
    <n v="1691184"/>
    <n v="2122"/>
    <x v="181"/>
    <n v="41051"/>
    <n v="0"/>
    <n v="1"/>
  </r>
  <r>
    <x v="1"/>
    <n v="4"/>
    <x v="1"/>
    <n v="5"/>
    <x v="2"/>
    <n v="41"/>
    <s v="Oregon"/>
    <n v="51"/>
    <s v="Multnomah County"/>
    <n v="43"/>
    <n v="59"/>
    <n v="1541"/>
    <n v="6105"/>
    <n v="10662"/>
    <n v="308554"/>
    <n v="48869"/>
    <n v="101108"/>
    <n v="3121483"/>
    <n v="4005"/>
    <x v="2"/>
    <n v="41051"/>
    <n v="0"/>
    <n v="1"/>
  </r>
  <r>
    <x v="1"/>
    <n v="4"/>
    <x v="1"/>
    <n v="13"/>
    <x v="3"/>
    <n v="41"/>
    <s v="Oregon"/>
    <n v="51"/>
    <s v="Multnomah County"/>
    <n v="481"/>
    <n v="733"/>
    <n v="30994"/>
    <n v="85115"/>
    <n v="163548"/>
    <n v="5250777"/>
    <n v="1503822"/>
    <n v="3259198"/>
    <n v="110202216"/>
    <n v="4013"/>
    <x v="3"/>
    <n v="41051"/>
    <n v="0"/>
    <n v="1"/>
  </r>
  <r>
    <x v="1"/>
    <n v="4"/>
    <x v="1"/>
    <n v="19"/>
    <x v="4"/>
    <n v="41"/>
    <s v="Oregon"/>
    <n v="51"/>
    <s v="Multnomah County"/>
    <n v="131"/>
    <n v="217"/>
    <n v="5558"/>
    <n v="22962"/>
    <n v="43076"/>
    <n v="1279230"/>
    <n v="369587"/>
    <n v="761205"/>
    <n v="22721676"/>
    <n v="4019"/>
    <x v="4"/>
    <n v="41051"/>
    <n v="0"/>
    <n v="1"/>
  </r>
  <r>
    <x v="1"/>
    <n v="4"/>
    <x v="1"/>
    <n v="25"/>
    <x v="5"/>
    <n v="41"/>
    <s v="Oregon"/>
    <n v="51"/>
    <s v="Multnomah County"/>
    <n v="36"/>
    <n v="47"/>
    <n v="1347"/>
    <n v="7400"/>
    <n v="13119"/>
    <n v="341002"/>
    <n v="87177"/>
    <n v="168981"/>
    <n v="4816289"/>
    <n v="4025"/>
    <x v="5"/>
    <n v="41051"/>
    <n v="0"/>
    <n v="1"/>
  </r>
  <r>
    <x v="1"/>
    <n v="6"/>
    <x v="2"/>
    <n v="1"/>
    <x v="6"/>
    <n v="41"/>
    <s v="Oregon"/>
    <n v="51"/>
    <s v="Multnomah County"/>
    <n v="592"/>
    <n v="880"/>
    <n v="55988"/>
    <n v="61480"/>
    <n v="111008"/>
    <n v="5595446"/>
    <n v="661588"/>
    <n v="1385186"/>
    <n v="69051296"/>
    <n v="6001"/>
    <x v="6"/>
    <n v="41051"/>
    <n v="0"/>
    <n v="1"/>
  </r>
  <r>
    <x v="1"/>
    <n v="6"/>
    <x v="2"/>
    <n v="7"/>
    <x v="7"/>
    <n v="41"/>
    <s v="Oregon"/>
    <n v="51"/>
    <s v="Multnomah County"/>
    <n v="41"/>
    <n v="54"/>
    <n v="1840"/>
    <n v="5433"/>
    <n v="9275"/>
    <n v="234002"/>
    <n v="77258"/>
    <n v="158408"/>
    <n v="4665614"/>
    <n v="6007"/>
    <x v="7"/>
    <n v="41051"/>
    <n v="0"/>
    <n v="1"/>
  </r>
  <r>
    <x v="1"/>
    <n v="6"/>
    <x v="2"/>
    <n v="13"/>
    <x v="8"/>
    <n v="41"/>
    <s v="Oregon"/>
    <n v="51"/>
    <s v="Multnomah County"/>
    <n v="201"/>
    <n v="305"/>
    <n v="11459"/>
    <n v="35577"/>
    <n v="65632"/>
    <n v="3311459"/>
    <n v="451558"/>
    <n v="986543"/>
    <n v="55130224"/>
    <n v="6013"/>
    <x v="8"/>
    <n v="41051"/>
    <n v="0"/>
    <n v="1"/>
  </r>
  <r>
    <x v="1"/>
    <n v="6"/>
    <x v="2"/>
    <n v="19"/>
    <x v="10"/>
    <n v="41"/>
    <s v="Oregon"/>
    <n v="51"/>
    <s v="Multnomah County"/>
    <n v="67"/>
    <n v="98"/>
    <n v="3495"/>
    <n v="14104"/>
    <n v="29018"/>
    <n v="751153"/>
    <n v="322169"/>
    <n v="779875"/>
    <n v="18968658"/>
    <n v="6019"/>
    <x v="10"/>
    <n v="41051"/>
    <n v="0"/>
    <n v="1"/>
  </r>
  <r>
    <x v="1"/>
    <n v="6"/>
    <x v="2"/>
    <n v="23"/>
    <x v="11"/>
    <n v="41"/>
    <s v="Oregon"/>
    <n v="51"/>
    <s v="Multnomah County"/>
    <n v="68"/>
    <n v="81"/>
    <n v="2838"/>
    <n v="3529"/>
    <n v="6008"/>
    <n v="169271"/>
    <n v="46945"/>
    <n v="91637"/>
    <n v="2675210"/>
    <n v="6023"/>
    <x v="11"/>
    <n v="41051"/>
    <n v="0"/>
    <n v="1"/>
  </r>
  <r>
    <x v="1"/>
    <n v="6"/>
    <x v="2"/>
    <n v="29"/>
    <x v="12"/>
    <n v="41"/>
    <s v="Oregon"/>
    <n v="51"/>
    <s v="Multnomah County"/>
    <n v="49"/>
    <n v="82"/>
    <n v="2174"/>
    <n v="14571"/>
    <n v="31837"/>
    <n v="831978"/>
    <n v="277657"/>
    <n v="691115"/>
    <n v="15994713"/>
    <n v="6029"/>
    <x v="12"/>
    <n v="41051"/>
    <n v="0"/>
    <n v="1"/>
  </r>
  <r>
    <x v="1"/>
    <n v="6"/>
    <x v="2"/>
    <n v="37"/>
    <x v="13"/>
    <n v="41"/>
    <s v="Oregon"/>
    <n v="51"/>
    <s v="Multnomah County"/>
    <n v="1201"/>
    <n v="1693"/>
    <n v="85379"/>
    <n v="184648"/>
    <n v="340909"/>
    <n v="13377292"/>
    <n v="3857902"/>
    <n v="8086871"/>
    <n v="316155552"/>
    <n v="6037"/>
    <x v="13"/>
    <n v="41051"/>
    <n v="0"/>
    <n v="1"/>
  </r>
  <r>
    <x v="1"/>
    <n v="6"/>
    <x v="2"/>
    <n v="41"/>
    <x v="14"/>
    <n v="41"/>
    <s v="Oregon"/>
    <n v="51"/>
    <s v="Multnomah County"/>
    <n v="94"/>
    <n v="145"/>
    <n v="9063"/>
    <n v="8974"/>
    <n v="14896"/>
    <n v="1166033"/>
    <n v="110991"/>
    <n v="222063"/>
    <n v="20309764"/>
    <n v="6041"/>
    <x v="14"/>
    <n v="41051"/>
    <n v="0"/>
    <n v="1"/>
  </r>
  <r>
    <x v="1"/>
    <n v="6"/>
    <x v="2"/>
    <n v="53"/>
    <x v="16"/>
    <n v="41"/>
    <s v="Oregon"/>
    <n v="51"/>
    <s v="Multnomah County"/>
    <n v="50"/>
    <n v="70"/>
    <n v="3670"/>
    <n v="11187"/>
    <n v="22355"/>
    <n v="666690"/>
    <n v="162352"/>
    <n v="399387"/>
    <n v="11412808"/>
    <n v="6053"/>
    <x v="16"/>
    <n v="41051"/>
    <n v="0"/>
    <n v="1"/>
  </r>
  <r>
    <x v="1"/>
    <n v="6"/>
    <x v="2"/>
    <n v="55"/>
    <x v="17"/>
    <n v="41"/>
    <s v="Oregon"/>
    <n v="51"/>
    <s v="Multnomah County"/>
    <n v="29"/>
    <n v="36"/>
    <n v="2026"/>
    <n v="4576"/>
    <n v="8135"/>
    <n v="335449"/>
    <n v="56570"/>
    <n v="124671"/>
    <n v="5501285"/>
    <n v="6055"/>
    <x v="17"/>
    <n v="41051"/>
    <n v="0"/>
    <n v="1"/>
  </r>
  <r>
    <x v="1"/>
    <n v="6"/>
    <x v="2"/>
    <n v="57"/>
    <x v="168"/>
    <n v="41"/>
    <s v="Oregon"/>
    <n v="51"/>
    <s v="Multnomah County"/>
    <n v="22"/>
    <n v="32"/>
    <n v="883"/>
    <n v="3447"/>
    <n v="5919"/>
    <n v="217070"/>
    <n v="41028"/>
    <n v="80253"/>
    <n v="2977256"/>
    <n v="6057"/>
    <x v="182"/>
    <n v="41051"/>
    <n v="0"/>
    <n v="1"/>
  </r>
  <r>
    <x v="1"/>
    <n v="6"/>
    <x v="2"/>
    <n v="59"/>
    <x v="18"/>
    <n v="41"/>
    <s v="Oregon"/>
    <n v="51"/>
    <s v="Multnomah County"/>
    <n v="429"/>
    <n v="635"/>
    <n v="32037"/>
    <n v="81044"/>
    <n v="151110"/>
    <n v="6106423"/>
    <n v="1246895"/>
    <n v="2721833"/>
    <n v="122423536"/>
    <n v="6059"/>
    <x v="18"/>
    <n v="41051"/>
    <n v="0"/>
    <n v="1"/>
  </r>
  <r>
    <x v="1"/>
    <n v="6"/>
    <x v="2"/>
    <n v="61"/>
    <x v="19"/>
    <n v="41"/>
    <s v="Oregon"/>
    <n v="51"/>
    <s v="Multnomah County"/>
    <n v="45"/>
    <n v="59"/>
    <n v="2329"/>
    <n v="13944"/>
    <n v="25628"/>
    <n v="977710"/>
    <n v="148121"/>
    <n v="324081"/>
    <n v="14451163"/>
    <n v="6061"/>
    <x v="19"/>
    <n v="41051"/>
    <n v="0"/>
    <n v="1"/>
  </r>
  <r>
    <x v="1"/>
    <n v="6"/>
    <x v="2"/>
    <n v="65"/>
    <x v="20"/>
    <n v="41"/>
    <s v="Oregon"/>
    <n v="51"/>
    <s v="Multnomah County"/>
    <n v="122"/>
    <n v="183"/>
    <n v="4692"/>
    <n v="57130"/>
    <n v="116393"/>
    <n v="3512599"/>
    <n v="797907"/>
    <n v="1871791"/>
    <n v="50011308"/>
    <n v="6065"/>
    <x v="20"/>
    <n v="41051"/>
    <n v="0"/>
    <n v="1"/>
  </r>
  <r>
    <x v="1"/>
    <n v="6"/>
    <x v="2"/>
    <n v="67"/>
    <x v="21"/>
    <n v="41"/>
    <s v="Oregon"/>
    <n v="51"/>
    <s v="Multnomah County"/>
    <n v="199"/>
    <n v="312"/>
    <n v="11387"/>
    <n v="38059"/>
    <n v="71320"/>
    <n v="2317190"/>
    <n v="563236"/>
    <n v="1216304"/>
    <n v="38578528"/>
    <n v="6067"/>
    <x v="21"/>
    <n v="41051"/>
    <n v="0"/>
    <n v="1"/>
  </r>
  <r>
    <x v="1"/>
    <n v="6"/>
    <x v="2"/>
    <n v="71"/>
    <x v="22"/>
    <n v="41"/>
    <s v="Oregon"/>
    <n v="51"/>
    <s v="Multnomah County"/>
    <n v="143"/>
    <n v="228"/>
    <n v="7088"/>
    <n v="55002"/>
    <n v="115423"/>
    <n v="2979528"/>
    <n v="730251"/>
    <n v="1705330"/>
    <n v="42798368"/>
    <n v="6071"/>
    <x v="22"/>
    <n v="41051"/>
    <n v="0"/>
    <n v="1"/>
  </r>
  <r>
    <x v="1"/>
    <n v="6"/>
    <x v="2"/>
    <n v="73"/>
    <x v="23"/>
    <n v="41"/>
    <s v="Oregon"/>
    <n v="51"/>
    <s v="Multnomah County"/>
    <n v="528"/>
    <n v="765"/>
    <n v="31816"/>
    <n v="88269"/>
    <n v="170580"/>
    <n v="5635884"/>
    <n v="1306998"/>
    <n v="2772052"/>
    <n v="108296384"/>
    <n v="6073"/>
    <x v="23"/>
    <n v="41051"/>
    <n v="0"/>
    <n v="1"/>
  </r>
  <r>
    <x v="1"/>
    <n v="6"/>
    <x v="2"/>
    <n v="75"/>
    <x v="24"/>
    <n v="41"/>
    <s v="Oregon"/>
    <n v="51"/>
    <s v="Multnomah County"/>
    <n v="717"/>
    <n v="1028"/>
    <n v="87992"/>
    <n v="46477"/>
    <n v="69128"/>
    <n v="6873337"/>
    <n v="416512"/>
    <n v="695550"/>
    <n v="64194116"/>
    <n v="6075"/>
    <x v="24"/>
    <n v="41051"/>
    <n v="0"/>
    <n v="1"/>
  </r>
  <r>
    <x v="1"/>
    <n v="6"/>
    <x v="2"/>
    <n v="77"/>
    <x v="25"/>
    <n v="41"/>
    <s v="Oregon"/>
    <n v="51"/>
    <s v="Multnomah County"/>
    <n v="47"/>
    <n v="83"/>
    <n v="2303"/>
    <n v="15739"/>
    <n v="32363"/>
    <n v="935545"/>
    <n v="250289"/>
    <n v="605408"/>
    <n v="16009726"/>
    <n v="6077"/>
    <x v="25"/>
    <n v="41051"/>
    <n v="0"/>
    <n v="1"/>
  </r>
  <r>
    <x v="1"/>
    <n v="6"/>
    <x v="2"/>
    <n v="79"/>
    <x v="26"/>
    <n v="41"/>
    <s v="Oregon"/>
    <n v="51"/>
    <s v="Multnomah County"/>
    <n v="66"/>
    <n v="85"/>
    <n v="2706"/>
    <n v="8036"/>
    <n v="13592"/>
    <n v="457417"/>
    <n v="109167"/>
    <n v="220314"/>
    <n v="8373925"/>
    <n v="6079"/>
    <x v="26"/>
    <n v="41051"/>
    <n v="0"/>
    <n v="1"/>
  </r>
  <r>
    <x v="1"/>
    <n v="6"/>
    <x v="2"/>
    <n v="81"/>
    <x v="27"/>
    <n v="41"/>
    <s v="Oregon"/>
    <n v="51"/>
    <s v="Multnomah County"/>
    <n v="211"/>
    <n v="343"/>
    <n v="27969"/>
    <n v="31975"/>
    <n v="56956"/>
    <n v="4335401"/>
    <n v="329764"/>
    <n v="681761"/>
    <n v="56613544"/>
    <n v="6081"/>
    <x v="27"/>
    <n v="41051"/>
    <n v="0"/>
    <n v="1"/>
  </r>
  <r>
    <x v="1"/>
    <n v="6"/>
    <x v="2"/>
    <n v="83"/>
    <x v="28"/>
    <n v="41"/>
    <s v="Oregon"/>
    <n v="51"/>
    <s v="Multnomah County"/>
    <n v="113"/>
    <n v="153"/>
    <n v="6502"/>
    <n v="11992"/>
    <n v="21374"/>
    <n v="738630"/>
    <n v="168541"/>
    <n v="371778"/>
    <n v="13735610"/>
    <n v="6083"/>
    <x v="28"/>
    <n v="41051"/>
    <n v="0"/>
    <n v="1"/>
  </r>
  <r>
    <x v="1"/>
    <n v="6"/>
    <x v="2"/>
    <n v="85"/>
    <x v="29"/>
    <n v="41"/>
    <s v="Oregon"/>
    <n v="51"/>
    <s v="Multnomah County"/>
    <n v="397"/>
    <n v="613"/>
    <n v="50885"/>
    <n v="63371"/>
    <n v="119631"/>
    <n v="7972212"/>
    <n v="787734"/>
    <n v="1723946"/>
    <n v="135151136"/>
    <n v="6085"/>
    <x v="29"/>
    <n v="41051"/>
    <n v="0"/>
    <n v="1"/>
  </r>
  <r>
    <x v="1"/>
    <n v="6"/>
    <x v="2"/>
    <n v="87"/>
    <x v="30"/>
    <n v="41"/>
    <s v="Oregon"/>
    <n v="51"/>
    <s v="Multnomah County"/>
    <n v="94"/>
    <n v="131"/>
    <n v="5686"/>
    <n v="8424"/>
    <n v="14341"/>
    <n v="564963"/>
    <n v="109301"/>
    <n v="228309"/>
    <n v="9739614"/>
    <n v="6087"/>
    <x v="30"/>
    <n v="41051"/>
    <n v="0"/>
    <n v="1"/>
  </r>
  <r>
    <x v="1"/>
    <n v="6"/>
    <x v="2"/>
    <n v="89"/>
    <x v="31"/>
    <n v="41"/>
    <s v="Oregon"/>
    <n v="51"/>
    <s v="Multnomah County"/>
    <n v="45"/>
    <n v="62"/>
    <n v="1890"/>
    <n v="4707"/>
    <n v="8694"/>
    <n v="219898"/>
    <n v="63833"/>
    <n v="132855"/>
    <n v="3780959"/>
    <n v="6089"/>
    <x v="31"/>
    <n v="41051"/>
    <n v="0"/>
    <n v="1"/>
  </r>
  <r>
    <x v="1"/>
    <n v="6"/>
    <x v="2"/>
    <n v="95"/>
    <x v="32"/>
    <n v="41"/>
    <s v="Oregon"/>
    <n v="51"/>
    <s v="Multnomah County"/>
    <n v="34"/>
    <n v="53"/>
    <n v="1995"/>
    <n v="14301"/>
    <n v="28024"/>
    <n v="886544"/>
    <n v="170359"/>
    <n v="365361"/>
    <n v="12421778"/>
    <n v="6095"/>
    <x v="32"/>
    <n v="41051"/>
    <n v="0"/>
    <n v="1"/>
  </r>
  <r>
    <x v="1"/>
    <n v="6"/>
    <x v="2"/>
    <n v="97"/>
    <x v="33"/>
    <n v="41"/>
    <s v="Oregon"/>
    <n v="51"/>
    <s v="Multnomah County"/>
    <n v="133"/>
    <n v="182"/>
    <n v="7179"/>
    <n v="12655"/>
    <n v="21462"/>
    <n v="891817"/>
    <n v="204806"/>
    <n v="419111"/>
    <n v="16737796"/>
    <n v="6097"/>
    <x v="33"/>
    <n v="41051"/>
    <n v="0"/>
    <n v="1"/>
  </r>
  <r>
    <x v="1"/>
    <n v="6"/>
    <x v="2"/>
    <n v="99"/>
    <x v="34"/>
    <n v="41"/>
    <s v="Oregon"/>
    <n v="51"/>
    <s v="Multnomah County"/>
    <n v="32"/>
    <n v="49"/>
    <n v="1141"/>
    <n v="10892"/>
    <n v="22507"/>
    <n v="591220"/>
    <n v="183855"/>
    <n v="442304"/>
    <n v="11080905"/>
    <n v="6099"/>
    <x v="34"/>
    <n v="41051"/>
    <n v="0"/>
    <n v="1"/>
  </r>
  <r>
    <x v="1"/>
    <n v="6"/>
    <x v="2"/>
    <n v="111"/>
    <x v="35"/>
    <n v="41"/>
    <s v="Oregon"/>
    <n v="51"/>
    <s v="Multnomah County"/>
    <n v="102"/>
    <n v="170"/>
    <n v="6355"/>
    <n v="20707"/>
    <n v="39608"/>
    <n v="1680856"/>
    <n v="332805"/>
    <n v="749181"/>
    <n v="29131156"/>
    <n v="6111"/>
    <x v="35"/>
    <n v="41051"/>
    <n v="0"/>
    <n v="1"/>
  </r>
  <r>
    <x v="1"/>
    <n v="6"/>
    <x v="2"/>
    <n v="113"/>
    <x v="36"/>
    <n v="41"/>
    <s v="Oregon"/>
    <n v="51"/>
    <s v="Multnomah County"/>
    <n v="41"/>
    <n v="60"/>
    <n v="1848"/>
    <n v="8223"/>
    <n v="14271"/>
    <n v="482458"/>
    <n v="74275"/>
    <n v="163089"/>
    <n v="6037206"/>
    <n v="6113"/>
    <x v="36"/>
    <n v="41051"/>
    <n v="0"/>
    <n v="1"/>
  </r>
  <r>
    <x v="1"/>
    <n v="8"/>
    <x v="3"/>
    <n v="1"/>
    <x v="37"/>
    <n v="41"/>
    <s v="Oregon"/>
    <n v="51"/>
    <s v="Multnomah County"/>
    <n v="27"/>
    <n v="58"/>
    <n v="1758"/>
    <n v="25829"/>
    <n v="51681"/>
    <n v="1380956"/>
    <n v="186711"/>
    <n v="417008"/>
    <n v="11569792"/>
    <n v="8001"/>
    <x v="37"/>
    <n v="41051"/>
    <n v="0"/>
    <n v="1"/>
  </r>
  <r>
    <x v="1"/>
    <n v="8"/>
    <x v="3"/>
    <n v="5"/>
    <x v="38"/>
    <n v="41"/>
    <s v="Oregon"/>
    <n v="51"/>
    <s v="Multnomah County"/>
    <n v="64"/>
    <n v="97"/>
    <n v="3943"/>
    <n v="39688"/>
    <n v="73540"/>
    <n v="2537467"/>
    <n v="256065"/>
    <n v="537405"/>
    <n v="22662676"/>
    <n v="8005"/>
    <x v="38"/>
    <n v="41051"/>
    <n v="0"/>
    <n v="1"/>
  </r>
  <r>
    <x v="1"/>
    <n v="8"/>
    <x v="3"/>
    <n v="13"/>
    <x v="39"/>
    <n v="41"/>
    <s v="Oregon"/>
    <n v="51"/>
    <s v="Multnomah County"/>
    <n v="90"/>
    <n v="106"/>
    <n v="3970"/>
    <n v="17550"/>
    <n v="28295"/>
    <n v="1174054"/>
    <n v="131561"/>
    <n v="259717"/>
    <n v="13951517"/>
    <n v="8013"/>
    <x v="39"/>
    <n v="41051"/>
    <n v="0"/>
    <n v="1"/>
  </r>
  <r>
    <x v="1"/>
    <n v="8"/>
    <x v="3"/>
    <n v="31"/>
    <x v="40"/>
    <n v="41"/>
    <s v="Oregon"/>
    <n v="51"/>
    <s v="Multnomah County"/>
    <n v="216"/>
    <n v="286"/>
    <n v="13313"/>
    <n v="52894"/>
    <n v="88185"/>
    <n v="3557293"/>
    <n v="292266"/>
    <n v="541507"/>
    <n v="26676158"/>
    <n v="8031"/>
    <x v="40"/>
    <n v="41051"/>
    <n v="0"/>
    <n v="1"/>
  </r>
  <r>
    <x v="1"/>
    <n v="8"/>
    <x v="3"/>
    <n v="41"/>
    <x v="41"/>
    <n v="41"/>
    <s v="Oregon"/>
    <n v="51"/>
    <s v="Multnomah County"/>
    <n v="48"/>
    <n v="78"/>
    <n v="3298"/>
    <n v="31547"/>
    <n v="68228"/>
    <n v="1711034"/>
    <n v="262483"/>
    <n v="569875"/>
    <n v="18214054"/>
    <n v="8041"/>
    <x v="41"/>
    <n v="41051"/>
    <n v="0"/>
    <n v="1"/>
  </r>
  <r>
    <x v="1"/>
    <n v="8"/>
    <x v="3"/>
    <n v="59"/>
    <x v="42"/>
    <n v="41"/>
    <s v="Oregon"/>
    <n v="51"/>
    <s v="Multnomah County"/>
    <n v="75"/>
    <n v="109"/>
    <n v="4275"/>
    <n v="32475"/>
    <n v="56146"/>
    <n v="2161575"/>
    <n v="244394"/>
    <n v="481750"/>
    <n v="21849804"/>
    <n v="8059"/>
    <x v="42"/>
    <n v="41051"/>
    <n v="0"/>
    <n v="1"/>
  </r>
  <r>
    <x v="1"/>
    <n v="8"/>
    <x v="3"/>
    <n v="69"/>
    <x v="43"/>
    <n v="41"/>
    <s v="Oregon"/>
    <n v="51"/>
    <s v="Multnomah County"/>
    <n v="54"/>
    <n v="76"/>
    <n v="3224"/>
    <n v="15448"/>
    <n v="26459"/>
    <n v="850887"/>
    <n v="135906"/>
    <n v="272260"/>
    <n v="10832853"/>
    <n v="8069"/>
    <x v="43"/>
    <n v="41051"/>
    <n v="0"/>
    <n v="1"/>
  </r>
  <r>
    <x v="1"/>
    <n v="8"/>
    <x v="3"/>
    <n v="123"/>
    <x v="169"/>
    <n v="41"/>
    <s v="Oregon"/>
    <n v="51"/>
    <s v="Multnomah County"/>
    <n v="21"/>
    <n v="34"/>
    <n v="999"/>
    <n v="11336"/>
    <n v="22912"/>
    <n v="645572"/>
    <n v="105168"/>
    <n v="242611"/>
    <n v="7296135"/>
    <n v="8123"/>
    <x v="183"/>
    <n v="41051"/>
    <n v="0"/>
    <n v="1"/>
  </r>
  <r>
    <x v="1"/>
    <n v="9"/>
    <x v="4"/>
    <n v="1"/>
    <x v="44"/>
    <n v="41"/>
    <s v="Oregon"/>
    <n v="51"/>
    <s v="Multnomah County"/>
    <n v="35"/>
    <n v="48"/>
    <n v="2908"/>
    <n v="25425"/>
    <n v="44754"/>
    <n v="3628087"/>
    <n v="376542"/>
    <n v="794966"/>
    <n v="64370040"/>
    <n v="9001"/>
    <x v="44"/>
    <n v="41051"/>
    <n v="0"/>
    <n v="1"/>
  </r>
  <r>
    <x v="1"/>
    <n v="9"/>
    <x v="4"/>
    <n v="3"/>
    <x v="170"/>
    <n v="41"/>
    <s v="Oregon"/>
    <n v="51"/>
    <s v="Multnomah County"/>
    <n v="34"/>
    <n v="41"/>
    <n v="2121"/>
    <n v="24139"/>
    <n v="41299"/>
    <n v="2007268"/>
    <n v="375243"/>
    <n v="744505"/>
    <n v="32064660"/>
    <n v="9003"/>
    <x v="184"/>
    <n v="41051"/>
    <n v="0"/>
    <n v="1"/>
  </r>
  <r>
    <x v="1"/>
    <n v="9"/>
    <x v="4"/>
    <n v="9"/>
    <x v="45"/>
    <n v="41"/>
    <s v="Oregon"/>
    <n v="51"/>
    <s v="Multnomah County"/>
    <n v="42"/>
    <n v="62"/>
    <n v="2601"/>
    <n v="22736"/>
    <n v="38569"/>
    <n v="1661026"/>
    <n v="346479"/>
    <n v="683432"/>
    <n v="27583446"/>
    <n v="9009"/>
    <x v="45"/>
    <n v="41051"/>
    <n v="0"/>
    <n v="1"/>
  </r>
  <r>
    <x v="1"/>
    <n v="10"/>
    <x v="41"/>
    <n v="3"/>
    <x v="171"/>
    <n v="41"/>
    <s v="Oregon"/>
    <n v="51"/>
    <s v="Multnomah County"/>
    <n v="21"/>
    <n v="34"/>
    <n v="1289"/>
    <n v="14334"/>
    <n v="26057"/>
    <n v="1077303"/>
    <n v="219682"/>
    <n v="449216"/>
    <n v="17502016"/>
    <n v="10003"/>
    <x v="185"/>
    <n v="41051"/>
    <n v="0"/>
    <n v="1"/>
  </r>
  <r>
    <x v="1"/>
    <n v="11"/>
    <x v="5"/>
    <n v="1"/>
    <x v="46"/>
    <n v="41"/>
    <s v="Oregon"/>
    <n v="51"/>
    <s v="Multnomah County"/>
    <n v="161"/>
    <n v="215"/>
    <n v="14700"/>
    <n v="40180"/>
    <n v="60002"/>
    <n v="3631386"/>
    <n v="293741"/>
    <n v="483714"/>
    <n v="30278012"/>
    <n v="11001"/>
    <x v="46"/>
    <n v="41051"/>
    <n v="0"/>
    <n v="1"/>
  </r>
  <r>
    <x v="1"/>
    <n v="12"/>
    <x v="6"/>
    <n v="1"/>
    <x v="172"/>
    <n v="41"/>
    <s v="Oregon"/>
    <n v="51"/>
    <s v="Multnomah County"/>
    <n v="30"/>
    <n v="42"/>
    <n v="1487"/>
    <n v="11068"/>
    <n v="18769"/>
    <n v="575988"/>
    <n v="93156"/>
    <n v="179755"/>
    <n v="6071038"/>
    <n v="12001"/>
    <x v="186"/>
    <n v="41051"/>
    <n v="0"/>
    <n v="1"/>
  </r>
  <r>
    <x v="1"/>
    <n v="12"/>
    <x v="6"/>
    <n v="11"/>
    <x v="47"/>
    <n v="41"/>
    <s v="Oregon"/>
    <n v="51"/>
    <s v="Multnomah County"/>
    <n v="63"/>
    <n v="83"/>
    <n v="4646"/>
    <n v="60130"/>
    <n v="108352"/>
    <n v="3587091"/>
    <n v="759305"/>
    <n v="1483318"/>
    <n v="51610744"/>
    <n v="12011"/>
    <x v="47"/>
    <n v="41051"/>
    <n v="0"/>
    <n v="1"/>
  </r>
  <r>
    <x v="1"/>
    <n v="12"/>
    <x v="6"/>
    <n v="31"/>
    <x v="48"/>
    <n v="41"/>
    <s v="Oregon"/>
    <n v="51"/>
    <s v="Multnomah County"/>
    <n v="38"/>
    <n v="59"/>
    <n v="1689"/>
    <n v="32181"/>
    <n v="62658"/>
    <n v="1840246"/>
    <n v="364240"/>
    <n v="727222"/>
    <n v="22464646"/>
    <n v="12031"/>
    <x v="48"/>
    <n v="41051"/>
    <n v="0"/>
    <n v="1"/>
  </r>
  <r>
    <x v="1"/>
    <n v="12"/>
    <x v="6"/>
    <n v="57"/>
    <x v="49"/>
    <n v="41"/>
    <s v="Oregon"/>
    <n v="51"/>
    <s v="Multnomah County"/>
    <n v="57"/>
    <n v="79"/>
    <n v="2474"/>
    <n v="48454"/>
    <n v="90424"/>
    <n v="2971994"/>
    <n v="520858"/>
    <n v="1067905"/>
    <n v="36032356"/>
    <n v="12057"/>
    <x v="49"/>
    <n v="41051"/>
    <n v="0"/>
    <n v="1"/>
  </r>
  <r>
    <x v="1"/>
    <n v="12"/>
    <x v="6"/>
    <n v="71"/>
    <x v="50"/>
    <n v="41"/>
    <s v="Oregon"/>
    <n v="51"/>
    <s v="Multnomah County"/>
    <n v="23"/>
    <n v="35"/>
    <n v="938"/>
    <n v="22089"/>
    <n v="38700"/>
    <n v="1412219"/>
    <n v="276676"/>
    <n v="538722"/>
    <n v="20917400"/>
    <n v="12071"/>
    <x v="50"/>
    <n v="41051"/>
    <n v="0"/>
    <n v="1"/>
  </r>
  <r>
    <x v="1"/>
    <n v="12"/>
    <x v="6"/>
    <n v="86"/>
    <x v="52"/>
    <n v="41"/>
    <s v="Oregon"/>
    <n v="51"/>
    <s v="Multnomah County"/>
    <n v="74"/>
    <n v="97"/>
    <n v="3301"/>
    <n v="63395"/>
    <n v="113788"/>
    <n v="3438740"/>
    <n v="1061825"/>
    <n v="2046662"/>
    <n v="63537784"/>
    <n v="12086"/>
    <x v="52"/>
    <n v="41051"/>
    <n v="0"/>
    <n v="1"/>
  </r>
  <r>
    <x v="1"/>
    <n v="12"/>
    <x v="6"/>
    <n v="95"/>
    <x v="18"/>
    <n v="41"/>
    <s v="Oregon"/>
    <n v="51"/>
    <s v="Multnomah County"/>
    <n v="73"/>
    <n v="93"/>
    <n v="4302"/>
    <n v="58248"/>
    <n v="105434"/>
    <n v="2846700"/>
    <n v="512050"/>
    <n v="1033322"/>
    <n v="31820784"/>
    <n v="12095"/>
    <x v="53"/>
    <n v="41051"/>
    <n v="0"/>
    <n v="1"/>
  </r>
  <r>
    <x v="1"/>
    <n v="12"/>
    <x v="6"/>
    <n v="99"/>
    <x v="53"/>
    <n v="41"/>
    <s v="Oregon"/>
    <n v="51"/>
    <s v="Multnomah County"/>
    <n v="59"/>
    <n v="80"/>
    <n v="2873"/>
    <n v="42010"/>
    <n v="71986"/>
    <n v="2922872"/>
    <n v="576359"/>
    <n v="1108283"/>
    <n v="55781024"/>
    <n v="12099"/>
    <x v="54"/>
    <n v="41051"/>
    <n v="0"/>
    <n v="1"/>
  </r>
  <r>
    <x v="1"/>
    <n v="12"/>
    <x v="6"/>
    <n v="103"/>
    <x v="54"/>
    <n v="41"/>
    <s v="Oregon"/>
    <n v="51"/>
    <s v="Multnomah County"/>
    <n v="45"/>
    <n v="54"/>
    <n v="2764"/>
    <n v="31949"/>
    <n v="54252"/>
    <n v="1801741"/>
    <n v="388474"/>
    <n v="705740"/>
    <n v="26736264"/>
    <n v="12103"/>
    <x v="55"/>
    <n v="41051"/>
    <n v="0"/>
    <n v="1"/>
  </r>
  <r>
    <x v="1"/>
    <n v="13"/>
    <x v="7"/>
    <n v="51"/>
    <x v="173"/>
    <n v="41"/>
    <s v="Oregon"/>
    <n v="51"/>
    <s v="Multnomah County"/>
    <n v="25"/>
    <n v="38"/>
    <n v="1054"/>
    <n v="12390"/>
    <n v="24828"/>
    <n v="666702"/>
    <n v="102567"/>
    <n v="208465"/>
    <n v="6626424"/>
    <n v="13051"/>
    <x v="187"/>
    <n v="41051"/>
    <n v="0"/>
    <n v="1"/>
  </r>
  <r>
    <x v="1"/>
    <n v="13"/>
    <x v="7"/>
    <n v="67"/>
    <x v="55"/>
    <n v="41"/>
    <s v="Oregon"/>
    <n v="51"/>
    <s v="Multnomah County"/>
    <n v="30"/>
    <n v="47"/>
    <n v="1491"/>
    <n v="37678"/>
    <n v="71675"/>
    <n v="2486747"/>
    <n v="284437"/>
    <n v="615758"/>
    <n v="24979012"/>
    <n v="13067"/>
    <x v="56"/>
    <n v="41051"/>
    <n v="0"/>
    <n v="1"/>
  </r>
  <r>
    <x v="1"/>
    <n v="13"/>
    <x v="7"/>
    <n v="89"/>
    <x v="56"/>
    <n v="41"/>
    <s v="Oregon"/>
    <n v="51"/>
    <s v="Multnomah County"/>
    <n v="49"/>
    <n v="76"/>
    <n v="3014"/>
    <n v="42044"/>
    <n v="79028"/>
    <n v="2673543"/>
    <n v="281909"/>
    <n v="572040"/>
    <n v="20494930"/>
    <n v="13089"/>
    <x v="57"/>
    <n v="41051"/>
    <n v="0"/>
    <n v="1"/>
  </r>
  <r>
    <x v="1"/>
    <n v="13"/>
    <x v="7"/>
    <n v="121"/>
    <x v="57"/>
    <n v="41"/>
    <s v="Oregon"/>
    <n v="51"/>
    <s v="Multnomah County"/>
    <n v="79"/>
    <n v="108"/>
    <n v="5876"/>
    <n v="57724"/>
    <n v="103967"/>
    <n v="4499943"/>
    <n v="417091"/>
    <n v="800058"/>
    <n v="43090624"/>
    <n v="13121"/>
    <x v="58"/>
    <n v="41051"/>
    <n v="0"/>
    <n v="1"/>
  </r>
  <r>
    <x v="1"/>
    <n v="13"/>
    <x v="7"/>
    <n v="135"/>
    <x v="174"/>
    <n v="41"/>
    <s v="Oregon"/>
    <n v="51"/>
    <s v="Multnomah County"/>
    <n v="20"/>
    <n v="36"/>
    <n v="1102"/>
    <n v="36445"/>
    <n v="73503"/>
    <n v="2172788"/>
    <n v="325776"/>
    <n v="755292"/>
    <n v="21771192"/>
    <n v="13135"/>
    <x v="188"/>
    <n v="41051"/>
    <n v="0"/>
    <n v="1"/>
  </r>
  <r>
    <x v="1"/>
    <n v="15"/>
    <x v="8"/>
    <n v="1"/>
    <x v="58"/>
    <n v="41"/>
    <s v="Oregon"/>
    <n v="51"/>
    <s v="Multnomah County"/>
    <n v="46"/>
    <n v="67"/>
    <n v="1620"/>
    <n v="4046"/>
    <n v="7256"/>
    <n v="198799"/>
    <n v="73096"/>
    <n v="147114"/>
    <n v="4223469"/>
    <n v="15001"/>
    <x v="59"/>
    <n v="41051"/>
    <n v="0"/>
    <n v="1"/>
  </r>
  <r>
    <x v="1"/>
    <n v="15"/>
    <x v="8"/>
    <n v="3"/>
    <x v="59"/>
    <n v="41"/>
    <s v="Oregon"/>
    <n v="51"/>
    <s v="Multnomah County"/>
    <n v="200"/>
    <n v="287"/>
    <n v="12093"/>
    <n v="32563"/>
    <n v="73605"/>
    <n v="1922843"/>
    <n v="413847"/>
    <n v="833537"/>
    <n v="29972068"/>
    <n v="15003"/>
    <x v="60"/>
    <n v="41051"/>
    <n v="0"/>
    <n v="1"/>
  </r>
  <r>
    <x v="1"/>
    <n v="15"/>
    <x v="8"/>
    <n v="9"/>
    <x v="61"/>
    <n v="41"/>
    <s v="Oregon"/>
    <n v="51"/>
    <s v="Multnomah County"/>
    <n v="53"/>
    <n v="79"/>
    <n v="2634"/>
    <n v="3904"/>
    <n v="6773"/>
    <n v="231328"/>
    <n v="67032"/>
    <n v="131557"/>
    <n v="4144140"/>
    <n v="15009"/>
    <x v="62"/>
    <n v="41051"/>
    <n v="0"/>
    <n v="1"/>
  </r>
  <r>
    <x v="1"/>
    <n v="16"/>
    <x v="9"/>
    <n v="1"/>
    <x v="62"/>
    <n v="41"/>
    <s v="Oregon"/>
    <n v="51"/>
    <s v="Multnomah County"/>
    <n v="143"/>
    <n v="201"/>
    <n v="6027"/>
    <n v="13944"/>
    <n v="27493"/>
    <n v="722269"/>
    <n v="169262"/>
    <n v="367195"/>
    <n v="13309136"/>
    <n v="16001"/>
    <x v="63"/>
    <n v="41051"/>
    <n v="0"/>
    <n v="1"/>
  </r>
  <r>
    <x v="1"/>
    <n v="16"/>
    <x v="9"/>
    <n v="27"/>
    <x v="63"/>
    <n v="41"/>
    <s v="Oregon"/>
    <n v="51"/>
    <s v="Multnomah County"/>
    <n v="33"/>
    <n v="60"/>
    <n v="1012"/>
    <n v="6529"/>
    <n v="14434"/>
    <n v="280827"/>
    <n v="68898"/>
    <n v="169810"/>
    <n v="3483191"/>
    <n v="16027"/>
    <x v="64"/>
    <n v="41051"/>
    <n v="0"/>
    <n v="1"/>
  </r>
  <r>
    <x v="1"/>
    <n v="16"/>
    <x v="9"/>
    <n v="55"/>
    <x v="64"/>
    <n v="41"/>
    <s v="Oregon"/>
    <n v="51"/>
    <s v="Multnomah County"/>
    <n v="35"/>
    <n v="54"/>
    <n v="1591"/>
    <n v="4458"/>
    <n v="8547"/>
    <n v="214467"/>
    <n v="59861"/>
    <n v="126895"/>
    <n v="3655995"/>
    <n v="16055"/>
    <x v="65"/>
    <n v="41051"/>
    <n v="0"/>
    <n v="1"/>
  </r>
  <r>
    <x v="1"/>
    <n v="17"/>
    <x v="10"/>
    <n v="19"/>
    <x v="175"/>
    <n v="41"/>
    <s v="Oregon"/>
    <n v="51"/>
    <s v="Multnomah County"/>
    <n v="22"/>
    <n v="29"/>
    <n v="1119"/>
    <n v="8110"/>
    <n v="13778"/>
    <n v="465705"/>
    <n v="74160"/>
    <n v="148072"/>
    <n v="5272623"/>
    <n v="17019"/>
    <x v="189"/>
    <n v="41051"/>
    <n v="0"/>
    <n v="1"/>
  </r>
  <r>
    <x v="1"/>
    <n v="17"/>
    <x v="10"/>
    <n v="31"/>
    <x v="65"/>
    <n v="41"/>
    <s v="Oregon"/>
    <n v="51"/>
    <s v="Multnomah County"/>
    <n v="553"/>
    <n v="740"/>
    <n v="42504"/>
    <n v="131067"/>
    <n v="238547"/>
    <n v="10496629"/>
    <n v="2125106"/>
    <n v="4375587"/>
    <n v="177785920"/>
    <n v="17031"/>
    <x v="66"/>
    <n v="41051"/>
    <n v="0"/>
    <n v="1"/>
  </r>
  <r>
    <x v="1"/>
    <n v="17"/>
    <x v="10"/>
    <n v="43"/>
    <x v="66"/>
    <n v="41"/>
    <s v="Oregon"/>
    <n v="51"/>
    <s v="Multnomah County"/>
    <n v="35"/>
    <n v="37"/>
    <n v="1413"/>
    <n v="38285"/>
    <n v="72136"/>
    <n v="3387861"/>
    <n v="390012"/>
    <n v="866140"/>
    <n v="42149748"/>
    <n v="17043"/>
    <x v="67"/>
    <n v="41051"/>
    <n v="0"/>
    <n v="1"/>
  </r>
  <r>
    <x v="1"/>
    <n v="17"/>
    <x v="10"/>
    <n v="97"/>
    <x v="67"/>
    <n v="41"/>
    <s v="Oregon"/>
    <n v="51"/>
    <s v="Multnomah County"/>
    <n v="30"/>
    <n v="49"/>
    <n v="2634"/>
    <n v="23108"/>
    <n v="44145"/>
    <n v="2594552"/>
    <n v="280076"/>
    <n v="648345"/>
    <n v="36497336"/>
    <n v="17097"/>
    <x v="68"/>
    <n v="41051"/>
    <n v="0"/>
    <n v="1"/>
  </r>
  <r>
    <x v="1"/>
    <n v="18"/>
    <x v="11"/>
    <n v="97"/>
    <x v="68"/>
    <n v="41"/>
    <s v="Oregon"/>
    <n v="51"/>
    <s v="Multnomah County"/>
    <n v="72"/>
    <n v="95"/>
    <n v="4084"/>
    <n v="35946"/>
    <n v="65874"/>
    <n v="2101265"/>
    <n v="376899"/>
    <n v="769580"/>
    <n v="22634272"/>
    <n v="18097"/>
    <x v="69"/>
    <n v="41051"/>
    <n v="0"/>
    <n v="1"/>
  </r>
  <r>
    <x v="1"/>
    <n v="18"/>
    <x v="11"/>
    <n v="105"/>
    <x v="69"/>
    <n v="41"/>
    <s v="Oregon"/>
    <n v="51"/>
    <s v="Multnomah County"/>
    <n v="22"/>
    <n v="30"/>
    <n v="898"/>
    <n v="6129"/>
    <n v="9810"/>
    <n v="299523"/>
    <n v="48343"/>
    <n v="91873"/>
    <n v="3273672"/>
    <n v="18105"/>
    <x v="70"/>
    <n v="41051"/>
    <n v="0"/>
    <n v="1"/>
  </r>
  <r>
    <x v="1"/>
    <n v="19"/>
    <x v="12"/>
    <n v="103"/>
    <x v="71"/>
    <n v="41"/>
    <s v="Oregon"/>
    <n v="51"/>
    <s v="Multnomah County"/>
    <n v="24"/>
    <n v="35"/>
    <n v="1694"/>
    <n v="6973"/>
    <n v="11674"/>
    <n v="397838"/>
    <n v="54613"/>
    <n v="110094"/>
    <n v="4462922"/>
    <n v="19103"/>
    <x v="190"/>
    <n v="41051"/>
    <n v="0"/>
    <n v="1"/>
  </r>
  <r>
    <x v="1"/>
    <n v="19"/>
    <x v="12"/>
    <n v="153"/>
    <x v="70"/>
    <n v="41"/>
    <s v="Oregon"/>
    <n v="51"/>
    <s v="Multnomah County"/>
    <n v="23"/>
    <n v="38"/>
    <n v="1222"/>
    <n v="15779"/>
    <n v="29696"/>
    <n v="1009746"/>
    <n v="189646"/>
    <n v="405249"/>
    <n v="14995119"/>
    <n v="19153"/>
    <x v="71"/>
    <n v="41051"/>
    <n v="0"/>
    <n v="1"/>
  </r>
  <r>
    <x v="1"/>
    <n v="20"/>
    <x v="13"/>
    <n v="45"/>
    <x v="93"/>
    <n v="41"/>
    <s v="Oregon"/>
    <n v="51"/>
    <s v="Multnomah County"/>
    <n v="22"/>
    <n v="26"/>
    <n v="662"/>
    <n v="5403"/>
    <n v="9061"/>
    <n v="274392"/>
    <n v="42610"/>
    <n v="83342"/>
    <n v="2992672"/>
    <n v="20045"/>
    <x v="191"/>
    <n v="41051"/>
    <n v="0"/>
    <n v="1"/>
  </r>
  <r>
    <x v="1"/>
    <n v="20"/>
    <x v="13"/>
    <n v="91"/>
    <x v="71"/>
    <n v="41"/>
    <s v="Oregon"/>
    <n v="51"/>
    <s v="Multnomah County"/>
    <n v="37"/>
    <n v="52"/>
    <n v="2203"/>
    <n v="21386"/>
    <n v="39754"/>
    <n v="1646850"/>
    <n v="236556"/>
    <n v="522634"/>
    <n v="26073476"/>
    <n v="20091"/>
    <x v="72"/>
    <n v="41051"/>
    <n v="0"/>
    <n v="1"/>
  </r>
  <r>
    <x v="1"/>
    <n v="20"/>
    <x v="13"/>
    <n v="173"/>
    <x v="176"/>
    <n v="41"/>
    <s v="Oregon"/>
    <n v="51"/>
    <s v="Multnomah County"/>
    <n v="22"/>
    <n v="31"/>
    <n v="616"/>
    <n v="13476"/>
    <n v="26993"/>
    <n v="764959"/>
    <n v="195165"/>
    <n v="425086"/>
    <n v="13526784"/>
    <n v="20173"/>
    <x v="192"/>
    <n v="41051"/>
    <n v="0"/>
    <n v="1"/>
  </r>
  <r>
    <x v="1"/>
    <n v="21"/>
    <x v="14"/>
    <n v="111"/>
    <x v="42"/>
    <n v="41"/>
    <s v="Oregon"/>
    <n v="51"/>
    <s v="Multnomah County"/>
    <n v="29"/>
    <n v="42"/>
    <n v="1845"/>
    <n v="22352"/>
    <n v="42730"/>
    <n v="1353014"/>
    <n v="308787"/>
    <n v="613150"/>
    <n v="21628280"/>
    <n v="21111"/>
    <x v="73"/>
    <n v="41051"/>
    <n v="0"/>
    <n v="1"/>
  </r>
  <r>
    <x v="1"/>
    <n v="22"/>
    <x v="15"/>
    <n v="71"/>
    <x v="72"/>
    <n v="41"/>
    <s v="Oregon"/>
    <n v="51"/>
    <s v="Multnomah County"/>
    <n v="46"/>
    <n v="59"/>
    <n v="2399"/>
    <n v="14646"/>
    <n v="25365"/>
    <n v="776553"/>
    <n v="131239"/>
    <n v="249067"/>
    <n v="8363756"/>
    <n v="22071"/>
    <x v="74"/>
    <n v="41051"/>
    <n v="0"/>
    <n v="1"/>
  </r>
  <r>
    <x v="1"/>
    <n v="23"/>
    <x v="16"/>
    <n v="5"/>
    <x v="73"/>
    <n v="41"/>
    <s v="Oregon"/>
    <n v="51"/>
    <s v="Multnomah County"/>
    <n v="34"/>
    <n v="44"/>
    <n v="3210"/>
    <n v="10472"/>
    <n v="17008"/>
    <n v="616380"/>
    <n v="127194"/>
    <n v="243213"/>
    <n v="10501924"/>
    <n v="23005"/>
    <x v="75"/>
    <n v="41051"/>
    <n v="0"/>
    <n v="1"/>
  </r>
  <r>
    <x v="1"/>
    <n v="24"/>
    <x v="17"/>
    <n v="5"/>
    <x v="177"/>
    <n v="41"/>
    <s v="Oregon"/>
    <n v="51"/>
    <s v="Multnomah County"/>
    <n v="30"/>
    <n v="45"/>
    <n v="2550"/>
    <n v="31421"/>
    <n v="58245"/>
    <n v="2012193"/>
    <n v="341014"/>
    <n v="687618"/>
    <n v="28912452"/>
    <n v="24005"/>
    <x v="193"/>
    <n v="41051"/>
    <n v="0"/>
    <n v="1"/>
  </r>
  <r>
    <x v="1"/>
    <n v="24"/>
    <x v="17"/>
    <n v="27"/>
    <x v="178"/>
    <n v="41"/>
    <s v="Oregon"/>
    <n v="51"/>
    <s v="Multnomah County"/>
    <n v="23"/>
    <n v="32"/>
    <n v="1835"/>
    <n v="15003"/>
    <n v="27641"/>
    <n v="1356782"/>
    <n v="125460"/>
    <n v="282333"/>
    <n v="15294755"/>
    <n v="24027"/>
    <x v="194"/>
    <n v="41051"/>
    <n v="0"/>
    <n v="1"/>
  </r>
  <r>
    <x v="1"/>
    <n v="24"/>
    <x v="17"/>
    <n v="31"/>
    <x v="74"/>
    <n v="41"/>
    <s v="Oregon"/>
    <n v="51"/>
    <s v="Multnomah County"/>
    <n v="61"/>
    <n v="95"/>
    <n v="4893"/>
    <n v="39908"/>
    <n v="71055"/>
    <n v="3416381"/>
    <n v="434566"/>
    <n v="911924"/>
    <n v="52502284"/>
    <n v="24031"/>
    <x v="76"/>
    <n v="41051"/>
    <n v="0"/>
    <n v="1"/>
  </r>
  <r>
    <x v="1"/>
    <n v="24"/>
    <x v="17"/>
    <n v="510"/>
    <x v="75"/>
    <n v="41"/>
    <s v="Oregon"/>
    <n v="51"/>
    <s v="Multnomah County"/>
    <n v="56"/>
    <n v="85"/>
    <n v="4212"/>
    <n v="28749"/>
    <n v="51682"/>
    <n v="1757839"/>
    <n v="215639"/>
    <n v="405342"/>
    <n v="12766432"/>
    <n v="24510"/>
    <x v="77"/>
    <n v="41051"/>
    <n v="0"/>
    <n v="1"/>
  </r>
  <r>
    <x v="1"/>
    <n v="25"/>
    <x v="18"/>
    <n v="15"/>
    <x v="77"/>
    <n v="41"/>
    <s v="Oregon"/>
    <n v="51"/>
    <s v="Multnomah County"/>
    <n v="29"/>
    <n v="42"/>
    <n v="1356"/>
    <n v="6074"/>
    <n v="9133"/>
    <n v="327879"/>
    <n v="62117"/>
    <n v="115639"/>
    <n v="4739379"/>
    <n v="25015"/>
    <x v="79"/>
    <n v="41051"/>
    <n v="0"/>
    <n v="1"/>
  </r>
  <r>
    <x v="1"/>
    <n v="25"/>
    <x v="18"/>
    <n v="17"/>
    <x v="78"/>
    <n v="41"/>
    <s v="Oregon"/>
    <n v="51"/>
    <s v="Multnomah County"/>
    <n v="160"/>
    <n v="222"/>
    <n v="15292"/>
    <n v="63019"/>
    <n v="101843"/>
    <n v="5912720"/>
    <n v="669369"/>
    <n v="1332324"/>
    <n v="84955856"/>
    <n v="25017"/>
    <x v="80"/>
    <n v="41051"/>
    <n v="0"/>
    <n v="1"/>
  </r>
  <r>
    <x v="1"/>
    <n v="25"/>
    <x v="18"/>
    <n v="21"/>
    <x v="79"/>
    <n v="41"/>
    <s v="Oregon"/>
    <n v="51"/>
    <s v="Multnomah County"/>
    <n v="52"/>
    <n v="74"/>
    <n v="5075"/>
    <n v="30143"/>
    <n v="49816"/>
    <n v="2943786"/>
    <n v="291716"/>
    <n v="603297"/>
    <n v="41752676"/>
    <n v="25021"/>
    <x v="81"/>
    <n v="41051"/>
    <n v="0"/>
    <n v="1"/>
  </r>
  <r>
    <x v="1"/>
    <n v="25"/>
    <x v="18"/>
    <n v="25"/>
    <x v="80"/>
    <n v="41"/>
    <s v="Oregon"/>
    <n v="51"/>
    <s v="Multnomah County"/>
    <n v="118"/>
    <n v="148"/>
    <n v="10323"/>
    <n v="47701"/>
    <n v="71698"/>
    <n v="4114664"/>
    <n v="325102"/>
    <n v="553146"/>
    <n v="32640530"/>
    <n v="25025"/>
    <x v="82"/>
    <n v="41051"/>
    <n v="0"/>
    <n v="1"/>
  </r>
  <r>
    <x v="1"/>
    <n v="25"/>
    <x v="18"/>
    <n v="27"/>
    <x v="179"/>
    <n v="41"/>
    <s v="Oregon"/>
    <n v="51"/>
    <s v="Multnomah County"/>
    <n v="26"/>
    <n v="38"/>
    <n v="1484"/>
    <n v="19013"/>
    <n v="32885"/>
    <n v="1428181"/>
    <n v="330335"/>
    <n v="677254"/>
    <n v="27106486"/>
    <n v="25027"/>
    <x v="195"/>
    <n v="41051"/>
    <n v="0"/>
    <n v="1"/>
  </r>
  <r>
    <x v="1"/>
    <n v="26"/>
    <x v="19"/>
    <n v="65"/>
    <x v="180"/>
    <n v="41"/>
    <s v="Oregon"/>
    <n v="51"/>
    <s v="Multnomah County"/>
    <n v="23"/>
    <n v="29"/>
    <n v="1250"/>
    <n v="11766"/>
    <n v="20516"/>
    <n v="602751"/>
    <n v="103687"/>
    <n v="204958"/>
    <n v="6746943"/>
    <n v="26065"/>
    <x v="196"/>
    <n v="41051"/>
    <n v="0"/>
    <n v="1"/>
  </r>
  <r>
    <x v="1"/>
    <n v="26"/>
    <x v="19"/>
    <n v="81"/>
    <x v="81"/>
    <n v="41"/>
    <s v="Oregon"/>
    <n v="51"/>
    <s v="Multnomah County"/>
    <n v="38"/>
    <n v="45"/>
    <n v="2224"/>
    <n v="18367"/>
    <n v="34593"/>
    <n v="1022159"/>
    <n v="252713"/>
    <n v="543596"/>
    <n v="18768868"/>
    <n v="26081"/>
    <x v="83"/>
    <n v="41051"/>
    <n v="0"/>
    <n v="1"/>
  </r>
  <r>
    <x v="1"/>
    <n v="26"/>
    <x v="19"/>
    <n v="125"/>
    <x v="82"/>
    <n v="41"/>
    <s v="Oregon"/>
    <n v="51"/>
    <s v="Multnomah County"/>
    <n v="58"/>
    <n v="72"/>
    <n v="3473"/>
    <n v="42258"/>
    <n v="75278"/>
    <n v="3125457"/>
    <n v="520790"/>
    <n v="1070551"/>
    <n v="53341408"/>
    <n v="26125"/>
    <x v="84"/>
    <n v="41051"/>
    <n v="0"/>
    <n v="1"/>
  </r>
  <r>
    <x v="1"/>
    <n v="26"/>
    <x v="19"/>
    <n v="161"/>
    <x v="83"/>
    <n v="41"/>
    <s v="Oregon"/>
    <n v="51"/>
    <s v="Multnomah County"/>
    <n v="56"/>
    <n v="87"/>
    <n v="4278"/>
    <n v="16526"/>
    <n v="26969"/>
    <n v="1182795"/>
    <n v="138446"/>
    <n v="274876"/>
    <n v="12667087"/>
    <n v="26161"/>
    <x v="85"/>
    <n v="41051"/>
    <n v="0"/>
    <n v="1"/>
  </r>
  <r>
    <x v="1"/>
    <n v="26"/>
    <x v="19"/>
    <n v="163"/>
    <x v="84"/>
    <n v="41"/>
    <s v="Oregon"/>
    <n v="51"/>
    <s v="Multnomah County"/>
    <n v="32"/>
    <n v="40"/>
    <n v="2419"/>
    <n v="40323"/>
    <n v="75016"/>
    <n v="2303993"/>
    <n v="646587"/>
    <n v="1337320"/>
    <n v="38796320"/>
    <n v="26163"/>
    <x v="86"/>
    <n v="41051"/>
    <n v="0"/>
    <n v="1"/>
  </r>
  <r>
    <x v="1"/>
    <n v="27"/>
    <x v="20"/>
    <n v="53"/>
    <x v="85"/>
    <n v="41"/>
    <s v="Oregon"/>
    <n v="51"/>
    <s v="Multnomah County"/>
    <n v="174"/>
    <n v="228"/>
    <n v="10037"/>
    <n v="52206"/>
    <n v="90484"/>
    <n v="3721094"/>
    <n v="535402"/>
    <n v="1060971"/>
    <n v="55136128"/>
    <n v="27053"/>
    <x v="87"/>
    <n v="41051"/>
    <n v="0"/>
    <n v="1"/>
  </r>
  <r>
    <x v="1"/>
    <n v="27"/>
    <x v="20"/>
    <n v="123"/>
    <x v="86"/>
    <n v="41"/>
    <s v="Oregon"/>
    <n v="51"/>
    <s v="Multnomah County"/>
    <n v="57"/>
    <n v="79"/>
    <n v="2883"/>
    <n v="28102"/>
    <n v="49171"/>
    <n v="1652500"/>
    <n v="224583"/>
    <n v="447896"/>
    <n v="16714578"/>
    <n v="27123"/>
    <x v="88"/>
    <n v="41051"/>
    <n v="0"/>
    <n v="1"/>
  </r>
  <r>
    <x v="1"/>
    <n v="29"/>
    <x v="21"/>
    <n v="77"/>
    <x v="181"/>
    <n v="41"/>
    <s v="Oregon"/>
    <n v="51"/>
    <s v="Multnomah County"/>
    <n v="30"/>
    <n v="32"/>
    <n v="867"/>
    <n v="10455"/>
    <n v="19806"/>
    <n v="487563"/>
    <n v="107843"/>
    <n v="218159"/>
    <n v="6880096"/>
    <n v="29077"/>
    <x v="197"/>
    <n v="41051"/>
    <n v="0"/>
    <n v="1"/>
  </r>
  <r>
    <x v="1"/>
    <n v="29"/>
    <x v="21"/>
    <n v="95"/>
    <x v="87"/>
    <n v="41"/>
    <s v="Oregon"/>
    <n v="51"/>
    <s v="Multnomah County"/>
    <n v="35"/>
    <n v="47"/>
    <n v="1600"/>
    <n v="24398"/>
    <n v="43771"/>
    <n v="1463434"/>
    <n v="269922"/>
    <n v="541516"/>
    <n v="17104052"/>
    <n v="29095"/>
    <x v="89"/>
    <n v="41051"/>
    <n v="0"/>
    <n v="1"/>
  </r>
  <r>
    <x v="1"/>
    <n v="29"/>
    <x v="21"/>
    <n v="189"/>
    <x v="88"/>
    <n v="41"/>
    <s v="Oregon"/>
    <n v="51"/>
    <s v="Multnomah County"/>
    <n v="49"/>
    <n v="74"/>
    <n v="2206"/>
    <n v="34676"/>
    <n v="63880"/>
    <n v="2393031"/>
    <n v="413880"/>
    <n v="845120"/>
    <n v="40318360"/>
    <n v="29189"/>
    <x v="90"/>
    <n v="41051"/>
    <n v="0"/>
    <n v="1"/>
  </r>
  <r>
    <x v="1"/>
    <n v="29"/>
    <x v="21"/>
    <n v="510"/>
    <x v="89"/>
    <n v="41"/>
    <s v="Oregon"/>
    <n v="51"/>
    <s v="Multnomah County"/>
    <n v="55"/>
    <n v="69"/>
    <n v="2690"/>
    <n v="19231"/>
    <n v="33767"/>
    <n v="1015923"/>
    <n v="120128"/>
    <n v="214992"/>
    <n v="6314976"/>
    <n v="29510"/>
    <x v="91"/>
    <n v="41051"/>
    <n v="0"/>
    <n v="1"/>
  </r>
  <r>
    <x v="1"/>
    <n v="30"/>
    <x v="22"/>
    <n v="31"/>
    <x v="90"/>
    <n v="41"/>
    <s v="Oregon"/>
    <n v="51"/>
    <s v="Multnomah County"/>
    <n v="49"/>
    <n v="59"/>
    <n v="1614"/>
    <n v="4945"/>
    <n v="8002"/>
    <n v="233991"/>
    <n v="44561"/>
    <n v="85646"/>
    <n v="3350411"/>
    <n v="30031"/>
    <x v="92"/>
    <n v="41051"/>
    <n v="0"/>
    <n v="1"/>
  </r>
  <r>
    <x v="1"/>
    <n v="30"/>
    <x v="22"/>
    <n v="63"/>
    <x v="92"/>
    <n v="41"/>
    <s v="Oregon"/>
    <n v="51"/>
    <s v="Multnomah County"/>
    <n v="73"/>
    <n v="93"/>
    <n v="2358"/>
    <n v="4794"/>
    <n v="7961"/>
    <n v="198743"/>
    <n v="47568"/>
    <n v="89143"/>
    <n v="3156952"/>
    <n v="30063"/>
    <x v="94"/>
    <n v="41051"/>
    <n v="0"/>
    <n v="1"/>
  </r>
  <r>
    <x v="1"/>
    <n v="30"/>
    <x v="22"/>
    <n v="111"/>
    <x v="182"/>
    <n v="41"/>
    <s v="Oregon"/>
    <n v="51"/>
    <s v="Multnomah County"/>
    <n v="21"/>
    <n v="32"/>
    <n v="890"/>
    <n v="4813"/>
    <n v="8998"/>
    <n v="261881"/>
    <n v="64791"/>
    <n v="131215"/>
    <n v="4491576"/>
    <n v="30111"/>
    <x v="198"/>
    <n v="41051"/>
    <n v="0"/>
    <n v="1"/>
  </r>
  <r>
    <x v="1"/>
    <n v="31"/>
    <x v="23"/>
    <n v="55"/>
    <x v="93"/>
    <n v="41"/>
    <s v="Oregon"/>
    <n v="51"/>
    <s v="Multnomah County"/>
    <n v="43"/>
    <n v="55"/>
    <n v="2798"/>
    <n v="18764"/>
    <n v="36248"/>
    <n v="1270322"/>
    <n v="221613"/>
    <n v="477504"/>
    <n v="18322386"/>
    <n v="31055"/>
    <x v="95"/>
    <n v="41051"/>
    <n v="0"/>
    <n v="1"/>
  </r>
  <r>
    <x v="1"/>
    <n v="31"/>
    <x v="23"/>
    <n v="109"/>
    <x v="183"/>
    <n v="41"/>
    <s v="Oregon"/>
    <n v="51"/>
    <s v="Multnomah County"/>
    <n v="24"/>
    <n v="34"/>
    <n v="1019"/>
    <n v="9097"/>
    <n v="16394"/>
    <n v="511069"/>
    <n v="120612"/>
    <n v="251535"/>
    <n v="8644531"/>
    <n v="31109"/>
    <x v="199"/>
    <n v="41051"/>
    <n v="0"/>
    <n v="1"/>
  </r>
  <r>
    <x v="1"/>
    <n v="32"/>
    <x v="24"/>
    <n v="3"/>
    <x v="94"/>
    <n v="41"/>
    <s v="Oregon"/>
    <n v="51"/>
    <s v="Multnomah County"/>
    <n v="256"/>
    <n v="400"/>
    <n v="9619"/>
    <n v="46663"/>
    <n v="89186"/>
    <n v="2661966"/>
    <n v="813305"/>
    <n v="1713763"/>
    <n v="57730568"/>
    <n v="32003"/>
    <x v="96"/>
    <n v="41051"/>
    <n v="0"/>
    <n v="1"/>
  </r>
  <r>
    <x v="1"/>
    <n v="32"/>
    <x v="24"/>
    <n v="31"/>
    <x v="95"/>
    <n v="41"/>
    <s v="Oregon"/>
    <n v="51"/>
    <s v="Multnomah County"/>
    <n v="87"/>
    <n v="132"/>
    <n v="5782"/>
    <n v="12235"/>
    <n v="22204"/>
    <n v="765541"/>
    <n v="183059"/>
    <n v="368204"/>
    <n v="14938488"/>
    <n v="32031"/>
    <x v="97"/>
    <n v="41051"/>
    <n v="0"/>
    <n v="1"/>
  </r>
  <r>
    <x v="1"/>
    <n v="33"/>
    <x v="42"/>
    <n v="11"/>
    <x v="49"/>
    <n v="41"/>
    <s v="Oregon"/>
    <n v="51"/>
    <s v="Multnomah County"/>
    <n v="22"/>
    <n v="30"/>
    <n v="1116"/>
    <n v="14652"/>
    <n v="25118"/>
    <n v="999028"/>
    <n v="176649"/>
    <n v="351269"/>
    <n v="14868941"/>
    <n v="33011"/>
    <x v="200"/>
    <n v="41051"/>
    <n v="0"/>
    <n v="1"/>
  </r>
  <r>
    <x v="1"/>
    <n v="34"/>
    <x v="25"/>
    <n v="3"/>
    <x v="184"/>
    <n v="41"/>
    <s v="Oregon"/>
    <n v="51"/>
    <s v="Multnomah County"/>
    <n v="22"/>
    <n v="27"/>
    <n v="1175"/>
    <n v="27448"/>
    <n v="48704"/>
    <n v="2509892"/>
    <n v="385535"/>
    <n v="816899"/>
    <n v="47799008"/>
    <n v="34003"/>
    <x v="201"/>
    <n v="41051"/>
    <n v="0"/>
    <n v="1"/>
  </r>
  <r>
    <x v="1"/>
    <n v="34"/>
    <x v="25"/>
    <n v="13"/>
    <x v="76"/>
    <n v="41"/>
    <s v="Oregon"/>
    <n v="51"/>
    <s v="Multnomah County"/>
    <n v="20"/>
    <n v="32"/>
    <n v="1850"/>
    <n v="24319"/>
    <n v="44961"/>
    <n v="2043302"/>
    <n v="302998"/>
    <n v="629469"/>
    <n v="29838732"/>
    <n v="34013"/>
    <x v="202"/>
    <n v="41051"/>
    <n v="0"/>
    <n v="1"/>
  </r>
  <r>
    <x v="1"/>
    <n v="34"/>
    <x v="25"/>
    <n v="17"/>
    <x v="96"/>
    <n v="41"/>
    <s v="Oregon"/>
    <n v="51"/>
    <s v="Multnomah County"/>
    <n v="38"/>
    <n v="56"/>
    <n v="3543"/>
    <n v="33711"/>
    <n v="61226"/>
    <n v="3372142"/>
    <n v="283812"/>
    <n v="540727"/>
    <n v="22333456"/>
    <n v="34017"/>
    <x v="98"/>
    <n v="41051"/>
    <n v="0"/>
    <n v="1"/>
  </r>
  <r>
    <x v="1"/>
    <n v="35"/>
    <x v="26"/>
    <n v="1"/>
    <x v="97"/>
    <n v="41"/>
    <s v="Oregon"/>
    <n v="51"/>
    <s v="Multnomah County"/>
    <n v="86"/>
    <n v="125"/>
    <n v="4592"/>
    <n v="18732"/>
    <n v="36013"/>
    <n v="1064008"/>
    <n v="257588"/>
    <n v="516210"/>
    <n v="16006309"/>
    <n v="35001"/>
    <x v="99"/>
    <n v="41051"/>
    <n v="0"/>
    <n v="1"/>
  </r>
  <r>
    <x v="1"/>
    <n v="35"/>
    <x v="26"/>
    <n v="49"/>
    <x v="98"/>
    <n v="41"/>
    <s v="Oregon"/>
    <n v="51"/>
    <s v="Multnomah County"/>
    <n v="37"/>
    <n v="51"/>
    <n v="2545"/>
    <n v="4816"/>
    <n v="8304"/>
    <n v="329533"/>
    <n v="63604"/>
    <n v="119435"/>
    <n v="4785782"/>
    <n v="35049"/>
    <x v="100"/>
    <n v="41051"/>
    <n v="0"/>
    <n v="1"/>
  </r>
  <r>
    <x v="1"/>
    <n v="36"/>
    <x v="27"/>
    <n v="29"/>
    <x v="99"/>
    <n v="41"/>
    <s v="Oregon"/>
    <n v="51"/>
    <s v="Multnomah County"/>
    <n v="29"/>
    <n v="34"/>
    <n v="1168"/>
    <n v="15105"/>
    <n v="25887"/>
    <n v="895705"/>
    <n v="374847"/>
    <n v="732856"/>
    <n v="25767212"/>
    <n v="36029"/>
    <x v="101"/>
    <n v="41051"/>
    <n v="0"/>
    <n v="1"/>
  </r>
  <r>
    <x v="1"/>
    <n v="36"/>
    <x v="27"/>
    <n v="47"/>
    <x v="100"/>
    <n v="41"/>
    <s v="Oregon"/>
    <n v="51"/>
    <s v="Multnomah County"/>
    <n v="363"/>
    <n v="492"/>
    <n v="32353"/>
    <n v="88085"/>
    <n v="156155"/>
    <n v="6030332"/>
    <n v="1038139"/>
    <n v="2050056"/>
    <n v="66662240"/>
    <n v="36047"/>
    <x v="102"/>
    <n v="41051"/>
    <n v="0"/>
    <n v="1"/>
  </r>
  <r>
    <x v="1"/>
    <n v="36"/>
    <x v="27"/>
    <n v="55"/>
    <x v="69"/>
    <n v="41"/>
    <s v="Oregon"/>
    <n v="51"/>
    <s v="Multnomah County"/>
    <n v="37"/>
    <n v="46"/>
    <n v="1782"/>
    <n v="15894"/>
    <n v="26894"/>
    <n v="959970"/>
    <n v="306057"/>
    <n v="601052"/>
    <n v="21226064"/>
    <n v="36055"/>
    <x v="103"/>
    <n v="41051"/>
    <n v="0"/>
    <n v="1"/>
  </r>
  <r>
    <x v="1"/>
    <n v="36"/>
    <x v="27"/>
    <n v="59"/>
    <x v="101"/>
    <n v="41"/>
    <s v="Oregon"/>
    <n v="51"/>
    <s v="Multnomah County"/>
    <n v="27"/>
    <n v="36"/>
    <n v="1885"/>
    <n v="35398"/>
    <n v="61494"/>
    <n v="3462553"/>
    <n v="593560"/>
    <n v="1243210"/>
    <n v="76084712"/>
    <n v="36059"/>
    <x v="104"/>
    <n v="41051"/>
    <n v="0"/>
    <n v="1"/>
  </r>
  <r>
    <x v="1"/>
    <n v="36"/>
    <x v="27"/>
    <n v="61"/>
    <x v="102"/>
    <n v="41"/>
    <s v="Oregon"/>
    <n v="51"/>
    <s v="Multnomah County"/>
    <n v="245"/>
    <n v="327"/>
    <n v="30888"/>
    <n v="99019"/>
    <n v="149686"/>
    <n v="13334116"/>
    <n v="772376"/>
    <n v="1253044"/>
    <n v="163599680"/>
    <n v="36061"/>
    <x v="105"/>
    <n v="41051"/>
    <n v="0"/>
    <n v="1"/>
  </r>
  <r>
    <x v="1"/>
    <n v="36"/>
    <x v="27"/>
    <n v="67"/>
    <x v="185"/>
    <n v="41"/>
    <s v="Oregon"/>
    <n v="51"/>
    <s v="Multnomah County"/>
    <n v="25"/>
    <n v="34"/>
    <n v="1369"/>
    <n v="11803"/>
    <n v="20108"/>
    <n v="696822"/>
    <n v="188688"/>
    <n v="375288"/>
    <n v="13470551"/>
    <n v="36067"/>
    <x v="203"/>
    <n v="41051"/>
    <n v="0"/>
    <n v="1"/>
  </r>
  <r>
    <x v="1"/>
    <n v="36"/>
    <x v="27"/>
    <n v="81"/>
    <x v="103"/>
    <n v="41"/>
    <s v="Oregon"/>
    <n v="51"/>
    <s v="Multnomah County"/>
    <n v="82"/>
    <n v="105"/>
    <n v="4714"/>
    <n v="71689"/>
    <n v="131057"/>
    <n v="4573669"/>
    <n v="981976"/>
    <n v="1927284"/>
    <n v="55176336"/>
    <n v="36081"/>
    <x v="106"/>
    <n v="41051"/>
    <n v="0"/>
    <n v="1"/>
  </r>
  <r>
    <x v="1"/>
    <n v="36"/>
    <x v="27"/>
    <n v="103"/>
    <x v="80"/>
    <n v="41"/>
    <s v="Oregon"/>
    <n v="51"/>
    <s v="Multnomah County"/>
    <n v="31"/>
    <n v="42"/>
    <n v="2562"/>
    <n v="30670"/>
    <n v="52421"/>
    <n v="2501636"/>
    <n v="644159"/>
    <n v="1320986"/>
    <n v="64218344"/>
    <n v="36103"/>
    <x v="107"/>
    <n v="41051"/>
    <n v="0"/>
    <n v="1"/>
  </r>
  <r>
    <x v="1"/>
    <n v="36"/>
    <x v="27"/>
    <n v="119"/>
    <x v="104"/>
    <n v="41"/>
    <s v="Oregon"/>
    <n v="51"/>
    <s v="Multnomah County"/>
    <n v="42"/>
    <n v="66"/>
    <n v="4550"/>
    <n v="27410"/>
    <n v="49765"/>
    <n v="3437171"/>
    <n v="402287"/>
    <n v="838674"/>
    <n v="65402076"/>
    <n v="36119"/>
    <x v="108"/>
    <n v="41051"/>
    <n v="0"/>
    <n v="1"/>
  </r>
  <r>
    <x v="1"/>
    <n v="37"/>
    <x v="28"/>
    <n v="21"/>
    <x v="105"/>
    <n v="41"/>
    <s v="Oregon"/>
    <n v="51"/>
    <s v="Multnomah County"/>
    <n v="43"/>
    <n v="53"/>
    <n v="1514"/>
    <n v="9815"/>
    <n v="16609"/>
    <n v="473941"/>
    <n v="104226"/>
    <n v="201566"/>
    <n v="6625044"/>
    <n v="37021"/>
    <x v="109"/>
    <n v="41051"/>
    <n v="0"/>
    <n v="1"/>
  </r>
  <r>
    <x v="1"/>
    <n v="37"/>
    <x v="28"/>
    <n v="63"/>
    <x v="186"/>
    <n v="41"/>
    <s v="Oregon"/>
    <n v="51"/>
    <s v="Multnomah County"/>
    <n v="28"/>
    <n v="42"/>
    <n v="1781"/>
    <n v="16493"/>
    <n v="29328"/>
    <n v="1041322"/>
    <n v="118471"/>
    <n v="238427"/>
    <n v="8437622"/>
    <n v="37063"/>
    <x v="204"/>
    <n v="41051"/>
    <n v="0"/>
    <n v="1"/>
  </r>
  <r>
    <x v="1"/>
    <n v="37"/>
    <x v="28"/>
    <n v="119"/>
    <x v="106"/>
    <n v="41"/>
    <s v="Oregon"/>
    <n v="51"/>
    <s v="Multnomah County"/>
    <n v="51"/>
    <n v="68"/>
    <n v="3226"/>
    <n v="42918"/>
    <n v="81752"/>
    <n v="3149456"/>
    <n v="402595"/>
    <n v="843875"/>
    <n v="36448680"/>
    <n v="37119"/>
    <x v="110"/>
    <n v="41051"/>
    <n v="0"/>
    <n v="1"/>
  </r>
  <r>
    <x v="1"/>
    <n v="37"/>
    <x v="28"/>
    <n v="135"/>
    <x v="18"/>
    <n v="41"/>
    <s v="Oregon"/>
    <n v="51"/>
    <s v="Multnomah County"/>
    <n v="28"/>
    <n v="47"/>
    <n v="2160"/>
    <n v="7784"/>
    <n v="13290"/>
    <n v="532048"/>
    <n v="50663"/>
    <n v="106948"/>
    <n v="5328361"/>
    <n v="37135"/>
    <x v="111"/>
    <n v="41051"/>
    <n v="0"/>
    <n v="1"/>
  </r>
  <r>
    <x v="1"/>
    <n v="37"/>
    <x v="28"/>
    <n v="183"/>
    <x v="107"/>
    <n v="41"/>
    <s v="Oregon"/>
    <n v="51"/>
    <s v="Multnomah County"/>
    <n v="61"/>
    <n v="99"/>
    <n v="3563"/>
    <n v="37646"/>
    <n v="69962"/>
    <n v="2570917"/>
    <n v="398545"/>
    <n v="877129"/>
    <n v="37521712"/>
    <n v="37183"/>
    <x v="112"/>
    <n v="41051"/>
    <n v="0"/>
    <n v="1"/>
  </r>
  <r>
    <x v="1"/>
    <n v="38"/>
    <x v="43"/>
    <n v="17"/>
    <x v="187"/>
    <n v="41"/>
    <s v="Oregon"/>
    <n v="51"/>
    <s v="Multnomah County"/>
    <n v="22"/>
    <n v="30"/>
    <n v="1021"/>
    <n v="7763"/>
    <n v="13395"/>
    <n v="408002"/>
    <n v="73118"/>
    <n v="145193"/>
    <n v="6077422"/>
    <n v="38017"/>
    <x v="205"/>
    <n v="41051"/>
    <n v="0"/>
    <n v="1"/>
  </r>
  <r>
    <x v="1"/>
    <n v="39"/>
    <x v="29"/>
    <n v="35"/>
    <x v="108"/>
    <n v="41"/>
    <s v="Oregon"/>
    <n v="51"/>
    <s v="Multnomah County"/>
    <n v="64"/>
    <n v="89"/>
    <n v="2599"/>
    <n v="31426"/>
    <n v="55315"/>
    <n v="2112843"/>
    <n v="518161"/>
    <n v="987620"/>
    <n v="35594136"/>
    <n v="39035"/>
    <x v="113"/>
    <n v="41051"/>
    <n v="0"/>
    <n v="1"/>
  </r>
  <r>
    <x v="1"/>
    <n v="39"/>
    <x v="29"/>
    <n v="49"/>
    <x v="109"/>
    <n v="41"/>
    <s v="Oregon"/>
    <n v="51"/>
    <s v="Multnomah County"/>
    <n v="85"/>
    <n v="123"/>
    <n v="6132"/>
    <n v="42212"/>
    <n v="77292"/>
    <n v="2703832"/>
    <n v="518002"/>
    <n v="1022824"/>
    <n v="36141040"/>
    <n v="39049"/>
    <x v="114"/>
    <n v="41051"/>
    <n v="0"/>
    <n v="1"/>
  </r>
  <r>
    <x v="1"/>
    <n v="39"/>
    <x v="29"/>
    <n v="61"/>
    <x v="110"/>
    <n v="41"/>
    <s v="Oregon"/>
    <n v="51"/>
    <s v="Multnomah County"/>
    <n v="49"/>
    <n v="60"/>
    <n v="3726"/>
    <n v="24930"/>
    <n v="44345"/>
    <n v="1745822"/>
    <n v="332452"/>
    <n v="656704"/>
    <n v="26749742"/>
    <n v="39061"/>
    <x v="115"/>
    <n v="41051"/>
    <n v="0"/>
    <n v="1"/>
  </r>
  <r>
    <x v="1"/>
    <n v="40"/>
    <x v="30"/>
    <n v="27"/>
    <x v="188"/>
    <n v="41"/>
    <s v="Oregon"/>
    <n v="51"/>
    <s v="Multnomah County"/>
    <n v="20"/>
    <n v="32"/>
    <n v="805"/>
    <n v="11733"/>
    <n v="22623"/>
    <n v="688617"/>
    <n v="99852"/>
    <n v="213460"/>
    <n v="7003499"/>
    <n v="40027"/>
    <x v="206"/>
    <n v="41051"/>
    <n v="0"/>
    <n v="1"/>
  </r>
  <r>
    <x v="1"/>
    <n v="40"/>
    <x v="30"/>
    <n v="109"/>
    <x v="111"/>
    <n v="41"/>
    <s v="Oregon"/>
    <n v="51"/>
    <s v="Multnomah County"/>
    <n v="33"/>
    <n v="53"/>
    <n v="1391"/>
    <n v="25661"/>
    <n v="51963"/>
    <n v="1469455"/>
    <n v="279998"/>
    <n v="601275"/>
    <n v="20241868"/>
    <n v="40109"/>
    <x v="116"/>
    <n v="41051"/>
    <n v="0"/>
    <n v="1"/>
  </r>
  <r>
    <x v="1"/>
    <n v="40"/>
    <x v="30"/>
    <n v="143"/>
    <x v="112"/>
    <n v="41"/>
    <s v="Oregon"/>
    <n v="51"/>
    <s v="Multnomah County"/>
    <n v="43"/>
    <n v="56"/>
    <n v="2339"/>
    <n v="19777"/>
    <n v="40686"/>
    <n v="1230360"/>
    <n v="233925"/>
    <n v="513670"/>
    <n v="17594004"/>
    <n v="40143"/>
    <x v="117"/>
    <n v="41051"/>
    <n v="0"/>
    <n v="1"/>
  </r>
  <r>
    <x v="1"/>
    <n v="41"/>
    <x v="31"/>
    <n v="3"/>
    <x v="113"/>
    <n v="41"/>
    <s v="Oregon"/>
    <n v="51"/>
    <s v="Multnomah County"/>
    <n v="356"/>
    <n v="463"/>
    <n v="13932"/>
    <n v="4684"/>
    <n v="7532"/>
    <n v="240284"/>
    <n v="32394"/>
    <n v="63745"/>
    <n v="2602855"/>
    <n v="41003"/>
    <x v="118"/>
    <n v="41051"/>
    <n v="0"/>
    <n v="1"/>
  </r>
  <r>
    <x v="1"/>
    <n v="41"/>
    <x v="31"/>
    <n v="5"/>
    <x v="114"/>
    <n v="41"/>
    <s v="Oregon"/>
    <n v="51"/>
    <s v="Multnomah County"/>
    <n v="4819"/>
    <n v="7811"/>
    <n v="276742"/>
    <n v="17225"/>
    <n v="31063"/>
    <n v="1158092"/>
    <n v="160303"/>
    <n v="338243"/>
    <n v="15078514"/>
    <n v="41005"/>
    <x v="119"/>
    <n v="41051"/>
    <n v="0"/>
    <n v="1"/>
  </r>
  <r>
    <x v="1"/>
    <n v="41"/>
    <x v="31"/>
    <n v="7"/>
    <x v="115"/>
    <n v="41"/>
    <s v="Oregon"/>
    <n v="51"/>
    <s v="Multnomah County"/>
    <n v="92"/>
    <n v="141"/>
    <n v="4290"/>
    <n v="1580"/>
    <n v="3001"/>
    <n v="74090"/>
    <n v="14901"/>
    <n v="29614"/>
    <n v="863759"/>
    <n v="41007"/>
    <x v="120"/>
    <n v="41051"/>
    <n v="0"/>
    <n v="1"/>
  </r>
  <r>
    <x v="1"/>
    <n v="41"/>
    <x v="31"/>
    <n v="9"/>
    <x v="116"/>
    <n v="41"/>
    <s v="Oregon"/>
    <n v="51"/>
    <s v="Multnomah County"/>
    <n v="196"/>
    <n v="290"/>
    <n v="8997"/>
    <n v="1588"/>
    <n v="2999"/>
    <n v="86526"/>
    <n v="18768"/>
    <n v="39687"/>
    <n v="1227591"/>
    <n v="41009"/>
    <x v="121"/>
    <n v="41051"/>
    <n v="0"/>
    <n v="1"/>
  </r>
  <r>
    <x v="1"/>
    <n v="41"/>
    <x v="31"/>
    <n v="11"/>
    <x v="117"/>
    <n v="41"/>
    <s v="Oregon"/>
    <n v="51"/>
    <s v="Multnomah County"/>
    <n v="41"/>
    <n v="58"/>
    <n v="1457"/>
    <n v="1748"/>
    <n v="3255"/>
    <n v="77627"/>
    <n v="22603"/>
    <n v="44841"/>
    <n v="1165311"/>
    <n v="41011"/>
    <x v="122"/>
    <n v="41051"/>
    <n v="0"/>
    <n v="1"/>
  </r>
  <r>
    <x v="1"/>
    <n v="41"/>
    <x v="31"/>
    <n v="17"/>
    <x v="118"/>
    <n v="41"/>
    <s v="Oregon"/>
    <n v="51"/>
    <s v="Multnomah County"/>
    <n v="313"/>
    <n v="421"/>
    <n v="14119"/>
    <n v="6463"/>
    <n v="11614"/>
    <n v="364169"/>
    <n v="72700"/>
    <n v="147220"/>
    <n v="5597894"/>
    <n v="41017"/>
    <x v="123"/>
    <n v="41051"/>
    <n v="0"/>
    <n v="1"/>
  </r>
  <r>
    <x v="1"/>
    <n v="41"/>
    <x v="31"/>
    <n v="19"/>
    <x v="93"/>
    <n v="41"/>
    <s v="Oregon"/>
    <n v="51"/>
    <s v="Multnomah County"/>
    <n v="69"/>
    <n v="105"/>
    <n v="3767"/>
    <n v="2560"/>
    <n v="4706"/>
    <n v="130655"/>
    <n v="37782"/>
    <n v="77561"/>
    <n v="2030804"/>
    <n v="41019"/>
    <x v="124"/>
    <n v="41051"/>
    <n v="0"/>
    <n v="1"/>
  </r>
  <r>
    <x v="1"/>
    <n v="41"/>
    <x v="31"/>
    <n v="27"/>
    <x v="119"/>
    <n v="41"/>
    <s v="Oregon"/>
    <n v="51"/>
    <s v="Multnomah County"/>
    <n v="97"/>
    <n v="148"/>
    <n v="6146"/>
    <n v="820"/>
    <n v="1520"/>
    <n v="46114"/>
    <n v="9582"/>
    <n v="21787"/>
    <n v="677691"/>
    <n v="41027"/>
    <x v="125"/>
    <n v="41051"/>
    <n v="0"/>
    <n v="1"/>
  </r>
  <r>
    <x v="1"/>
    <n v="41"/>
    <x v="31"/>
    <n v="29"/>
    <x v="87"/>
    <n v="41"/>
    <s v="Oregon"/>
    <n v="51"/>
    <s v="Multnomah County"/>
    <n v="233"/>
    <n v="313"/>
    <n v="12024"/>
    <n v="5425"/>
    <n v="9534"/>
    <n v="256774"/>
    <n v="82416"/>
    <n v="166701"/>
    <n v="5001004"/>
    <n v="41029"/>
    <x v="126"/>
    <n v="41051"/>
    <n v="0"/>
    <n v="1"/>
  </r>
  <r>
    <x v="1"/>
    <n v="41"/>
    <x v="31"/>
    <n v="31"/>
    <x v="42"/>
    <n v="41"/>
    <s v="Oregon"/>
    <n v="51"/>
    <s v="Multnomah County"/>
    <n v="22"/>
    <n v="35"/>
    <n v="1473"/>
    <n v="692"/>
    <n v="1332"/>
    <n v="30656"/>
    <n v="7570"/>
    <n v="16970"/>
    <n v="364679"/>
    <n v="41031"/>
    <x v="127"/>
    <n v="41051"/>
    <n v="0"/>
    <n v="1"/>
  </r>
  <r>
    <x v="1"/>
    <n v="41"/>
    <x v="31"/>
    <n v="33"/>
    <x v="120"/>
    <n v="41"/>
    <s v="Oregon"/>
    <n v="51"/>
    <s v="Multnomah County"/>
    <n v="54"/>
    <n v="90"/>
    <n v="1674"/>
    <n v="2245"/>
    <n v="4027"/>
    <n v="99617"/>
    <n v="30259"/>
    <n v="60835"/>
    <n v="1582523"/>
    <n v="41033"/>
    <x v="128"/>
    <n v="41051"/>
    <n v="0"/>
    <n v="1"/>
  </r>
  <r>
    <x v="1"/>
    <n v="41"/>
    <x v="31"/>
    <n v="35"/>
    <x v="121"/>
    <n v="41"/>
    <s v="Oregon"/>
    <n v="51"/>
    <s v="Multnomah County"/>
    <n v="46"/>
    <n v="68"/>
    <n v="1819"/>
    <n v="1855"/>
    <n v="3583"/>
    <n v="82855"/>
    <n v="23003"/>
    <n v="48386"/>
    <n v="1179991"/>
    <n v="41035"/>
    <x v="129"/>
    <n v="41051"/>
    <n v="0"/>
    <n v="1"/>
  </r>
  <r>
    <x v="1"/>
    <n v="41"/>
    <x v="31"/>
    <n v="39"/>
    <x v="122"/>
    <n v="41"/>
    <s v="Oregon"/>
    <n v="51"/>
    <s v="Multnomah County"/>
    <n v="874"/>
    <n v="1101"/>
    <n v="34347"/>
    <n v="9907"/>
    <n v="16324"/>
    <n v="492438"/>
    <n v="138133"/>
    <n v="268134"/>
    <n v="8937988"/>
    <n v="41039"/>
    <x v="130"/>
    <n v="41051"/>
    <n v="0"/>
    <n v="1"/>
  </r>
  <r>
    <x v="1"/>
    <n v="41"/>
    <x v="31"/>
    <n v="41"/>
    <x v="123"/>
    <n v="41"/>
    <s v="Oregon"/>
    <n v="51"/>
    <s v="Multnomah County"/>
    <n v="94"/>
    <n v="133"/>
    <n v="4354"/>
    <n v="1883"/>
    <n v="3334"/>
    <n v="88208"/>
    <n v="18201"/>
    <n v="34791"/>
    <n v="980819"/>
    <n v="41041"/>
    <x v="131"/>
    <n v="41051"/>
    <n v="0"/>
    <n v="1"/>
  </r>
  <r>
    <x v="1"/>
    <n v="41"/>
    <x v="31"/>
    <n v="43"/>
    <x v="124"/>
    <n v="41"/>
    <s v="Oregon"/>
    <n v="51"/>
    <s v="Multnomah County"/>
    <n v="118"/>
    <n v="158"/>
    <n v="4243"/>
    <n v="4015"/>
    <n v="7606"/>
    <n v="175511"/>
    <n v="44060"/>
    <n v="94075"/>
    <n v="2470706"/>
    <n v="41043"/>
    <x v="132"/>
    <n v="41051"/>
    <n v="0"/>
    <n v="1"/>
  </r>
  <r>
    <x v="1"/>
    <n v="41"/>
    <x v="31"/>
    <n v="47"/>
    <x v="68"/>
    <n v="41"/>
    <s v="Oregon"/>
    <n v="51"/>
    <s v="Multnomah County"/>
    <n v="629"/>
    <n v="966"/>
    <n v="29973"/>
    <n v="9353"/>
    <n v="18049"/>
    <n v="502946"/>
    <n v="119342"/>
    <n v="266995"/>
    <n v="7299647"/>
    <n v="41047"/>
    <x v="133"/>
    <n v="41051"/>
    <n v="0"/>
    <n v="1"/>
  </r>
  <r>
    <x v="1"/>
    <n v="41"/>
    <x v="31"/>
    <n v="53"/>
    <x v="70"/>
    <n v="41"/>
    <s v="Oregon"/>
    <n v="51"/>
    <s v="Multnomah County"/>
    <n v="131"/>
    <n v="206"/>
    <n v="6393"/>
    <n v="3697"/>
    <n v="7010"/>
    <n v="180868"/>
    <n v="28897"/>
    <n v="63801"/>
    <n v="1908700"/>
    <n v="41053"/>
    <x v="134"/>
    <n v="41051"/>
    <n v="0"/>
    <n v="1"/>
  </r>
  <r>
    <x v="1"/>
    <n v="41"/>
    <x v="31"/>
    <n v="57"/>
    <x v="125"/>
    <n v="41"/>
    <s v="Oregon"/>
    <n v="51"/>
    <s v="Multnomah County"/>
    <n v="69"/>
    <n v="105"/>
    <n v="2745"/>
    <n v="813"/>
    <n v="1484"/>
    <n v="38718"/>
    <n v="9950"/>
    <n v="20057"/>
    <n v="555639"/>
    <n v="41057"/>
    <x v="135"/>
    <n v="41051"/>
    <n v="0"/>
    <n v="1"/>
  </r>
  <r>
    <x v="1"/>
    <n v="41"/>
    <x v="31"/>
    <n v="59"/>
    <x v="126"/>
    <n v="41"/>
    <s v="Oregon"/>
    <n v="51"/>
    <s v="Multnomah County"/>
    <n v="44"/>
    <n v="71"/>
    <n v="1758"/>
    <n v="1871"/>
    <n v="3867"/>
    <n v="85070"/>
    <n v="26050"/>
    <n v="59628"/>
    <n v="1467995"/>
    <n v="41059"/>
    <x v="136"/>
    <n v="41051"/>
    <n v="0"/>
    <n v="1"/>
  </r>
  <r>
    <x v="1"/>
    <n v="41"/>
    <x v="31"/>
    <n v="61"/>
    <x v="189"/>
    <n v="41"/>
    <s v="Oregon"/>
    <n v="51"/>
    <s v="Multnomah County"/>
    <n v="32"/>
    <n v="45"/>
    <n v="1080"/>
    <n v="833"/>
    <n v="1487"/>
    <n v="35722"/>
    <n v="9467"/>
    <n v="20076"/>
    <n v="523382"/>
    <n v="41061"/>
    <x v="207"/>
    <n v="41051"/>
    <n v="0"/>
    <n v="1"/>
  </r>
  <r>
    <x v="1"/>
    <n v="41"/>
    <x v="31"/>
    <n v="65"/>
    <x v="127"/>
    <n v="41"/>
    <s v="Oregon"/>
    <n v="51"/>
    <s v="Multnomah County"/>
    <n v="51"/>
    <n v="84"/>
    <n v="2093"/>
    <n v="828"/>
    <n v="1633"/>
    <n v="36275"/>
    <n v="9403"/>
    <n v="20116"/>
    <n v="511535"/>
    <n v="41065"/>
    <x v="137"/>
    <n v="41051"/>
    <n v="0"/>
    <n v="1"/>
  </r>
  <r>
    <x v="1"/>
    <n v="41"/>
    <x v="31"/>
    <n v="67"/>
    <x v="128"/>
    <n v="41"/>
    <s v="Oregon"/>
    <n v="51"/>
    <s v="Multnomah County"/>
    <n v="5729"/>
    <n v="8355"/>
    <n v="388877"/>
    <n v="25518"/>
    <n v="46357"/>
    <n v="1877948"/>
    <n v="229183"/>
    <n v="492230"/>
    <n v="20749248"/>
    <n v="41067"/>
    <x v="138"/>
    <n v="41051"/>
    <n v="0"/>
    <n v="1"/>
  </r>
  <r>
    <x v="1"/>
    <n v="41"/>
    <x v="31"/>
    <n v="71"/>
    <x v="129"/>
    <n v="41"/>
    <s v="Oregon"/>
    <n v="51"/>
    <s v="Multnomah County"/>
    <n v="241"/>
    <n v="359"/>
    <n v="10692"/>
    <n v="3390"/>
    <n v="6635"/>
    <n v="184275"/>
    <n v="36868"/>
    <n v="81820"/>
    <n v="2523556"/>
    <n v="41071"/>
    <x v="139"/>
    <n v="41051"/>
    <n v="0"/>
    <n v="1"/>
  </r>
  <r>
    <x v="1"/>
    <n v="42"/>
    <x v="32"/>
    <n v="3"/>
    <x v="130"/>
    <n v="41"/>
    <s v="Oregon"/>
    <n v="51"/>
    <s v="Multnomah County"/>
    <n v="74"/>
    <n v="107"/>
    <n v="4925"/>
    <n v="31139"/>
    <n v="52943"/>
    <n v="2354594"/>
    <n v="528399"/>
    <n v="1004303"/>
    <n v="41789280"/>
    <n v="42003"/>
    <x v="140"/>
    <n v="41051"/>
    <n v="0"/>
    <n v="1"/>
  </r>
  <r>
    <x v="1"/>
    <n v="42"/>
    <x v="32"/>
    <n v="29"/>
    <x v="190"/>
    <n v="41"/>
    <s v="Oregon"/>
    <n v="51"/>
    <s v="Multnomah County"/>
    <n v="23"/>
    <n v="38"/>
    <n v="2010"/>
    <n v="15348"/>
    <n v="27079"/>
    <n v="1450970"/>
    <n v="207118"/>
    <n v="457594"/>
    <n v="26423272"/>
    <n v="42029"/>
    <x v="208"/>
    <n v="41051"/>
    <n v="0"/>
    <n v="1"/>
  </r>
  <r>
    <x v="1"/>
    <n v="42"/>
    <x v="32"/>
    <n v="71"/>
    <x v="183"/>
    <n v="41"/>
    <s v="Oregon"/>
    <n v="51"/>
    <s v="Multnomah County"/>
    <n v="21"/>
    <n v="25"/>
    <n v="927"/>
    <n v="11176"/>
    <n v="20407"/>
    <n v="592177"/>
    <n v="221992"/>
    <n v="474181"/>
    <n v="15296670"/>
    <n v="42071"/>
    <x v="209"/>
    <n v="41051"/>
    <n v="0"/>
    <n v="1"/>
  </r>
  <r>
    <x v="1"/>
    <n v="42"/>
    <x v="32"/>
    <n v="91"/>
    <x v="74"/>
    <n v="41"/>
    <s v="Oregon"/>
    <n v="51"/>
    <s v="Multnomah County"/>
    <n v="29"/>
    <n v="38"/>
    <n v="1731"/>
    <n v="26009"/>
    <n v="45311"/>
    <n v="2339410"/>
    <n v="344483"/>
    <n v="723582"/>
    <n v="41939240"/>
    <n v="42091"/>
    <x v="141"/>
    <n v="41051"/>
    <n v="0"/>
    <n v="1"/>
  </r>
  <r>
    <x v="1"/>
    <n v="42"/>
    <x v="32"/>
    <n v="101"/>
    <x v="131"/>
    <n v="41"/>
    <s v="Oregon"/>
    <n v="51"/>
    <s v="Multnomah County"/>
    <n v="98"/>
    <n v="129"/>
    <n v="6449"/>
    <n v="44739"/>
    <n v="77846"/>
    <n v="3040158"/>
    <n v="557363"/>
    <n v="1064282"/>
    <n v="30518356"/>
    <n v="42101"/>
    <x v="142"/>
    <n v="41051"/>
    <n v="0"/>
    <n v="1"/>
  </r>
  <r>
    <x v="1"/>
    <n v="44"/>
    <x v="33"/>
    <n v="7"/>
    <x v="132"/>
    <n v="41"/>
    <s v="Oregon"/>
    <n v="51"/>
    <s v="Multnomah County"/>
    <n v="35"/>
    <n v="48"/>
    <n v="2337"/>
    <n v="16884"/>
    <n v="28646"/>
    <n v="1074255"/>
    <n v="256130"/>
    <n v="494910"/>
    <n v="16013214"/>
    <n v="44007"/>
    <x v="143"/>
    <n v="41051"/>
    <n v="0"/>
    <n v="1"/>
  </r>
  <r>
    <x v="1"/>
    <n v="45"/>
    <x v="44"/>
    <n v="19"/>
    <x v="191"/>
    <n v="41"/>
    <s v="Oregon"/>
    <n v="51"/>
    <s v="Multnomah County"/>
    <n v="41"/>
    <n v="58"/>
    <n v="2590"/>
    <n v="18104"/>
    <n v="32357"/>
    <n v="1048789"/>
    <n v="153573"/>
    <n v="298316"/>
    <n v="13061277"/>
    <n v="45019"/>
    <x v="210"/>
    <n v="41051"/>
    <n v="0"/>
    <n v="1"/>
  </r>
  <r>
    <x v="1"/>
    <n v="47"/>
    <x v="34"/>
    <n v="37"/>
    <x v="133"/>
    <n v="41"/>
    <s v="Oregon"/>
    <n v="51"/>
    <s v="Multnomah County"/>
    <n v="69"/>
    <n v="94"/>
    <n v="4329"/>
    <n v="36655"/>
    <n v="66618"/>
    <n v="2162915"/>
    <n v="284912"/>
    <n v="544811"/>
    <n v="22056372"/>
    <n v="47037"/>
    <x v="144"/>
    <n v="41051"/>
    <n v="0"/>
    <n v="1"/>
  </r>
  <r>
    <x v="1"/>
    <n v="47"/>
    <x v="34"/>
    <n v="93"/>
    <x v="134"/>
    <n v="41"/>
    <s v="Oregon"/>
    <n v="51"/>
    <s v="Multnomah County"/>
    <n v="25"/>
    <n v="32"/>
    <n v="1385"/>
    <n v="13879"/>
    <n v="25739"/>
    <n v="830981"/>
    <n v="171035"/>
    <n v="356616"/>
    <n v="13375711"/>
    <n v="47093"/>
    <x v="145"/>
    <n v="41051"/>
    <n v="0"/>
    <n v="1"/>
  </r>
  <r>
    <x v="1"/>
    <n v="47"/>
    <x v="34"/>
    <n v="157"/>
    <x v="135"/>
    <n v="41"/>
    <s v="Oregon"/>
    <n v="51"/>
    <s v="Multnomah County"/>
    <n v="30"/>
    <n v="53"/>
    <n v="2121"/>
    <n v="22206"/>
    <n v="44546"/>
    <n v="1383110"/>
    <n v="357814"/>
    <n v="758796"/>
    <n v="23813686"/>
    <n v="47157"/>
    <x v="146"/>
    <n v="41051"/>
    <n v="0"/>
    <n v="1"/>
  </r>
  <r>
    <x v="1"/>
    <n v="48"/>
    <x v="35"/>
    <n v="29"/>
    <x v="136"/>
    <n v="41"/>
    <s v="Oregon"/>
    <n v="51"/>
    <s v="Multnomah County"/>
    <n v="46"/>
    <n v="64"/>
    <n v="2411"/>
    <n v="46744"/>
    <n v="96794"/>
    <n v="2928568"/>
    <n v="701204"/>
    <n v="1511909"/>
    <n v="43890508"/>
    <n v="48029"/>
    <x v="147"/>
    <n v="41051"/>
    <n v="0"/>
    <n v="1"/>
  </r>
  <r>
    <x v="1"/>
    <n v="48"/>
    <x v="35"/>
    <n v="85"/>
    <x v="137"/>
    <n v="41"/>
    <s v="Oregon"/>
    <n v="51"/>
    <s v="Multnomah County"/>
    <n v="29"/>
    <n v="45"/>
    <n v="2230"/>
    <n v="41251"/>
    <n v="81201"/>
    <n v="3519944"/>
    <n v="342660"/>
    <n v="816255"/>
    <n v="38571504"/>
    <n v="48085"/>
    <x v="148"/>
    <n v="41051"/>
    <n v="0"/>
    <n v="1"/>
  </r>
  <r>
    <x v="1"/>
    <n v="48"/>
    <x v="35"/>
    <n v="113"/>
    <x v="138"/>
    <n v="41"/>
    <s v="Oregon"/>
    <n v="51"/>
    <s v="Multnomah County"/>
    <n v="137"/>
    <n v="200"/>
    <n v="12880"/>
    <n v="88414"/>
    <n v="169507"/>
    <n v="6089548"/>
    <n v="960042"/>
    <n v="2112505"/>
    <n v="77209344"/>
    <n v="48113"/>
    <x v="149"/>
    <n v="41051"/>
    <n v="0"/>
    <n v="1"/>
  </r>
  <r>
    <x v="1"/>
    <n v="48"/>
    <x v="35"/>
    <n v="121"/>
    <x v="192"/>
    <n v="41"/>
    <s v="Oregon"/>
    <n v="51"/>
    <s v="Multnomah County"/>
    <n v="32"/>
    <n v="55"/>
    <n v="1433"/>
    <n v="37792"/>
    <n v="73601"/>
    <n v="2707689"/>
    <n v="294339"/>
    <n v="679095"/>
    <n v="27674718"/>
    <n v="48121"/>
    <x v="211"/>
    <n v="41051"/>
    <n v="0"/>
    <n v="1"/>
  </r>
  <r>
    <x v="1"/>
    <n v="48"/>
    <x v="35"/>
    <n v="201"/>
    <x v="139"/>
    <n v="41"/>
    <s v="Oregon"/>
    <n v="51"/>
    <s v="Multnomah County"/>
    <n v="151"/>
    <n v="222"/>
    <n v="12253"/>
    <n v="118080"/>
    <n v="239584"/>
    <n v="8978919"/>
    <n v="1613643"/>
    <n v="3619862"/>
    <n v="121343272"/>
    <n v="48201"/>
    <x v="151"/>
    <n v="41051"/>
    <n v="0"/>
    <n v="1"/>
  </r>
  <r>
    <x v="1"/>
    <n v="48"/>
    <x v="35"/>
    <n v="439"/>
    <x v="140"/>
    <n v="41"/>
    <s v="Oregon"/>
    <n v="51"/>
    <s v="Multnomah County"/>
    <n v="45"/>
    <n v="74"/>
    <n v="2389"/>
    <n v="63029"/>
    <n v="126542"/>
    <n v="4042859"/>
    <n v="747627"/>
    <n v="1678557"/>
    <n v="56895808"/>
    <n v="48439"/>
    <x v="152"/>
    <n v="41051"/>
    <n v="0"/>
    <n v="1"/>
  </r>
  <r>
    <x v="1"/>
    <n v="48"/>
    <x v="35"/>
    <n v="453"/>
    <x v="141"/>
    <n v="41"/>
    <s v="Oregon"/>
    <n v="51"/>
    <s v="Multnomah County"/>
    <n v="248"/>
    <n v="337"/>
    <n v="16077"/>
    <n v="63588"/>
    <n v="115940"/>
    <n v="4142576"/>
    <n v="475100"/>
    <n v="954826"/>
    <n v="46966352"/>
    <n v="48453"/>
    <x v="153"/>
    <n v="41051"/>
    <n v="0"/>
    <n v="1"/>
  </r>
  <r>
    <x v="1"/>
    <n v="48"/>
    <x v="35"/>
    <n v="491"/>
    <x v="142"/>
    <n v="41"/>
    <s v="Oregon"/>
    <n v="51"/>
    <s v="Multnomah County"/>
    <n v="29"/>
    <n v="48"/>
    <n v="1599"/>
    <n v="23316"/>
    <n v="45003"/>
    <n v="1560171"/>
    <n v="195956"/>
    <n v="446212"/>
    <n v="16455853"/>
    <n v="48491"/>
    <x v="154"/>
    <n v="41051"/>
    <n v="0"/>
    <n v="1"/>
  </r>
  <r>
    <x v="1"/>
    <n v="49"/>
    <x v="36"/>
    <n v="35"/>
    <x v="143"/>
    <n v="41"/>
    <s v="Oregon"/>
    <n v="51"/>
    <s v="Multnomah County"/>
    <n v="194"/>
    <n v="293"/>
    <n v="11461"/>
    <n v="30771"/>
    <n v="65803"/>
    <n v="1895122"/>
    <n v="412718"/>
    <n v="962504"/>
    <n v="31916420"/>
    <n v="49035"/>
    <x v="155"/>
    <n v="41051"/>
    <n v="0"/>
    <n v="1"/>
  </r>
  <r>
    <x v="1"/>
    <n v="49"/>
    <x v="36"/>
    <n v="49"/>
    <x v="144"/>
    <n v="41"/>
    <s v="Oregon"/>
    <n v="51"/>
    <s v="Multnomah County"/>
    <n v="34"/>
    <n v="69"/>
    <n v="1058"/>
    <n v="16263"/>
    <n v="39747"/>
    <n v="894360"/>
    <n v="174714"/>
    <n v="503409"/>
    <n v="13625047"/>
    <n v="49049"/>
    <x v="156"/>
    <n v="41051"/>
    <n v="0"/>
    <n v="1"/>
  </r>
  <r>
    <x v="1"/>
    <n v="49"/>
    <x v="36"/>
    <n v="53"/>
    <x v="128"/>
    <n v="41"/>
    <s v="Oregon"/>
    <n v="51"/>
    <s v="Multnomah County"/>
    <n v="20"/>
    <n v="23"/>
    <n v="1469"/>
    <n v="4419"/>
    <n v="9632"/>
    <n v="196634"/>
    <n v="51828"/>
    <n v="128373"/>
    <n v="3264828"/>
    <n v="49053"/>
    <x v="212"/>
    <n v="41051"/>
    <n v="0"/>
    <n v="1"/>
  </r>
  <r>
    <x v="1"/>
    <n v="50"/>
    <x v="37"/>
    <n v="7"/>
    <x v="146"/>
    <n v="41"/>
    <s v="Oregon"/>
    <n v="51"/>
    <s v="Multnomah County"/>
    <n v="37"/>
    <n v="54"/>
    <n v="2105"/>
    <n v="6736"/>
    <n v="10532"/>
    <n v="408935"/>
    <n v="71892"/>
    <n v="134875"/>
    <n v="5868907"/>
    <n v="50007"/>
    <x v="158"/>
    <n v="41051"/>
    <n v="0"/>
    <n v="1"/>
  </r>
  <r>
    <x v="1"/>
    <n v="51"/>
    <x v="38"/>
    <n v="13"/>
    <x v="147"/>
    <n v="41"/>
    <s v="Oregon"/>
    <n v="51"/>
    <s v="Multnomah County"/>
    <n v="51"/>
    <n v="73"/>
    <n v="5175"/>
    <n v="24709"/>
    <n v="36505"/>
    <n v="2418906"/>
    <n v="110223"/>
    <n v="189944"/>
    <n v="14343830"/>
    <n v="51013"/>
    <x v="159"/>
    <n v="41051"/>
    <n v="0"/>
    <n v="1"/>
  </r>
  <r>
    <x v="1"/>
    <n v="51"/>
    <x v="38"/>
    <n v="59"/>
    <x v="148"/>
    <n v="41"/>
    <s v="Oregon"/>
    <n v="51"/>
    <s v="Multnomah County"/>
    <n v="68"/>
    <n v="102"/>
    <n v="6943"/>
    <n v="58913"/>
    <n v="114799"/>
    <n v="5627301"/>
    <n v="463629"/>
    <n v="1005239"/>
    <n v="61054800"/>
    <n v="51059"/>
    <x v="160"/>
    <n v="41051"/>
    <n v="0"/>
    <n v="1"/>
  </r>
  <r>
    <x v="1"/>
    <n v="51"/>
    <x v="38"/>
    <n v="510"/>
    <x v="193"/>
    <n v="41"/>
    <s v="Oregon"/>
    <n v="51"/>
    <s v="Multnomah County"/>
    <n v="28"/>
    <n v="35"/>
    <n v="2015"/>
    <n v="17142"/>
    <n v="29382"/>
    <n v="1526872"/>
    <n v="73916"/>
    <n v="130172"/>
    <n v="8398484"/>
    <n v="51510"/>
    <x v="213"/>
    <n v="41051"/>
    <n v="0"/>
    <n v="1"/>
  </r>
  <r>
    <x v="1"/>
    <n v="51"/>
    <x v="38"/>
    <n v="760"/>
    <x v="149"/>
    <n v="41"/>
    <s v="Oregon"/>
    <n v="51"/>
    <s v="Multnomah County"/>
    <n v="30"/>
    <n v="38"/>
    <n v="1791"/>
    <n v="14586"/>
    <n v="24300"/>
    <n v="822694"/>
    <n v="83596"/>
    <n v="147343"/>
    <n v="5965932"/>
    <n v="51760"/>
    <x v="161"/>
    <n v="41051"/>
    <n v="0"/>
    <n v="1"/>
  </r>
  <r>
    <x v="1"/>
    <n v="53"/>
    <x v="39"/>
    <n v="5"/>
    <x v="113"/>
    <n v="41"/>
    <s v="Oregon"/>
    <n v="51"/>
    <s v="Multnomah County"/>
    <n v="61"/>
    <n v="82"/>
    <n v="3368"/>
    <n v="6229"/>
    <n v="13053"/>
    <n v="384615"/>
    <n v="71560"/>
    <n v="164582"/>
    <n v="5353756"/>
    <n v="53005"/>
    <x v="162"/>
    <n v="41051"/>
    <n v="0"/>
    <n v="1"/>
  </r>
  <r>
    <x v="1"/>
    <n v="53"/>
    <x v="39"/>
    <n v="7"/>
    <x v="194"/>
    <n v="41"/>
    <s v="Oregon"/>
    <n v="51"/>
    <s v="Multnomah County"/>
    <n v="21"/>
    <n v="26"/>
    <n v="616"/>
    <n v="2865"/>
    <n v="5660"/>
    <n v="144142"/>
    <n v="30900"/>
    <n v="68683"/>
    <n v="2084028"/>
    <n v="53007"/>
    <x v="214"/>
    <n v="41051"/>
    <n v="0"/>
    <n v="1"/>
  </r>
  <r>
    <x v="1"/>
    <n v="53"/>
    <x v="39"/>
    <n v="11"/>
    <x v="94"/>
    <n v="41"/>
    <s v="Oregon"/>
    <n v="51"/>
    <s v="Multnomah County"/>
    <n v="1990"/>
    <n v="3316"/>
    <n v="96453"/>
    <n v="14060"/>
    <n v="27709"/>
    <n v="860759"/>
    <n v="180685"/>
    <n v="397320"/>
    <n v="14509157"/>
    <n v="53011"/>
    <x v="163"/>
    <n v="41051"/>
    <n v="0"/>
    <n v="1"/>
  </r>
  <r>
    <x v="1"/>
    <n v="53"/>
    <x v="39"/>
    <n v="15"/>
    <x v="150"/>
    <n v="41"/>
    <s v="Oregon"/>
    <n v="51"/>
    <s v="Multnomah County"/>
    <n v="109"/>
    <n v="178"/>
    <n v="5985"/>
    <n v="2917"/>
    <n v="5679"/>
    <n v="149235"/>
    <n v="38398"/>
    <n v="82527"/>
    <n v="2317756"/>
    <n v="53015"/>
    <x v="164"/>
    <n v="41051"/>
    <n v="0"/>
    <n v="1"/>
  </r>
  <r>
    <x v="1"/>
    <n v="53"/>
    <x v="39"/>
    <n v="29"/>
    <x v="195"/>
    <n v="41"/>
    <s v="Oregon"/>
    <n v="51"/>
    <s v="Multnomah County"/>
    <n v="23"/>
    <n v="35"/>
    <n v="974"/>
    <n v="4484"/>
    <n v="9197"/>
    <n v="247179"/>
    <n v="34238"/>
    <n v="69391"/>
    <n v="2413529"/>
    <n v="53029"/>
    <x v="215"/>
    <n v="41051"/>
    <n v="0"/>
    <n v="1"/>
  </r>
  <r>
    <x v="1"/>
    <n v="53"/>
    <x v="39"/>
    <n v="33"/>
    <x v="151"/>
    <n v="41"/>
    <s v="Oregon"/>
    <n v="51"/>
    <s v="Multnomah County"/>
    <n v="1051"/>
    <n v="1468"/>
    <n v="71934"/>
    <n v="80544"/>
    <n v="143353"/>
    <n v="7040186"/>
    <n v="917871"/>
    <n v="1829832"/>
    <n v="116336432"/>
    <n v="53033"/>
    <x v="165"/>
    <n v="41051"/>
    <n v="0"/>
    <n v="1"/>
  </r>
  <r>
    <x v="1"/>
    <n v="53"/>
    <x v="39"/>
    <n v="35"/>
    <x v="152"/>
    <n v="41"/>
    <s v="Oregon"/>
    <n v="51"/>
    <s v="Multnomah County"/>
    <n v="66"/>
    <n v="94"/>
    <n v="3240"/>
    <n v="10560"/>
    <n v="21364"/>
    <n v="612894"/>
    <n v="104905"/>
    <n v="217626"/>
    <n v="8252738"/>
    <n v="53035"/>
    <x v="166"/>
    <n v="41051"/>
    <n v="0"/>
    <n v="1"/>
  </r>
  <r>
    <x v="1"/>
    <n v="53"/>
    <x v="39"/>
    <n v="39"/>
    <x v="153"/>
    <n v="41"/>
    <s v="Oregon"/>
    <n v="51"/>
    <s v="Multnomah County"/>
    <n v="27"/>
    <n v="46"/>
    <n v="1471"/>
    <n v="734"/>
    <n v="1377"/>
    <n v="43131"/>
    <n v="8206"/>
    <n v="17490"/>
    <n v="574942"/>
    <n v="53039"/>
    <x v="167"/>
    <n v="41051"/>
    <n v="0"/>
    <n v="1"/>
  </r>
  <r>
    <x v="1"/>
    <n v="53"/>
    <x v="39"/>
    <n v="53"/>
    <x v="155"/>
    <n v="41"/>
    <s v="Oregon"/>
    <n v="51"/>
    <s v="Multnomah County"/>
    <n v="182"/>
    <n v="285"/>
    <n v="10962"/>
    <n v="32500"/>
    <n v="66654"/>
    <n v="1814515"/>
    <n v="335012"/>
    <n v="711490"/>
    <n v="24047568"/>
    <n v="53053"/>
    <x v="169"/>
    <n v="41051"/>
    <n v="0"/>
    <n v="1"/>
  </r>
  <r>
    <x v="1"/>
    <n v="53"/>
    <x v="39"/>
    <n v="61"/>
    <x v="158"/>
    <n v="41"/>
    <s v="Oregon"/>
    <n v="51"/>
    <s v="Multnomah County"/>
    <n v="112"/>
    <n v="169"/>
    <n v="4989"/>
    <n v="26460"/>
    <n v="49119"/>
    <n v="1789626"/>
    <n v="311794"/>
    <n v="663301"/>
    <n v="25751760"/>
    <n v="53061"/>
    <x v="172"/>
    <n v="41051"/>
    <n v="0"/>
    <n v="1"/>
  </r>
  <r>
    <x v="1"/>
    <n v="53"/>
    <x v="39"/>
    <n v="63"/>
    <x v="159"/>
    <n v="41"/>
    <s v="Oregon"/>
    <n v="51"/>
    <s v="Multnomah County"/>
    <n v="155"/>
    <n v="213"/>
    <n v="5849"/>
    <n v="12146"/>
    <n v="22777"/>
    <n v="611865"/>
    <n v="190635"/>
    <n v="396424"/>
    <n v="12566439"/>
    <n v="53063"/>
    <x v="173"/>
    <n v="41051"/>
    <n v="0"/>
    <n v="1"/>
  </r>
  <r>
    <x v="1"/>
    <n v="53"/>
    <x v="39"/>
    <n v="67"/>
    <x v="160"/>
    <n v="41"/>
    <s v="Oregon"/>
    <n v="51"/>
    <s v="Multnomah County"/>
    <n v="112"/>
    <n v="155"/>
    <n v="5136"/>
    <n v="11248"/>
    <n v="23041"/>
    <n v="600740"/>
    <n v="110986"/>
    <n v="228044"/>
    <n v="7721941"/>
    <n v="53067"/>
    <x v="174"/>
    <n v="41051"/>
    <n v="0"/>
    <n v="1"/>
  </r>
  <r>
    <x v="1"/>
    <n v="53"/>
    <x v="39"/>
    <n v="71"/>
    <x v="161"/>
    <n v="41"/>
    <s v="Oregon"/>
    <n v="51"/>
    <s v="Multnomah County"/>
    <n v="39"/>
    <n v="58"/>
    <n v="1548"/>
    <n v="1734"/>
    <n v="3403"/>
    <n v="105467"/>
    <n v="21271"/>
    <n v="46515"/>
    <n v="1474371"/>
    <n v="53071"/>
    <x v="175"/>
    <n v="41051"/>
    <n v="0"/>
    <n v="1"/>
  </r>
  <r>
    <x v="1"/>
    <n v="53"/>
    <x v="39"/>
    <n v="73"/>
    <x v="162"/>
    <n v="41"/>
    <s v="Oregon"/>
    <n v="51"/>
    <s v="Multnomah County"/>
    <n v="90"/>
    <n v="120"/>
    <n v="3703"/>
    <n v="6082"/>
    <n v="10044"/>
    <n v="289352"/>
    <n v="83448"/>
    <n v="168416"/>
    <n v="5768604"/>
    <n v="53073"/>
    <x v="176"/>
    <n v="41051"/>
    <n v="0"/>
    <n v="1"/>
  </r>
  <r>
    <x v="1"/>
    <n v="53"/>
    <x v="39"/>
    <n v="75"/>
    <x v="196"/>
    <n v="41"/>
    <s v="Oregon"/>
    <n v="51"/>
    <s v="Multnomah County"/>
    <n v="21"/>
    <n v="26"/>
    <n v="765"/>
    <n v="2463"/>
    <n v="3990"/>
    <n v="105682"/>
    <n v="14416"/>
    <n v="28469"/>
    <n v="892457"/>
    <n v="53075"/>
    <x v="216"/>
    <n v="41051"/>
    <n v="0"/>
    <n v="1"/>
  </r>
  <r>
    <x v="1"/>
    <n v="53"/>
    <x v="39"/>
    <n v="77"/>
    <x v="163"/>
    <n v="41"/>
    <s v="Oregon"/>
    <n v="51"/>
    <s v="Multnomah County"/>
    <n v="50"/>
    <n v="85"/>
    <n v="1979"/>
    <n v="4644"/>
    <n v="9679"/>
    <n v="227307"/>
    <n v="90172"/>
    <n v="220872"/>
    <n v="4998239"/>
    <n v="53077"/>
    <x v="177"/>
    <n v="41051"/>
    <n v="0"/>
    <n v="1"/>
  </r>
  <r>
    <x v="1"/>
    <n v="55"/>
    <x v="40"/>
    <n v="25"/>
    <x v="164"/>
    <n v="41"/>
    <s v="Oregon"/>
    <n v="51"/>
    <s v="Multnomah County"/>
    <n v="77"/>
    <n v="100"/>
    <n v="5780"/>
    <n v="19923"/>
    <n v="32435"/>
    <n v="1290409"/>
    <n v="230803"/>
    <n v="452803"/>
    <n v="20051888"/>
    <n v="55025"/>
    <x v="178"/>
    <n v="41051"/>
    <n v="0"/>
    <n v="1"/>
  </r>
  <r>
    <x v="1"/>
    <n v="55"/>
    <x v="40"/>
    <n v="79"/>
    <x v="165"/>
    <n v="41"/>
    <s v="Oregon"/>
    <n v="51"/>
    <s v="Multnomah County"/>
    <n v="83"/>
    <n v="112"/>
    <n v="3866"/>
    <n v="28930"/>
    <n v="52542"/>
    <n v="1926816"/>
    <n v="372174"/>
    <n v="750575"/>
    <n v="23308380"/>
    <n v="55079"/>
    <x v="179"/>
    <n v="41051"/>
    <n v="0"/>
    <n v="1"/>
  </r>
  <r>
    <x v="2"/>
    <n v="2"/>
    <x v="0"/>
    <n v="20"/>
    <x v="0"/>
    <n v="41"/>
    <s v="Oregon"/>
    <n v="51"/>
    <s v="Multnomah County"/>
    <n v="84"/>
    <n v="120"/>
    <n v="4040"/>
    <n v="10416"/>
    <n v="20343"/>
    <n v="651922"/>
    <n v="120710"/>
    <n v="243692"/>
    <n v="10464695"/>
    <n v="2020"/>
    <x v="0"/>
    <n v="41051"/>
    <n v="0"/>
    <n v="1"/>
  </r>
  <r>
    <x v="2"/>
    <n v="2"/>
    <x v="0"/>
    <n v="90"/>
    <x v="1"/>
    <n v="41"/>
    <s v="Oregon"/>
    <n v="51"/>
    <s v="Multnomah County"/>
    <n v="20"/>
    <n v="29"/>
    <n v="936"/>
    <n v="4354"/>
    <n v="9024"/>
    <n v="230356"/>
    <n v="38244"/>
    <n v="79162"/>
    <n v="2891702"/>
    <n v="2090"/>
    <x v="1"/>
    <n v="41051"/>
    <n v="0"/>
    <n v="1"/>
  </r>
  <r>
    <x v="2"/>
    <n v="4"/>
    <x v="1"/>
    <n v="5"/>
    <x v="2"/>
    <n v="41"/>
    <s v="Oregon"/>
    <n v="51"/>
    <s v="Multnomah County"/>
    <n v="26"/>
    <n v="31"/>
    <n v="1206"/>
    <n v="4959"/>
    <n v="8385"/>
    <n v="247737"/>
    <n v="48956"/>
    <n v="100643"/>
    <n v="3268588"/>
    <n v="4005"/>
    <x v="2"/>
    <n v="41051"/>
    <n v="0"/>
    <n v="1"/>
  </r>
  <r>
    <x v="2"/>
    <n v="4"/>
    <x v="1"/>
    <n v="13"/>
    <x v="3"/>
    <n v="41"/>
    <s v="Oregon"/>
    <n v="51"/>
    <s v="Multnomah County"/>
    <n v="368"/>
    <n v="513"/>
    <n v="22575"/>
    <n v="67359"/>
    <n v="125942"/>
    <n v="4301667"/>
    <n v="1539702"/>
    <n v="3300706"/>
    <n v="121353384"/>
    <n v="4013"/>
    <x v="3"/>
    <n v="41051"/>
    <n v="0"/>
    <n v="1"/>
  </r>
  <r>
    <x v="2"/>
    <n v="4"/>
    <x v="1"/>
    <n v="19"/>
    <x v="4"/>
    <n v="41"/>
    <s v="Oregon"/>
    <n v="51"/>
    <s v="Multnomah County"/>
    <n v="91"/>
    <n v="118"/>
    <n v="5080"/>
    <n v="17904"/>
    <n v="32635"/>
    <n v="1032957"/>
    <n v="375876"/>
    <n v="768304"/>
    <n v="24613418"/>
    <n v="4019"/>
    <x v="4"/>
    <n v="41051"/>
    <n v="0"/>
    <n v="1"/>
  </r>
  <r>
    <x v="2"/>
    <n v="4"/>
    <x v="1"/>
    <n v="25"/>
    <x v="5"/>
    <n v="41"/>
    <s v="Oregon"/>
    <n v="51"/>
    <s v="Multnomah County"/>
    <n v="22"/>
    <n v="28"/>
    <n v="829"/>
    <n v="5957"/>
    <n v="10377"/>
    <n v="303569"/>
    <n v="90296"/>
    <n v="173503"/>
    <n v="5351255"/>
    <n v="4025"/>
    <x v="5"/>
    <n v="41051"/>
    <n v="0"/>
    <n v="1"/>
  </r>
  <r>
    <x v="2"/>
    <n v="6"/>
    <x v="2"/>
    <n v="1"/>
    <x v="6"/>
    <n v="41"/>
    <s v="Oregon"/>
    <n v="51"/>
    <s v="Multnomah County"/>
    <n v="395"/>
    <n v="563"/>
    <n v="34292"/>
    <n v="49557"/>
    <n v="87340"/>
    <n v="4746166"/>
    <n v="668947"/>
    <n v="1388018"/>
    <n v="75440864"/>
    <n v="6001"/>
    <x v="6"/>
    <n v="41051"/>
    <n v="0"/>
    <n v="1"/>
  </r>
  <r>
    <x v="2"/>
    <n v="6"/>
    <x v="2"/>
    <n v="7"/>
    <x v="7"/>
    <n v="41"/>
    <s v="Oregon"/>
    <n v="51"/>
    <s v="Multnomah County"/>
    <n v="35"/>
    <n v="54"/>
    <n v="1358"/>
    <n v="6247"/>
    <n v="10622"/>
    <n v="304738"/>
    <n v="78948"/>
    <n v="160813"/>
    <n v="5001974"/>
    <n v="6007"/>
    <x v="7"/>
    <n v="41051"/>
    <n v="0"/>
    <n v="1"/>
  </r>
  <r>
    <x v="2"/>
    <n v="6"/>
    <x v="2"/>
    <n v="13"/>
    <x v="8"/>
    <n v="41"/>
    <s v="Oregon"/>
    <n v="51"/>
    <s v="Multnomah County"/>
    <n v="129"/>
    <n v="183"/>
    <n v="11288"/>
    <n v="29430"/>
    <n v="53207"/>
    <n v="2931322"/>
    <n v="457901"/>
    <n v="992650"/>
    <n v="57985308"/>
    <n v="6013"/>
    <x v="8"/>
    <n v="41051"/>
    <n v="0"/>
    <n v="1"/>
  </r>
  <r>
    <x v="2"/>
    <n v="6"/>
    <x v="2"/>
    <n v="19"/>
    <x v="10"/>
    <n v="41"/>
    <s v="Oregon"/>
    <n v="51"/>
    <s v="Multnomah County"/>
    <n v="49"/>
    <n v="85"/>
    <n v="2851"/>
    <n v="11931"/>
    <n v="23669"/>
    <n v="630214"/>
    <n v="327593"/>
    <n v="784228"/>
    <n v="20351398"/>
    <n v="6019"/>
    <x v="10"/>
    <n v="41051"/>
    <n v="0"/>
    <n v="1"/>
  </r>
  <r>
    <x v="2"/>
    <n v="6"/>
    <x v="2"/>
    <n v="23"/>
    <x v="11"/>
    <n v="41"/>
    <s v="Oregon"/>
    <n v="51"/>
    <s v="Multnomah County"/>
    <n v="62"/>
    <n v="71"/>
    <n v="1847"/>
    <n v="2945"/>
    <n v="4704"/>
    <n v="130408"/>
    <n v="47293"/>
    <n v="91331"/>
    <n v="2827572"/>
    <n v="6023"/>
    <x v="11"/>
    <n v="41051"/>
    <n v="0"/>
    <n v="1"/>
  </r>
  <r>
    <x v="2"/>
    <n v="6"/>
    <x v="2"/>
    <n v="29"/>
    <x v="12"/>
    <n v="41"/>
    <s v="Oregon"/>
    <n v="51"/>
    <s v="Multnomah County"/>
    <n v="37"/>
    <n v="65"/>
    <n v="1804"/>
    <n v="11865"/>
    <n v="24796"/>
    <n v="672709"/>
    <n v="279776"/>
    <n v="689792"/>
    <n v="16720000"/>
    <n v="6029"/>
    <x v="12"/>
    <n v="41051"/>
    <n v="0"/>
    <n v="1"/>
  </r>
  <r>
    <x v="2"/>
    <n v="6"/>
    <x v="2"/>
    <n v="37"/>
    <x v="13"/>
    <n v="41"/>
    <s v="Oregon"/>
    <n v="51"/>
    <s v="Multnomah County"/>
    <n v="847"/>
    <n v="1169"/>
    <n v="52173"/>
    <n v="153667"/>
    <n v="276760"/>
    <n v="11406723"/>
    <n v="3887087"/>
    <n v="8020662"/>
    <n v="342177280"/>
    <n v="6037"/>
    <x v="13"/>
    <n v="41051"/>
    <n v="0"/>
    <n v="1"/>
  </r>
  <r>
    <x v="2"/>
    <n v="6"/>
    <x v="2"/>
    <n v="41"/>
    <x v="14"/>
    <n v="41"/>
    <s v="Oregon"/>
    <n v="51"/>
    <s v="Multnomah County"/>
    <n v="72"/>
    <n v="105"/>
    <n v="6840"/>
    <n v="7162"/>
    <n v="11651"/>
    <n v="1074580"/>
    <n v="111259"/>
    <n v="221914"/>
    <n v="22960924"/>
    <n v="6041"/>
    <x v="14"/>
    <n v="41051"/>
    <n v="0"/>
    <n v="1"/>
  </r>
  <r>
    <x v="2"/>
    <n v="6"/>
    <x v="2"/>
    <n v="53"/>
    <x v="16"/>
    <n v="41"/>
    <s v="Oregon"/>
    <n v="51"/>
    <s v="Multnomah County"/>
    <n v="42"/>
    <n v="58"/>
    <n v="1626"/>
    <n v="9119"/>
    <n v="17641"/>
    <n v="857322"/>
    <n v="162360"/>
    <n v="391393"/>
    <n v="12539138"/>
    <n v="6053"/>
    <x v="16"/>
    <n v="41051"/>
    <n v="0"/>
    <n v="1"/>
  </r>
  <r>
    <x v="2"/>
    <n v="6"/>
    <x v="2"/>
    <n v="55"/>
    <x v="17"/>
    <n v="41"/>
    <s v="Oregon"/>
    <n v="51"/>
    <s v="Multnomah County"/>
    <n v="22"/>
    <n v="25"/>
    <n v="1346"/>
    <n v="3716"/>
    <n v="6531"/>
    <n v="303831"/>
    <n v="56569"/>
    <n v="123392"/>
    <n v="6070561"/>
    <n v="6055"/>
    <x v="17"/>
    <n v="41051"/>
    <n v="0"/>
    <n v="1"/>
  </r>
  <r>
    <x v="2"/>
    <n v="6"/>
    <x v="2"/>
    <n v="59"/>
    <x v="18"/>
    <n v="41"/>
    <s v="Oregon"/>
    <n v="51"/>
    <s v="Multnomah County"/>
    <n v="310"/>
    <n v="410"/>
    <n v="20968"/>
    <n v="65946"/>
    <n v="118532"/>
    <n v="5295155"/>
    <n v="1258574"/>
    <n v="2709593"/>
    <n v="130648272"/>
    <n v="6059"/>
    <x v="18"/>
    <n v="41051"/>
    <n v="0"/>
    <n v="1"/>
  </r>
  <r>
    <x v="2"/>
    <n v="6"/>
    <x v="2"/>
    <n v="61"/>
    <x v="19"/>
    <n v="41"/>
    <s v="Oregon"/>
    <n v="51"/>
    <s v="Multnomah County"/>
    <n v="48"/>
    <n v="75"/>
    <n v="2327"/>
    <n v="11368"/>
    <n v="20078"/>
    <n v="779852"/>
    <n v="153016"/>
    <n v="333614"/>
    <n v="16013464"/>
    <n v="6061"/>
    <x v="19"/>
    <n v="41051"/>
    <n v="0"/>
    <n v="1"/>
  </r>
  <r>
    <x v="2"/>
    <n v="6"/>
    <x v="2"/>
    <n v="65"/>
    <x v="20"/>
    <n v="41"/>
    <s v="Oregon"/>
    <n v="51"/>
    <s v="Multnomah County"/>
    <n v="121"/>
    <n v="172"/>
    <n v="4641"/>
    <n v="48751"/>
    <n v="95642"/>
    <n v="2863499"/>
    <n v="819621"/>
    <n v="1896642"/>
    <n v="52716416"/>
    <n v="6065"/>
    <x v="20"/>
    <n v="41051"/>
    <n v="0"/>
    <n v="1"/>
  </r>
  <r>
    <x v="2"/>
    <n v="6"/>
    <x v="2"/>
    <n v="67"/>
    <x v="21"/>
    <n v="41"/>
    <s v="Oregon"/>
    <n v="51"/>
    <s v="Multnomah County"/>
    <n v="141"/>
    <n v="209"/>
    <n v="6771"/>
    <n v="31631"/>
    <n v="57281"/>
    <n v="1969457"/>
    <n v="575967"/>
    <n v="1231511"/>
    <n v="41199708"/>
    <n v="6067"/>
    <x v="21"/>
    <n v="41051"/>
    <n v="0"/>
    <n v="1"/>
  </r>
  <r>
    <x v="2"/>
    <n v="6"/>
    <x v="2"/>
    <n v="71"/>
    <x v="22"/>
    <n v="41"/>
    <s v="Oregon"/>
    <n v="51"/>
    <s v="Multnomah County"/>
    <n v="83"/>
    <n v="124"/>
    <n v="3780"/>
    <n v="46866"/>
    <n v="94320"/>
    <n v="2437124"/>
    <n v="744718"/>
    <n v="1712902"/>
    <n v="44651380"/>
    <n v="6071"/>
    <x v="22"/>
    <n v="41051"/>
    <n v="0"/>
    <n v="1"/>
  </r>
  <r>
    <x v="2"/>
    <n v="6"/>
    <x v="2"/>
    <n v="73"/>
    <x v="23"/>
    <n v="41"/>
    <s v="Oregon"/>
    <n v="51"/>
    <s v="Multnomah County"/>
    <n v="434"/>
    <n v="607"/>
    <n v="23818"/>
    <n v="69619"/>
    <n v="128283"/>
    <n v="4805038"/>
    <n v="1319672"/>
    <n v="2773497"/>
    <n v="115694992"/>
    <n v="6073"/>
    <x v="23"/>
    <n v="41051"/>
    <n v="0"/>
    <n v="1"/>
  </r>
  <r>
    <x v="2"/>
    <n v="6"/>
    <x v="2"/>
    <n v="75"/>
    <x v="24"/>
    <n v="41"/>
    <s v="Oregon"/>
    <n v="51"/>
    <s v="Multnomah County"/>
    <n v="437"/>
    <n v="619"/>
    <n v="58902"/>
    <n v="37621"/>
    <n v="55453"/>
    <n v="5552933"/>
    <n v="418300"/>
    <n v="693617"/>
    <n v="69381184"/>
    <n v="6075"/>
    <x v="24"/>
    <n v="41051"/>
    <n v="0"/>
    <n v="1"/>
  </r>
  <r>
    <x v="2"/>
    <n v="6"/>
    <x v="2"/>
    <n v="77"/>
    <x v="25"/>
    <n v="41"/>
    <s v="Oregon"/>
    <n v="51"/>
    <s v="Multnomah County"/>
    <n v="32"/>
    <n v="51"/>
    <n v="1272"/>
    <n v="13397"/>
    <n v="26871"/>
    <n v="766795"/>
    <n v="257744"/>
    <n v="616267"/>
    <n v="17154028"/>
    <n v="6077"/>
    <x v="25"/>
    <n v="41051"/>
    <n v="0"/>
    <n v="1"/>
  </r>
  <r>
    <x v="2"/>
    <n v="6"/>
    <x v="2"/>
    <n v="79"/>
    <x v="26"/>
    <n v="41"/>
    <s v="Oregon"/>
    <n v="51"/>
    <s v="Multnomah County"/>
    <n v="63"/>
    <n v="86"/>
    <n v="4168"/>
    <n v="6568"/>
    <n v="10763"/>
    <n v="422982"/>
    <n v="110111"/>
    <n v="220758"/>
    <n v="9096092"/>
    <n v="6079"/>
    <x v="26"/>
    <n v="41051"/>
    <n v="0"/>
    <n v="1"/>
  </r>
  <r>
    <x v="2"/>
    <n v="6"/>
    <x v="2"/>
    <n v="81"/>
    <x v="27"/>
    <n v="41"/>
    <s v="Oregon"/>
    <n v="51"/>
    <s v="Multnomah County"/>
    <n v="143"/>
    <n v="229"/>
    <n v="19616"/>
    <n v="26427"/>
    <n v="45751"/>
    <n v="3975640"/>
    <n v="331944"/>
    <n v="679836"/>
    <n v="64499836"/>
    <n v="6081"/>
    <x v="27"/>
    <n v="41051"/>
    <n v="0"/>
    <n v="1"/>
  </r>
  <r>
    <x v="2"/>
    <n v="6"/>
    <x v="2"/>
    <n v="83"/>
    <x v="28"/>
    <n v="41"/>
    <s v="Oregon"/>
    <n v="51"/>
    <s v="Multnomah County"/>
    <n v="84"/>
    <n v="119"/>
    <n v="5839"/>
    <n v="9675"/>
    <n v="16554"/>
    <n v="697319"/>
    <n v="168674"/>
    <n v="367745"/>
    <n v="14972816"/>
    <n v="6083"/>
    <x v="28"/>
    <n v="41051"/>
    <n v="0"/>
    <n v="1"/>
  </r>
  <r>
    <x v="2"/>
    <n v="6"/>
    <x v="2"/>
    <n v="85"/>
    <x v="29"/>
    <n v="41"/>
    <s v="Oregon"/>
    <n v="51"/>
    <s v="Multnomah County"/>
    <n v="293"/>
    <n v="434"/>
    <n v="39280"/>
    <n v="51426"/>
    <n v="94442"/>
    <n v="7267837"/>
    <n v="793607"/>
    <n v="1713493"/>
    <n v="145026432"/>
    <n v="6085"/>
    <x v="29"/>
    <n v="41051"/>
    <n v="0"/>
    <n v="1"/>
  </r>
  <r>
    <x v="2"/>
    <n v="6"/>
    <x v="2"/>
    <n v="87"/>
    <x v="30"/>
    <n v="41"/>
    <s v="Oregon"/>
    <n v="51"/>
    <s v="Multnomah County"/>
    <n v="80"/>
    <n v="102"/>
    <n v="4508"/>
    <n v="6811"/>
    <n v="11365"/>
    <n v="532984"/>
    <n v="109372"/>
    <n v="226116"/>
    <n v="10949890"/>
    <n v="6087"/>
    <x v="30"/>
    <n v="41051"/>
    <n v="0"/>
    <n v="1"/>
  </r>
  <r>
    <x v="2"/>
    <n v="6"/>
    <x v="2"/>
    <n v="89"/>
    <x v="31"/>
    <n v="41"/>
    <s v="Oregon"/>
    <n v="51"/>
    <s v="Multnomah County"/>
    <n v="30"/>
    <n v="39"/>
    <n v="1084"/>
    <n v="3822"/>
    <n v="7016"/>
    <n v="203017"/>
    <n v="64310"/>
    <n v="133565"/>
    <n v="4092619"/>
    <n v="6089"/>
    <x v="31"/>
    <n v="41051"/>
    <n v="0"/>
    <n v="1"/>
  </r>
  <r>
    <x v="2"/>
    <n v="6"/>
    <x v="2"/>
    <n v="95"/>
    <x v="32"/>
    <n v="41"/>
    <s v="Oregon"/>
    <n v="51"/>
    <s v="Multnomah County"/>
    <n v="26"/>
    <n v="37"/>
    <n v="1010"/>
    <n v="11862"/>
    <n v="22382"/>
    <n v="721909"/>
    <n v="173669"/>
    <n v="368305"/>
    <n v="13178077"/>
    <n v="6095"/>
    <x v="32"/>
    <n v="41051"/>
    <n v="0"/>
    <n v="1"/>
  </r>
  <r>
    <x v="2"/>
    <n v="6"/>
    <x v="2"/>
    <n v="97"/>
    <x v="33"/>
    <n v="41"/>
    <s v="Oregon"/>
    <n v="51"/>
    <s v="Multnomah County"/>
    <n v="132"/>
    <n v="169"/>
    <n v="6987"/>
    <n v="11173"/>
    <n v="18716"/>
    <n v="828275"/>
    <n v="205387"/>
    <n v="416611"/>
    <n v="18048690"/>
    <n v="6097"/>
    <x v="33"/>
    <n v="41051"/>
    <n v="0"/>
    <n v="1"/>
  </r>
  <r>
    <x v="2"/>
    <n v="6"/>
    <x v="2"/>
    <n v="99"/>
    <x v="34"/>
    <n v="41"/>
    <s v="Oregon"/>
    <n v="51"/>
    <s v="Multnomah County"/>
    <n v="25"/>
    <n v="29"/>
    <n v="1135"/>
    <n v="9313"/>
    <n v="18859"/>
    <n v="494100"/>
    <n v="187673"/>
    <n v="446562"/>
    <n v="11725423"/>
    <n v="6099"/>
    <x v="34"/>
    <n v="41051"/>
    <n v="0"/>
    <n v="1"/>
  </r>
  <r>
    <x v="2"/>
    <n v="6"/>
    <x v="2"/>
    <n v="111"/>
    <x v="35"/>
    <n v="41"/>
    <s v="Oregon"/>
    <n v="51"/>
    <s v="Multnomah County"/>
    <n v="74"/>
    <n v="102"/>
    <n v="3625"/>
    <n v="17096"/>
    <n v="31481"/>
    <n v="1465284"/>
    <n v="335237"/>
    <n v="741480"/>
    <n v="30766646"/>
    <n v="6111"/>
    <x v="35"/>
    <n v="41051"/>
    <n v="0"/>
    <n v="1"/>
  </r>
  <r>
    <x v="2"/>
    <n v="6"/>
    <x v="2"/>
    <n v="113"/>
    <x v="36"/>
    <n v="41"/>
    <s v="Oregon"/>
    <n v="51"/>
    <s v="Multnomah County"/>
    <n v="32"/>
    <n v="36"/>
    <n v="1148"/>
    <n v="6737"/>
    <n v="11403"/>
    <n v="406766"/>
    <n v="75604"/>
    <n v="164295"/>
    <n v="6436106"/>
    <n v="6113"/>
    <x v="36"/>
    <n v="41051"/>
    <n v="0"/>
    <n v="1"/>
  </r>
  <r>
    <x v="2"/>
    <n v="8"/>
    <x v="3"/>
    <n v="1"/>
    <x v="37"/>
    <n v="41"/>
    <s v="Oregon"/>
    <n v="51"/>
    <s v="Multnomah County"/>
    <n v="20"/>
    <n v="31"/>
    <n v="832"/>
    <n v="20443"/>
    <n v="39563"/>
    <n v="1085339"/>
    <n v="190400"/>
    <n v="417941"/>
    <n v="12372676"/>
    <n v="8001"/>
    <x v="37"/>
    <n v="41051"/>
    <n v="0"/>
    <n v="1"/>
  </r>
  <r>
    <x v="2"/>
    <n v="8"/>
    <x v="3"/>
    <n v="5"/>
    <x v="38"/>
    <n v="41"/>
    <s v="Oregon"/>
    <n v="51"/>
    <s v="Multnomah County"/>
    <n v="47"/>
    <n v="60"/>
    <n v="1648"/>
    <n v="31134"/>
    <n v="55422"/>
    <n v="2074670"/>
    <n v="259902"/>
    <n v="539158"/>
    <n v="24459860"/>
    <n v="8005"/>
    <x v="38"/>
    <n v="41051"/>
    <n v="0"/>
    <n v="1"/>
  </r>
  <r>
    <x v="2"/>
    <n v="8"/>
    <x v="3"/>
    <n v="13"/>
    <x v="39"/>
    <n v="41"/>
    <s v="Oregon"/>
    <n v="51"/>
    <s v="Multnomah County"/>
    <n v="64"/>
    <n v="76"/>
    <n v="2684"/>
    <n v="13292"/>
    <n v="20694"/>
    <n v="946437"/>
    <n v="132096"/>
    <n v="259162"/>
    <n v="15243352"/>
    <n v="8013"/>
    <x v="39"/>
    <n v="41051"/>
    <n v="0"/>
    <n v="1"/>
  </r>
  <r>
    <x v="2"/>
    <n v="8"/>
    <x v="3"/>
    <n v="31"/>
    <x v="40"/>
    <n v="41"/>
    <s v="Oregon"/>
    <n v="51"/>
    <s v="Multnomah County"/>
    <n v="142"/>
    <n v="178"/>
    <n v="9632"/>
    <n v="40431"/>
    <n v="65679"/>
    <n v="2664211"/>
    <n v="295455"/>
    <n v="537409"/>
    <n v="28145204"/>
    <n v="8031"/>
    <x v="40"/>
    <n v="41051"/>
    <n v="0"/>
    <n v="1"/>
  </r>
  <r>
    <x v="2"/>
    <n v="8"/>
    <x v="3"/>
    <n v="35"/>
    <x v="93"/>
    <n v="41"/>
    <s v="Oregon"/>
    <n v="51"/>
    <s v="Multnomah County"/>
    <n v="22"/>
    <n v="35"/>
    <n v="1056"/>
    <n v="12955"/>
    <n v="24478"/>
    <n v="1435785"/>
    <n v="128887"/>
    <n v="304507"/>
    <n v="17839572"/>
    <n v="8035"/>
    <x v="217"/>
    <n v="41051"/>
    <n v="0"/>
    <n v="1"/>
  </r>
  <r>
    <x v="2"/>
    <n v="8"/>
    <x v="3"/>
    <n v="41"/>
    <x v="41"/>
    <n v="41"/>
    <s v="Oregon"/>
    <n v="51"/>
    <s v="Multnomah County"/>
    <n v="48"/>
    <n v="65"/>
    <n v="2078"/>
    <n v="24647"/>
    <n v="50163"/>
    <n v="1313369"/>
    <n v="269513"/>
    <n v="579559"/>
    <n v="19702084"/>
    <n v="8041"/>
    <x v="41"/>
    <n v="41051"/>
    <n v="0"/>
    <n v="1"/>
  </r>
  <r>
    <x v="2"/>
    <n v="8"/>
    <x v="3"/>
    <n v="59"/>
    <x v="42"/>
    <n v="41"/>
    <s v="Oregon"/>
    <n v="51"/>
    <s v="Multnomah County"/>
    <n v="38"/>
    <n v="60"/>
    <n v="2974"/>
    <n v="25061"/>
    <n v="41898"/>
    <n v="1628735"/>
    <n v="247811"/>
    <n v="483850"/>
    <n v="23339262"/>
    <n v="8059"/>
    <x v="42"/>
    <n v="41051"/>
    <n v="0"/>
    <n v="1"/>
  </r>
  <r>
    <x v="2"/>
    <n v="8"/>
    <x v="3"/>
    <n v="69"/>
    <x v="43"/>
    <n v="41"/>
    <s v="Oregon"/>
    <n v="51"/>
    <s v="Multnomah County"/>
    <n v="57"/>
    <n v="63"/>
    <n v="2487"/>
    <n v="12261"/>
    <n v="20169"/>
    <n v="681037"/>
    <n v="139386"/>
    <n v="276897"/>
    <n v="11866201"/>
    <n v="8069"/>
    <x v="43"/>
    <n v="41051"/>
    <n v="0"/>
    <n v="1"/>
  </r>
  <r>
    <x v="2"/>
    <n v="9"/>
    <x v="4"/>
    <n v="1"/>
    <x v="44"/>
    <n v="41"/>
    <s v="Oregon"/>
    <n v="51"/>
    <s v="Multnomah County"/>
    <n v="33"/>
    <n v="39"/>
    <n v="2358"/>
    <n v="21183"/>
    <n v="35767"/>
    <n v="3015139"/>
    <n v="378351"/>
    <n v="794469"/>
    <n v="72392400"/>
    <n v="9001"/>
    <x v="44"/>
    <n v="41051"/>
    <n v="0"/>
    <n v="1"/>
  </r>
  <r>
    <x v="2"/>
    <n v="9"/>
    <x v="4"/>
    <n v="3"/>
    <x v="170"/>
    <n v="41"/>
    <s v="Oregon"/>
    <n v="51"/>
    <s v="Multnomah County"/>
    <n v="25"/>
    <n v="33"/>
    <n v="2168"/>
    <n v="18991"/>
    <n v="31784"/>
    <n v="1468096"/>
    <n v="375837"/>
    <n v="742487"/>
    <n v="33366322"/>
    <n v="9003"/>
    <x v="184"/>
    <n v="41051"/>
    <n v="0"/>
    <n v="1"/>
  </r>
  <r>
    <x v="2"/>
    <n v="9"/>
    <x v="4"/>
    <n v="9"/>
    <x v="45"/>
    <n v="41"/>
    <s v="Oregon"/>
    <n v="51"/>
    <s v="Multnomah County"/>
    <n v="37"/>
    <n v="52"/>
    <n v="2000"/>
    <n v="18244"/>
    <n v="30091"/>
    <n v="1317230"/>
    <n v="347376"/>
    <n v="680841"/>
    <n v="28354192"/>
    <n v="9009"/>
    <x v="45"/>
    <n v="41051"/>
    <n v="0"/>
    <n v="1"/>
  </r>
  <r>
    <x v="2"/>
    <n v="11"/>
    <x v="5"/>
    <n v="1"/>
    <x v="46"/>
    <n v="41"/>
    <s v="Oregon"/>
    <n v="51"/>
    <s v="Multnomah County"/>
    <n v="110"/>
    <n v="134"/>
    <n v="12170"/>
    <n v="31261"/>
    <n v="45905"/>
    <n v="2853361"/>
    <n v="294633"/>
    <n v="483392"/>
    <n v="31918158"/>
    <n v="11001"/>
    <x v="46"/>
    <n v="41051"/>
    <n v="0"/>
    <n v="1"/>
  </r>
  <r>
    <x v="2"/>
    <n v="12"/>
    <x v="6"/>
    <n v="1"/>
    <x v="172"/>
    <n v="41"/>
    <s v="Oregon"/>
    <n v="51"/>
    <s v="Multnomah County"/>
    <n v="26"/>
    <n v="29"/>
    <n v="802"/>
    <n v="8891"/>
    <n v="14556"/>
    <n v="444662"/>
    <n v="94217"/>
    <n v="180906"/>
    <n v="6397954"/>
    <n v="12001"/>
    <x v="186"/>
    <n v="41051"/>
    <n v="0"/>
    <n v="1"/>
  </r>
  <r>
    <x v="2"/>
    <n v="12"/>
    <x v="6"/>
    <n v="11"/>
    <x v="47"/>
    <n v="41"/>
    <s v="Oregon"/>
    <n v="51"/>
    <s v="Multnomah County"/>
    <n v="38"/>
    <n v="56"/>
    <n v="2726"/>
    <n v="51016"/>
    <n v="90407"/>
    <n v="3141171"/>
    <n v="771910"/>
    <n v="1500618"/>
    <n v="55649288"/>
    <n v="12011"/>
    <x v="47"/>
    <n v="41051"/>
    <n v="0"/>
    <n v="1"/>
  </r>
  <r>
    <x v="2"/>
    <n v="12"/>
    <x v="6"/>
    <n v="31"/>
    <x v="48"/>
    <n v="41"/>
    <s v="Oregon"/>
    <n v="51"/>
    <s v="Multnomah County"/>
    <n v="27"/>
    <n v="37"/>
    <n v="1394"/>
    <n v="26242"/>
    <n v="49192"/>
    <n v="1524989"/>
    <n v="371462"/>
    <n v="735148"/>
    <n v="23962168"/>
    <n v="12031"/>
    <x v="48"/>
    <n v="41051"/>
    <n v="0"/>
    <n v="1"/>
  </r>
  <r>
    <x v="2"/>
    <n v="12"/>
    <x v="6"/>
    <n v="57"/>
    <x v="49"/>
    <n v="41"/>
    <s v="Oregon"/>
    <n v="51"/>
    <s v="Multnomah County"/>
    <n v="40"/>
    <n v="55"/>
    <n v="2469"/>
    <n v="39468"/>
    <n v="71924"/>
    <n v="2295261"/>
    <n v="536808"/>
    <n v="1094615"/>
    <n v="38473552"/>
    <n v="12057"/>
    <x v="49"/>
    <n v="41051"/>
    <n v="0"/>
    <n v="1"/>
  </r>
  <r>
    <x v="2"/>
    <n v="12"/>
    <x v="6"/>
    <n v="71"/>
    <x v="50"/>
    <n v="41"/>
    <s v="Oregon"/>
    <n v="51"/>
    <s v="Multnomah County"/>
    <n v="23"/>
    <n v="31"/>
    <n v="1341"/>
    <n v="18726"/>
    <n v="32182"/>
    <n v="1210500"/>
    <n v="285971"/>
    <n v="553258"/>
    <n v="23028040"/>
    <n v="12071"/>
    <x v="50"/>
    <n v="41051"/>
    <n v="0"/>
    <n v="1"/>
  </r>
  <r>
    <x v="2"/>
    <n v="12"/>
    <x v="6"/>
    <n v="86"/>
    <x v="52"/>
    <n v="41"/>
    <s v="Oregon"/>
    <n v="51"/>
    <s v="Multnomah County"/>
    <n v="48"/>
    <n v="69"/>
    <n v="2061"/>
    <n v="53971"/>
    <n v="95868"/>
    <n v="3297490"/>
    <n v="1084396"/>
    <n v="2066590"/>
    <n v="68365008"/>
    <n v="12086"/>
    <x v="52"/>
    <n v="41051"/>
    <n v="0"/>
    <n v="1"/>
  </r>
  <r>
    <x v="2"/>
    <n v="12"/>
    <x v="6"/>
    <n v="95"/>
    <x v="18"/>
    <n v="41"/>
    <s v="Oregon"/>
    <n v="51"/>
    <s v="Multnomah County"/>
    <n v="50"/>
    <n v="61"/>
    <n v="1687"/>
    <n v="48386"/>
    <n v="86093"/>
    <n v="2434634"/>
    <n v="525128"/>
    <n v="1055601"/>
    <n v="34630640"/>
    <n v="12095"/>
    <x v="53"/>
    <n v="41051"/>
    <n v="0"/>
    <n v="1"/>
  </r>
  <r>
    <x v="2"/>
    <n v="12"/>
    <x v="6"/>
    <n v="99"/>
    <x v="53"/>
    <n v="41"/>
    <s v="Oregon"/>
    <n v="51"/>
    <s v="Multnomah County"/>
    <n v="39"/>
    <n v="46"/>
    <n v="1997"/>
    <n v="35113"/>
    <n v="58932"/>
    <n v="2947278"/>
    <n v="589090"/>
    <n v="1127456"/>
    <n v="64226620"/>
    <n v="12099"/>
    <x v="54"/>
    <n v="41051"/>
    <n v="0"/>
    <n v="1"/>
  </r>
  <r>
    <x v="2"/>
    <n v="12"/>
    <x v="6"/>
    <n v="103"/>
    <x v="54"/>
    <n v="41"/>
    <s v="Oregon"/>
    <n v="51"/>
    <s v="Multnomah County"/>
    <n v="35"/>
    <n v="44"/>
    <n v="1992"/>
    <n v="26481"/>
    <n v="44064"/>
    <n v="1496575"/>
    <n v="396332"/>
    <n v="715105"/>
    <n v="28516988"/>
    <n v="12103"/>
    <x v="55"/>
    <n v="41051"/>
    <n v="0"/>
    <n v="1"/>
  </r>
  <r>
    <x v="2"/>
    <n v="12"/>
    <x v="6"/>
    <n v="115"/>
    <x v="197"/>
    <n v="41"/>
    <s v="Oregon"/>
    <n v="51"/>
    <s v="Multnomah County"/>
    <n v="21"/>
    <n v="30"/>
    <n v="175"/>
    <n v="12748"/>
    <n v="21212"/>
    <n v="805636"/>
    <n v="175828"/>
    <n v="319827"/>
    <n v="16280890"/>
    <n v="12115"/>
    <x v="218"/>
    <n v="41051"/>
    <n v="0"/>
    <n v="1"/>
  </r>
  <r>
    <x v="2"/>
    <n v="13"/>
    <x v="7"/>
    <n v="89"/>
    <x v="56"/>
    <n v="41"/>
    <s v="Oregon"/>
    <n v="51"/>
    <s v="Multnomah County"/>
    <n v="35"/>
    <n v="50"/>
    <n v="2375"/>
    <n v="33773"/>
    <n v="61985"/>
    <n v="2073195"/>
    <n v="281266"/>
    <n v="564739"/>
    <n v="21625336"/>
    <n v="13089"/>
    <x v="57"/>
    <n v="41051"/>
    <n v="0"/>
    <n v="1"/>
  </r>
  <r>
    <x v="2"/>
    <n v="13"/>
    <x v="7"/>
    <n v="121"/>
    <x v="57"/>
    <n v="41"/>
    <s v="Oregon"/>
    <n v="51"/>
    <s v="Multnomah County"/>
    <n v="82"/>
    <n v="117"/>
    <n v="6255"/>
    <n v="46756"/>
    <n v="82277"/>
    <n v="3541565"/>
    <n v="420326"/>
    <n v="799536"/>
    <n v="47594504"/>
    <n v="13121"/>
    <x v="58"/>
    <n v="41051"/>
    <n v="0"/>
    <n v="1"/>
  </r>
  <r>
    <x v="2"/>
    <n v="15"/>
    <x v="8"/>
    <n v="1"/>
    <x v="58"/>
    <n v="41"/>
    <s v="Oregon"/>
    <n v="51"/>
    <s v="Multnomah County"/>
    <n v="61"/>
    <n v="90"/>
    <n v="2065"/>
    <n v="3587"/>
    <n v="6460"/>
    <n v="196918"/>
    <n v="74488"/>
    <n v="148933"/>
    <n v="4551713"/>
    <n v="15001"/>
    <x v="59"/>
    <n v="41051"/>
    <n v="0"/>
    <n v="1"/>
  </r>
  <r>
    <x v="2"/>
    <n v="15"/>
    <x v="8"/>
    <n v="3"/>
    <x v="59"/>
    <n v="41"/>
    <s v="Oregon"/>
    <n v="51"/>
    <s v="Multnomah County"/>
    <n v="169"/>
    <n v="289"/>
    <n v="9698"/>
    <n v="23553"/>
    <n v="49685"/>
    <n v="1357379"/>
    <n v="411334"/>
    <n v="819158"/>
    <n v="30703236"/>
    <n v="15003"/>
    <x v="60"/>
    <n v="41051"/>
    <n v="0"/>
    <n v="1"/>
  </r>
  <r>
    <x v="2"/>
    <n v="15"/>
    <x v="8"/>
    <n v="9"/>
    <x v="61"/>
    <n v="41"/>
    <s v="Oregon"/>
    <n v="51"/>
    <s v="Multnomah County"/>
    <n v="33"/>
    <n v="48"/>
    <n v="827"/>
    <n v="3190"/>
    <n v="5459"/>
    <n v="194331"/>
    <n v="68081"/>
    <n v="132380"/>
    <n v="4509011"/>
    <n v="15009"/>
    <x v="62"/>
    <n v="41051"/>
    <n v="0"/>
    <n v="1"/>
  </r>
  <r>
    <x v="2"/>
    <n v="16"/>
    <x v="9"/>
    <n v="1"/>
    <x v="62"/>
    <n v="41"/>
    <s v="Oregon"/>
    <n v="51"/>
    <s v="Multnomah County"/>
    <n v="121"/>
    <n v="171"/>
    <n v="4868"/>
    <n v="11365"/>
    <n v="21756"/>
    <n v="627976"/>
    <n v="176535"/>
    <n v="381076"/>
    <n v="14570366"/>
    <n v="16001"/>
    <x v="63"/>
    <n v="41051"/>
    <n v="0"/>
    <n v="1"/>
  </r>
  <r>
    <x v="2"/>
    <n v="16"/>
    <x v="9"/>
    <n v="27"/>
    <x v="63"/>
    <n v="41"/>
    <s v="Oregon"/>
    <n v="51"/>
    <s v="Multnomah County"/>
    <n v="26"/>
    <n v="44"/>
    <n v="981"/>
    <n v="5432"/>
    <n v="11532"/>
    <n v="241643"/>
    <n v="72071"/>
    <n v="174922"/>
    <n v="3837435"/>
    <n v="16027"/>
    <x v="64"/>
    <n v="41051"/>
    <n v="0"/>
    <n v="1"/>
  </r>
  <r>
    <x v="2"/>
    <n v="16"/>
    <x v="9"/>
    <n v="55"/>
    <x v="64"/>
    <n v="41"/>
    <s v="Oregon"/>
    <n v="51"/>
    <s v="Multnomah County"/>
    <n v="25"/>
    <n v="28"/>
    <n v="569"/>
    <n v="3857"/>
    <n v="7098"/>
    <n v="188472"/>
    <n v="62689"/>
    <n v="132471"/>
    <n v="4074269"/>
    <n v="16055"/>
    <x v="65"/>
    <n v="41051"/>
    <n v="0"/>
    <n v="1"/>
  </r>
  <r>
    <x v="2"/>
    <n v="17"/>
    <x v="10"/>
    <n v="19"/>
    <x v="175"/>
    <n v="41"/>
    <s v="Oregon"/>
    <n v="51"/>
    <s v="Multnomah County"/>
    <n v="21"/>
    <n v="24"/>
    <n v="890"/>
    <n v="5860"/>
    <n v="9471"/>
    <n v="302673"/>
    <n v="73212"/>
    <n v="146064"/>
    <n v="5226619"/>
    <n v="17019"/>
    <x v="189"/>
    <n v="41051"/>
    <n v="0"/>
    <n v="1"/>
  </r>
  <r>
    <x v="2"/>
    <n v="17"/>
    <x v="10"/>
    <n v="31"/>
    <x v="65"/>
    <n v="41"/>
    <s v="Oregon"/>
    <n v="51"/>
    <s v="Multnomah County"/>
    <n v="327"/>
    <n v="442"/>
    <n v="24435"/>
    <n v="99917"/>
    <n v="177727"/>
    <n v="8635976"/>
    <n v="2111184"/>
    <n v="4297523"/>
    <n v="187099472"/>
    <n v="17031"/>
    <x v="66"/>
    <n v="41051"/>
    <n v="0"/>
    <n v="1"/>
  </r>
  <r>
    <x v="2"/>
    <n v="17"/>
    <x v="10"/>
    <n v="43"/>
    <x v="66"/>
    <n v="41"/>
    <s v="Oregon"/>
    <n v="51"/>
    <s v="Multnomah County"/>
    <n v="27"/>
    <n v="46"/>
    <n v="1798"/>
    <n v="29427"/>
    <n v="53117"/>
    <n v="2720734"/>
    <n v="388915"/>
    <n v="856526"/>
    <n v="44107408"/>
    <n v="17043"/>
    <x v="67"/>
    <n v="41051"/>
    <n v="0"/>
    <n v="1"/>
  </r>
  <r>
    <x v="2"/>
    <n v="17"/>
    <x v="10"/>
    <n v="89"/>
    <x v="198"/>
    <n v="41"/>
    <s v="Oregon"/>
    <n v="51"/>
    <s v="Multnomah County"/>
    <n v="23"/>
    <n v="30"/>
    <n v="944"/>
    <n v="14179"/>
    <n v="27427"/>
    <n v="964638"/>
    <n v="202899"/>
    <n v="473443"/>
    <n v="17764080"/>
    <n v="17089"/>
    <x v="219"/>
    <n v="41051"/>
    <n v="0"/>
    <n v="1"/>
  </r>
  <r>
    <x v="2"/>
    <n v="18"/>
    <x v="11"/>
    <n v="97"/>
    <x v="68"/>
    <n v="41"/>
    <s v="Oregon"/>
    <n v="51"/>
    <s v="Multnomah County"/>
    <n v="34"/>
    <n v="36"/>
    <n v="1864"/>
    <n v="27977"/>
    <n v="49941"/>
    <n v="1592435"/>
    <n v="375913"/>
    <n v="760219"/>
    <n v="23066234"/>
    <n v="18097"/>
    <x v="69"/>
    <n v="41051"/>
    <n v="0"/>
    <n v="1"/>
  </r>
  <r>
    <x v="2"/>
    <n v="18"/>
    <x v="11"/>
    <n v="141"/>
    <x v="199"/>
    <n v="41"/>
    <s v="Oregon"/>
    <n v="51"/>
    <s v="Multnomah County"/>
    <n v="21"/>
    <n v="38"/>
    <n v="750"/>
    <n v="6161"/>
    <n v="11259"/>
    <n v="352847"/>
    <n v="104690"/>
    <n v="217668"/>
    <n v="6897805"/>
    <n v="18141"/>
    <x v="220"/>
    <n v="41051"/>
    <n v="0"/>
    <n v="1"/>
  </r>
  <r>
    <x v="2"/>
    <n v="19"/>
    <x v="12"/>
    <n v="153"/>
    <x v="70"/>
    <n v="41"/>
    <s v="Oregon"/>
    <n v="51"/>
    <s v="Multnomah County"/>
    <n v="25"/>
    <n v="33"/>
    <n v="1164"/>
    <n v="12264"/>
    <n v="22163"/>
    <n v="742176"/>
    <n v="191708"/>
    <n v="407995"/>
    <n v="15858082"/>
    <n v="19153"/>
    <x v="71"/>
    <n v="41051"/>
    <n v="0"/>
    <n v="1"/>
  </r>
  <r>
    <x v="2"/>
    <n v="20"/>
    <x v="13"/>
    <n v="91"/>
    <x v="71"/>
    <n v="41"/>
    <s v="Oregon"/>
    <n v="51"/>
    <s v="Multnomah County"/>
    <n v="21"/>
    <n v="27"/>
    <n v="1053"/>
    <n v="16732"/>
    <n v="29884"/>
    <n v="1297304"/>
    <n v="239835"/>
    <n v="526918"/>
    <n v="27229240"/>
    <n v="20091"/>
    <x v="72"/>
    <n v="41051"/>
    <n v="0"/>
    <n v="1"/>
  </r>
  <r>
    <x v="2"/>
    <n v="21"/>
    <x v="14"/>
    <n v="111"/>
    <x v="42"/>
    <n v="41"/>
    <s v="Oregon"/>
    <n v="51"/>
    <s v="Multnomah County"/>
    <n v="26"/>
    <n v="33"/>
    <n v="1219"/>
    <n v="18142"/>
    <n v="33204"/>
    <n v="1191287"/>
    <n v="310223"/>
    <n v="611405"/>
    <n v="22820216"/>
    <n v="21111"/>
    <x v="73"/>
    <n v="41051"/>
    <n v="0"/>
    <n v="1"/>
  </r>
  <r>
    <x v="2"/>
    <n v="22"/>
    <x v="15"/>
    <n v="71"/>
    <x v="72"/>
    <n v="41"/>
    <s v="Oregon"/>
    <n v="51"/>
    <s v="Multnomah County"/>
    <n v="42"/>
    <n v="61"/>
    <n v="2089"/>
    <n v="12516"/>
    <n v="21951"/>
    <n v="679377"/>
    <n v="130579"/>
    <n v="247494"/>
    <n v="8802311"/>
    <n v="22071"/>
    <x v="74"/>
    <n v="41051"/>
    <n v="0"/>
    <n v="1"/>
  </r>
  <r>
    <x v="2"/>
    <n v="23"/>
    <x v="16"/>
    <n v="5"/>
    <x v="73"/>
    <n v="41"/>
    <s v="Oregon"/>
    <n v="51"/>
    <s v="Multnomah County"/>
    <n v="26"/>
    <n v="36"/>
    <n v="1547"/>
    <n v="8051"/>
    <n v="12786"/>
    <n v="522287"/>
    <n v="129372"/>
    <n v="246035"/>
    <n v="11253448"/>
    <n v="23005"/>
    <x v="75"/>
    <n v="41051"/>
    <n v="0"/>
    <n v="1"/>
  </r>
  <r>
    <x v="2"/>
    <n v="24"/>
    <x v="17"/>
    <n v="3"/>
    <x v="200"/>
    <n v="41"/>
    <s v="Oregon"/>
    <n v="51"/>
    <s v="Multnomah County"/>
    <n v="20"/>
    <n v="31"/>
    <n v="1500"/>
    <n v="18534"/>
    <n v="33940"/>
    <n v="1363209"/>
    <n v="236820"/>
    <n v="487234"/>
    <n v="24009516"/>
    <n v="24003"/>
    <x v="221"/>
    <n v="41051"/>
    <n v="0"/>
    <n v="1"/>
  </r>
  <r>
    <x v="2"/>
    <n v="24"/>
    <x v="17"/>
    <n v="5"/>
    <x v="177"/>
    <n v="41"/>
    <s v="Oregon"/>
    <n v="51"/>
    <s v="Multnomah County"/>
    <n v="24"/>
    <n v="37"/>
    <n v="1706"/>
    <n v="24223"/>
    <n v="43807"/>
    <n v="1545945"/>
    <n v="339687"/>
    <n v="682111"/>
    <n v="30304540"/>
    <n v="24005"/>
    <x v="193"/>
    <n v="41051"/>
    <n v="0"/>
    <n v="1"/>
  </r>
  <r>
    <x v="2"/>
    <n v="24"/>
    <x v="17"/>
    <n v="31"/>
    <x v="74"/>
    <n v="41"/>
    <s v="Oregon"/>
    <n v="51"/>
    <s v="Multnomah County"/>
    <n v="50"/>
    <n v="66"/>
    <n v="3591"/>
    <n v="31923"/>
    <n v="54801"/>
    <n v="2854908"/>
    <n v="437439"/>
    <n v="912137"/>
    <n v="55475688"/>
    <n v="24031"/>
    <x v="76"/>
    <n v="41051"/>
    <n v="0"/>
    <n v="1"/>
  </r>
  <r>
    <x v="2"/>
    <n v="24"/>
    <x v="17"/>
    <n v="510"/>
    <x v="75"/>
    <n v="41"/>
    <s v="Oregon"/>
    <n v="51"/>
    <s v="Multnomah County"/>
    <n v="37"/>
    <n v="50"/>
    <n v="3132"/>
    <n v="22353"/>
    <n v="39285"/>
    <n v="1310422"/>
    <n v="211338"/>
    <n v="392210"/>
    <n v="12948153"/>
    <n v="24510"/>
    <x v="77"/>
    <n v="41051"/>
    <n v="0"/>
    <n v="1"/>
  </r>
  <r>
    <x v="2"/>
    <n v="25"/>
    <x v="18"/>
    <n v="9"/>
    <x v="76"/>
    <n v="41"/>
    <s v="Oregon"/>
    <n v="51"/>
    <s v="Multnomah County"/>
    <n v="31"/>
    <n v="44"/>
    <n v="2441"/>
    <n v="17052"/>
    <n v="28167"/>
    <n v="1306437"/>
    <n v="330273"/>
    <n v="661390"/>
    <n v="32930730"/>
    <n v="25009"/>
    <x v="78"/>
    <n v="41051"/>
    <n v="0"/>
    <n v="1"/>
  </r>
  <r>
    <x v="2"/>
    <n v="25"/>
    <x v="18"/>
    <n v="15"/>
    <x v="77"/>
    <n v="41"/>
    <s v="Oregon"/>
    <n v="51"/>
    <s v="Multnomah County"/>
    <n v="22"/>
    <n v="26"/>
    <n v="1475"/>
    <n v="4734"/>
    <n v="6891"/>
    <n v="256570"/>
    <n v="62532"/>
    <n v="115681"/>
    <n v="4973166"/>
    <n v="25015"/>
    <x v="79"/>
    <n v="41051"/>
    <n v="0"/>
    <n v="1"/>
  </r>
  <r>
    <x v="2"/>
    <n v="25"/>
    <x v="18"/>
    <n v="17"/>
    <x v="78"/>
    <n v="41"/>
    <s v="Oregon"/>
    <n v="51"/>
    <s v="Multnomah County"/>
    <n v="99"/>
    <n v="141"/>
    <n v="11052"/>
    <n v="48832"/>
    <n v="76627"/>
    <n v="4967323"/>
    <n v="673085"/>
    <n v="1332971"/>
    <n v="91381280"/>
    <n v="25017"/>
    <x v="80"/>
    <n v="41051"/>
    <n v="0"/>
    <n v="1"/>
  </r>
  <r>
    <x v="2"/>
    <n v="25"/>
    <x v="18"/>
    <n v="21"/>
    <x v="79"/>
    <n v="41"/>
    <s v="Oregon"/>
    <n v="51"/>
    <s v="Multnomah County"/>
    <n v="35"/>
    <n v="52"/>
    <n v="3261"/>
    <n v="23361"/>
    <n v="37392"/>
    <n v="2372826"/>
    <n v="294449"/>
    <n v="605553"/>
    <n v="47678628"/>
    <n v="25021"/>
    <x v="81"/>
    <n v="41051"/>
    <n v="0"/>
    <n v="1"/>
  </r>
  <r>
    <x v="2"/>
    <n v="25"/>
    <x v="18"/>
    <n v="25"/>
    <x v="80"/>
    <n v="41"/>
    <s v="Oregon"/>
    <n v="51"/>
    <s v="Multnomah County"/>
    <n v="77"/>
    <n v="99"/>
    <n v="7660"/>
    <n v="37763"/>
    <n v="55621"/>
    <n v="3359985"/>
    <n v="325620"/>
    <n v="549889"/>
    <n v="37230740"/>
    <n v="25025"/>
    <x v="82"/>
    <n v="41051"/>
    <n v="0"/>
    <n v="1"/>
  </r>
  <r>
    <x v="2"/>
    <n v="26"/>
    <x v="19"/>
    <n v="81"/>
    <x v="81"/>
    <n v="41"/>
    <s v="Oregon"/>
    <n v="51"/>
    <s v="Multnomah County"/>
    <n v="39"/>
    <n v="52"/>
    <n v="1883"/>
    <n v="14214"/>
    <n v="25221"/>
    <n v="812323"/>
    <n v="256059"/>
    <n v="545154"/>
    <n v="19757024"/>
    <n v="26081"/>
    <x v="83"/>
    <n v="41051"/>
    <n v="0"/>
    <n v="1"/>
  </r>
  <r>
    <x v="2"/>
    <n v="26"/>
    <x v="19"/>
    <n v="125"/>
    <x v="82"/>
    <n v="41"/>
    <s v="Oregon"/>
    <n v="51"/>
    <s v="Multnomah County"/>
    <n v="53"/>
    <n v="72"/>
    <n v="3484"/>
    <n v="32217"/>
    <n v="55259"/>
    <n v="2312614"/>
    <n v="525952"/>
    <n v="1074078"/>
    <n v="57869480"/>
    <n v="26125"/>
    <x v="84"/>
    <n v="41051"/>
    <n v="0"/>
    <n v="1"/>
  </r>
  <r>
    <x v="2"/>
    <n v="26"/>
    <x v="19"/>
    <n v="161"/>
    <x v="83"/>
    <n v="41"/>
    <s v="Oregon"/>
    <n v="51"/>
    <s v="Multnomah County"/>
    <n v="55"/>
    <n v="82"/>
    <n v="3632"/>
    <n v="12465"/>
    <n v="19666"/>
    <n v="836654"/>
    <n v="139502"/>
    <n v="275539"/>
    <n v="13540593"/>
    <n v="26161"/>
    <x v="85"/>
    <n v="41051"/>
    <n v="0"/>
    <n v="1"/>
  </r>
  <r>
    <x v="2"/>
    <n v="26"/>
    <x v="19"/>
    <n v="163"/>
    <x v="84"/>
    <n v="41"/>
    <s v="Oregon"/>
    <n v="51"/>
    <s v="Multnomah County"/>
    <n v="27"/>
    <n v="40"/>
    <n v="1670"/>
    <n v="31938"/>
    <n v="57540"/>
    <n v="1770474"/>
    <n v="647884"/>
    <n v="1331206"/>
    <n v="38912560"/>
    <n v="26163"/>
    <x v="86"/>
    <n v="41051"/>
    <n v="0"/>
    <n v="1"/>
  </r>
  <r>
    <x v="2"/>
    <n v="27"/>
    <x v="20"/>
    <n v="53"/>
    <x v="85"/>
    <n v="41"/>
    <s v="Oregon"/>
    <n v="51"/>
    <s v="Multnomah County"/>
    <n v="135"/>
    <n v="180"/>
    <n v="10267"/>
    <n v="39681"/>
    <n v="66890"/>
    <n v="3010223"/>
    <n v="539675"/>
    <n v="1063279"/>
    <n v="58886152"/>
    <n v="27053"/>
    <x v="87"/>
    <n v="41051"/>
    <n v="0"/>
    <n v="1"/>
  </r>
  <r>
    <x v="2"/>
    <n v="27"/>
    <x v="20"/>
    <n v="123"/>
    <x v="86"/>
    <n v="41"/>
    <s v="Oregon"/>
    <n v="51"/>
    <s v="Multnomah County"/>
    <n v="34"/>
    <n v="54"/>
    <n v="2032"/>
    <n v="21069"/>
    <n v="35632"/>
    <n v="1231238"/>
    <n v="226002"/>
    <n v="448065"/>
    <n v="17525858"/>
    <n v="27123"/>
    <x v="88"/>
    <n v="41051"/>
    <n v="0"/>
    <n v="1"/>
  </r>
  <r>
    <x v="2"/>
    <n v="29"/>
    <x v="21"/>
    <n v="95"/>
    <x v="87"/>
    <n v="41"/>
    <s v="Oregon"/>
    <n v="51"/>
    <s v="Multnomah County"/>
    <n v="40"/>
    <n v="54"/>
    <n v="3440"/>
    <n v="19989"/>
    <n v="35096"/>
    <n v="1092040"/>
    <n v="271885"/>
    <n v="542224"/>
    <n v="17571160"/>
    <n v="29095"/>
    <x v="89"/>
    <n v="41051"/>
    <n v="0"/>
    <n v="1"/>
  </r>
  <r>
    <x v="2"/>
    <n v="29"/>
    <x v="21"/>
    <n v="189"/>
    <x v="88"/>
    <n v="41"/>
    <s v="Oregon"/>
    <n v="51"/>
    <s v="Multnomah County"/>
    <n v="28"/>
    <n v="49"/>
    <n v="2179"/>
    <n v="26440"/>
    <n v="47358"/>
    <n v="1837696"/>
    <n v="413579"/>
    <n v="842309"/>
    <n v="42827948"/>
    <n v="29189"/>
    <x v="90"/>
    <n v="41051"/>
    <n v="0"/>
    <n v="1"/>
  </r>
  <r>
    <x v="2"/>
    <n v="29"/>
    <x v="21"/>
    <n v="510"/>
    <x v="89"/>
    <n v="41"/>
    <s v="Oregon"/>
    <n v="51"/>
    <s v="Multnomah County"/>
    <n v="29"/>
    <n v="33"/>
    <n v="1250"/>
    <n v="14837"/>
    <n v="25824"/>
    <n v="790289"/>
    <n v="117606"/>
    <n v="208063"/>
    <n v="6442801"/>
    <n v="29510"/>
    <x v="91"/>
    <n v="41051"/>
    <n v="0"/>
    <n v="1"/>
  </r>
  <r>
    <x v="2"/>
    <n v="30"/>
    <x v="22"/>
    <n v="31"/>
    <x v="90"/>
    <n v="41"/>
    <s v="Oregon"/>
    <n v="51"/>
    <s v="Multnomah County"/>
    <n v="49"/>
    <n v="62"/>
    <n v="1937"/>
    <n v="4842"/>
    <n v="7850"/>
    <n v="247903"/>
    <n v="46952"/>
    <n v="89908"/>
    <n v="3864020"/>
    <n v="30031"/>
    <x v="92"/>
    <n v="41051"/>
    <n v="0"/>
    <n v="1"/>
  </r>
  <r>
    <x v="2"/>
    <n v="30"/>
    <x v="22"/>
    <n v="63"/>
    <x v="92"/>
    <n v="41"/>
    <s v="Oregon"/>
    <n v="51"/>
    <s v="Multnomah County"/>
    <n v="57"/>
    <n v="66"/>
    <n v="1345"/>
    <n v="3743"/>
    <n v="6035"/>
    <n v="164579"/>
    <n v="48241"/>
    <n v="89932"/>
    <n v="3641712"/>
    <n v="30063"/>
    <x v="94"/>
    <n v="41051"/>
    <n v="0"/>
    <n v="1"/>
  </r>
  <r>
    <x v="2"/>
    <n v="31"/>
    <x v="23"/>
    <n v="55"/>
    <x v="93"/>
    <n v="41"/>
    <s v="Oregon"/>
    <n v="51"/>
    <s v="Multnomah County"/>
    <n v="27"/>
    <n v="31"/>
    <n v="1793"/>
    <n v="14838"/>
    <n v="27586"/>
    <n v="943132"/>
    <n v="223852"/>
    <n v="479627"/>
    <n v="19368588"/>
    <n v="31055"/>
    <x v="95"/>
    <n v="41051"/>
    <n v="0"/>
    <n v="1"/>
  </r>
  <r>
    <x v="2"/>
    <n v="32"/>
    <x v="24"/>
    <n v="3"/>
    <x v="94"/>
    <n v="41"/>
    <s v="Oregon"/>
    <n v="51"/>
    <s v="Multnomah County"/>
    <n v="178"/>
    <n v="281"/>
    <n v="8686"/>
    <n v="37829"/>
    <n v="71114"/>
    <n v="2153378"/>
    <n v="834723"/>
    <n v="1736839"/>
    <n v="59458572"/>
    <n v="32003"/>
    <x v="96"/>
    <n v="41051"/>
    <n v="0"/>
    <n v="1"/>
  </r>
  <r>
    <x v="2"/>
    <n v="32"/>
    <x v="24"/>
    <n v="31"/>
    <x v="95"/>
    <n v="41"/>
    <s v="Oregon"/>
    <n v="51"/>
    <s v="Multnomah County"/>
    <n v="81"/>
    <n v="105"/>
    <n v="4679"/>
    <n v="10376"/>
    <n v="18015"/>
    <n v="692188"/>
    <n v="188898"/>
    <n v="375920"/>
    <n v="16696704"/>
    <n v="32031"/>
    <x v="97"/>
    <n v="41051"/>
    <n v="0"/>
    <n v="1"/>
  </r>
  <r>
    <x v="2"/>
    <n v="34"/>
    <x v="25"/>
    <n v="3"/>
    <x v="184"/>
    <n v="41"/>
    <s v="Oregon"/>
    <n v="51"/>
    <s v="Multnomah County"/>
    <n v="22"/>
    <n v="33"/>
    <n v="1960"/>
    <n v="22776"/>
    <n v="39242"/>
    <n v="2541550"/>
    <n v="389229"/>
    <n v="821306"/>
    <n v="53078416"/>
    <n v="34003"/>
    <x v="201"/>
    <n v="41051"/>
    <n v="0"/>
    <n v="1"/>
  </r>
  <r>
    <x v="2"/>
    <n v="34"/>
    <x v="25"/>
    <n v="17"/>
    <x v="96"/>
    <n v="41"/>
    <s v="Oregon"/>
    <n v="51"/>
    <s v="Multnomah County"/>
    <n v="23"/>
    <n v="35"/>
    <n v="2719"/>
    <n v="27767"/>
    <n v="48356"/>
    <n v="2819325"/>
    <n v="286917"/>
    <n v="539360"/>
    <n v="23481382"/>
    <n v="34017"/>
    <x v="98"/>
    <n v="41051"/>
    <n v="0"/>
    <n v="1"/>
  </r>
  <r>
    <x v="2"/>
    <n v="35"/>
    <x v="26"/>
    <n v="1"/>
    <x v="97"/>
    <n v="41"/>
    <s v="Oregon"/>
    <n v="51"/>
    <s v="Multnomah County"/>
    <n v="66"/>
    <n v="87"/>
    <n v="4209"/>
    <n v="14735"/>
    <n v="26871"/>
    <n v="804594"/>
    <n v="258937"/>
    <n v="513238"/>
    <n v="16590547"/>
    <n v="35001"/>
    <x v="99"/>
    <n v="41051"/>
    <n v="0"/>
    <n v="1"/>
  </r>
  <r>
    <x v="2"/>
    <n v="35"/>
    <x v="26"/>
    <n v="49"/>
    <x v="98"/>
    <n v="41"/>
    <s v="Oregon"/>
    <n v="51"/>
    <s v="Multnomah County"/>
    <n v="31"/>
    <n v="46"/>
    <n v="2142"/>
    <n v="3946"/>
    <n v="6551"/>
    <n v="285441"/>
    <n v="64270"/>
    <n v="119339"/>
    <n v="5045195"/>
    <n v="35049"/>
    <x v="100"/>
    <n v="41051"/>
    <n v="0"/>
    <n v="1"/>
  </r>
  <r>
    <x v="2"/>
    <n v="36"/>
    <x v="27"/>
    <n v="29"/>
    <x v="99"/>
    <n v="41"/>
    <s v="Oregon"/>
    <n v="51"/>
    <s v="Multnomah County"/>
    <n v="24"/>
    <n v="37"/>
    <n v="1202"/>
    <n v="12096"/>
    <n v="20090"/>
    <n v="733079"/>
    <n v="377098"/>
    <n v="732775"/>
    <n v="26763218"/>
    <n v="36029"/>
    <x v="101"/>
    <n v="41051"/>
    <n v="0"/>
    <n v="1"/>
  </r>
  <r>
    <x v="2"/>
    <n v="36"/>
    <x v="27"/>
    <n v="47"/>
    <x v="100"/>
    <n v="41"/>
    <s v="Oregon"/>
    <n v="51"/>
    <s v="Multnomah County"/>
    <n v="277"/>
    <n v="353"/>
    <n v="31741"/>
    <n v="74648"/>
    <n v="129640"/>
    <n v="5107766"/>
    <n v="1049329"/>
    <n v="2045259"/>
    <n v="71179336"/>
    <n v="36047"/>
    <x v="102"/>
    <n v="41051"/>
    <n v="0"/>
    <n v="1"/>
  </r>
  <r>
    <x v="2"/>
    <n v="36"/>
    <x v="27"/>
    <n v="55"/>
    <x v="69"/>
    <n v="41"/>
    <s v="Oregon"/>
    <n v="51"/>
    <s v="Multnomah County"/>
    <n v="27"/>
    <n v="39"/>
    <n v="1531"/>
    <n v="11665"/>
    <n v="19062"/>
    <n v="803631"/>
    <n v="307251"/>
    <n v="599500"/>
    <n v="22785662"/>
    <n v="36055"/>
    <x v="103"/>
    <n v="41051"/>
    <n v="0"/>
    <n v="1"/>
  </r>
  <r>
    <x v="2"/>
    <n v="36"/>
    <x v="27"/>
    <n v="61"/>
    <x v="102"/>
    <n v="41"/>
    <s v="Oregon"/>
    <n v="51"/>
    <s v="Multnomah County"/>
    <n v="153"/>
    <n v="211"/>
    <n v="20987"/>
    <n v="78383"/>
    <n v="116826"/>
    <n v="12457250"/>
    <n v="766007"/>
    <n v="1235697"/>
    <n v="191752032"/>
    <n v="36061"/>
    <x v="105"/>
    <n v="41051"/>
    <n v="0"/>
    <n v="1"/>
  </r>
  <r>
    <x v="2"/>
    <n v="36"/>
    <x v="27"/>
    <n v="67"/>
    <x v="185"/>
    <n v="41"/>
    <s v="Oregon"/>
    <n v="51"/>
    <s v="Multnomah County"/>
    <n v="23"/>
    <n v="30"/>
    <n v="969"/>
    <n v="8734"/>
    <n v="14363"/>
    <n v="654770"/>
    <n v="188599"/>
    <n v="372882"/>
    <n v="13877998"/>
    <n v="36067"/>
    <x v="203"/>
    <n v="41051"/>
    <n v="0"/>
    <n v="1"/>
  </r>
  <r>
    <x v="2"/>
    <n v="36"/>
    <x v="27"/>
    <n v="81"/>
    <x v="103"/>
    <n v="41"/>
    <s v="Oregon"/>
    <n v="51"/>
    <s v="Multnomah County"/>
    <n v="88"/>
    <n v="124"/>
    <n v="6456"/>
    <n v="62338"/>
    <n v="113004"/>
    <n v="3965532"/>
    <n v="991978"/>
    <n v="1926373"/>
    <n v="57934348"/>
    <n v="36081"/>
    <x v="106"/>
    <n v="41051"/>
    <n v="0"/>
    <n v="1"/>
  </r>
  <r>
    <x v="2"/>
    <n v="36"/>
    <x v="27"/>
    <n v="103"/>
    <x v="80"/>
    <n v="41"/>
    <s v="Oregon"/>
    <n v="51"/>
    <s v="Multnomah County"/>
    <n v="21"/>
    <n v="28"/>
    <n v="1173"/>
    <n v="25195"/>
    <n v="42112"/>
    <n v="2259264"/>
    <n v="649268"/>
    <n v="1319430"/>
    <n v="66610252"/>
    <n v="36103"/>
    <x v="107"/>
    <n v="41051"/>
    <n v="0"/>
    <n v="1"/>
  </r>
  <r>
    <x v="2"/>
    <n v="36"/>
    <x v="27"/>
    <n v="119"/>
    <x v="104"/>
    <n v="41"/>
    <s v="Oregon"/>
    <n v="51"/>
    <s v="Multnomah County"/>
    <n v="26"/>
    <n v="39"/>
    <n v="2714"/>
    <n v="22458"/>
    <n v="39532"/>
    <n v="3068750"/>
    <n v="405001"/>
    <n v="838880"/>
    <n v="71931120"/>
    <n v="36119"/>
    <x v="108"/>
    <n v="41051"/>
    <n v="0"/>
    <n v="1"/>
  </r>
  <r>
    <x v="2"/>
    <n v="37"/>
    <x v="28"/>
    <n v="21"/>
    <x v="105"/>
    <n v="41"/>
    <s v="Oregon"/>
    <n v="51"/>
    <s v="Multnomah County"/>
    <n v="28"/>
    <n v="31"/>
    <n v="687"/>
    <n v="7851"/>
    <n v="12903"/>
    <n v="408555"/>
    <n v="105994"/>
    <n v="203011"/>
    <n v="7411783"/>
    <n v="37021"/>
    <x v="109"/>
    <n v="41051"/>
    <n v="0"/>
    <n v="1"/>
  </r>
  <r>
    <x v="2"/>
    <n v="37"/>
    <x v="28"/>
    <n v="63"/>
    <x v="186"/>
    <n v="41"/>
    <s v="Oregon"/>
    <n v="51"/>
    <s v="Multnomah County"/>
    <n v="29"/>
    <n v="39"/>
    <n v="1419"/>
    <n v="12501"/>
    <n v="21574"/>
    <n v="772302"/>
    <n v="120186"/>
    <n v="236784"/>
    <n v="8965125"/>
    <n v="37063"/>
    <x v="204"/>
    <n v="41051"/>
    <n v="0"/>
    <n v="1"/>
  </r>
  <r>
    <x v="2"/>
    <n v="37"/>
    <x v="28"/>
    <n v="119"/>
    <x v="106"/>
    <n v="41"/>
    <s v="Oregon"/>
    <n v="51"/>
    <s v="Multnomah County"/>
    <n v="51"/>
    <n v="75"/>
    <n v="5117"/>
    <n v="34265"/>
    <n v="63490"/>
    <n v="2508790"/>
    <n v="409757"/>
    <n v="849034"/>
    <n v="39824752"/>
    <n v="37119"/>
    <x v="110"/>
    <n v="41051"/>
    <n v="0"/>
    <n v="1"/>
  </r>
  <r>
    <x v="2"/>
    <n v="37"/>
    <x v="28"/>
    <n v="183"/>
    <x v="107"/>
    <n v="41"/>
    <s v="Oregon"/>
    <n v="51"/>
    <s v="Multnomah County"/>
    <n v="38"/>
    <n v="50"/>
    <n v="2277"/>
    <n v="29796"/>
    <n v="53807"/>
    <n v="2006455"/>
    <n v="409125"/>
    <n v="896195"/>
    <n v="39947116"/>
    <n v="37183"/>
    <x v="112"/>
    <n v="41051"/>
    <n v="0"/>
    <n v="1"/>
  </r>
  <r>
    <x v="2"/>
    <n v="39"/>
    <x v="29"/>
    <n v="35"/>
    <x v="108"/>
    <n v="41"/>
    <s v="Oregon"/>
    <n v="51"/>
    <s v="Multnomah County"/>
    <n v="34"/>
    <n v="42"/>
    <n v="2043"/>
    <n v="23414"/>
    <n v="39738"/>
    <n v="1719349"/>
    <n v="515174"/>
    <n v="976450"/>
    <n v="37483500"/>
    <n v="39035"/>
    <x v="113"/>
    <n v="41051"/>
    <n v="0"/>
    <n v="1"/>
  </r>
  <r>
    <x v="2"/>
    <n v="39"/>
    <x v="29"/>
    <n v="49"/>
    <x v="109"/>
    <n v="41"/>
    <s v="Oregon"/>
    <n v="51"/>
    <s v="Multnomah County"/>
    <n v="72"/>
    <n v="111"/>
    <n v="4629"/>
    <n v="32859"/>
    <n v="58369"/>
    <n v="2059863"/>
    <n v="522302"/>
    <n v="1025997"/>
    <n v="37834620"/>
    <n v="39049"/>
    <x v="114"/>
    <n v="41051"/>
    <n v="0"/>
    <n v="1"/>
  </r>
  <r>
    <x v="2"/>
    <n v="39"/>
    <x v="29"/>
    <n v="61"/>
    <x v="110"/>
    <n v="41"/>
    <s v="Oregon"/>
    <n v="51"/>
    <s v="Multnomah County"/>
    <n v="38"/>
    <n v="56"/>
    <n v="3133"/>
    <n v="19465"/>
    <n v="33177"/>
    <n v="1399807"/>
    <n v="333284"/>
    <n v="655199"/>
    <n v="27998586"/>
    <n v="39061"/>
    <x v="115"/>
    <n v="41051"/>
    <n v="0"/>
    <n v="1"/>
  </r>
  <r>
    <x v="2"/>
    <n v="40"/>
    <x v="30"/>
    <n v="109"/>
    <x v="111"/>
    <n v="41"/>
    <s v="Oregon"/>
    <n v="51"/>
    <s v="Multnomah County"/>
    <n v="32"/>
    <n v="44"/>
    <n v="1631"/>
    <n v="19558"/>
    <n v="38716"/>
    <n v="1099155"/>
    <n v="276864"/>
    <n v="592021"/>
    <n v="20920284"/>
    <n v="40109"/>
    <x v="116"/>
    <n v="41051"/>
    <n v="0"/>
    <n v="1"/>
  </r>
  <r>
    <x v="2"/>
    <n v="40"/>
    <x v="30"/>
    <n v="143"/>
    <x v="112"/>
    <n v="41"/>
    <s v="Oregon"/>
    <n v="51"/>
    <s v="Multnomah County"/>
    <n v="29"/>
    <n v="49"/>
    <n v="1610"/>
    <n v="15085"/>
    <n v="30039"/>
    <n v="861336"/>
    <n v="231801"/>
    <n v="505657"/>
    <n v="18486966"/>
    <n v="40143"/>
    <x v="117"/>
    <n v="41051"/>
    <n v="0"/>
    <n v="1"/>
  </r>
  <r>
    <x v="2"/>
    <n v="41"/>
    <x v="31"/>
    <n v="3"/>
    <x v="113"/>
    <n v="41"/>
    <s v="Oregon"/>
    <n v="51"/>
    <s v="Multnomah County"/>
    <n v="269"/>
    <n v="317"/>
    <n v="10701"/>
    <n v="3675"/>
    <n v="5730"/>
    <n v="189324"/>
    <n v="32856"/>
    <n v="64118"/>
    <n v="2693650"/>
    <n v="41003"/>
    <x v="118"/>
    <n v="41051"/>
    <n v="0"/>
    <n v="1"/>
  </r>
  <r>
    <x v="2"/>
    <n v="41"/>
    <x v="31"/>
    <n v="5"/>
    <x v="114"/>
    <n v="41"/>
    <s v="Oregon"/>
    <n v="51"/>
    <s v="Multnomah County"/>
    <n v="4023"/>
    <n v="6351"/>
    <n v="228376"/>
    <n v="13802"/>
    <n v="24048"/>
    <n v="973878"/>
    <n v="165020"/>
    <n v="345268"/>
    <n v="16291163"/>
    <n v="41005"/>
    <x v="119"/>
    <n v="41051"/>
    <n v="0"/>
    <n v="1"/>
  </r>
  <r>
    <x v="2"/>
    <n v="41"/>
    <x v="31"/>
    <n v="7"/>
    <x v="115"/>
    <n v="41"/>
    <s v="Oregon"/>
    <n v="51"/>
    <s v="Multnomah County"/>
    <n v="95"/>
    <n v="132"/>
    <n v="6879"/>
    <n v="1310"/>
    <n v="2333"/>
    <n v="68182"/>
    <n v="15363"/>
    <n v="30231"/>
    <n v="943707"/>
    <n v="41007"/>
    <x v="120"/>
    <n v="41051"/>
    <n v="0"/>
    <n v="1"/>
  </r>
  <r>
    <x v="2"/>
    <n v="41"/>
    <x v="31"/>
    <n v="9"/>
    <x v="116"/>
    <n v="41"/>
    <s v="Oregon"/>
    <n v="51"/>
    <s v="Multnomah County"/>
    <n v="186"/>
    <n v="300"/>
    <n v="14228"/>
    <n v="1276"/>
    <n v="2475"/>
    <n v="70088"/>
    <n v="19451"/>
    <n v="40788"/>
    <n v="1313654"/>
    <n v="41009"/>
    <x v="121"/>
    <n v="41051"/>
    <n v="0"/>
    <n v="1"/>
  </r>
  <r>
    <x v="2"/>
    <n v="41"/>
    <x v="31"/>
    <n v="11"/>
    <x v="117"/>
    <n v="41"/>
    <s v="Oregon"/>
    <n v="51"/>
    <s v="Multnomah County"/>
    <n v="33"/>
    <n v="50"/>
    <n v="1513"/>
    <n v="1416"/>
    <n v="2559"/>
    <n v="69852"/>
    <n v="23085"/>
    <n v="45627"/>
    <n v="1326554"/>
    <n v="41011"/>
    <x v="122"/>
    <n v="41051"/>
    <n v="0"/>
    <n v="1"/>
  </r>
  <r>
    <x v="2"/>
    <n v="41"/>
    <x v="31"/>
    <n v="17"/>
    <x v="118"/>
    <n v="41"/>
    <s v="Oregon"/>
    <n v="51"/>
    <s v="Multnomah County"/>
    <n v="275"/>
    <n v="385"/>
    <n v="17111"/>
    <n v="5355"/>
    <n v="9263"/>
    <n v="345001"/>
    <n v="76795"/>
    <n v="154092"/>
    <n v="6156952"/>
    <n v="41017"/>
    <x v="123"/>
    <n v="41051"/>
    <n v="0"/>
    <n v="1"/>
  </r>
  <r>
    <x v="2"/>
    <n v="41"/>
    <x v="31"/>
    <n v="19"/>
    <x v="93"/>
    <n v="41"/>
    <s v="Oregon"/>
    <n v="51"/>
    <s v="Multnomah County"/>
    <n v="73"/>
    <n v="119"/>
    <n v="3465"/>
    <n v="2117"/>
    <n v="3749"/>
    <n v="98973"/>
    <n v="38628"/>
    <n v="79148"/>
    <n v="2074837"/>
    <n v="41019"/>
    <x v="124"/>
    <n v="41051"/>
    <n v="0"/>
    <n v="1"/>
  </r>
  <r>
    <x v="2"/>
    <n v="41"/>
    <x v="31"/>
    <n v="27"/>
    <x v="119"/>
    <n v="41"/>
    <s v="Oregon"/>
    <n v="51"/>
    <s v="Multnomah County"/>
    <n v="96"/>
    <n v="148"/>
    <n v="4264"/>
    <n v="743"/>
    <n v="1309"/>
    <n v="39852"/>
    <n v="9909"/>
    <n v="21932"/>
    <n v="724313"/>
    <n v="41027"/>
    <x v="125"/>
    <n v="41051"/>
    <n v="0"/>
    <n v="1"/>
  </r>
  <r>
    <x v="2"/>
    <n v="41"/>
    <x v="31"/>
    <n v="29"/>
    <x v="87"/>
    <n v="41"/>
    <s v="Oregon"/>
    <n v="51"/>
    <s v="Multnomah County"/>
    <n v="228"/>
    <n v="311"/>
    <n v="10359"/>
    <n v="4658"/>
    <n v="8034"/>
    <n v="239836"/>
    <n v="84608"/>
    <n v="170113"/>
    <n v="5437640"/>
    <n v="41029"/>
    <x v="126"/>
    <n v="41051"/>
    <n v="0"/>
    <n v="1"/>
  </r>
  <r>
    <x v="2"/>
    <n v="41"/>
    <x v="31"/>
    <n v="31"/>
    <x v="42"/>
    <n v="41"/>
    <s v="Oregon"/>
    <n v="51"/>
    <s v="Multnomah County"/>
    <n v="26"/>
    <n v="41"/>
    <n v="988"/>
    <n v="619"/>
    <n v="1150"/>
    <n v="24601"/>
    <n v="7924"/>
    <n v="17516"/>
    <n v="395688"/>
    <n v="41031"/>
    <x v="127"/>
    <n v="41051"/>
    <n v="0"/>
    <n v="1"/>
  </r>
  <r>
    <x v="2"/>
    <n v="41"/>
    <x v="31"/>
    <n v="33"/>
    <x v="120"/>
    <n v="41"/>
    <s v="Oregon"/>
    <n v="51"/>
    <s v="Multnomah County"/>
    <n v="61"/>
    <n v="82"/>
    <n v="2095"/>
    <n v="1996"/>
    <n v="3408"/>
    <n v="82376"/>
    <n v="31138"/>
    <n v="62204"/>
    <n v="1781742"/>
    <n v="41033"/>
    <x v="128"/>
    <n v="41051"/>
    <n v="0"/>
    <n v="1"/>
  </r>
  <r>
    <x v="2"/>
    <n v="41"/>
    <x v="31"/>
    <n v="35"/>
    <x v="121"/>
    <n v="41"/>
    <s v="Oregon"/>
    <n v="51"/>
    <s v="Multnomah County"/>
    <n v="43"/>
    <n v="68"/>
    <n v="2014"/>
    <n v="1581"/>
    <n v="2890"/>
    <n v="73347"/>
    <n v="23447"/>
    <n v="49063"/>
    <n v="1241443"/>
    <n v="41035"/>
    <x v="129"/>
    <n v="41051"/>
    <n v="0"/>
    <n v="1"/>
  </r>
  <r>
    <x v="2"/>
    <n v="41"/>
    <x v="31"/>
    <n v="39"/>
    <x v="122"/>
    <n v="41"/>
    <s v="Oregon"/>
    <n v="51"/>
    <s v="Multnomah County"/>
    <n v="660"/>
    <n v="847"/>
    <n v="24721"/>
    <n v="8107"/>
    <n v="13213"/>
    <n v="384889"/>
    <n v="141736"/>
    <n v="273245"/>
    <n v="9583650"/>
    <n v="41039"/>
    <x v="130"/>
    <n v="41051"/>
    <n v="0"/>
    <n v="1"/>
  </r>
  <r>
    <x v="2"/>
    <n v="41"/>
    <x v="31"/>
    <n v="41"/>
    <x v="123"/>
    <n v="41"/>
    <s v="Oregon"/>
    <n v="51"/>
    <s v="Multnomah County"/>
    <n v="63"/>
    <n v="84"/>
    <n v="4084"/>
    <n v="1571"/>
    <n v="2674"/>
    <n v="78133"/>
    <n v="18818"/>
    <n v="35808"/>
    <n v="1075583"/>
    <n v="41041"/>
    <x v="131"/>
    <n v="41051"/>
    <n v="0"/>
    <n v="1"/>
  </r>
  <r>
    <x v="2"/>
    <n v="41"/>
    <x v="31"/>
    <n v="43"/>
    <x v="124"/>
    <n v="41"/>
    <s v="Oregon"/>
    <n v="51"/>
    <s v="Multnomah County"/>
    <n v="90"/>
    <n v="124"/>
    <n v="2961"/>
    <n v="3159"/>
    <n v="5771"/>
    <n v="139757"/>
    <n v="45738"/>
    <n v="97017"/>
    <n v="2670179"/>
    <n v="41043"/>
    <x v="132"/>
    <n v="41051"/>
    <n v="0"/>
    <n v="1"/>
  </r>
  <r>
    <x v="2"/>
    <n v="41"/>
    <x v="31"/>
    <n v="47"/>
    <x v="68"/>
    <n v="41"/>
    <s v="Oregon"/>
    <n v="51"/>
    <s v="Multnomah County"/>
    <n v="498"/>
    <n v="798"/>
    <n v="22796"/>
    <n v="7486"/>
    <n v="14093"/>
    <n v="380514"/>
    <n v="123123"/>
    <n v="272006"/>
    <n v="8073626"/>
    <n v="41047"/>
    <x v="133"/>
    <n v="41051"/>
    <n v="0"/>
    <n v="1"/>
  </r>
  <r>
    <x v="2"/>
    <n v="41"/>
    <x v="31"/>
    <n v="53"/>
    <x v="70"/>
    <n v="41"/>
    <s v="Oregon"/>
    <n v="51"/>
    <s v="Multnomah County"/>
    <n v="102"/>
    <n v="151"/>
    <n v="3829"/>
    <n v="3053"/>
    <n v="5656"/>
    <n v="154119"/>
    <n v="29977"/>
    <n v="65837"/>
    <n v="2068743"/>
    <n v="41053"/>
    <x v="134"/>
    <n v="41051"/>
    <n v="0"/>
    <n v="1"/>
  </r>
  <r>
    <x v="2"/>
    <n v="41"/>
    <x v="31"/>
    <n v="57"/>
    <x v="125"/>
    <n v="41"/>
    <s v="Oregon"/>
    <n v="51"/>
    <s v="Multnomah County"/>
    <n v="67"/>
    <n v="104"/>
    <n v="3204"/>
    <n v="701"/>
    <n v="1229"/>
    <n v="31575"/>
    <n v="10271"/>
    <n v="20515"/>
    <n v="638258"/>
    <n v="41057"/>
    <x v="135"/>
    <n v="41051"/>
    <n v="0"/>
    <n v="1"/>
  </r>
  <r>
    <x v="2"/>
    <n v="41"/>
    <x v="31"/>
    <n v="59"/>
    <x v="126"/>
    <n v="41"/>
    <s v="Oregon"/>
    <n v="51"/>
    <s v="Multnomah County"/>
    <n v="51"/>
    <n v="81"/>
    <n v="2570"/>
    <n v="1520"/>
    <n v="2976"/>
    <n v="65197"/>
    <n v="26293"/>
    <n v="59276"/>
    <n v="1466837"/>
    <n v="41059"/>
    <x v="136"/>
    <n v="41051"/>
    <n v="0"/>
    <n v="1"/>
  </r>
  <r>
    <x v="2"/>
    <n v="41"/>
    <x v="31"/>
    <n v="65"/>
    <x v="127"/>
    <n v="41"/>
    <s v="Oregon"/>
    <n v="51"/>
    <s v="Multnomah County"/>
    <n v="60"/>
    <n v="94"/>
    <n v="2420"/>
    <n v="700"/>
    <n v="1334"/>
    <n v="33008"/>
    <n v="9616"/>
    <n v="20305"/>
    <n v="545079"/>
    <n v="41065"/>
    <x v="137"/>
    <n v="41051"/>
    <n v="0"/>
    <n v="1"/>
  </r>
  <r>
    <x v="2"/>
    <n v="41"/>
    <x v="31"/>
    <n v="67"/>
    <x v="128"/>
    <n v="41"/>
    <s v="Oregon"/>
    <n v="51"/>
    <s v="Multnomah County"/>
    <n v="4386"/>
    <n v="6311"/>
    <n v="277260"/>
    <n v="18994"/>
    <n v="33080"/>
    <n v="1352103"/>
    <n v="233565"/>
    <n v="495695"/>
    <n v="22285160"/>
    <n v="41067"/>
    <x v="138"/>
    <n v="41051"/>
    <n v="0"/>
    <n v="1"/>
  </r>
  <r>
    <x v="2"/>
    <n v="41"/>
    <x v="31"/>
    <n v="71"/>
    <x v="129"/>
    <n v="41"/>
    <s v="Oregon"/>
    <n v="51"/>
    <s v="Multnomah County"/>
    <n v="201"/>
    <n v="289"/>
    <n v="10316"/>
    <n v="2750"/>
    <n v="4978"/>
    <n v="154141"/>
    <n v="38011"/>
    <n v="83373"/>
    <n v="2756040"/>
    <n v="41071"/>
    <x v="139"/>
    <n v="41051"/>
    <n v="0"/>
    <n v="1"/>
  </r>
  <r>
    <x v="2"/>
    <n v="42"/>
    <x v="32"/>
    <n v="3"/>
    <x v="130"/>
    <n v="41"/>
    <s v="Oregon"/>
    <n v="51"/>
    <s v="Multnomah County"/>
    <n v="48"/>
    <n v="58"/>
    <n v="3026"/>
    <n v="23090"/>
    <n v="37602"/>
    <n v="1733153"/>
    <n v="527514"/>
    <n v="998737"/>
    <n v="44627464"/>
    <n v="42003"/>
    <x v="140"/>
    <n v="41051"/>
    <n v="0"/>
    <n v="1"/>
  </r>
  <r>
    <x v="2"/>
    <n v="42"/>
    <x v="32"/>
    <n v="101"/>
    <x v="131"/>
    <n v="41"/>
    <s v="Oregon"/>
    <n v="51"/>
    <s v="Multnomah County"/>
    <n v="86"/>
    <n v="113"/>
    <n v="4890"/>
    <n v="35892"/>
    <n v="61031"/>
    <n v="2318078"/>
    <n v="562489"/>
    <n v="1063321"/>
    <n v="32771902"/>
    <n v="42101"/>
    <x v="142"/>
    <n v="41051"/>
    <n v="0"/>
    <n v="1"/>
  </r>
  <r>
    <x v="2"/>
    <n v="44"/>
    <x v="33"/>
    <n v="7"/>
    <x v="132"/>
    <n v="41"/>
    <s v="Oregon"/>
    <n v="51"/>
    <s v="Multnomah County"/>
    <n v="22"/>
    <n v="25"/>
    <n v="1030"/>
    <n v="13416"/>
    <n v="21972"/>
    <n v="882069"/>
    <n v="259052"/>
    <n v="497179"/>
    <n v="16739347"/>
    <n v="44007"/>
    <x v="143"/>
    <n v="41051"/>
    <n v="0"/>
    <n v="1"/>
  </r>
  <r>
    <x v="2"/>
    <n v="45"/>
    <x v="44"/>
    <n v="19"/>
    <x v="191"/>
    <n v="41"/>
    <s v="Oregon"/>
    <n v="51"/>
    <s v="Multnomah County"/>
    <n v="34"/>
    <n v="41"/>
    <n v="1611"/>
    <n v="14357"/>
    <n v="25005"/>
    <n v="880033"/>
    <n v="156159"/>
    <n v="302760"/>
    <n v="14420212"/>
    <n v="45019"/>
    <x v="210"/>
    <n v="41051"/>
    <n v="0"/>
    <n v="1"/>
  </r>
  <r>
    <x v="2"/>
    <n v="47"/>
    <x v="34"/>
    <n v="37"/>
    <x v="133"/>
    <n v="41"/>
    <s v="Oregon"/>
    <n v="51"/>
    <s v="Multnomah County"/>
    <n v="69"/>
    <n v="95"/>
    <n v="5201"/>
    <n v="28788"/>
    <n v="51007"/>
    <n v="1766260"/>
    <n v="284839"/>
    <n v="536557"/>
    <n v="23337238"/>
    <n v="47037"/>
    <x v="144"/>
    <n v="41051"/>
    <n v="0"/>
    <n v="1"/>
  </r>
  <r>
    <x v="2"/>
    <n v="48"/>
    <x v="35"/>
    <n v="29"/>
    <x v="136"/>
    <n v="41"/>
    <s v="Oregon"/>
    <n v="51"/>
    <s v="Multnomah County"/>
    <n v="48"/>
    <n v="80"/>
    <n v="3133"/>
    <n v="37765"/>
    <n v="75104"/>
    <n v="2337232"/>
    <n v="713016"/>
    <n v="1529999"/>
    <n v="46815588"/>
    <n v="48029"/>
    <x v="147"/>
    <n v="41051"/>
    <n v="0"/>
    <n v="1"/>
  </r>
  <r>
    <x v="2"/>
    <n v="48"/>
    <x v="35"/>
    <n v="85"/>
    <x v="137"/>
    <n v="41"/>
    <s v="Oregon"/>
    <n v="51"/>
    <s v="Multnomah County"/>
    <n v="29"/>
    <n v="31"/>
    <n v="1169"/>
    <n v="33124"/>
    <n v="62583"/>
    <n v="2799188"/>
    <n v="354522"/>
    <n v="841164"/>
    <n v="40929200"/>
    <n v="48085"/>
    <x v="148"/>
    <n v="41051"/>
    <n v="0"/>
    <n v="1"/>
  </r>
  <r>
    <x v="2"/>
    <n v="48"/>
    <x v="35"/>
    <n v="113"/>
    <x v="138"/>
    <n v="41"/>
    <s v="Oregon"/>
    <n v="51"/>
    <s v="Multnomah County"/>
    <n v="87"/>
    <n v="129"/>
    <n v="6208"/>
    <n v="74616"/>
    <n v="140693"/>
    <n v="5021466"/>
    <n v="966055"/>
    <n v="2098685"/>
    <n v="82721696"/>
    <n v="48113"/>
    <x v="149"/>
    <n v="41051"/>
    <n v="0"/>
    <n v="1"/>
  </r>
  <r>
    <x v="2"/>
    <n v="48"/>
    <x v="35"/>
    <n v="121"/>
    <x v="192"/>
    <n v="41"/>
    <s v="Oregon"/>
    <n v="51"/>
    <s v="Multnomah County"/>
    <n v="27"/>
    <n v="35"/>
    <n v="1207"/>
    <n v="30676"/>
    <n v="57830"/>
    <n v="2278124"/>
    <n v="305483"/>
    <n v="699458"/>
    <n v="30456194"/>
    <n v="48121"/>
    <x v="211"/>
    <n v="41051"/>
    <n v="0"/>
    <n v="1"/>
  </r>
  <r>
    <x v="2"/>
    <n v="48"/>
    <x v="35"/>
    <n v="201"/>
    <x v="139"/>
    <n v="41"/>
    <s v="Oregon"/>
    <n v="51"/>
    <s v="Multnomah County"/>
    <n v="127"/>
    <n v="184"/>
    <n v="8912"/>
    <n v="93667"/>
    <n v="186424"/>
    <n v="6733679"/>
    <n v="1613405"/>
    <n v="3595212"/>
    <n v="126855000"/>
    <n v="48201"/>
    <x v="151"/>
    <n v="41051"/>
    <n v="0"/>
    <n v="1"/>
  </r>
  <r>
    <x v="2"/>
    <n v="48"/>
    <x v="35"/>
    <n v="439"/>
    <x v="140"/>
    <n v="41"/>
    <s v="Oregon"/>
    <n v="51"/>
    <s v="Multnomah County"/>
    <n v="58"/>
    <n v="94"/>
    <n v="3405"/>
    <n v="52180"/>
    <n v="102217"/>
    <n v="3356602"/>
    <n v="758907"/>
    <n v="1691783"/>
    <n v="65816716"/>
    <n v="48439"/>
    <x v="152"/>
    <n v="41051"/>
    <n v="0"/>
    <n v="1"/>
  </r>
  <r>
    <x v="2"/>
    <n v="48"/>
    <x v="35"/>
    <n v="453"/>
    <x v="141"/>
    <n v="41"/>
    <s v="Oregon"/>
    <n v="51"/>
    <s v="Multnomah County"/>
    <n v="160"/>
    <n v="224"/>
    <n v="9950"/>
    <n v="47454"/>
    <n v="84276"/>
    <n v="3232564"/>
    <n v="478856"/>
    <n v="952175"/>
    <n v="52370128"/>
    <n v="48453"/>
    <x v="153"/>
    <n v="41051"/>
    <n v="0"/>
    <n v="1"/>
  </r>
  <r>
    <x v="2"/>
    <n v="49"/>
    <x v="36"/>
    <n v="35"/>
    <x v="143"/>
    <n v="41"/>
    <s v="Oregon"/>
    <n v="51"/>
    <s v="Multnomah County"/>
    <n v="147"/>
    <n v="210"/>
    <n v="9593"/>
    <n v="24982"/>
    <n v="50799"/>
    <n v="1554164"/>
    <n v="419722"/>
    <n v="961376"/>
    <n v="33728872"/>
    <n v="49035"/>
    <x v="155"/>
    <n v="41051"/>
    <n v="0"/>
    <n v="1"/>
  </r>
  <r>
    <x v="2"/>
    <n v="49"/>
    <x v="36"/>
    <n v="49"/>
    <x v="144"/>
    <n v="41"/>
    <s v="Oregon"/>
    <n v="51"/>
    <s v="Multnomah County"/>
    <n v="39"/>
    <n v="67"/>
    <n v="1707"/>
    <n v="13265"/>
    <n v="30470"/>
    <n v="752080"/>
    <n v="180922"/>
    <n v="514232"/>
    <n v="15029087"/>
    <n v="49049"/>
    <x v="156"/>
    <n v="41051"/>
    <n v="0"/>
    <n v="1"/>
  </r>
  <r>
    <x v="2"/>
    <n v="50"/>
    <x v="37"/>
    <n v="7"/>
    <x v="146"/>
    <n v="41"/>
    <s v="Oregon"/>
    <n v="51"/>
    <s v="Multnomah County"/>
    <n v="28"/>
    <n v="43"/>
    <n v="1284"/>
    <n v="5116"/>
    <n v="7767"/>
    <n v="302397"/>
    <n v="72429"/>
    <n v="135318"/>
    <n v="6140396"/>
    <n v="50007"/>
    <x v="158"/>
    <n v="41051"/>
    <n v="0"/>
    <n v="1"/>
  </r>
  <r>
    <x v="2"/>
    <n v="51"/>
    <x v="38"/>
    <n v="13"/>
    <x v="147"/>
    <n v="41"/>
    <s v="Oregon"/>
    <n v="51"/>
    <s v="Multnomah County"/>
    <n v="28"/>
    <n v="38"/>
    <n v="2009"/>
    <n v="18206"/>
    <n v="26666"/>
    <n v="1948339"/>
    <n v="108622"/>
    <n v="187491"/>
    <n v="15128029"/>
    <n v="51013"/>
    <x v="159"/>
    <n v="41051"/>
    <n v="0"/>
    <n v="1"/>
  </r>
  <r>
    <x v="2"/>
    <n v="51"/>
    <x v="38"/>
    <n v="59"/>
    <x v="148"/>
    <n v="41"/>
    <s v="Oregon"/>
    <n v="51"/>
    <s v="Multnomah County"/>
    <n v="49"/>
    <n v="81"/>
    <n v="3960"/>
    <n v="44917"/>
    <n v="83153"/>
    <n v="4229928"/>
    <n v="464813"/>
    <n v="1000324"/>
    <n v="63712360"/>
    <n v="51059"/>
    <x v="160"/>
    <n v="41051"/>
    <n v="0"/>
    <n v="1"/>
  </r>
  <r>
    <x v="2"/>
    <n v="51"/>
    <x v="38"/>
    <n v="760"/>
    <x v="149"/>
    <n v="41"/>
    <s v="Oregon"/>
    <n v="51"/>
    <s v="Multnomah County"/>
    <n v="23"/>
    <n v="27"/>
    <n v="1384"/>
    <n v="11508"/>
    <n v="18834"/>
    <n v="610929"/>
    <n v="83336"/>
    <n v="145178"/>
    <n v="6343247"/>
    <n v="51760"/>
    <x v="161"/>
    <n v="41051"/>
    <n v="0"/>
    <n v="1"/>
  </r>
  <r>
    <x v="2"/>
    <n v="53"/>
    <x v="39"/>
    <n v="5"/>
    <x v="113"/>
    <n v="41"/>
    <s v="Oregon"/>
    <n v="51"/>
    <s v="Multnomah County"/>
    <n v="39"/>
    <n v="58"/>
    <n v="1380"/>
    <n v="5338"/>
    <n v="11067"/>
    <n v="331343"/>
    <n v="73726"/>
    <n v="168677"/>
    <n v="5746012"/>
    <n v="53005"/>
    <x v="162"/>
    <n v="41051"/>
    <n v="0"/>
    <n v="1"/>
  </r>
  <r>
    <x v="2"/>
    <n v="53"/>
    <x v="39"/>
    <n v="11"/>
    <x v="94"/>
    <n v="41"/>
    <s v="Oregon"/>
    <n v="51"/>
    <s v="Multnomah County"/>
    <n v="1783"/>
    <n v="2939"/>
    <n v="113788"/>
    <n v="11574"/>
    <n v="21635"/>
    <n v="753601"/>
    <n v="187174"/>
    <n v="406317"/>
    <n v="16195241"/>
    <n v="53011"/>
    <x v="163"/>
    <n v="41051"/>
    <n v="0"/>
    <n v="1"/>
  </r>
  <r>
    <x v="2"/>
    <n v="53"/>
    <x v="39"/>
    <n v="15"/>
    <x v="150"/>
    <n v="41"/>
    <s v="Oregon"/>
    <n v="51"/>
    <s v="Multnomah County"/>
    <n v="108"/>
    <n v="165"/>
    <n v="4075"/>
    <n v="2567"/>
    <n v="4846"/>
    <n v="127460"/>
    <n v="39843"/>
    <n v="85132"/>
    <n v="2524887"/>
    <n v="53015"/>
    <x v="164"/>
    <n v="41051"/>
    <n v="0"/>
    <n v="1"/>
  </r>
  <r>
    <x v="2"/>
    <n v="53"/>
    <x v="39"/>
    <n v="33"/>
    <x v="151"/>
    <n v="41"/>
    <s v="Oregon"/>
    <n v="51"/>
    <s v="Multnomah County"/>
    <n v="929"/>
    <n v="1322"/>
    <n v="69617"/>
    <n v="64569"/>
    <n v="111619"/>
    <n v="5725218"/>
    <n v="935544"/>
    <n v="1849084"/>
    <n v="124471416"/>
    <n v="53033"/>
    <x v="165"/>
    <n v="41051"/>
    <n v="0"/>
    <n v="1"/>
  </r>
  <r>
    <x v="2"/>
    <n v="53"/>
    <x v="39"/>
    <n v="35"/>
    <x v="152"/>
    <n v="41"/>
    <s v="Oregon"/>
    <n v="51"/>
    <s v="Multnomah County"/>
    <n v="55"/>
    <n v="77"/>
    <n v="3169"/>
    <n v="8397"/>
    <n v="16156"/>
    <n v="503971"/>
    <n v="107533"/>
    <n v="221053"/>
    <n v="8976338"/>
    <n v="53035"/>
    <x v="166"/>
    <n v="41051"/>
    <n v="0"/>
    <n v="1"/>
  </r>
  <r>
    <x v="2"/>
    <n v="53"/>
    <x v="39"/>
    <n v="39"/>
    <x v="153"/>
    <n v="41"/>
    <s v="Oregon"/>
    <n v="51"/>
    <s v="Multnomah County"/>
    <n v="22"/>
    <n v="35"/>
    <n v="1744"/>
    <n v="581"/>
    <n v="1115"/>
    <n v="33045"/>
    <n v="8460"/>
    <n v="17931"/>
    <n v="624284"/>
    <n v="53039"/>
    <x v="167"/>
    <n v="41051"/>
    <n v="0"/>
    <n v="1"/>
  </r>
  <r>
    <x v="2"/>
    <n v="53"/>
    <x v="39"/>
    <n v="41"/>
    <x v="201"/>
    <n v="41"/>
    <s v="Oregon"/>
    <n v="51"/>
    <s v="Multnomah County"/>
    <n v="22"/>
    <n v="25"/>
    <n v="821"/>
    <n v="1792"/>
    <n v="3269"/>
    <n v="74936"/>
    <n v="28964"/>
    <n v="62074"/>
    <n v="1680798"/>
    <n v="53041"/>
    <x v="222"/>
    <n v="41051"/>
    <n v="0"/>
    <n v="1"/>
  </r>
  <r>
    <x v="2"/>
    <n v="53"/>
    <x v="39"/>
    <n v="53"/>
    <x v="155"/>
    <n v="41"/>
    <s v="Oregon"/>
    <n v="51"/>
    <s v="Multnomah County"/>
    <n v="175"/>
    <n v="247"/>
    <n v="7479"/>
    <n v="26898"/>
    <n v="52979"/>
    <n v="1510750"/>
    <n v="343920"/>
    <n v="724462"/>
    <n v="25931524"/>
    <n v="53053"/>
    <x v="169"/>
    <n v="41051"/>
    <n v="0"/>
    <n v="1"/>
  </r>
  <r>
    <x v="2"/>
    <n v="53"/>
    <x v="39"/>
    <n v="59"/>
    <x v="157"/>
    <n v="41"/>
    <s v="Oregon"/>
    <n v="51"/>
    <s v="Multnomah County"/>
    <n v="24"/>
    <n v="35"/>
    <n v="1076"/>
    <n v="338"/>
    <n v="622"/>
    <n v="19096"/>
    <n v="4179"/>
    <n v="8625"/>
    <n v="334219"/>
    <n v="53059"/>
    <x v="171"/>
    <n v="41051"/>
    <n v="0"/>
    <n v="1"/>
  </r>
  <r>
    <x v="2"/>
    <n v="53"/>
    <x v="39"/>
    <n v="61"/>
    <x v="158"/>
    <n v="41"/>
    <s v="Oregon"/>
    <n v="51"/>
    <s v="Multnomah County"/>
    <n v="126"/>
    <n v="179"/>
    <n v="6769"/>
    <n v="21973"/>
    <n v="39524"/>
    <n v="1540385"/>
    <n v="319905"/>
    <n v="676542"/>
    <n v="27903618"/>
    <n v="53061"/>
    <x v="172"/>
    <n v="41051"/>
    <n v="0"/>
    <n v="1"/>
  </r>
  <r>
    <x v="2"/>
    <n v="53"/>
    <x v="39"/>
    <n v="63"/>
    <x v="159"/>
    <n v="41"/>
    <s v="Oregon"/>
    <n v="51"/>
    <s v="Multnomah County"/>
    <n v="94"/>
    <n v="123"/>
    <n v="4350"/>
    <n v="9558"/>
    <n v="17267"/>
    <n v="488950"/>
    <n v="196273"/>
    <n v="406051"/>
    <n v="13669764"/>
    <n v="53063"/>
    <x v="173"/>
    <n v="41051"/>
    <n v="0"/>
    <n v="1"/>
  </r>
  <r>
    <x v="2"/>
    <n v="53"/>
    <x v="39"/>
    <n v="67"/>
    <x v="160"/>
    <n v="41"/>
    <s v="Oregon"/>
    <n v="51"/>
    <s v="Multnomah County"/>
    <n v="103"/>
    <n v="151"/>
    <n v="3997"/>
    <n v="9059"/>
    <n v="17625"/>
    <n v="509843"/>
    <n v="114685"/>
    <n v="234387"/>
    <n v="8416564"/>
    <n v="53067"/>
    <x v="174"/>
    <n v="41051"/>
    <n v="0"/>
    <n v="1"/>
  </r>
  <r>
    <x v="2"/>
    <n v="53"/>
    <x v="39"/>
    <n v="71"/>
    <x v="161"/>
    <n v="41"/>
    <s v="Oregon"/>
    <n v="51"/>
    <s v="Multnomah County"/>
    <n v="28"/>
    <n v="40"/>
    <n v="1018"/>
    <n v="1367"/>
    <n v="2533"/>
    <n v="68826"/>
    <n v="21643"/>
    <n v="46873"/>
    <n v="1451175"/>
    <n v="53071"/>
    <x v="175"/>
    <n v="41051"/>
    <n v="0"/>
    <n v="1"/>
  </r>
  <r>
    <x v="2"/>
    <n v="53"/>
    <x v="39"/>
    <n v="73"/>
    <x v="162"/>
    <n v="41"/>
    <s v="Oregon"/>
    <n v="51"/>
    <s v="Multnomah County"/>
    <n v="81"/>
    <n v="100"/>
    <n v="3564"/>
    <n v="4917"/>
    <n v="7835"/>
    <n v="265593"/>
    <n v="85985"/>
    <n v="172292"/>
    <n v="6359609"/>
    <n v="53073"/>
    <x v="176"/>
    <n v="41051"/>
    <n v="0"/>
    <n v="1"/>
  </r>
  <r>
    <x v="2"/>
    <n v="53"/>
    <x v="39"/>
    <n v="77"/>
    <x v="163"/>
    <n v="41"/>
    <s v="Oregon"/>
    <n v="51"/>
    <s v="Multnomah County"/>
    <n v="29"/>
    <n v="57"/>
    <n v="703"/>
    <n v="3629"/>
    <n v="7437"/>
    <n v="159098"/>
    <n v="90770"/>
    <n v="219441"/>
    <n v="5215335"/>
    <n v="53077"/>
    <x v="177"/>
    <n v="41051"/>
    <n v="0"/>
    <n v="1"/>
  </r>
  <r>
    <x v="2"/>
    <n v="55"/>
    <x v="40"/>
    <n v="25"/>
    <x v="164"/>
    <n v="41"/>
    <s v="Oregon"/>
    <n v="51"/>
    <s v="Multnomah County"/>
    <n v="76"/>
    <n v="96"/>
    <n v="4349"/>
    <n v="14573"/>
    <n v="22827"/>
    <n v="966113"/>
    <n v="232871"/>
    <n v="454141"/>
    <n v="20984584"/>
    <n v="55025"/>
    <x v="178"/>
    <n v="41051"/>
    <n v="0"/>
    <n v="1"/>
  </r>
  <r>
    <x v="2"/>
    <n v="55"/>
    <x v="40"/>
    <n v="79"/>
    <x v="165"/>
    <n v="41"/>
    <s v="Oregon"/>
    <n v="51"/>
    <s v="Multnomah County"/>
    <n v="66"/>
    <n v="94"/>
    <n v="3164"/>
    <n v="20198"/>
    <n v="35289"/>
    <n v="1373057"/>
    <n v="367240"/>
    <n v="735945"/>
    <n v="23514828"/>
    <n v="55079"/>
    <x v="179"/>
    <n v="41051"/>
    <n v="0"/>
    <n v="1"/>
  </r>
  <r>
    <x v="3"/>
    <n v="2"/>
    <x v="0"/>
    <n v="20"/>
    <x v="0"/>
    <n v="41"/>
    <s v="Oregon"/>
    <n v="51"/>
    <s v="Multnomah County"/>
    <n v="71"/>
    <n v="99"/>
    <n v="4227"/>
    <n v="9090"/>
    <n v="17819"/>
    <n v="627120"/>
    <n v="119233"/>
    <n v="240031"/>
    <n v="10950913"/>
    <n v="2020"/>
    <x v="0"/>
    <n v="41051"/>
    <n v="0"/>
    <n v="1"/>
  </r>
  <r>
    <x v="3"/>
    <n v="4"/>
    <x v="1"/>
    <n v="5"/>
    <x v="2"/>
    <n v="41"/>
    <s v="Oregon"/>
    <n v="51"/>
    <s v="Multnomah County"/>
    <n v="29"/>
    <n v="35"/>
    <n v="1214"/>
    <n v="4817"/>
    <n v="7877"/>
    <n v="260055"/>
    <n v="49748"/>
    <n v="100828"/>
    <n v="3457003"/>
    <n v="4005"/>
    <x v="2"/>
    <n v="41051"/>
    <n v="0"/>
    <n v="1"/>
  </r>
  <r>
    <x v="3"/>
    <n v="4"/>
    <x v="1"/>
    <n v="13"/>
    <x v="3"/>
    <n v="41"/>
    <s v="Oregon"/>
    <n v="51"/>
    <s v="Multnomah County"/>
    <n v="352"/>
    <n v="499"/>
    <n v="21510"/>
    <n v="66789"/>
    <n v="122569"/>
    <n v="4613952"/>
    <n v="1583235"/>
    <n v="3342599"/>
    <n v="131129632"/>
    <n v="4013"/>
    <x v="3"/>
    <n v="41051"/>
    <n v="0"/>
    <n v="1"/>
  </r>
  <r>
    <x v="3"/>
    <n v="4"/>
    <x v="1"/>
    <n v="19"/>
    <x v="4"/>
    <n v="41"/>
    <s v="Oregon"/>
    <n v="51"/>
    <s v="Multnomah County"/>
    <n v="87"/>
    <n v="127"/>
    <n v="7155"/>
    <n v="17520"/>
    <n v="31074"/>
    <n v="1058338"/>
    <n v="383726"/>
    <n v="775623"/>
    <n v="26395906"/>
    <n v="4019"/>
    <x v="4"/>
    <n v="41051"/>
    <n v="0"/>
    <n v="1"/>
  </r>
  <r>
    <x v="3"/>
    <n v="6"/>
    <x v="2"/>
    <n v="1"/>
    <x v="6"/>
    <n v="41"/>
    <s v="Oregon"/>
    <n v="51"/>
    <s v="Multnomah County"/>
    <n v="416"/>
    <n v="630"/>
    <n v="43728"/>
    <n v="49338"/>
    <n v="85430"/>
    <n v="5574266"/>
    <n v="678994"/>
    <n v="1387134"/>
    <n v="82553304"/>
    <n v="6001"/>
    <x v="6"/>
    <n v="41051"/>
    <n v="0"/>
    <n v="1"/>
  </r>
  <r>
    <x v="3"/>
    <n v="6"/>
    <x v="2"/>
    <n v="7"/>
    <x v="7"/>
    <n v="41"/>
    <s v="Oregon"/>
    <n v="51"/>
    <s v="Multnomah County"/>
    <n v="45"/>
    <n v="59"/>
    <n v="2146"/>
    <n v="8292"/>
    <n v="14647"/>
    <n v="435017"/>
    <n v="77588"/>
    <n v="157167"/>
    <n v="5288241"/>
    <n v="6007"/>
    <x v="7"/>
    <n v="41051"/>
    <n v="0"/>
    <n v="1"/>
  </r>
  <r>
    <x v="3"/>
    <n v="6"/>
    <x v="2"/>
    <n v="13"/>
    <x v="8"/>
    <n v="41"/>
    <s v="Oregon"/>
    <n v="51"/>
    <s v="Multnomah County"/>
    <n v="137"/>
    <n v="193"/>
    <n v="10262"/>
    <n v="28588"/>
    <n v="50791"/>
    <n v="3218688"/>
    <n v="463598"/>
    <n v="993213"/>
    <n v="62011244"/>
    <n v="6013"/>
    <x v="8"/>
    <n v="41051"/>
    <n v="0"/>
    <n v="1"/>
  </r>
  <r>
    <x v="3"/>
    <n v="6"/>
    <x v="2"/>
    <n v="17"/>
    <x v="9"/>
    <n v="41"/>
    <s v="Oregon"/>
    <n v="51"/>
    <s v="Multnomah County"/>
    <n v="24"/>
    <n v="31"/>
    <n v="907"/>
    <n v="5450"/>
    <n v="9348"/>
    <n v="450131"/>
    <n v="77119"/>
    <n v="161345"/>
    <n v="8335787"/>
    <n v="6017"/>
    <x v="9"/>
    <n v="41051"/>
    <n v="0"/>
    <n v="1"/>
  </r>
  <r>
    <x v="3"/>
    <n v="6"/>
    <x v="2"/>
    <n v="19"/>
    <x v="10"/>
    <n v="41"/>
    <s v="Oregon"/>
    <n v="51"/>
    <s v="Multnomah County"/>
    <n v="47"/>
    <n v="69"/>
    <n v="2412"/>
    <n v="11650"/>
    <n v="22757"/>
    <n v="673920"/>
    <n v="333142"/>
    <n v="782879"/>
    <n v="21572420"/>
    <n v="6019"/>
    <x v="10"/>
    <n v="41051"/>
    <n v="0"/>
    <n v="1"/>
  </r>
  <r>
    <x v="3"/>
    <n v="6"/>
    <x v="2"/>
    <n v="23"/>
    <x v="11"/>
    <n v="41"/>
    <s v="Oregon"/>
    <n v="51"/>
    <s v="Multnomah County"/>
    <n v="39"/>
    <n v="47"/>
    <n v="1455"/>
    <n v="2766"/>
    <n v="4417"/>
    <n v="123810"/>
    <n v="47564"/>
    <n v="91169"/>
    <n v="2924963"/>
    <n v="6023"/>
    <x v="11"/>
    <n v="41051"/>
    <n v="0"/>
    <n v="1"/>
  </r>
  <r>
    <x v="3"/>
    <n v="6"/>
    <x v="2"/>
    <n v="29"/>
    <x v="12"/>
    <n v="41"/>
    <s v="Oregon"/>
    <n v="51"/>
    <s v="Multnomah County"/>
    <n v="31"/>
    <n v="60"/>
    <n v="1803"/>
    <n v="11688"/>
    <n v="24282"/>
    <n v="699489"/>
    <n v="284146"/>
    <n v="688265"/>
    <n v="17643672"/>
    <n v="6029"/>
    <x v="12"/>
    <n v="41051"/>
    <n v="0"/>
    <n v="1"/>
  </r>
  <r>
    <x v="3"/>
    <n v="6"/>
    <x v="2"/>
    <n v="37"/>
    <x v="13"/>
    <n v="41"/>
    <s v="Oregon"/>
    <n v="51"/>
    <s v="Multnomah County"/>
    <n v="922"/>
    <n v="1299"/>
    <n v="70023"/>
    <n v="151950"/>
    <n v="267656"/>
    <n v="12047778"/>
    <n v="3920929"/>
    <n v="7936509"/>
    <n v="359518464"/>
    <n v="6037"/>
    <x v="13"/>
    <n v="41051"/>
    <n v="0"/>
    <n v="1"/>
  </r>
  <r>
    <x v="3"/>
    <n v="6"/>
    <x v="2"/>
    <n v="41"/>
    <x v="14"/>
    <n v="41"/>
    <s v="Oregon"/>
    <n v="51"/>
    <s v="Multnomah County"/>
    <n v="78"/>
    <n v="120"/>
    <n v="13275"/>
    <n v="7075"/>
    <n v="11298"/>
    <n v="1489870"/>
    <n v="111652"/>
    <n v="221323"/>
    <n v="25667392"/>
    <n v="6041"/>
    <x v="14"/>
    <n v="41051"/>
    <n v="0"/>
    <n v="1"/>
  </r>
  <r>
    <x v="3"/>
    <n v="6"/>
    <x v="2"/>
    <n v="53"/>
    <x v="16"/>
    <n v="41"/>
    <s v="Oregon"/>
    <n v="51"/>
    <s v="Multnomah County"/>
    <n v="40"/>
    <n v="62"/>
    <n v="2292"/>
    <n v="8688"/>
    <n v="16611"/>
    <n v="611890"/>
    <n v="162378"/>
    <n v="374248"/>
    <n v="13005496"/>
    <n v="6053"/>
    <x v="16"/>
    <n v="41051"/>
    <n v="0"/>
    <n v="1"/>
  </r>
  <r>
    <x v="3"/>
    <n v="6"/>
    <x v="2"/>
    <n v="55"/>
    <x v="17"/>
    <n v="41"/>
    <s v="Oregon"/>
    <n v="51"/>
    <s v="Multnomah County"/>
    <n v="22"/>
    <n v="34"/>
    <n v="1577"/>
    <n v="3582"/>
    <n v="6081"/>
    <n v="299339"/>
    <n v="57152"/>
    <n v="120806"/>
    <n v="6388438"/>
    <n v="6055"/>
    <x v="17"/>
    <n v="41051"/>
    <n v="0"/>
    <n v="1"/>
  </r>
  <r>
    <x v="3"/>
    <n v="6"/>
    <x v="2"/>
    <n v="57"/>
    <x v="168"/>
    <n v="41"/>
    <s v="Oregon"/>
    <n v="51"/>
    <s v="Multnomah County"/>
    <n v="30"/>
    <n v="35"/>
    <n v="1337"/>
    <n v="3044"/>
    <n v="5072"/>
    <n v="249733"/>
    <n v="42358"/>
    <n v="81294"/>
    <n v="3506961"/>
    <n v="6057"/>
    <x v="182"/>
    <n v="41051"/>
    <n v="0"/>
    <n v="1"/>
  </r>
  <r>
    <x v="3"/>
    <n v="6"/>
    <x v="2"/>
    <n v="59"/>
    <x v="18"/>
    <n v="41"/>
    <s v="Oregon"/>
    <n v="51"/>
    <s v="Multnomah County"/>
    <n v="311"/>
    <n v="394"/>
    <n v="17981"/>
    <n v="63985"/>
    <n v="112120"/>
    <n v="5161229"/>
    <n v="1271331"/>
    <n v="2680349"/>
    <n v="136377616"/>
    <n v="6059"/>
    <x v="18"/>
    <n v="41051"/>
    <n v="0"/>
    <n v="1"/>
  </r>
  <r>
    <x v="3"/>
    <n v="6"/>
    <x v="2"/>
    <n v="61"/>
    <x v="19"/>
    <n v="41"/>
    <s v="Oregon"/>
    <n v="51"/>
    <s v="Multnomah County"/>
    <n v="40"/>
    <n v="57"/>
    <n v="2022"/>
    <n v="11585"/>
    <n v="20286"/>
    <n v="843661"/>
    <n v="156753"/>
    <n v="339247"/>
    <n v="16992776"/>
    <n v="6061"/>
    <x v="19"/>
    <n v="41051"/>
    <n v="0"/>
    <n v="1"/>
  </r>
  <r>
    <x v="3"/>
    <n v="6"/>
    <x v="2"/>
    <n v="65"/>
    <x v="20"/>
    <n v="41"/>
    <s v="Oregon"/>
    <n v="51"/>
    <s v="Multnomah County"/>
    <n v="114"/>
    <n v="155"/>
    <n v="7181"/>
    <n v="48359"/>
    <n v="93100"/>
    <n v="2939932"/>
    <n v="835825"/>
    <n v="1901969"/>
    <n v="55908388"/>
    <n v="6065"/>
    <x v="20"/>
    <n v="41051"/>
    <n v="0"/>
    <n v="1"/>
  </r>
  <r>
    <x v="3"/>
    <n v="6"/>
    <x v="2"/>
    <n v="67"/>
    <x v="21"/>
    <n v="41"/>
    <s v="Oregon"/>
    <n v="51"/>
    <s v="Multnomah County"/>
    <n v="153"/>
    <n v="217"/>
    <n v="8265"/>
    <n v="31036"/>
    <n v="55637"/>
    <n v="2016997"/>
    <n v="587684"/>
    <n v="1241620"/>
    <n v="44010784"/>
    <n v="6067"/>
    <x v="21"/>
    <n v="41051"/>
    <n v="0"/>
    <n v="1"/>
  </r>
  <r>
    <x v="3"/>
    <n v="6"/>
    <x v="2"/>
    <n v="71"/>
    <x v="22"/>
    <n v="41"/>
    <s v="Oregon"/>
    <n v="51"/>
    <s v="Multnomah County"/>
    <n v="111"/>
    <n v="149"/>
    <n v="4047"/>
    <n v="45644"/>
    <n v="90025"/>
    <n v="2469531"/>
    <n v="756557"/>
    <n v="1710755"/>
    <n v="47130424"/>
    <n v="6071"/>
    <x v="22"/>
    <n v="41051"/>
    <n v="0"/>
    <n v="1"/>
  </r>
  <r>
    <x v="3"/>
    <n v="6"/>
    <x v="2"/>
    <n v="73"/>
    <x v="23"/>
    <n v="41"/>
    <s v="Oregon"/>
    <n v="51"/>
    <s v="Multnomah County"/>
    <n v="428"/>
    <n v="574"/>
    <n v="25053"/>
    <n v="68311"/>
    <n v="123550"/>
    <n v="4869829"/>
    <n v="1338338"/>
    <n v="2776447"/>
    <n v="124249464"/>
    <n v="6073"/>
    <x v="23"/>
    <n v="41051"/>
    <n v="0"/>
    <n v="1"/>
  </r>
  <r>
    <x v="3"/>
    <n v="6"/>
    <x v="2"/>
    <n v="75"/>
    <x v="24"/>
    <n v="41"/>
    <s v="Oregon"/>
    <n v="51"/>
    <s v="Multnomah County"/>
    <n v="416"/>
    <n v="619"/>
    <n v="68903"/>
    <n v="38519"/>
    <n v="55961"/>
    <n v="7287159"/>
    <n v="423336"/>
    <n v="695902"/>
    <n v="80289160"/>
    <n v="6075"/>
    <x v="24"/>
    <n v="41051"/>
    <n v="0"/>
    <n v="1"/>
  </r>
  <r>
    <x v="3"/>
    <n v="6"/>
    <x v="2"/>
    <n v="77"/>
    <x v="25"/>
    <n v="41"/>
    <s v="Oregon"/>
    <n v="51"/>
    <s v="Multnomah County"/>
    <n v="44"/>
    <n v="73"/>
    <n v="1745"/>
    <n v="13632"/>
    <n v="26677"/>
    <n v="855131"/>
    <n v="265081"/>
    <n v="618913"/>
    <n v="18487160"/>
    <n v="6077"/>
    <x v="25"/>
    <n v="41051"/>
    <n v="0"/>
    <n v="1"/>
  </r>
  <r>
    <x v="3"/>
    <n v="6"/>
    <x v="2"/>
    <n v="79"/>
    <x v="26"/>
    <n v="41"/>
    <s v="Oregon"/>
    <n v="51"/>
    <s v="Multnomah County"/>
    <n v="42"/>
    <n v="57"/>
    <n v="2146"/>
    <n v="6346"/>
    <n v="10485"/>
    <n v="404494"/>
    <n v="111002"/>
    <n v="219922"/>
    <n v="9722258"/>
    <n v="6079"/>
    <x v="26"/>
    <n v="41051"/>
    <n v="0"/>
    <n v="1"/>
  </r>
  <r>
    <x v="3"/>
    <n v="6"/>
    <x v="2"/>
    <n v="81"/>
    <x v="27"/>
    <n v="41"/>
    <s v="Oregon"/>
    <n v="51"/>
    <s v="Multnomah County"/>
    <n v="159"/>
    <n v="227"/>
    <n v="18622"/>
    <n v="26624"/>
    <n v="45342"/>
    <n v="4360421"/>
    <n v="335117"/>
    <n v="676934"/>
    <n v="70628240"/>
    <n v="6081"/>
    <x v="27"/>
    <n v="41051"/>
    <n v="0"/>
    <n v="1"/>
  </r>
  <r>
    <x v="3"/>
    <n v="6"/>
    <x v="2"/>
    <n v="83"/>
    <x v="28"/>
    <n v="41"/>
    <s v="Oregon"/>
    <n v="51"/>
    <s v="Multnomah County"/>
    <n v="72"/>
    <n v="95"/>
    <n v="3465"/>
    <n v="9123"/>
    <n v="15264"/>
    <n v="761161"/>
    <n v="169597"/>
    <n v="360194"/>
    <n v="15822469"/>
    <n v="6083"/>
    <x v="28"/>
    <n v="41051"/>
    <n v="0"/>
    <n v="1"/>
  </r>
  <r>
    <x v="3"/>
    <n v="6"/>
    <x v="2"/>
    <n v="85"/>
    <x v="29"/>
    <n v="41"/>
    <s v="Oregon"/>
    <n v="51"/>
    <s v="Multnomah County"/>
    <n v="332"/>
    <n v="513"/>
    <n v="56861"/>
    <n v="50688"/>
    <n v="90461"/>
    <n v="8576393"/>
    <n v="804641"/>
    <n v="1703049"/>
    <n v="155855520"/>
    <n v="6085"/>
    <x v="29"/>
    <n v="41051"/>
    <n v="0"/>
    <n v="1"/>
  </r>
  <r>
    <x v="3"/>
    <n v="6"/>
    <x v="2"/>
    <n v="87"/>
    <x v="30"/>
    <n v="41"/>
    <s v="Oregon"/>
    <n v="51"/>
    <s v="Multnomah County"/>
    <n v="66"/>
    <n v="96"/>
    <n v="3524"/>
    <n v="6581"/>
    <n v="10728"/>
    <n v="539104"/>
    <n v="109424"/>
    <n v="220821"/>
    <n v="11581288"/>
    <n v="6087"/>
    <x v="30"/>
    <n v="41051"/>
    <n v="0"/>
    <n v="1"/>
  </r>
  <r>
    <x v="3"/>
    <n v="6"/>
    <x v="2"/>
    <n v="89"/>
    <x v="31"/>
    <n v="41"/>
    <s v="Oregon"/>
    <n v="51"/>
    <s v="Multnomah County"/>
    <n v="34"/>
    <n v="43"/>
    <n v="1510"/>
    <n v="4005"/>
    <n v="7058"/>
    <n v="239356"/>
    <n v="64970"/>
    <n v="133693"/>
    <n v="4294626"/>
    <n v="6089"/>
    <x v="31"/>
    <n v="41051"/>
    <n v="0"/>
    <n v="1"/>
  </r>
  <r>
    <x v="3"/>
    <n v="6"/>
    <x v="2"/>
    <n v="95"/>
    <x v="32"/>
    <n v="41"/>
    <s v="Oregon"/>
    <n v="51"/>
    <s v="Multnomah County"/>
    <n v="34"/>
    <n v="50"/>
    <n v="2093"/>
    <n v="11607"/>
    <n v="21338"/>
    <n v="759515"/>
    <n v="176332"/>
    <n v="368214"/>
    <n v="14019212"/>
    <n v="6095"/>
    <x v="32"/>
    <n v="41051"/>
    <n v="0"/>
    <n v="1"/>
  </r>
  <r>
    <x v="3"/>
    <n v="6"/>
    <x v="2"/>
    <n v="97"/>
    <x v="33"/>
    <n v="41"/>
    <s v="Oregon"/>
    <n v="51"/>
    <s v="Multnomah County"/>
    <n v="108"/>
    <n v="142"/>
    <n v="5892"/>
    <n v="9897"/>
    <n v="16225"/>
    <n v="879202"/>
    <n v="205351"/>
    <n v="406610"/>
    <n v="19799674"/>
    <n v="6097"/>
    <x v="33"/>
    <n v="41051"/>
    <n v="0"/>
    <n v="1"/>
  </r>
  <r>
    <x v="3"/>
    <n v="6"/>
    <x v="2"/>
    <n v="99"/>
    <x v="34"/>
    <n v="41"/>
    <s v="Oregon"/>
    <n v="51"/>
    <s v="Multnomah County"/>
    <n v="22"/>
    <n v="35"/>
    <n v="928"/>
    <n v="9329"/>
    <n v="18690"/>
    <n v="525710"/>
    <n v="191130"/>
    <n v="445794"/>
    <n v="12509435"/>
    <n v="6099"/>
    <x v="34"/>
    <n v="41051"/>
    <n v="0"/>
    <n v="1"/>
  </r>
  <r>
    <x v="3"/>
    <n v="6"/>
    <x v="2"/>
    <n v="111"/>
    <x v="35"/>
    <n v="41"/>
    <s v="Oregon"/>
    <n v="51"/>
    <s v="Multnomah County"/>
    <n v="71"/>
    <n v="96"/>
    <n v="4025"/>
    <n v="16706"/>
    <n v="30108"/>
    <n v="1459775"/>
    <n v="337035"/>
    <n v="726801"/>
    <n v="32195648"/>
    <n v="6111"/>
    <x v="35"/>
    <n v="41051"/>
    <n v="0"/>
    <n v="1"/>
  </r>
  <r>
    <x v="3"/>
    <n v="6"/>
    <x v="2"/>
    <n v="113"/>
    <x v="36"/>
    <n v="41"/>
    <s v="Oregon"/>
    <n v="51"/>
    <s v="Multnomah County"/>
    <n v="31"/>
    <n v="34"/>
    <n v="1225"/>
    <n v="6563"/>
    <n v="10789"/>
    <n v="397240"/>
    <n v="76681"/>
    <n v="163577"/>
    <n v="6866554"/>
    <n v="6113"/>
    <x v="36"/>
    <n v="41051"/>
    <n v="0"/>
    <n v="1"/>
  </r>
  <r>
    <x v="3"/>
    <n v="8"/>
    <x v="3"/>
    <n v="1"/>
    <x v="37"/>
    <n v="41"/>
    <s v="Oregon"/>
    <n v="51"/>
    <s v="Multnomah County"/>
    <n v="20"/>
    <n v="23"/>
    <n v="617"/>
    <n v="20248"/>
    <n v="38305"/>
    <n v="1152161"/>
    <n v="194783"/>
    <n v="416574"/>
    <n v="13323213"/>
    <n v="8001"/>
    <x v="37"/>
    <n v="41051"/>
    <n v="0"/>
    <n v="1"/>
  </r>
  <r>
    <x v="3"/>
    <n v="8"/>
    <x v="3"/>
    <n v="5"/>
    <x v="38"/>
    <n v="41"/>
    <s v="Oregon"/>
    <n v="51"/>
    <s v="Multnomah County"/>
    <n v="51"/>
    <n v="73"/>
    <n v="2781"/>
    <n v="30896"/>
    <n v="54143"/>
    <n v="2260267"/>
    <n v="263706"/>
    <n v="539463"/>
    <n v="25985160"/>
    <n v="8005"/>
    <x v="38"/>
    <n v="41051"/>
    <n v="0"/>
    <n v="1"/>
  </r>
  <r>
    <x v="3"/>
    <n v="8"/>
    <x v="3"/>
    <n v="13"/>
    <x v="39"/>
    <n v="41"/>
    <s v="Oregon"/>
    <n v="51"/>
    <s v="Multnomah County"/>
    <n v="67"/>
    <n v="82"/>
    <n v="4003"/>
    <n v="13030"/>
    <n v="20072"/>
    <n v="952374"/>
    <n v="133450"/>
    <n v="257950"/>
    <n v="16340664"/>
    <n v="8013"/>
    <x v="39"/>
    <n v="41051"/>
    <n v="0"/>
    <n v="1"/>
  </r>
  <r>
    <x v="3"/>
    <n v="8"/>
    <x v="3"/>
    <n v="31"/>
    <x v="40"/>
    <n v="41"/>
    <s v="Oregon"/>
    <n v="51"/>
    <s v="Multnomah County"/>
    <n v="169"/>
    <n v="194"/>
    <n v="26508"/>
    <n v="40805"/>
    <n v="64553"/>
    <n v="2994545"/>
    <n v="304237"/>
    <n v="540698"/>
    <n v="31802468"/>
    <n v="8031"/>
    <x v="40"/>
    <n v="41051"/>
    <n v="0"/>
    <n v="1"/>
  </r>
  <r>
    <x v="3"/>
    <n v="8"/>
    <x v="3"/>
    <n v="41"/>
    <x v="41"/>
    <n v="41"/>
    <s v="Oregon"/>
    <n v="51"/>
    <s v="Multnomah County"/>
    <n v="47"/>
    <n v="64"/>
    <n v="2100"/>
    <n v="23603"/>
    <n v="46866"/>
    <n v="1298862"/>
    <n v="275247"/>
    <n v="585333"/>
    <n v="21214632"/>
    <n v="8041"/>
    <x v="41"/>
    <n v="41051"/>
    <n v="0"/>
    <n v="1"/>
  </r>
  <r>
    <x v="3"/>
    <n v="8"/>
    <x v="3"/>
    <n v="59"/>
    <x v="42"/>
    <n v="41"/>
    <s v="Oregon"/>
    <n v="51"/>
    <s v="Multnomah County"/>
    <n v="61"/>
    <n v="75"/>
    <n v="3518"/>
    <n v="24980"/>
    <n v="40911"/>
    <n v="1659540"/>
    <n v="251306"/>
    <n v="485208"/>
    <n v="24773772"/>
    <n v="8059"/>
    <x v="42"/>
    <n v="41051"/>
    <n v="0"/>
    <n v="1"/>
  </r>
  <r>
    <x v="3"/>
    <n v="8"/>
    <x v="3"/>
    <n v="69"/>
    <x v="43"/>
    <n v="41"/>
    <s v="Oregon"/>
    <n v="51"/>
    <s v="Multnomah County"/>
    <n v="42"/>
    <n v="54"/>
    <n v="1951"/>
    <n v="11948"/>
    <n v="19629"/>
    <n v="748032"/>
    <n v="142900"/>
    <n v="281054"/>
    <n v="13010131"/>
    <n v="8069"/>
    <x v="43"/>
    <n v="41051"/>
    <n v="0"/>
    <n v="1"/>
  </r>
  <r>
    <x v="3"/>
    <n v="9"/>
    <x v="4"/>
    <n v="1"/>
    <x v="44"/>
    <n v="41"/>
    <s v="Oregon"/>
    <n v="51"/>
    <s v="Multnomah County"/>
    <n v="21"/>
    <n v="26"/>
    <n v="1360"/>
    <n v="20488"/>
    <n v="34241"/>
    <n v="2867384"/>
    <n v="380944"/>
    <n v="795101"/>
    <n v="72997904"/>
    <n v="9001"/>
    <x v="44"/>
    <n v="41051"/>
    <n v="0"/>
    <n v="1"/>
  </r>
  <r>
    <x v="3"/>
    <n v="9"/>
    <x v="4"/>
    <n v="3"/>
    <x v="170"/>
    <n v="41"/>
    <s v="Oregon"/>
    <n v="51"/>
    <s v="Multnomah County"/>
    <n v="28"/>
    <n v="40"/>
    <n v="2204"/>
    <n v="17973"/>
    <n v="29275"/>
    <n v="1491583"/>
    <n v="378282"/>
    <n v="743938"/>
    <n v="35045016"/>
    <n v="9003"/>
    <x v="184"/>
    <n v="41051"/>
    <n v="0"/>
    <n v="1"/>
  </r>
  <r>
    <x v="3"/>
    <n v="9"/>
    <x v="4"/>
    <n v="9"/>
    <x v="45"/>
    <n v="41"/>
    <s v="Oregon"/>
    <n v="51"/>
    <s v="Multnomah County"/>
    <n v="26"/>
    <n v="32"/>
    <n v="1383"/>
    <n v="17790"/>
    <n v="28841"/>
    <n v="1254704"/>
    <n v="348905"/>
    <n v="680158"/>
    <n v="29297740"/>
    <n v="9009"/>
    <x v="45"/>
    <n v="41051"/>
    <n v="0"/>
    <n v="1"/>
  </r>
  <r>
    <x v="3"/>
    <n v="11"/>
    <x v="5"/>
    <n v="1"/>
    <x v="46"/>
    <n v="41"/>
    <s v="Oregon"/>
    <n v="51"/>
    <s v="Multnomah County"/>
    <n v="107"/>
    <n v="132"/>
    <n v="8655"/>
    <n v="30664"/>
    <n v="44788"/>
    <n v="2938378"/>
    <n v="298179"/>
    <n v="488244"/>
    <n v="34602188"/>
    <n v="11001"/>
    <x v="46"/>
    <n v="41051"/>
    <n v="0"/>
    <n v="1"/>
  </r>
  <r>
    <x v="3"/>
    <n v="12"/>
    <x v="6"/>
    <n v="1"/>
    <x v="172"/>
    <n v="41"/>
    <s v="Oregon"/>
    <n v="51"/>
    <s v="Multnomah County"/>
    <n v="27"/>
    <n v="39"/>
    <n v="1465"/>
    <n v="8696"/>
    <n v="13972"/>
    <n v="442935"/>
    <n v="96542"/>
    <n v="184273"/>
    <n v="7151033"/>
    <n v="12001"/>
    <x v="186"/>
    <n v="41051"/>
    <n v="0"/>
    <n v="1"/>
  </r>
  <r>
    <x v="3"/>
    <n v="12"/>
    <x v="6"/>
    <n v="11"/>
    <x v="47"/>
    <n v="41"/>
    <s v="Oregon"/>
    <n v="51"/>
    <s v="Multnomah County"/>
    <n v="63"/>
    <n v="91"/>
    <n v="4582"/>
    <n v="49793"/>
    <n v="87862"/>
    <n v="3160957"/>
    <n v="798826"/>
    <n v="1549503"/>
    <n v="63815172"/>
    <n v="12011"/>
    <x v="47"/>
    <n v="41051"/>
    <n v="0"/>
    <n v="1"/>
  </r>
  <r>
    <x v="3"/>
    <n v="12"/>
    <x v="6"/>
    <n v="31"/>
    <x v="48"/>
    <n v="41"/>
    <s v="Oregon"/>
    <n v="51"/>
    <s v="Multnomah County"/>
    <n v="29"/>
    <n v="34"/>
    <n v="1684"/>
    <n v="25592"/>
    <n v="47387"/>
    <n v="1539689"/>
    <n v="381570"/>
    <n v="751896"/>
    <n v="26875570"/>
    <n v="12031"/>
    <x v="48"/>
    <n v="41051"/>
    <n v="0"/>
    <n v="1"/>
  </r>
  <r>
    <x v="3"/>
    <n v="12"/>
    <x v="6"/>
    <n v="57"/>
    <x v="49"/>
    <n v="41"/>
    <s v="Oregon"/>
    <n v="51"/>
    <s v="Multnomah County"/>
    <n v="33"/>
    <n v="53"/>
    <n v="1752"/>
    <n v="39065"/>
    <n v="70928"/>
    <n v="2465665"/>
    <n v="557039"/>
    <n v="1129650"/>
    <n v="43849196"/>
    <n v="12057"/>
    <x v="49"/>
    <n v="41051"/>
    <n v="0"/>
    <n v="1"/>
  </r>
  <r>
    <x v="3"/>
    <n v="12"/>
    <x v="6"/>
    <n v="86"/>
    <x v="52"/>
    <n v="41"/>
    <s v="Oregon"/>
    <n v="51"/>
    <s v="Multnomah County"/>
    <n v="67"/>
    <n v="91"/>
    <n v="3627"/>
    <n v="53249"/>
    <n v="93619"/>
    <n v="3274688"/>
    <n v="1132400"/>
    <n v="2148009"/>
    <n v="83457104"/>
    <n v="12086"/>
    <x v="52"/>
    <n v="41051"/>
    <n v="0"/>
    <n v="1"/>
  </r>
  <r>
    <x v="3"/>
    <n v="12"/>
    <x v="6"/>
    <n v="95"/>
    <x v="18"/>
    <n v="41"/>
    <s v="Oregon"/>
    <n v="51"/>
    <s v="Multnomah County"/>
    <n v="48"/>
    <n v="65"/>
    <n v="2009"/>
    <n v="48906"/>
    <n v="87731"/>
    <n v="2766605"/>
    <n v="547472"/>
    <n v="1096430"/>
    <n v="39800476"/>
    <n v="12095"/>
    <x v="53"/>
    <n v="41051"/>
    <n v="0"/>
    <n v="1"/>
  </r>
  <r>
    <x v="3"/>
    <n v="12"/>
    <x v="6"/>
    <n v="99"/>
    <x v="53"/>
    <n v="41"/>
    <s v="Oregon"/>
    <n v="51"/>
    <s v="Multnomah County"/>
    <n v="43"/>
    <n v="57"/>
    <n v="2263"/>
    <n v="34153"/>
    <n v="56839"/>
    <n v="2883243"/>
    <n v="610161"/>
    <n v="1167229"/>
    <n v="73177344"/>
    <n v="12099"/>
    <x v="54"/>
    <n v="41051"/>
    <n v="0"/>
    <n v="1"/>
  </r>
  <r>
    <x v="3"/>
    <n v="12"/>
    <x v="6"/>
    <n v="103"/>
    <x v="54"/>
    <n v="41"/>
    <s v="Oregon"/>
    <n v="51"/>
    <s v="Multnomah County"/>
    <n v="50"/>
    <n v="69"/>
    <n v="2692"/>
    <n v="25824"/>
    <n v="42704"/>
    <n v="1688396"/>
    <n v="407005"/>
    <n v="730395"/>
    <n v="32179964"/>
    <n v="12103"/>
    <x v="55"/>
    <n v="41051"/>
    <n v="0"/>
    <n v="1"/>
  </r>
  <r>
    <x v="3"/>
    <n v="13"/>
    <x v="7"/>
    <n v="67"/>
    <x v="55"/>
    <n v="41"/>
    <s v="Oregon"/>
    <n v="51"/>
    <s v="Multnomah County"/>
    <n v="24"/>
    <n v="44"/>
    <n v="1405"/>
    <n v="28018"/>
    <n v="51227"/>
    <n v="1967501"/>
    <n v="286317"/>
    <n v="607754"/>
    <n v="28495844"/>
    <n v="13067"/>
    <x v="56"/>
    <n v="41051"/>
    <n v="0"/>
    <n v="1"/>
  </r>
  <r>
    <x v="3"/>
    <n v="13"/>
    <x v="7"/>
    <n v="89"/>
    <x v="56"/>
    <n v="41"/>
    <s v="Oregon"/>
    <n v="51"/>
    <s v="Multnomah County"/>
    <n v="33"/>
    <n v="45"/>
    <n v="2243"/>
    <n v="32584"/>
    <n v="59457"/>
    <n v="1951219"/>
    <n v="282580"/>
    <n v="563153"/>
    <n v="23073030"/>
    <n v="13089"/>
    <x v="57"/>
    <n v="41051"/>
    <n v="0"/>
    <n v="1"/>
  </r>
  <r>
    <x v="3"/>
    <n v="13"/>
    <x v="7"/>
    <n v="121"/>
    <x v="57"/>
    <n v="41"/>
    <s v="Oregon"/>
    <n v="51"/>
    <s v="Multnomah County"/>
    <n v="57"/>
    <n v="75"/>
    <n v="4070"/>
    <n v="45522"/>
    <n v="79941"/>
    <n v="3857240"/>
    <n v="433354"/>
    <n v="813939"/>
    <n v="52884108"/>
    <n v="13121"/>
    <x v="58"/>
    <n v="41051"/>
    <n v="0"/>
    <n v="1"/>
  </r>
  <r>
    <x v="3"/>
    <n v="15"/>
    <x v="8"/>
    <n v="1"/>
    <x v="58"/>
    <n v="41"/>
    <s v="Oregon"/>
    <n v="51"/>
    <s v="Multnomah County"/>
    <n v="43"/>
    <n v="71"/>
    <n v="992"/>
    <n v="3625"/>
    <n v="6327"/>
    <n v="215172"/>
    <n v="75739"/>
    <n v="150199"/>
    <n v="4608433"/>
    <n v="15001"/>
    <x v="59"/>
    <n v="41051"/>
    <n v="0"/>
    <n v="1"/>
  </r>
  <r>
    <x v="3"/>
    <n v="15"/>
    <x v="8"/>
    <n v="3"/>
    <x v="59"/>
    <n v="41"/>
    <s v="Oregon"/>
    <n v="51"/>
    <s v="Multnomah County"/>
    <n v="156"/>
    <n v="232"/>
    <n v="9201"/>
    <n v="22310"/>
    <n v="46410"/>
    <n v="1394799"/>
    <n v="412682"/>
    <n v="816678"/>
    <n v="32349776"/>
    <n v="15003"/>
    <x v="60"/>
    <n v="41051"/>
    <n v="0"/>
    <n v="1"/>
  </r>
  <r>
    <x v="3"/>
    <n v="15"/>
    <x v="8"/>
    <n v="9"/>
    <x v="61"/>
    <n v="41"/>
    <s v="Oregon"/>
    <n v="51"/>
    <s v="Multnomah County"/>
    <n v="48"/>
    <n v="75"/>
    <n v="2641"/>
    <n v="3214"/>
    <n v="5268"/>
    <n v="203116"/>
    <n v="69084"/>
    <n v="133397"/>
    <n v="4803973"/>
    <n v="15009"/>
    <x v="62"/>
    <n v="41051"/>
    <n v="0"/>
    <n v="1"/>
  </r>
  <r>
    <x v="3"/>
    <n v="16"/>
    <x v="9"/>
    <n v="1"/>
    <x v="62"/>
    <n v="41"/>
    <s v="Oregon"/>
    <n v="51"/>
    <s v="Multnomah County"/>
    <n v="115"/>
    <n v="146"/>
    <n v="3768"/>
    <n v="10941"/>
    <n v="20494"/>
    <n v="676770"/>
    <n v="182789"/>
    <n v="390432"/>
    <n v="16371166"/>
    <n v="16001"/>
    <x v="63"/>
    <n v="41051"/>
    <n v="0"/>
    <n v="1"/>
  </r>
  <r>
    <x v="3"/>
    <n v="16"/>
    <x v="9"/>
    <n v="55"/>
    <x v="64"/>
    <n v="41"/>
    <s v="Oregon"/>
    <n v="51"/>
    <s v="Multnomah County"/>
    <n v="28"/>
    <n v="36"/>
    <n v="1281"/>
    <n v="3744"/>
    <n v="6649"/>
    <n v="209431"/>
    <n v="64667"/>
    <n v="136146"/>
    <n v="4535478"/>
    <n v="16055"/>
    <x v="65"/>
    <n v="41051"/>
    <n v="0"/>
    <n v="1"/>
  </r>
  <r>
    <x v="3"/>
    <n v="17"/>
    <x v="10"/>
    <n v="31"/>
    <x v="65"/>
    <n v="41"/>
    <s v="Oregon"/>
    <n v="51"/>
    <s v="Multnomah County"/>
    <n v="310"/>
    <n v="404"/>
    <n v="26144"/>
    <n v="94934"/>
    <n v="164454"/>
    <n v="8666105"/>
    <n v="2111792"/>
    <n v="4230109"/>
    <n v="197705056"/>
    <n v="17031"/>
    <x v="66"/>
    <n v="41051"/>
    <n v="0"/>
    <n v="1"/>
  </r>
  <r>
    <x v="3"/>
    <n v="17"/>
    <x v="10"/>
    <n v="43"/>
    <x v="66"/>
    <n v="41"/>
    <s v="Oregon"/>
    <n v="51"/>
    <s v="Multnomah County"/>
    <n v="33"/>
    <n v="46"/>
    <n v="2286"/>
    <n v="28223"/>
    <n v="50165"/>
    <n v="2545295"/>
    <n v="389854"/>
    <n v="846558"/>
    <n v="46450256"/>
    <n v="17043"/>
    <x v="67"/>
    <n v="41051"/>
    <n v="0"/>
    <n v="1"/>
  </r>
  <r>
    <x v="3"/>
    <n v="17"/>
    <x v="10"/>
    <n v="97"/>
    <x v="67"/>
    <n v="41"/>
    <s v="Oregon"/>
    <n v="51"/>
    <s v="Multnomah County"/>
    <n v="27"/>
    <n v="35"/>
    <n v="1460"/>
    <n v="17232"/>
    <n v="30680"/>
    <n v="2021068"/>
    <n v="280844"/>
    <n v="631093"/>
    <n v="38121768"/>
    <n v="17097"/>
    <x v="68"/>
    <n v="41051"/>
    <n v="0"/>
    <n v="1"/>
  </r>
  <r>
    <x v="3"/>
    <n v="17"/>
    <x v="10"/>
    <n v="197"/>
    <x v="202"/>
    <n v="41"/>
    <s v="Oregon"/>
    <n v="51"/>
    <s v="Multnomah County"/>
    <n v="20"/>
    <n v="24"/>
    <n v="821"/>
    <n v="17369"/>
    <n v="32296"/>
    <n v="1352031"/>
    <n v="273902"/>
    <n v="618426"/>
    <n v="24824184"/>
    <n v="17197"/>
    <x v="223"/>
    <n v="41051"/>
    <n v="0"/>
    <n v="1"/>
  </r>
  <r>
    <x v="3"/>
    <n v="18"/>
    <x v="11"/>
    <n v="97"/>
    <x v="68"/>
    <n v="41"/>
    <s v="Oregon"/>
    <n v="51"/>
    <s v="Multnomah County"/>
    <n v="33"/>
    <n v="44"/>
    <n v="2434"/>
    <n v="26374"/>
    <n v="46556"/>
    <n v="1538322"/>
    <n v="376714"/>
    <n v="752422"/>
    <n v="24154312"/>
    <n v="18097"/>
    <x v="69"/>
    <n v="41051"/>
    <n v="0"/>
    <n v="1"/>
  </r>
  <r>
    <x v="3"/>
    <n v="19"/>
    <x v="12"/>
    <n v="103"/>
    <x v="71"/>
    <n v="41"/>
    <s v="Oregon"/>
    <n v="51"/>
    <s v="Multnomah County"/>
    <n v="20"/>
    <n v="26"/>
    <n v="1113"/>
    <n v="4687"/>
    <n v="7616"/>
    <n v="267108"/>
    <n v="55812"/>
    <n v="112143"/>
    <n v="5076661"/>
    <n v="19103"/>
    <x v="190"/>
    <n v="41051"/>
    <n v="0"/>
    <n v="1"/>
  </r>
  <r>
    <x v="3"/>
    <n v="20"/>
    <x v="13"/>
    <n v="91"/>
    <x v="71"/>
    <n v="41"/>
    <s v="Oregon"/>
    <n v="51"/>
    <s v="Multnomah County"/>
    <n v="23"/>
    <n v="38"/>
    <n v="2367"/>
    <n v="15912"/>
    <n v="27853"/>
    <n v="1262685"/>
    <n v="242534"/>
    <n v="528439"/>
    <n v="29580208"/>
    <n v="20091"/>
    <x v="72"/>
    <n v="41051"/>
    <n v="0"/>
    <n v="1"/>
  </r>
  <r>
    <x v="3"/>
    <n v="21"/>
    <x v="14"/>
    <n v="111"/>
    <x v="42"/>
    <n v="41"/>
    <s v="Oregon"/>
    <n v="51"/>
    <s v="Multnomah County"/>
    <n v="22"/>
    <n v="30"/>
    <n v="1594"/>
    <n v="15985"/>
    <n v="28494"/>
    <n v="1091621"/>
    <n v="309562"/>
    <n v="605854"/>
    <n v="23628666"/>
    <n v="21111"/>
    <x v="73"/>
    <n v="41051"/>
    <n v="0"/>
    <n v="1"/>
  </r>
  <r>
    <x v="3"/>
    <n v="22"/>
    <x v="15"/>
    <n v="71"/>
    <x v="72"/>
    <n v="41"/>
    <s v="Oregon"/>
    <n v="51"/>
    <s v="Multnomah County"/>
    <n v="44"/>
    <n v="55"/>
    <n v="3363"/>
    <n v="10942"/>
    <n v="19214"/>
    <n v="628621"/>
    <n v="129340"/>
    <n v="244677"/>
    <n v="9319526"/>
    <n v="22071"/>
    <x v="74"/>
    <n v="41051"/>
    <n v="0"/>
    <n v="1"/>
  </r>
  <r>
    <x v="3"/>
    <n v="23"/>
    <x v="16"/>
    <n v="5"/>
    <x v="73"/>
    <n v="41"/>
    <s v="Oregon"/>
    <n v="51"/>
    <s v="Multnomah County"/>
    <n v="25"/>
    <n v="30"/>
    <n v="1439"/>
    <n v="8002"/>
    <n v="12416"/>
    <n v="514282"/>
    <n v="131662"/>
    <n v="248271"/>
    <n v="11941731"/>
    <n v="23005"/>
    <x v="75"/>
    <n v="41051"/>
    <n v="0"/>
    <n v="1"/>
  </r>
  <r>
    <x v="3"/>
    <n v="24"/>
    <x v="17"/>
    <n v="3"/>
    <x v="200"/>
    <n v="41"/>
    <s v="Oregon"/>
    <n v="51"/>
    <s v="Multnomah County"/>
    <n v="23"/>
    <n v="41"/>
    <n v="1603"/>
    <n v="17955"/>
    <n v="32657"/>
    <n v="1410695"/>
    <n v="239839"/>
    <n v="490520"/>
    <n v="25131148"/>
    <n v="24003"/>
    <x v="221"/>
    <n v="41051"/>
    <n v="0"/>
    <n v="1"/>
  </r>
  <r>
    <x v="3"/>
    <n v="24"/>
    <x v="17"/>
    <n v="5"/>
    <x v="177"/>
    <n v="41"/>
    <s v="Oregon"/>
    <n v="51"/>
    <s v="Multnomah County"/>
    <n v="24"/>
    <n v="33"/>
    <n v="2556"/>
    <n v="23548"/>
    <n v="41952"/>
    <n v="1693287"/>
    <n v="340972"/>
    <n v="680910"/>
    <n v="31014052"/>
    <n v="24005"/>
    <x v="193"/>
    <n v="41051"/>
    <n v="0"/>
    <n v="1"/>
  </r>
  <r>
    <x v="3"/>
    <n v="24"/>
    <x v="17"/>
    <n v="31"/>
    <x v="74"/>
    <n v="41"/>
    <s v="Oregon"/>
    <n v="51"/>
    <s v="Multnomah County"/>
    <n v="43"/>
    <n v="68"/>
    <n v="6606"/>
    <n v="30476"/>
    <n v="51678"/>
    <n v="2814406"/>
    <n v="440471"/>
    <n v="913974"/>
    <n v="58098096"/>
    <n v="24031"/>
    <x v="76"/>
    <n v="41051"/>
    <n v="0"/>
    <n v="1"/>
  </r>
  <r>
    <x v="3"/>
    <n v="24"/>
    <x v="17"/>
    <n v="510"/>
    <x v="75"/>
    <n v="41"/>
    <s v="Oregon"/>
    <n v="51"/>
    <s v="Multnomah County"/>
    <n v="39"/>
    <n v="51"/>
    <n v="4721"/>
    <n v="21850"/>
    <n v="37785"/>
    <n v="1345946"/>
    <n v="209327"/>
    <n v="384352"/>
    <n v="13345733"/>
    <n v="24510"/>
    <x v="77"/>
    <n v="41051"/>
    <n v="0"/>
    <n v="1"/>
  </r>
  <r>
    <x v="3"/>
    <n v="25"/>
    <x v="18"/>
    <n v="9"/>
    <x v="76"/>
    <n v="41"/>
    <s v="Oregon"/>
    <n v="51"/>
    <s v="Multnomah County"/>
    <n v="23"/>
    <n v="35"/>
    <n v="1431"/>
    <n v="16989"/>
    <n v="27932"/>
    <n v="1332349"/>
    <n v="335065"/>
    <n v="667057"/>
    <n v="34920944"/>
    <n v="25009"/>
    <x v="78"/>
    <n v="41051"/>
    <n v="0"/>
    <n v="1"/>
  </r>
  <r>
    <x v="3"/>
    <n v="25"/>
    <x v="18"/>
    <n v="17"/>
    <x v="78"/>
    <n v="41"/>
    <s v="Oregon"/>
    <n v="51"/>
    <s v="Multnomah County"/>
    <n v="121"/>
    <n v="150"/>
    <n v="10108"/>
    <n v="48464"/>
    <n v="74314"/>
    <n v="5082296"/>
    <n v="680985"/>
    <n v="1341464"/>
    <n v="96784400"/>
    <n v="25017"/>
    <x v="80"/>
    <n v="41051"/>
    <n v="0"/>
    <n v="1"/>
  </r>
  <r>
    <x v="3"/>
    <n v="25"/>
    <x v="18"/>
    <n v="21"/>
    <x v="79"/>
    <n v="41"/>
    <s v="Oregon"/>
    <n v="51"/>
    <s v="Multnomah County"/>
    <n v="25"/>
    <n v="38"/>
    <n v="3526"/>
    <n v="22813"/>
    <n v="36221"/>
    <n v="2346487"/>
    <n v="298424"/>
    <n v="610235"/>
    <n v="47945436"/>
    <n v="25021"/>
    <x v="81"/>
    <n v="41051"/>
    <n v="0"/>
    <n v="1"/>
  </r>
  <r>
    <x v="3"/>
    <n v="25"/>
    <x v="18"/>
    <n v="25"/>
    <x v="80"/>
    <n v="41"/>
    <s v="Oregon"/>
    <n v="51"/>
    <s v="Multnomah County"/>
    <n v="92"/>
    <n v="123"/>
    <n v="8574"/>
    <n v="37752"/>
    <n v="55499"/>
    <n v="3568440"/>
    <n v="331625"/>
    <n v="556672"/>
    <n v="39825144"/>
    <n v="25025"/>
    <x v="82"/>
    <n v="41051"/>
    <n v="0"/>
    <n v="1"/>
  </r>
  <r>
    <x v="3"/>
    <n v="25"/>
    <x v="18"/>
    <n v="27"/>
    <x v="179"/>
    <n v="41"/>
    <s v="Oregon"/>
    <n v="51"/>
    <s v="Multnomah County"/>
    <n v="27"/>
    <n v="31"/>
    <n v="1386"/>
    <n v="15052"/>
    <n v="24815"/>
    <n v="1108220"/>
    <n v="339991"/>
    <n v="687392"/>
    <n v="29919360"/>
    <n v="25027"/>
    <x v="195"/>
    <n v="41051"/>
    <n v="0"/>
    <n v="1"/>
  </r>
  <r>
    <x v="3"/>
    <n v="26"/>
    <x v="19"/>
    <n v="81"/>
    <x v="81"/>
    <n v="41"/>
    <s v="Oregon"/>
    <n v="51"/>
    <s v="Multnomah County"/>
    <n v="32"/>
    <n v="37"/>
    <n v="1246"/>
    <n v="14166"/>
    <n v="24608"/>
    <n v="893524"/>
    <n v="260500"/>
    <n v="547694"/>
    <n v="21844196"/>
    <n v="26081"/>
    <x v="83"/>
    <n v="41051"/>
    <n v="0"/>
    <n v="1"/>
  </r>
  <r>
    <x v="3"/>
    <n v="26"/>
    <x v="19"/>
    <n v="125"/>
    <x v="82"/>
    <n v="41"/>
    <s v="Oregon"/>
    <n v="51"/>
    <s v="Multnomah County"/>
    <n v="44"/>
    <n v="57"/>
    <n v="3430"/>
    <n v="31373"/>
    <n v="53225"/>
    <n v="2461595"/>
    <n v="530307"/>
    <n v="1074624"/>
    <n v="58741816"/>
    <n v="26125"/>
    <x v="84"/>
    <n v="41051"/>
    <n v="0"/>
    <n v="1"/>
  </r>
  <r>
    <x v="3"/>
    <n v="26"/>
    <x v="19"/>
    <n v="161"/>
    <x v="83"/>
    <n v="41"/>
    <s v="Oregon"/>
    <n v="51"/>
    <s v="Multnomah County"/>
    <n v="35"/>
    <n v="45"/>
    <n v="2109"/>
    <n v="12383"/>
    <n v="19115"/>
    <n v="922835"/>
    <n v="141371"/>
    <n v="277424"/>
    <n v="14569001"/>
    <n v="26161"/>
    <x v="85"/>
    <n v="41051"/>
    <n v="0"/>
    <n v="1"/>
  </r>
  <r>
    <x v="3"/>
    <n v="26"/>
    <x v="19"/>
    <n v="163"/>
    <x v="84"/>
    <n v="41"/>
    <s v="Oregon"/>
    <n v="51"/>
    <s v="Multnomah County"/>
    <n v="39"/>
    <n v="52"/>
    <n v="2529"/>
    <n v="30783"/>
    <n v="54763"/>
    <n v="1827813"/>
    <n v="649296"/>
    <n v="1326306"/>
    <n v="41457052"/>
    <n v="26163"/>
    <x v="86"/>
    <n v="41051"/>
    <n v="0"/>
    <n v="1"/>
  </r>
  <r>
    <x v="3"/>
    <n v="27"/>
    <x v="20"/>
    <n v="53"/>
    <x v="85"/>
    <n v="41"/>
    <s v="Oregon"/>
    <n v="51"/>
    <s v="Multnomah County"/>
    <n v="135"/>
    <n v="168"/>
    <n v="11283"/>
    <n v="38726"/>
    <n v="64534"/>
    <n v="2952991"/>
    <n v="544743"/>
    <n v="1063850"/>
    <n v="60056628"/>
    <n v="27053"/>
    <x v="87"/>
    <n v="41051"/>
    <n v="0"/>
    <n v="1"/>
  </r>
  <r>
    <x v="3"/>
    <n v="27"/>
    <x v="20"/>
    <n v="123"/>
    <x v="86"/>
    <n v="41"/>
    <s v="Oregon"/>
    <n v="51"/>
    <s v="Multnomah County"/>
    <n v="37"/>
    <n v="47"/>
    <n v="1527"/>
    <n v="21525"/>
    <n v="36596"/>
    <n v="1359638"/>
    <n v="228920"/>
    <n v="450834"/>
    <n v="18410498"/>
    <n v="27123"/>
    <x v="88"/>
    <n v="41051"/>
    <n v="0"/>
    <n v="1"/>
  </r>
  <r>
    <x v="3"/>
    <n v="29"/>
    <x v="21"/>
    <n v="95"/>
    <x v="87"/>
    <n v="41"/>
    <s v="Oregon"/>
    <n v="51"/>
    <s v="Multnomah County"/>
    <n v="31"/>
    <n v="42"/>
    <n v="1758"/>
    <n v="18808"/>
    <n v="32689"/>
    <n v="1182614"/>
    <n v="273107"/>
    <n v="541177"/>
    <n v="18761172"/>
    <n v="29095"/>
    <x v="89"/>
    <n v="41051"/>
    <n v="0"/>
    <n v="1"/>
  </r>
  <r>
    <x v="3"/>
    <n v="29"/>
    <x v="21"/>
    <n v="189"/>
    <x v="88"/>
    <n v="41"/>
    <s v="Oregon"/>
    <n v="51"/>
    <s v="Multnomah County"/>
    <n v="31"/>
    <n v="40"/>
    <n v="2093"/>
    <n v="24748"/>
    <n v="43591"/>
    <n v="1827051"/>
    <n v="413236"/>
    <n v="837129"/>
    <n v="46429248"/>
    <n v="29189"/>
    <x v="90"/>
    <n v="41051"/>
    <n v="0"/>
    <n v="1"/>
  </r>
  <r>
    <x v="3"/>
    <n v="29"/>
    <x v="21"/>
    <n v="510"/>
    <x v="89"/>
    <n v="41"/>
    <s v="Oregon"/>
    <n v="51"/>
    <s v="Multnomah County"/>
    <n v="33"/>
    <n v="40"/>
    <n v="2266"/>
    <n v="13923"/>
    <n v="24099"/>
    <n v="718654"/>
    <n v="116576"/>
    <n v="204366"/>
    <n v="6768624"/>
    <n v="29510"/>
    <x v="91"/>
    <n v="41051"/>
    <n v="0"/>
    <n v="1"/>
  </r>
  <r>
    <x v="3"/>
    <n v="30"/>
    <x v="22"/>
    <n v="29"/>
    <x v="203"/>
    <n v="41"/>
    <s v="Oregon"/>
    <n v="51"/>
    <s v="Multnomah County"/>
    <n v="23"/>
    <n v="28"/>
    <n v="537"/>
    <n v="2334"/>
    <n v="4072"/>
    <n v="112470"/>
    <n v="42294"/>
    <n v="85964"/>
    <n v="2913156"/>
    <n v="30029"/>
    <x v="224"/>
    <n v="41051"/>
    <n v="0"/>
    <n v="1"/>
  </r>
  <r>
    <x v="3"/>
    <n v="30"/>
    <x v="22"/>
    <n v="31"/>
    <x v="90"/>
    <n v="41"/>
    <s v="Oregon"/>
    <n v="51"/>
    <s v="Multnomah County"/>
    <n v="37"/>
    <n v="39"/>
    <n v="1210"/>
    <n v="3954"/>
    <n v="6047"/>
    <n v="219498"/>
    <n v="47377"/>
    <n v="90082"/>
    <n v="4265505"/>
    <n v="30031"/>
    <x v="92"/>
    <n v="41051"/>
    <n v="0"/>
    <n v="1"/>
  </r>
  <r>
    <x v="3"/>
    <n v="30"/>
    <x v="22"/>
    <n v="63"/>
    <x v="92"/>
    <n v="41"/>
    <s v="Oregon"/>
    <n v="51"/>
    <s v="Multnomah County"/>
    <n v="48"/>
    <n v="62"/>
    <n v="1708"/>
    <n v="3563"/>
    <n v="5629"/>
    <n v="164453"/>
    <n v="49011"/>
    <n v="90838"/>
    <n v="3836818"/>
    <n v="30063"/>
    <x v="94"/>
    <n v="41051"/>
    <n v="0"/>
    <n v="1"/>
  </r>
  <r>
    <x v="3"/>
    <n v="30"/>
    <x v="22"/>
    <n v="111"/>
    <x v="182"/>
    <n v="41"/>
    <s v="Oregon"/>
    <n v="51"/>
    <s v="Multnomah County"/>
    <n v="25"/>
    <n v="33"/>
    <n v="823"/>
    <n v="3343"/>
    <n v="5926"/>
    <n v="192905"/>
    <n v="65508"/>
    <n v="132073"/>
    <n v="4949560"/>
    <n v="30111"/>
    <x v="198"/>
    <n v="41051"/>
    <n v="0"/>
    <n v="1"/>
  </r>
  <r>
    <x v="3"/>
    <n v="31"/>
    <x v="23"/>
    <n v="55"/>
    <x v="93"/>
    <n v="41"/>
    <s v="Oregon"/>
    <n v="51"/>
    <s v="Multnomah County"/>
    <n v="39"/>
    <n v="48"/>
    <n v="1438"/>
    <n v="13169"/>
    <n v="23992"/>
    <n v="866122"/>
    <n v="224532"/>
    <n v="477729"/>
    <n v="20301544"/>
    <n v="31055"/>
    <x v="95"/>
    <n v="41051"/>
    <n v="0"/>
    <n v="1"/>
  </r>
  <r>
    <x v="3"/>
    <n v="32"/>
    <x v="24"/>
    <n v="3"/>
    <x v="94"/>
    <n v="41"/>
    <s v="Oregon"/>
    <n v="51"/>
    <s v="Multnomah County"/>
    <n v="220"/>
    <n v="332"/>
    <n v="11739"/>
    <n v="38073"/>
    <n v="70828"/>
    <n v="2426374"/>
    <n v="855593"/>
    <n v="1743737"/>
    <n v="67524560"/>
    <n v="32003"/>
    <x v="96"/>
    <n v="41051"/>
    <n v="0"/>
    <n v="1"/>
  </r>
  <r>
    <x v="3"/>
    <n v="32"/>
    <x v="24"/>
    <n v="31"/>
    <x v="95"/>
    <n v="41"/>
    <s v="Oregon"/>
    <n v="51"/>
    <s v="Multnomah County"/>
    <n v="74"/>
    <n v="97"/>
    <n v="4052"/>
    <n v="10434"/>
    <n v="18022"/>
    <n v="670423"/>
    <n v="194830"/>
    <n v="382116"/>
    <n v="19211648"/>
    <n v="32031"/>
    <x v="97"/>
    <n v="41051"/>
    <n v="0"/>
    <n v="1"/>
  </r>
  <r>
    <x v="3"/>
    <n v="34"/>
    <x v="25"/>
    <n v="17"/>
    <x v="96"/>
    <n v="41"/>
    <s v="Oregon"/>
    <n v="51"/>
    <s v="Multnomah County"/>
    <n v="30"/>
    <n v="41"/>
    <n v="2952"/>
    <n v="27693"/>
    <n v="48042"/>
    <n v="2793821"/>
    <n v="292070"/>
    <n v="545392"/>
    <n v="25395412"/>
    <n v="34017"/>
    <x v="98"/>
    <n v="41051"/>
    <n v="0"/>
    <n v="1"/>
  </r>
  <r>
    <x v="3"/>
    <n v="35"/>
    <x v="26"/>
    <n v="1"/>
    <x v="97"/>
    <n v="41"/>
    <s v="Oregon"/>
    <n v="51"/>
    <s v="Multnomah County"/>
    <n v="68"/>
    <n v="104"/>
    <n v="5151"/>
    <n v="13721"/>
    <n v="25053"/>
    <n v="817466"/>
    <n v="262489"/>
    <n v="511474"/>
    <n v="17589344"/>
    <n v="35001"/>
    <x v="99"/>
    <n v="41051"/>
    <n v="0"/>
    <n v="1"/>
  </r>
  <r>
    <x v="3"/>
    <n v="35"/>
    <x v="26"/>
    <n v="49"/>
    <x v="98"/>
    <n v="41"/>
    <s v="Oregon"/>
    <n v="51"/>
    <s v="Multnomah County"/>
    <n v="21"/>
    <n v="28"/>
    <n v="1002"/>
    <n v="3910"/>
    <n v="6574"/>
    <n v="288434"/>
    <n v="65536"/>
    <n v="119521"/>
    <n v="5401414"/>
    <n v="35049"/>
    <x v="100"/>
    <n v="41051"/>
    <n v="0"/>
    <n v="1"/>
  </r>
  <r>
    <x v="3"/>
    <n v="36"/>
    <x v="27"/>
    <n v="47"/>
    <x v="100"/>
    <n v="41"/>
    <s v="Oregon"/>
    <n v="51"/>
    <s v="Multnomah County"/>
    <n v="239"/>
    <n v="320"/>
    <n v="26139"/>
    <n v="73104"/>
    <n v="125257"/>
    <n v="5390957"/>
    <n v="1065449"/>
    <n v="2054281"/>
    <n v="77131056"/>
    <n v="36047"/>
    <x v="102"/>
    <n v="41051"/>
    <n v="0"/>
    <n v="1"/>
  </r>
  <r>
    <x v="3"/>
    <n v="36"/>
    <x v="27"/>
    <n v="55"/>
    <x v="69"/>
    <n v="41"/>
    <s v="Oregon"/>
    <n v="51"/>
    <s v="Multnomah County"/>
    <n v="24"/>
    <n v="32"/>
    <n v="1198"/>
    <n v="11943"/>
    <n v="19090"/>
    <n v="828745"/>
    <n v="310495"/>
    <n v="601369"/>
    <n v="23451404"/>
    <n v="36055"/>
    <x v="103"/>
    <n v="41051"/>
    <n v="0"/>
    <n v="1"/>
  </r>
  <r>
    <x v="3"/>
    <n v="36"/>
    <x v="27"/>
    <n v="59"/>
    <x v="101"/>
    <n v="41"/>
    <s v="Oregon"/>
    <n v="51"/>
    <s v="Multnomah County"/>
    <n v="22"/>
    <n v="28"/>
    <n v="1585"/>
    <n v="29633"/>
    <n v="49632"/>
    <n v="2900817"/>
    <n v="603047"/>
    <n v="1248895"/>
    <n v="82927504"/>
    <n v="36059"/>
    <x v="104"/>
    <n v="41051"/>
    <n v="0"/>
    <n v="1"/>
  </r>
  <r>
    <x v="3"/>
    <n v="36"/>
    <x v="27"/>
    <n v="61"/>
    <x v="102"/>
    <n v="41"/>
    <s v="Oregon"/>
    <n v="51"/>
    <s v="Multnomah County"/>
    <n v="156"/>
    <n v="191"/>
    <n v="25351"/>
    <n v="76449"/>
    <n v="112466"/>
    <n v="11680542"/>
    <n v="774695"/>
    <n v="1242392"/>
    <n v="186827680"/>
    <n v="36061"/>
    <x v="105"/>
    <n v="41051"/>
    <n v="0"/>
    <n v="1"/>
  </r>
  <r>
    <x v="3"/>
    <n v="36"/>
    <x v="27"/>
    <n v="81"/>
    <x v="103"/>
    <n v="41"/>
    <s v="Oregon"/>
    <n v="51"/>
    <s v="Multnomah County"/>
    <n v="64"/>
    <n v="92"/>
    <n v="5065"/>
    <n v="60849"/>
    <n v="108733"/>
    <n v="4104149"/>
    <n v="1006808"/>
    <n v="1936166"/>
    <n v="61463628"/>
    <n v="36081"/>
    <x v="106"/>
    <n v="41051"/>
    <n v="0"/>
    <n v="1"/>
  </r>
  <r>
    <x v="3"/>
    <n v="36"/>
    <x v="27"/>
    <n v="103"/>
    <x v="80"/>
    <n v="41"/>
    <s v="Oregon"/>
    <n v="51"/>
    <s v="Multnomah County"/>
    <n v="28"/>
    <n v="37"/>
    <n v="1392"/>
    <n v="24909"/>
    <n v="40993"/>
    <n v="2331253"/>
    <n v="657203"/>
    <n v="1322907"/>
    <n v="69199152"/>
    <n v="36103"/>
    <x v="107"/>
    <n v="41051"/>
    <n v="0"/>
    <n v="1"/>
  </r>
  <r>
    <x v="3"/>
    <n v="36"/>
    <x v="27"/>
    <n v="119"/>
    <x v="104"/>
    <n v="41"/>
    <s v="Oregon"/>
    <n v="51"/>
    <s v="Multnomah County"/>
    <n v="20"/>
    <n v="28"/>
    <n v="1825"/>
    <n v="21927"/>
    <n v="37410"/>
    <n v="2929383"/>
    <n v="408996"/>
    <n v="841108"/>
    <n v="73341824"/>
    <n v="36119"/>
    <x v="108"/>
    <n v="41051"/>
    <n v="0"/>
    <n v="1"/>
  </r>
  <r>
    <x v="3"/>
    <n v="37"/>
    <x v="28"/>
    <n v="21"/>
    <x v="105"/>
    <n v="41"/>
    <s v="Oregon"/>
    <n v="51"/>
    <s v="Multnomah County"/>
    <n v="21"/>
    <n v="26"/>
    <n v="712"/>
    <n v="7699"/>
    <n v="12569"/>
    <n v="428344"/>
    <n v="107599"/>
    <n v="203902"/>
    <n v="7767354"/>
    <n v="37021"/>
    <x v="109"/>
    <n v="41051"/>
    <n v="0"/>
    <n v="1"/>
  </r>
  <r>
    <x v="3"/>
    <n v="37"/>
    <x v="28"/>
    <n v="63"/>
    <x v="186"/>
    <n v="41"/>
    <s v="Oregon"/>
    <n v="51"/>
    <s v="Multnomah County"/>
    <n v="34"/>
    <n v="53"/>
    <n v="2408"/>
    <n v="12511"/>
    <n v="21148"/>
    <n v="825508"/>
    <n v="122191"/>
    <n v="236120"/>
    <n v="9685894"/>
    <n v="37063"/>
    <x v="204"/>
    <n v="41051"/>
    <n v="0"/>
    <n v="1"/>
  </r>
  <r>
    <x v="3"/>
    <n v="37"/>
    <x v="28"/>
    <n v="119"/>
    <x v="106"/>
    <n v="41"/>
    <s v="Oregon"/>
    <n v="51"/>
    <s v="Multnomah County"/>
    <n v="44"/>
    <n v="62"/>
    <n v="3709"/>
    <n v="33830"/>
    <n v="61987"/>
    <n v="2518480"/>
    <n v="417014"/>
    <n v="854652"/>
    <n v="42359896"/>
    <n v="37119"/>
    <x v="110"/>
    <n v="41051"/>
    <n v="0"/>
    <n v="1"/>
  </r>
  <r>
    <x v="3"/>
    <n v="37"/>
    <x v="28"/>
    <n v="183"/>
    <x v="107"/>
    <n v="41"/>
    <s v="Oregon"/>
    <n v="51"/>
    <s v="Multnomah County"/>
    <n v="43"/>
    <n v="57"/>
    <n v="2534"/>
    <n v="29490"/>
    <n v="52780"/>
    <n v="2126328"/>
    <n v="418260"/>
    <n v="908165"/>
    <n v="44113412"/>
    <n v="37183"/>
    <x v="112"/>
    <n v="41051"/>
    <n v="0"/>
    <n v="1"/>
  </r>
  <r>
    <x v="3"/>
    <n v="39"/>
    <x v="29"/>
    <n v="35"/>
    <x v="108"/>
    <n v="41"/>
    <s v="Oregon"/>
    <n v="51"/>
    <s v="Multnomah County"/>
    <n v="46"/>
    <n v="62"/>
    <n v="2555"/>
    <n v="23166"/>
    <n v="38798"/>
    <n v="1729029"/>
    <n v="515665"/>
    <n v="972239"/>
    <n v="39494156"/>
    <n v="39035"/>
    <x v="113"/>
    <n v="41051"/>
    <n v="0"/>
    <n v="1"/>
  </r>
  <r>
    <x v="3"/>
    <n v="39"/>
    <x v="29"/>
    <n v="49"/>
    <x v="109"/>
    <n v="41"/>
    <s v="Oregon"/>
    <n v="51"/>
    <s v="Multnomah County"/>
    <n v="70"/>
    <n v="92"/>
    <n v="4862"/>
    <n v="31164"/>
    <n v="54846"/>
    <n v="2048161"/>
    <n v="526681"/>
    <n v="1028219"/>
    <n v="39756156"/>
    <n v="39049"/>
    <x v="114"/>
    <n v="41051"/>
    <n v="0"/>
    <n v="1"/>
  </r>
  <r>
    <x v="3"/>
    <n v="39"/>
    <x v="29"/>
    <n v="61"/>
    <x v="110"/>
    <n v="41"/>
    <s v="Oregon"/>
    <n v="51"/>
    <s v="Multnomah County"/>
    <n v="35"/>
    <n v="41"/>
    <n v="3207"/>
    <n v="18582"/>
    <n v="31313"/>
    <n v="1334335"/>
    <n v="333457"/>
    <n v="652508"/>
    <n v="29819756"/>
    <n v="39061"/>
    <x v="115"/>
    <n v="41051"/>
    <n v="0"/>
    <n v="1"/>
  </r>
  <r>
    <x v="3"/>
    <n v="40"/>
    <x v="30"/>
    <n v="109"/>
    <x v="111"/>
    <n v="41"/>
    <s v="Oregon"/>
    <n v="51"/>
    <s v="Multnomah County"/>
    <n v="28"/>
    <n v="36"/>
    <n v="1243"/>
    <n v="17885"/>
    <n v="34801"/>
    <n v="1056110"/>
    <n v="278162"/>
    <n v="589629"/>
    <n v="22124432"/>
    <n v="40109"/>
    <x v="116"/>
    <n v="41051"/>
    <n v="0"/>
    <n v="1"/>
  </r>
  <r>
    <x v="3"/>
    <n v="40"/>
    <x v="30"/>
    <n v="143"/>
    <x v="112"/>
    <n v="41"/>
    <s v="Oregon"/>
    <n v="51"/>
    <s v="Multnomah County"/>
    <n v="20"/>
    <n v="28"/>
    <n v="1009"/>
    <n v="13832"/>
    <n v="27461"/>
    <n v="807170"/>
    <n v="232683"/>
    <n v="501651"/>
    <n v="19637342"/>
    <n v="40143"/>
    <x v="117"/>
    <n v="41051"/>
    <n v="0"/>
    <n v="1"/>
  </r>
  <r>
    <x v="3"/>
    <n v="41"/>
    <x v="31"/>
    <n v="3"/>
    <x v="113"/>
    <n v="41"/>
    <s v="Oregon"/>
    <n v="51"/>
    <s v="Multnomah County"/>
    <n v="305"/>
    <n v="371"/>
    <n v="11908"/>
    <n v="3628"/>
    <n v="5479"/>
    <n v="178209"/>
    <n v="33527"/>
    <n v="64740"/>
    <n v="2877133"/>
    <n v="41003"/>
    <x v="118"/>
    <n v="41051"/>
    <n v="0"/>
    <n v="1"/>
  </r>
  <r>
    <x v="3"/>
    <n v="41"/>
    <x v="31"/>
    <n v="5"/>
    <x v="114"/>
    <n v="41"/>
    <s v="Oregon"/>
    <n v="51"/>
    <s v="Multnomah County"/>
    <n v="4076"/>
    <n v="6267"/>
    <n v="230740"/>
    <n v="13355"/>
    <n v="22560"/>
    <n v="977089"/>
    <n v="168063"/>
    <n v="348083"/>
    <n v="17210060"/>
    <n v="41005"/>
    <x v="119"/>
    <n v="41051"/>
    <n v="0"/>
    <n v="1"/>
  </r>
  <r>
    <x v="3"/>
    <n v="41"/>
    <x v="31"/>
    <n v="7"/>
    <x v="115"/>
    <n v="41"/>
    <s v="Oregon"/>
    <n v="51"/>
    <s v="Multnomah County"/>
    <n v="101"/>
    <n v="154"/>
    <n v="5837"/>
    <n v="1223"/>
    <n v="2223"/>
    <n v="70972"/>
    <n v="15663"/>
    <n v="30569"/>
    <n v="991557"/>
    <n v="41007"/>
    <x v="120"/>
    <n v="41051"/>
    <n v="0"/>
    <n v="1"/>
  </r>
  <r>
    <x v="3"/>
    <n v="41"/>
    <x v="31"/>
    <n v="9"/>
    <x v="116"/>
    <n v="41"/>
    <s v="Oregon"/>
    <n v="51"/>
    <s v="Multnomah County"/>
    <n v="176"/>
    <n v="268"/>
    <n v="9116"/>
    <n v="1323"/>
    <n v="2436"/>
    <n v="72699"/>
    <n v="20016"/>
    <n v="41267"/>
    <n v="1399098"/>
    <n v="41009"/>
    <x v="121"/>
    <n v="41051"/>
    <n v="0"/>
    <n v="1"/>
  </r>
  <r>
    <x v="3"/>
    <n v="41"/>
    <x v="31"/>
    <n v="11"/>
    <x v="117"/>
    <n v="41"/>
    <s v="Oregon"/>
    <n v="51"/>
    <s v="Multnomah County"/>
    <n v="59"/>
    <n v="93"/>
    <n v="2765"/>
    <n v="1440"/>
    <n v="2613"/>
    <n v="69413"/>
    <n v="23556"/>
    <n v="46192"/>
    <n v="1337082"/>
    <n v="41011"/>
    <x v="122"/>
    <n v="41051"/>
    <n v="0"/>
    <n v="1"/>
  </r>
  <r>
    <x v="3"/>
    <n v="41"/>
    <x v="31"/>
    <n v="17"/>
    <x v="118"/>
    <n v="41"/>
    <s v="Oregon"/>
    <n v="51"/>
    <s v="Multnomah County"/>
    <n v="295"/>
    <n v="387"/>
    <n v="18930"/>
    <n v="5424"/>
    <n v="9114"/>
    <n v="348901"/>
    <n v="79612"/>
    <n v="158280"/>
    <n v="6969047"/>
    <n v="41017"/>
    <x v="123"/>
    <n v="41051"/>
    <n v="0"/>
    <n v="1"/>
  </r>
  <r>
    <x v="3"/>
    <n v="41"/>
    <x v="31"/>
    <n v="19"/>
    <x v="93"/>
    <n v="41"/>
    <s v="Oregon"/>
    <n v="51"/>
    <s v="Multnomah County"/>
    <n v="47"/>
    <n v="71"/>
    <n v="1553"/>
    <n v="1929"/>
    <n v="3421"/>
    <n v="90022"/>
    <n v="39168"/>
    <n v="79696"/>
    <n v="2342137"/>
    <n v="41019"/>
    <x v="124"/>
    <n v="41051"/>
    <n v="0"/>
    <n v="1"/>
  </r>
  <r>
    <x v="3"/>
    <n v="41"/>
    <x v="31"/>
    <n v="27"/>
    <x v="119"/>
    <n v="41"/>
    <s v="Oregon"/>
    <n v="51"/>
    <s v="Multnomah County"/>
    <n v="95"/>
    <n v="131"/>
    <n v="5466"/>
    <n v="759"/>
    <n v="1273"/>
    <n v="46726"/>
    <n v="10007"/>
    <n v="21641"/>
    <n v="810001"/>
    <n v="41027"/>
    <x v="125"/>
    <n v="41051"/>
    <n v="0"/>
    <n v="1"/>
  </r>
  <r>
    <x v="3"/>
    <n v="41"/>
    <x v="31"/>
    <n v="29"/>
    <x v="87"/>
    <n v="41"/>
    <s v="Oregon"/>
    <n v="51"/>
    <s v="Multnomah County"/>
    <n v="222"/>
    <n v="293"/>
    <n v="9642"/>
    <n v="4667"/>
    <n v="7821"/>
    <n v="259657"/>
    <n v="86258"/>
    <n v="171636"/>
    <n v="5897402"/>
    <n v="41029"/>
    <x v="126"/>
    <n v="41051"/>
    <n v="0"/>
    <n v="1"/>
  </r>
  <r>
    <x v="3"/>
    <n v="41"/>
    <x v="31"/>
    <n v="33"/>
    <x v="120"/>
    <n v="41"/>
    <s v="Oregon"/>
    <n v="51"/>
    <s v="Multnomah County"/>
    <n v="51"/>
    <n v="64"/>
    <n v="1848"/>
    <n v="2032"/>
    <n v="3596"/>
    <n v="88421"/>
    <n v="31712"/>
    <n v="62943"/>
    <n v="1934612"/>
    <n v="41033"/>
    <x v="128"/>
    <n v="41051"/>
    <n v="0"/>
    <n v="1"/>
  </r>
  <r>
    <x v="3"/>
    <n v="41"/>
    <x v="31"/>
    <n v="35"/>
    <x v="121"/>
    <n v="41"/>
    <s v="Oregon"/>
    <n v="51"/>
    <s v="Multnomah County"/>
    <n v="28"/>
    <n v="43"/>
    <n v="805"/>
    <n v="1531"/>
    <n v="2751"/>
    <n v="73773"/>
    <n v="23975"/>
    <n v="49761"/>
    <n v="1335006"/>
    <n v="41035"/>
    <x v="129"/>
    <n v="41051"/>
    <n v="0"/>
    <n v="1"/>
  </r>
  <r>
    <x v="3"/>
    <n v="41"/>
    <x v="31"/>
    <n v="39"/>
    <x v="122"/>
    <n v="41"/>
    <s v="Oregon"/>
    <n v="51"/>
    <s v="Multnomah County"/>
    <n v="638"/>
    <n v="812"/>
    <n v="27850"/>
    <n v="7904"/>
    <n v="12588"/>
    <n v="385312"/>
    <n v="144462"/>
    <n v="275255"/>
    <n v="10154470"/>
    <n v="41039"/>
    <x v="130"/>
    <n v="41051"/>
    <n v="0"/>
    <n v="1"/>
  </r>
  <r>
    <x v="3"/>
    <n v="41"/>
    <x v="31"/>
    <n v="41"/>
    <x v="123"/>
    <n v="41"/>
    <s v="Oregon"/>
    <n v="51"/>
    <s v="Multnomah County"/>
    <n v="71"/>
    <n v="122"/>
    <n v="3253"/>
    <n v="1524"/>
    <n v="2665"/>
    <n v="73384"/>
    <n v="19266"/>
    <n v="36330"/>
    <n v="1159886"/>
    <n v="41041"/>
    <x v="131"/>
    <n v="41051"/>
    <n v="0"/>
    <n v="1"/>
  </r>
  <r>
    <x v="3"/>
    <n v="41"/>
    <x v="31"/>
    <n v="43"/>
    <x v="124"/>
    <n v="41"/>
    <s v="Oregon"/>
    <n v="51"/>
    <s v="Multnomah County"/>
    <n v="99"/>
    <n v="140"/>
    <n v="3401"/>
    <n v="3289"/>
    <n v="5898"/>
    <n v="150365"/>
    <n v="47099"/>
    <n v="99053"/>
    <n v="2931989"/>
    <n v="41043"/>
    <x v="132"/>
    <n v="41051"/>
    <n v="0"/>
    <n v="1"/>
  </r>
  <r>
    <x v="3"/>
    <n v="41"/>
    <x v="31"/>
    <n v="47"/>
    <x v="68"/>
    <n v="41"/>
    <s v="Oregon"/>
    <n v="51"/>
    <s v="Multnomah County"/>
    <n v="514"/>
    <n v="764"/>
    <n v="23068"/>
    <n v="7634"/>
    <n v="13914"/>
    <n v="497744"/>
    <n v="125692"/>
    <n v="272884"/>
    <n v="8501465"/>
    <n v="41047"/>
    <x v="133"/>
    <n v="41051"/>
    <n v="0"/>
    <n v="1"/>
  </r>
  <r>
    <x v="3"/>
    <n v="41"/>
    <x v="31"/>
    <n v="53"/>
    <x v="70"/>
    <n v="41"/>
    <s v="Oregon"/>
    <n v="51"/>
    <s v="Multnomah County"/>
    <n v="96"/>
    <n v="132"/>
    <n v="3513"/>
    <n v="2927"/>
    <n v="5269"/>
    <n v="144854"/>
    <n v="30554"/>
    <n v="66301"/>
    <n v="2175126"/>
    <n v="41053"/>
    <x v="134"/>
    <n v="41051"/>
    <n v="0"/>
    <n v="1"/>
  </r>
  <r>
    <x v="3"/>
    <n v="41"/>
    <x v="31"/>
    <n v="57"/>
    <x v="125"/>
    <n v="41"/>
    <s v="Oregon"/>
    <n v="51"/>
    <s v="Multnomah County"/>
    <n v="57"/>
    <n v="89"/>
    <n v="3752"/>
    <n v="649"/>
    <n v="1109"/>
    <n v="42331"/>
    <n v="10435"/>
    <n v="20645"/>
    <n v="647645"/>
    <n v="41057"/>
    <x v="135"/>
    <n v="41051"/>
    <n v="0"/>
    <n v="1"/>
  </r>
  <r>
    <x v="3"/>
    <n v="41"/>
    <x v="31"/>
    <n v="59"/>
    <x v="126"/>
    <n v="41"/>
    <s v="Oregon"/>
    <n v="51"/>
    <s v="Multnomah County"/>
    <n v="41"/>
    <n v="56"/>
    <n v="1475"/>
    <n v="1453"/>
    <n v="2827"/>
    <n v="76548"/>
    <n v="26610"/>
    <n v="58903"/>
    <n v="1561089"/>
    <n v="41059"/>
    <x v="136"/>
    <n v="41051"/>
    <n v="0"/>
    <n v="1"/>
  </r>
  <r>
    <x v="3"/>
    <n v="41"/>
    <x v="31"/>
    <n v="61"/>
    <x v="189"/>
    <n v="41"/>
    <s v="Oregon"/>
    <n v="51"/>
    <s v="Multnomah County"/>
    <n v="20"/>
    <n v="45"/>
    <n v="828"/>
    <n v="596"/>
    <n v="1073"/>
    <n v="32914"/>
    <n v="9661"/>
    <n v="20294"/>
    <n v="602519"/>
    <n v="41061"/>
    <x v="207"/>
    <n v="41051"/>
    <n v="0"/>
    <n v="1"/>
  </r>
  <r>
    <x v="3"/>
    <n v="41"/>
    <x v="31"/>
    <n v="65"/>
    <x v="127"/>
    <n v="41"/>
    <s v="Oregon"/>
    <n v="51"/>
    <s v="Multnomah County"/>
    <n v="41"/>
    <n v="68"/>
    <n v="1515"/>
    <n v="700"/>
    <n v="1296"/>
    <n v="36128"/>
    <n v="9773"/>
    <n v="20291"/>
    <n v="588723"/>
    <n v="41065"/>
    <x v="137"/>
    <n v="41051"/>
    <n v="0"/>
    <n v="1"/>
  </r>
  <r>
    <x v="3"/>
    <n v="41"/>
    <x v="31"/>
    <n v="67"/>
    <x v="128"/>
    <n v="41"/>
    <s v="Oregon"/>
    <n v="51"/>
    <s v="Multnomah County"/>
    <n v="4387"/>
    <n v="6320"/>
    <n v="315447"/>
    <n v="18873"/>
    <n v="32234"/>
    <n v="1456625"/>
    <n v="239026"/>
    <n v="500519"/>
    <n v="23741090"/>
    <n v="41067"/>
    <x v="138"/>
    <n v="41051"/>
    <n v="0"/>
    <n v="1"/>
  </r>
  <r>
    <x v="3"/>
    <n v="41"/>
    <x v="31"/>
    <n v="71"/>
    <x v="129"/>
    <n v="41"/>
    <s v="Oregon"/>
    <n v="51"/>
    <s v="Multnomah County"/>
    <n v="207"/>
    <n v="283"/>
    <n v="10650"/>
    <n v="2719"/>
    <n v="4811"/>
    <n v="146677"/>
    <n v="38827"/>
    <n v="84144"/>
    <n v="2955714"/>
    <n v="41071"/>
    <x v="139"/>
    <n v="41051"/>
    <n v="0"/>
    <n v="1"/>
  </r>
  <r>
    <x v="3"/>
    <n v="42"/>
    <x v="32"/>
    <n v="3"/>
    <x v="130"/>
    <n v="41"/>
    <s v="Oregon"/>
    <n v="51"/>
    <s v="Multnomah County"/>
    <n v="60"/>
    <n v="70"/>
    <n v="3509"/>
    <n v="22541"/>
    <n v="36125"/>
    <n v="1906060"/>
    <n v="530060"/>
    <n v="999091"/>
    <n v="46797548"/>
    <n v="42003"/>
    <x v="140"/>
    <n v="41051"/>
    <n v="0"/>
    <n v="1"/>
  </r>
  <r>
    <x v="3"/>
    <n v="42"/>
    <x v="32"/>
    <n v="91"/>
    <x v="74"/>
    <n v="41"/>
    <s v="Oregon"/>
    <n v="51"/>
    <s v="Multnomah County"/>
    <n v="20"/>
    <n v="28"/>
    <n v="2600"/>
    <n v="19939"/>
    <n v="33012"/>
    <n v="1961788"/>
    <n v="350606"/>
    <n v="729246"/>
    <n v="47815456"/>
    <n v="42091"/>
    <x v="141"/>
    <n v="41051"/>
    <n v="0"/>
    <n v="1"/>
  </r>
  <r>
    <x v="3"/>
    <n v="42"/>
    <x v="32"/>
    <n v="101"/>
    <x v="131"/>
    <n v="41"/>
    <s v="Oregon"/>
    <n v="51"/>
    <s v="Multnomah County"/>
    <n v="82"/>
    <n v="114"/>
    <n v="6624"/>
    <n v="35904"/>
    <n v="60606"/>
    <n v="2489684"/>
    <n v="571565"/>
    <n v="1071929"/>
    <n v="35139988"/>
    <n v="42101"/>
    <x v="142"/>
    <n v="41051"/>
    <n v="0"/>
    <n v="1"/>
  </r>
  <r>
    <x v="3"/>
    <n v="47"/>
    <x v="34"/>
    <n v="37"/>
    <x v="133"/>
    <n v="41"/>
    <s v="Oregon"/>
    <n v="51"/>
    <s v="Multnomah County"/>
    <n v="60"/>
    <n v="73"/>
    <n v="3424"/>
    <n v="27136"/>
    <n v="47195"/>
    <n v="1737459"/>
    <n v="287557"/>
    <n v="534310"/>
    <n v="26901244"/>
    <n v="47037"/>
    <x v="144"/>
    <n v="41051"/>
    <n v="0"/>
    <n v="1"/>
  </r>
  <r>
    <x v="3"/>
    <n v="47"/>
    <x v="34"/>
    <n v="157"/>
    <x v="135"/>
    <n v="41"/>
    <s v="Oregon"/>
    <n v="51"/>
    <s v="Multnomah County"/>
    <n v="24"/>
    <n v="35"/>
    <n v="1136"/>
    <n v="16250"/>
    <n v="31437"/>
    <n v="1103697"/>
    <n v="350401"/>
    <n v="730482"/>
    <n v="26067440"/>
    <n v="47157"/>
    <x v="146"/>
    <n v="41051"/>
    <n v="0"/>
    <n v="1"/>
  </r>
  <r>
    <x v="3"/>
    <n v="48"/>
    <x v="35"/>
    <n v="29"/>
    <x v="136"/>
    <n v="41"/>
    <s v="Oregon"/>
    <n v="51"/>
    <s v="Multnomah County"/>
    <n v="74"/>
    <n v="122"/>
    <n v="8502"/>
    <n v="36629"/>
    <n v="72430"/>
    <n v="2376656"/>
    <n v="728453"/>
    <n v="1555117"/>
    <n v="51505720"/>
    <n v="48029"/>
    <x v="147"/>
    <n v="41051"/>
    <n v="0"/>
    <n v="1"/>
  </r>
  <r>
    <x v="3"/>
    <n v="48"/>
    <x v="35"/>
    <n v="85"/>
    <x v="137"/>
    <n v="41"/>
    <s v="Oregon"/>
    <n v="51"/>
    <s v="Multnomah County"/>
    <n v="34"/>
    <n v="44"/>
    <n v="1998"/>
    <n v="35254"/>
    <n v="66420"/>
    <n v="3036733"/>
    <n v="372651"/>
    <n v="875168"/>
    <n v="44863940"/>
    <n v="48085"/>
    <x v="148"/>
    <n v="41051"/>
    <n v="0"/>
    <n v="1"/>
  </r>
  <r>
    <x v="3"/>
    <n v="48"/>
    <x v="35"/>
    <n v="113"/>
    <x v="138"/>
    <n v="41"/>
    <s v="Oregon"/>
    <n v="51"/>
    <s v="Multnomah County"/>
    <n v="99"/>
    <n v="138"/>
    <n v="8923"/>
    <n v="74126"/>
    <n v="137929"/>
    <n v="5461121"/>
    <n v="971861"/>
    <n v="2071294"/>
    <n v="87112384"/>
    <n v="48113"/>
    <x v="149"/>
    <n v="41051"/>
    <n v="0"/>
    <n v="1"/>
  </r>
  <r>
    <x v="3"/>
    <n v="48"/>
    <x v="35"/>
    <n v="121"/>
    <x v="192"/>
    <n v="41"/>
    <s v="Oregon"/>
    <n v="51"/>
    <s v="Multnomah County"/>
    <n v="20"/>
    <n v="30"/>
    <n v="1282"/>
    <n v="29475"/>
    <n v="54150"/>
    <n v="2352958"/>
    <n v="311774"/>
    <n v="705912"/>
    <n v="32514870"/>
    <n v="48121"/>
    <x v="211"/>
    <n v="41051"/>
    <n v="0"/>
    <n v="1"/>
  </r>
  <r>
    <x v="3"/>
    <n v="48"/>
    <x v="35"/>
    <n v="201"/>
    <x v="139"/>
    <n v="41"/>
    <s v="Oregon"/>
    <n v="51"/>
    <s v="Multnomah County"/>
    <n v="118"/>
    <n v="171"/>
    <n v="7878"/>
    <n v="86320"/>
    <n v="170904"/>
    <n v="6931662"/>
    <n v="1649306"/>
    <n v="3637706"/>
    <n v="144674464"/>
    <n v="48201"/>
    <x v="151"/>
    <n v="41051"/>
    <n v="0"/>
    <n v="1"/>
  </r>
  <r>
    <x v="3"/>
    <n v="48"/>
    <x v="35"/>
    <n v="439"/>
    <x v="140"/>
    <n v="41"/>
    <s v="Oregon"/>
    <n v="51"/>
    <s v="Multnomah County"/>
    <n v="47"/>
    <n v="75"/>
    <n v="1955"/>
    <n v="51071"/>
    <n v="98630"/>
    <n v="3525221"/>
    <n v="770900"/>
    <n v="1698532"/>
    <n v="66360076"/>
    <n v="48439"/>
    <x v="152"/>
    <n v="41051"/>
    <n v="0"/>
    <n v="1"/>
  </r>
  <r>
    <x v="3"/>
    <n v="48"/>
    <x v="35"/>
    <n v="453"/>
    <x v="141"/>
    <n v="41"/>
    <s v="Oregon"/>
    <n v="51"/>
    <s v="Multnomah County"/>
    <n v="165"/>
    <n v="224"/>
    <n v="20029"/>
    <n v="43676"/>
    <n v="74528"/>
    <n v="3367206"/>
    <n v="491672"/>
    <n v="961315"/>
    <n v="57897388"/>
    <n v="48453"/>
    <x v="153"/>
    <n v="41051"/>
    <n v="0"/>
    <n v="1"/>
  </r>
  <r>
    <x v="3"/>
    <n v="48"/>
    <x v="35"/>
    <n v="491"/>
    <x v="142"/>
    <n v="41"/>
    <s v="Oregon"/>
    <n v="51"/>
    <s v="Multnomah County"/>
    <n v="21"/>
    <n v="27"/>
    <n v="1071"/>
    <n v="18859"/>
    <n v="34432"/>
    <n v="1242322"/>
    <n v="216428"/>
    <n v="484965"/>
    <n v="19901228"/>
    <n v="48491"/>
    <x v="154"/>
    <n v="41051"/>
    <n v="0"/>
    <n v="1"/>
  </r>
  <r>
    <x v="3"/>
    <n v="49"/>
    <x v="36"/>
    <n v="35"/>
    <x v="143"/>
    <n v="41"/>
    <s v="Oregon"/>
    <n v="51"/>
    <s v="Multnomah County"/>
    <n v="148"/>
    <n v="208"/>
    <n v="9249"/>
    <n v="24946"/>
    <n v="49600"/>
    <n v="1675408"/>
    <n v="428352"/>
    <n v="956905"/>
    <n v="36651648"/>
    <n v="49035"/>
    <x v="155"/>
    <n v="41051"/>
    <n v="0"/>
    <n v="1"/>
  </r>
  <r>
    <x v="3"/>
    <n v="49"/>
    <x v="36"/>
    <n v="49"/>
    <x v="144"/>
    <n v="41"/>
    <s v="Oregon"/>
    <n v="51"/>
    <s v="Multnomah County"/>
    <n v="32"/>
    <n v="46"/>
    <n v="1465"/>
    <n v="13088"/>
    <n v="29261"/>
    <n v="777765"/>
    <n v="187935"/>
    <n v="523843"/>
    <n v="16094485"/>
    <n v="49049"/>
    <x v="156"/>
    <n v="41051"/>
    <n v="0"/>
    <n v="1"/>
  </r>
  <r>
    <x v="3"/>
    <n v="49"/>
    <x v="36"/>
    <n v="57"/>
    <x v="145"/>
    <n v="41"/>
    <s v="Oregon"/>
    <n v="51"/>
    <s v="Multnomah County"/>
    <n v="21"/>
    <n v="39"/>
    <n v="1282"/>
    <n v="6478"/>
    <n v="13521"/>
    <n v="333672"/>
    <n v="92829"/>
    <n v="213862"/>
    <n v="6414821"/>
    <n v="49057"/>
    <x v="157"/>
    <n v="41051"/>
    <n v="0"/>
    <n v="1"/>
  </r>
  <r>
    <x v="3"/>
    <n v="50"/>
    <x v="37"/>
    <n v="7"/>
    <x v="146"/>
    <n v="41"/>
    <s v="Oregon"/>
    <n v="51"/>
    <s v="Multnomah County"/>
    <n v="41"/>
    <n v="46"/>
    <n v="2674"/>
    <n v="4848"/>
    <n v="7272"/>
    <n v="304112"/>
    <n v="72826"/>
    <n v="135228"/>
    <n v="6549323"/>
    <n v="50007"/>
    <x v="158"/>
    <n v="41051"/>
    <n v="0"/>
    <n v="1"/>
  </r>
  <r>
    <x v="3"/>
    <n v="51"/>
    <x v="38"/>
    <n v="59"/>
    <x v="148"/>
    <n v="41"/>
    <s v="Oregon"/>
    <n v="51"/>
    <s v="Multnomah County"/>
    <n v="45"/>
    <n v="63"/>
    <n v="3464"/>
    <n v="42569"/>
    <n v="77547"/>
    <n v="4256280"/>
    <n v="466945"/>
    <n v="999984"/>
    <n v="67040272"/>
    <n v="51059"/>
    <x v="160"/>
    <n v="41051"/>
    <n v="0"/>
    <n v="1"/>
  </r>
  <r>
    <x v="3"/>
    <n v="53"/>
    <x v="39"/>
    <n v="5"/>
    <x v="113"/>
    <n v="41"/>
    <s v="Oregon"/>
    <n v="51"/>
    <s v="Multnomah County"/>
    <n v="42"/>
    <n v="65"/>
    <n v="1962"/>
    <n v="5077"/>
    <n v="10179"/>
    <n v="319509"/>
    <n v="75200"/>
    <n v="169244"/>
    <n v="6205596"/>
    <n v="53005"/>
    <x v="162"/>
    <n v="41051"/>
    <n v="0"/>
    <n v="1"/>
  </r>
  <r>
    <x v="3"/>
    <n v="53"/>
    <x v="39"/>
    <n v="9"/>
    <x v="204"/>
    <n v="41"/>
    <s v="Oregon"/>
    <n v="51"/>
    <s v="Multnomah County"/>
    <n v="22"/>
    <n v="28"/>
    <n v="1295"/>
    <n v="1641"/>
    <n v="2823"/>
    <n v="101823"/>
    <n v="31270"/>
    <n v="59340"/>
    <n v="2109458"/>
    <n v="53009"/>
    <x v="225"/>
    <n v="41051"/>
    <n v="0"/>
    <n v="1"/>
  </r>
  <r>
    <x v="3"/>
    <n v="53"/>
    <x v="39"/>
    <n v="11"/>
    <x v="94"/>
    <n v="41"/>
    <s v="Oregon"/>
    <n v="51"/>
    <s v="Multnomah County"/>
    <n v="1774"/>
    <n v="2808"/>
    <n v="103561"/>
    <n v="11235"/>
    <n v="20608"/>
    <n v="838348"/>
    <n v="192554"/>
    <n v="411569"/>
    <n v="17554508"/>
    <n v="53011"/>
    <x v="163"/>
    <n v="41051"/>
    <n v="0"/>
    <n v="1"/>
  </r>
  <r>
    <x v="3"/>
    <n v="53"/>
    <x v="39"/>
    <n v="15"/>
    <x v="150"/>
    <n v="41"/>
    <s v="Oregon"/>
    <n v="51"/>
    <s v="Multnomah County"/>
    <n v="97"/>
    <n v="154"/>
    <n v="4749"/>
    <n v="2494"/>
    <n v="4804"/>
    <n v="136538"/>
    <n v="40934"/>
    <n v="86701"/>
    <n v="2771448"/>
    <n v="53015"/>
    <x v="164"/>
    <n v="41051"/>
    <n v="0"/>
    <n v="1"/>
  </r>
  <r>
    <x v="3"/>
    <n v="53"/>
    <x v="39"/>
    <n v="29"/>
    <x v="195"/>
    <n v="41"/>
    <s v="Oregon"/>
    <n v="51"/>
    <s v="Multnomah County"/>
    <n v="21"/>
    <n v="35"/>
    <n v="774"/>
    <n v="3478"/>
    <n v="6761"/>
    <n v="204540"/>
    <n v="36037"/>
    <n v="71657"/>
    <n v="2912026"/>
    <n v="53029"/>
    <x v="215"/>
    <n v="41051"/>
    <n v="0"/>
    <n v="1"/>
  </r>
  <r>
    <x v="3"/>
    <n v="53"/>
    <x v="39"/>
    <n v="33"/>
    <x v="151"/>
    <n v="41"/>
    <s v="Oregon"/>
    <n v="51"/>
    <s v="Multnomah County"/>
    <n v="848"/>
    <n v="1125"/>
    <n v="64214"/>
    <n v="60592"/>
    <n v="102371"/>
    <n v="6378369"/>
    <n v="954143"/>
    <n v="1859705"/>
    <n v="138029728"/>
    <n v="53033"/>
    <x v="165"/>
    <n v="41051"/>
    <n v="0"/>
    <n v="1"/>
  </r>
  <r>
    <x v="3"/>
    <n v="53"/>
    <x v="39"/>
    <n v="35"/>
    <x v="152"/>
    <n v="41"/>
    <s v="Oregon"/>
    <n v="51"/>
    <s v="Multnomah County"/>
    <n v="49"/>
    <n v="78"/>
    <n v="3198"/>
    <n v="8386"/>
    <n v="15802"/>
    <n v="543740"/>
    <n v="110056"/>
    <n v="223902"/>
    <n v="9829362"/>
    <n v="53035"/>
    <x v="166"/>
    <n v="41051"/>
    <n v="0"/>
    <n v="1"/>
  </r>
  <r>
    <x v="3"/>
    <n v="53"/>
    <x v="39"/>
    <n v="39"/>
    <x v="153"/>
    <n v="41"/>
    <s v="Oregon"/>
    <n v="51"/>
    <s v="Multnomah County"/>
    <n v="39"/>
    <n v="46"/>
    <n v="1895"/>
    <n v="590"/>
    <n v="1041"/>
    <n v="31235"/>
    <n v="8629"/>
    <n v="17998"/>
    <n v="635420"/>
    <n v="53039"/>
    <x v="167"/>
    <n v="41051"/>
    <n v="0"/>
    <n v="1"/>
  </r>
  <r>
    <x v="3"/>
    <n v="53"/>
    <x v="39"/>
    <n v="41"/>
    <x v="201"/>
    <n v="41"/>
    <s v="Oregon"/>
    <n v="51"/>
    <s v="Multnomah County"/>
    <n v="23"/>
    <n v="35"/>
    <n v="872"/>
    <n v="1898"/>
    <n v="3476"/>
    <n v="88369"/>
    <n v="29764"/>
    <n v="63076"/>
    <n v="1859930"/>
    <n v="53041"/>
    <x v="222"/>
    <n v="41051"/>
    <n v="0"/>
    <n v="1"/>
  </r>
  <r>
    <x v="3"/>
    <n v="53"/>
    <x v="39"/>
    <n v="53"/>
    <x v="155"/>
    <n v="41"/>
    <s v="Oregon"/>
    <n v="51"/>
    <s v="Multnomah County"/>
    <n v="189"/>
    <n v="289"/>
    <n v="11949"/>
    <n v="26041"/>
    <n v="49675"/>
    <n v="1539939"/>
    <n v="351243"/>
    <n v="731385"/>
    <n v="28246008"/>
    <n v="53053"/>
    <x v="169"/>
    <n v="41051"/>
    <n v="0"/>
    <n v="1"/>
  </r>
  <r>
    <x v="3"/>
    <n v="53"/>
    <x v="39"/>
    <n v="59"/>
    <x v="157"/>
    <n v="41"/>
    <s v="Oregon"/>
    <n v="51"/>
    <s v="Multnomah County"/>
    <n v="27"/>
    <n v="31"/>
    <n v="1357"/>
    <n v="326"/>
    <n v="566"/>
    <n v="20183"/>
    <n v="4256"/>
    <n v="8694"/>
    <n v="360901"/>
    <n v="53059"/>
    <x v="171"/>
    <n v="41051"/>
    <n v="0"/>
    <n v="1"/>
  </r>
  <r>
    <x v="3"/>
    <n v="53"/>
    <x v="39"/>
    <n v="61"/>
    <x v="158"/>
    <n v="41"/>
    <s v="Oregon"/>
    <n v="51"/>
    <s v="Multnomah County"/>
    <n v="112"/>
    <n v="168"/>
    <n v="5526"/>
    <n v="20772"/>
    <n v="36993"/>
    <n v="1504871"/>
    <n v="325792"/>
    <n v="680759"/>
    <n v="30635210"/>
    <n v="53061"/>
    <x v="172"/>
    <n v="41051"/>
    <n v="0"/>
    <n v="1"/>
  </r>
  <r>
    <x v="3"/>
    <n v="53"/>
    <x v="39"/>
    <n v="63"/>
    <x v="159"/>
    <n v="41"/>
    <s v="Oregon"/>
    <n v="51"/>
    <s v="Multnomah County"/>
    <n v="106"/>
    <n v="141"/>
    <n v="4075"/>
    <n v="9874"/>
    <n v="17794"/>
    <n v="552307"/>
    <n v="201711"/>
    <n v="414449"/>
    <n v="14872184"/>
    <n v="53063"/>
    <x v="173"/>
    <n v="41051"/>
    <n v="0"/>
    <n v="1"/>
  </r>
  <r>
    <x v="3"/>
    <n v="53"/>
    <x v="39"/>
    <n v="67"/>
    <x v="160"/>
    <n v="41"/>
    <s v="Oregon"/>
    <n v="51"/>
    <s v="Multnomah County"/>
    <n v="128"/>
    <n v="173"/>
    <n v="6622"/>
    <n v="9262"/>
    <n v="17496"/>
    <n v="541399"/>
    <n v="117733"/>
    <n v="238569"/>
    <n v="9212665"/>
    <n v="53067"/>
    <x v="174"/>
    <n v="41051"/>
    <n v="0"/>
    <n v="1"/>
  </r>
  <r>
    <x v="3"/>
    <n v="53"/>
    <x v="39"/>
    <n v="71"/>
    <x v="161"/>
    <n v="41"/>
    <s v="Oregon"/>
    <n v="51"/>
    <s v="Multnomah County"/>
    <n v="26"/>
    <n v="32"/>
    <n v="953"/>
    <n v="1406"/>
    <n v="2505"/>
    <n v="75465"/>
    <n v="22027"/>
    <n v="47014"/>
    <n v="1904896"/>
    <n v="53071"/>
    <x v="175"/>
    <n v="41051"/>
    <n v="0"/>
    <n v="1"/>
  </r>
  <r>
    <x v="3"/>
    <n v="53"/>
    <x v="39"/>
    <n v="73"/>
    <x v="162"/>
    <n v="41"/>
    <s v="Oregon"/>
    <n v="51"/>
    <s v="Multnomah County"/>
    <n v="88"/>
    <n v="103"/>
    <n v="3331"/>
    <n v="4835"/>
    <n v="7556"/>
    <n v="256354"/>
    <n v="88621"/>
    <n v="175447"/>
    <n v="6988301"/>
    <n v="53073"/>
    <x v="176"/>
    <n v="41051"/>
    <n v="0"/>
    <n v="1"/>
  </r>
  <r>
    <x v="3"/>
    <n v="53"/>
    <x v="39"/>
    <n v="75"/>
    <x v="196"/>
    <n v="41"/>
    <s v="Oregon"/>
    <n v="51"/>
    <s v="Multnomah County"/>
    <n v="22"/>
    <n v="25"/>
    <n v="936"/>
    <n v="1928"/>
    <n v="3006"/>
    <n v="88918"/>
    <n v="14752"/>
    <n v="28688"/>
    <n v="1111781"/>
    <n v="53075"/>
    <x v="216"/>
    <n v="41051"/>
    <n v="0"/>
    <n v="1"/>
  </r>
  <r>
    <x v="3"/>
    <n v="53"/>
    <x v="39"/>
    <n v="77"/>
    <x v="163"/>
    <n v="41"/>
    <s v="Oregon"/>
    <n v="51"/>
    <s v="Multnomah County"/>
    <n v="26"/>
    <n v="40"/>
    <n v="926"/>
    <n v="3449"/>
    <n v="6540"/>
    <n v="161418"/>
    <n v="91908"/>
    <n v="213808"/>
    <n v="5701463"/>
    <n v="53077"/>
    <x v="177"/>
    <n v="41051"/>
    <n v="0"/>
    <n v="1"/>
  </r>
  <r>
    <x v="3"/>
    <n v="55"/>
    <x v="40"/>
    <n v="25"/>
    <x v="164"/>
    <n v="41"/>
    <s v="Oregon"/>
    <n v="51"/>
    <s v="Multnomah County"/>
    <n v="65"/>
    <n v="92"/>
    <n v="4183"/>
    <n v="13571"/>
    <n v="20917"/>
    <n v="898105"/>
    <n v="235113"/>
    <n v="454904"/>
    <n v="22352324"/>
    <n v="55025"/>
    <x v="178"/>
    <n v="41051"/>
    <n v="0"/>
    <n v="1"/>
  </r>
  <r>
    <x v="3"/>
    <n v="55"/>
    <x v="40"/>
    <n v="79"/>
    <x v="165"/>
    <n v="41"/>
    <s v="Oregon"/>
    <n v="51"/>
    <s v="Multnomah County"/>
    <n v="54"/>
    <n v="69"/>
    <n v="4262"/>
    <n v="19036"/>
    <n v="32390"/>
    <n v="1248128"/>
    <n v="367618"/>
    <n v="727853"/>
    <n v="24570504"/>
    <n v="55079"/>
    <x v="179"/>
    <n v="41051"/>
    <n v="0"/>
    <n v="1"/>
  </r>
  <r>
    <x v="4"/>
    <n v="2"/>
    <x v="0"/>
    <n v="20"/>
    <x v="0"/>
    <n v="41"/>
    <s v="Oregon"/>
    <n v="51"/>
    <s v="Multnomah County"/>
    <n v="60"/>
    <n v="88"/>
    <n v="3407"/>
    <n v="9602"/>
    <n v="19635"/>
    <n v="682666"/>
    <n v="119058"/>
    <n v="247105"/>
    <n v="11253753"/>
    <n v="2020"/>
    <x v="0"/>
    <n v="41051"/>
    <n v="0"/>
    <n v="1"/>
  </r>
  <r>
    <x v="4"/>
    <n v="4"/>
    <x v="1"/>
    <n v="5"/>
    <x v="2"/>
    <n v="41"/>
    <s v="Oregon"/>
    <n v="51"/>
    <s v="Multnomah County"/>
    <n v="34"/>
    <n v="42"/>
    <n v="1439"/>
    <n v="5357"/>
    <n v="9000"/>
    <n v="344741"/>
    <n v="50516"/>
    <n v="104434"/>
    <n v="3629722"/>
    <n v="4005"/>
    <x v="2"/>
    <n v="41051"/>
    <n v="0"/>
    <n v="1"/>
  </r>
  <r>
    <x v="4"/>
    <n v="4"/>
    <x v="1"/>
    <n v="13"/>
    <x v="3"/>
    <n v="41"/>
    <s v="Oregon"/>
    <n v="51"/>
    <s v="Multnomah County"/>
    <n v="353"/>
    <n v="479"/>
    <n v="18458"/>
    <n v="74873"/>
    <n v="139753"/>
    <n v="5620525"/>
    <n v="1632953"/>
    <n v="3488317"/>
    <n v="139255920"/>
    <n v="4013"/>
    <x v="3"/>
    <n v="41051"/>
    <n v="0"/>
    <n v="1"/>
  </r>
  <r>
    <x v="4"/>
    <n v="4"/>
    <x v="1"/>
    <n v="15"/>
    <x v="205"/>
    <n v="41"/>
    <s v="Oregon"/>
    <n v="51"/>
    <s v="Multnomah County"/>
    <n v="21"/>
    <n v="32"/>
    <n v="627"/>
    <n v="5219"/>
    <n v="9594"/>
    <n v="290939"/>
    <n v="72456"/>
    <n v="144969"/>
    <n v="3839493"/>
    <n v="4015"/>
    <x v="226"/>
    <n v="41051"/>
    <n v="0"/>
    <n v="1"/>
  </r>
  <r>
    <x v="4"/>
    <n v="4"/>
    <x v="1"/>
    <n v="19"/>
    <x v="4"/>
    <n v="41"/>
    <s v="Oregon"/>
    <n v="51"/>
    <s v="Multnomah County"/>
    <n v="93"/>
    <n v="120"/>
    <n v="6115"/>
    <n v="19052"/>
    <n v="34430"/>
    <n v="1217461"/>
    <n v="392483"/>
    <n v="800801"/>
    <n v="27723308"/>
    <n v="4019"/>
    <x v="4"/>
    <n v="41051"/>
    <n v="0"/>
    <n v="1"/>
  </r>
  <r>
    <x v="4"/>
    <n v="6"/>
    <x v="2"/>
    <n v="1"/>
    <x v="6"/>
    <n v="41"/>
    <s v="Oregon"/>
    <n v="51"/>
    <s v="Multnomah County"/>
    <n v="474"/>
    <n v="702"/>
    <n v="57313"/>
    <n v="55882"/>
    <n v="97423"/>
    <n v="6337943"/>
    <n v="680302"/>
    <n v="1397614"/>
    <n v="87114960"/>
    <n v="6001"/>
    <x v="6"/>
    <n v="41051"/>
    <n v="0"/>
    <n v="1"/>
  </r>
  <r>
    <x v="4"/>
    <n v="6"/>
    <x v="2"/>
    <n v="7"/>
    <x v="7"/>
    <n v="41"/>
    <s v="Oregon"/>
    <n v="51"/>
    <s v="Multnomah County"/>
    <n v="41"/>
    <n v="58"/>
    <n v="1834"/>
    <n v="5748"/>
    <n v="10207"/>
    <n v="288581"/>
    <n v="73838"/>
    <n v="152123"/>
    <n v="5078486"/>
    <n v="6007"/>
    <x v="7"/>
    <n v="41051"/>
    <n v="0"/>
    <n v="1"/>
  </r>
  <r>
    <x v="4"/>
    <n v="6"/>
    <x v="2"/>
    <n v="13"/>
    <x v="8"/>
    <n v="41"/>
    <s v="Oregon"/>
    <n v="51"/>
    <s v="Multnomah County"/>
    <n v="170"/>
    <n v="261"/>
    <n v="17971"/>
    <n v="30685"/>
    <n v="56441"/>
    <n v="3554622"/>
    <n v="463556"/>
    <n v="1001196"/>
    <n v="62565080"/>
    <n v="6013"/>
    <x v="8"/>
    <n v="41051"/>
    <n v="0"/>
    <n v="1"/>
  </r>
  <r>
    <x v="4"/>
    <n v="6"/>
    <x v="2"/>
    <n v="19"/>
    <x v="10"/>
    <n v="41"/>
    <s v="Oregon"/>
    <n v="51"/>
    <s v="Multnomah County"/>
    <n v="60"/>
    <n v="103"/>
    <n v="2797"/>
    <n v="12675"/>
    <n v="25061"/>
    <n v="793928"/>
    <n v="339552"/>
    <n v="806943"/>
    <n v="21876528"/>
    <n v="6019"/>
    <x v="10"/>
    <n v="41051"/>
    <n v="0"/>
    <n v="1"/>
  </r>
  <r>
    <x v="4"/>
    <n v="6"/>
    <x v="2"/>
    <n v="23"/>
    <x v="11"/>
    <n v="41"/>
    <s v="Oregon"/>
    <n v="51"/>
    <s v="Multnomah County"/>
    <n v="42"/>
    <n v="50"/>
    <n v="1245"/>
    <n v="2991"/>
    <n v="4807"/>
    <n v="134349"/>
    <n v="47992"/>
    <n v="93188"/>
    <n v="2952685"/>
    <n v="6023"/>
    <x v="11"/>
    <n v="41051"/>
    <n v="0"/>
    <n v="1"/>
  </r>
  <r>
    <x v="4"/>
    <n v="6"/>
    <x v="2"/>
    <n v="29"/>
    <x v="12"/>
    <n v="41"/>
    <s v="Oregon"/>
    <n v="51"/>
    <s v="Multnomah County"/>
    <n v="30"/>
    <n v="47"/>
    <n v="1102"/>
    <n v="12566"/>
    <n v="26710"/>
    <n v="780472"/>
    <n v="288477"/>
    <n v="708868"/>
    <n v="18003792"/>
    <n v="6029"/>
    <x v="12"/>
    <n v="41051"/>
    <n v="0"/>
    <n v="1"/>
  </r>
  <r>
    <x v="4"/>
    <n v="6"/>
    <x v="2"/>
    <n v="37"/>
    <x v="13"/>
    <n v="41"/>
    <s v="Oregon"/>
    <n v="51"/>
    <s v="Multnomah County"/>
    <n v="1055"/>
    <n v="1452"/>
    <n v="85559"/>
    <n v="173918"/>
    <n v="307509"/>
    <n v="14622701"/>
    <n v="3928784"/>
    <n v="7937829"/>
    <n v="360508128"/>
    <n v="6037"/>
    <x v="13"/>
    <n v="41051"/>
    <n v="0"/>
    <n v="1"/>
  </r>
  <r>
    <x v="4"/>
    <n v="6"/>
    <x v="2"/>
    <n v="41"/>
    <x v="14"/>
    <n v="41"/>
    <s v="Oregon"/>
    <n v="51"/>
    <s v="Multnomah County"/>
    <n v="96"/>
    <n v="150"/>
    <n v="12225"/>
    <n v="7998"/>
    <n v="13442"/>
    <n v="1406933"/>
    <n v="110318"/>
    <n v="219857"/>
    <n v="24425184"/>
    <n v="6041"/>
    <x v="14"/>
    <n v="41051"/>
    <n v="0"/>
    <n v="1"/>
  </r>
  <r>
    <x v="4"/>
    <n v="6"/>
    <x v="2"/>
    <n v="53"/>
    <x v="16"/>
    <n v="41"/>
    <s v="Oregon"/>
    <n v="51"/>
    <s v="Multnomah County"/>
    <n v="43"/>
    <n v="65"/>
    <n v="3003"/>
    <n v="9549"/>
    <n v="18192"/>
    <n v="703964"/>
    <n v="162376"/>
    <n v="372812"/>
    <n v="13012503"/>
    <n v="6053"/>
    <x v="16"/>
    <n v="41051"/>
    <n v="0"/>
    <n v="1"/>
  </r>
  <r>
    <x v="4"/>
    <n v="6"/>
    <x v="2"/>
    <n v="55"/>
    <x v="17"/>
    <n v="41"/>
    <s v="Oregon"/>
    <n v="51"/>
    <s v="Multnomah County"/>
    <n v="25"/>
    <n v="37"/>
    <n v="2403"/>
    <n v="3915"/>
    <n v="6891"/>
    <n v="333002"/>
    <n v="56646"/>
    <n v="120968"/>
    <n v="6219448"/>
    <n v="6055"/>
    <x v="17"/>
    <n v="41051"/>
    <n v="0"/>
    <n v="1"/>
  </r>
  <r>
    <x v="4"/>
    <n v="6"/>
    <x v="2"/>
    <n v="57"/>
    <x v="168"/>
    <n v="41"/>
    <s v="Oregon"/>
    <n v="51"/>
    <s v="Multnomah County"/>
    <n v="34"/>
    <n v="53"/>
    <n v="943"/>
    <n v="3398"/>
    <n v="5839"/>
    <n v="261229"/>
    <n v="41989"/>
    <n v="81129"/>
    <n v="3613339"/>
    <n v="6057"/>
    <x v="182"/>
    <n v="41051"/>
    <n v="0"/>
    <n v="1"/>
  </r>
  <r>
    <x v="4"/>
    <n v="6"/>
    <x v="2"/>
    <n v="59"/>
    <x v="18"/>
    <n v="41"/>
    <s v="Oregon"/>
    <n v="51"/>
    <s v="Multnomah County"/>
    <n v="333"/>
    <n v="483"/>
    <n v="21301"/>
    <n v="69286"/>
    <n v="123836"/>
    <n v="6002336"/>
    <n v="1274399"/>
    <n v="2684220"/>
    <n v="139501808"/>
    <n v="6059"/>
    <x v="18"/>
    <n v="41051"/>
    <n v="0"/>
    <n v="1"/>
  </r>
  <r>
    <x v="4"/>
    <n v="6"/>
    <x v="2"/>
    <n v="61"/>
    <x v="19"/>
    <n v="41"/>
    <s v="Oregon"/>
    <n v="51"/>
    <s v="Multnomah County"/>
    <n v="30"/>
    <n v="41"/>
    <n v="1721"/>
    <n v="12428"/>
    <n v="22578"/>
    <n v="1015585"/>
    <n v="157982"/>
    <n v="346300"/>
    <n v="17580788"/>
    <n v="6061"/>
    <x v="19"/>
    <n v="41051"/>
    <n v="0"/>
    <n v="1"/>
  </r>
  <r>
    <x v="4"/>
    <n v="6"/>
    <x v="2"/>
    <n v="65"/>
    <x v="20"/>
    <n v="41"/>
    <s v="Oregon"/>
    <n v="51"/>
    <s v="Multnomah County"/>
    <n v="134"/>
    <n v="193"/>
    <n v="10296"/>
    <n v="51360"/>
    <n v="101484"/>
    <n v="3160828"/>
    <n v="850692"/>
    <n v="1951726"/>
    <n v="57767772"/>
    <n v="6065"/>
    <x v="20"/>
    <n v="41051"/>
    <n v="0"/>
    <n v="1"/>
  </r>
  <r>
    <x v="4"/>
    <n v="6"/>
    <x v="2"/>
    <n v="67"/>
    <x v="21"/>
    <n v="41"/>
    <s v="Oregon"/>
    <n v="51"/>
    <s v="Multnomah County"/>
    <n v="142"/>
    <n v="196"/>
    <n v="8235"/>
    <n v="34281"/>
    <n v="63516"/>
    <n v="2264156"/>
    <n v="598306"/>
    <n v="1285999"/>
    <n v="45720608"/>
    <n v="6067"/>
    <x v="21"/>
    <n v="41051"/>
    <n v="0"/>
    <n v="1"/>
  </r>
  <r>
    <x v="4"/>
    <n v="6"/>
    <x v="2"/>
    <n v="71"/>
    <x v="22"/>
    <n v="41"/>
    <s v="Oregon"/>
    <n v="51"/>
    <s v="Multnomah County"/>
    <n v="122"/>
    <n v="193"/>
    <n v="4442"/>
    <n v="48230"/>
    <n v="96676"/>
    <n v="2694890"/>
    <n v="768011"/>
    <n v="1750208"/>
    <n v="48623608"/>
    <n v="6071"/>
    <x v="22"/>
    <n v="41051"/>
    <n v="0"/>
    <n v="1"/>
  </r>
  <r>
    <x v="4"/>
    <n v="6"/>
    <x v="2"/>
    <n v="73"/>
    <x v="23"/>
    <n v="41"/>
    <s v="Oregon"/>
    <n v="51"/>
    <s v="Multnomah County"/>
    <n v="389"/>
    <n v="552"/>
    <n v="21571"/>
    <n v="73601"/>
    <n v="136972"/>
    <n v="5516487"/>
    <n v="1349512"/>
    <n v="2816299"/>
    <n v="128480808"/>
    <n v="6073"/>
    <x v="23"/>
    <n v="41051"/>
    <n v="0"/>
    <n v="1"/>
  </r>
  <r>
    <x v="4"/>
    <n v="6"/>
    <x v="2"/>
    <n v="75"/>
    <x v="24"/>
    <n v="41"/>
    <s v="Oregon"/>
    <n v="51"/>
    <s v="Multnomah County"/>
    <n v="640"/>
    <n v="885"/>
    <n v="110494"/>
    <n v="54130"/>
    <n v="77273"/>
    <n v="10637558"/>
    <n v="421310"/>
    <n v="695440"/>
    <n v="80770824"/>
    <n v="6075"/>
    <x v="24"/>
    <n v="41051"/>
    <n v="0"/>
    <n v="1"/>
  </r>
  <r>
    <x v="4"/>
    <n v="6"/>
    <x v="2"/>
    <n v="77"/>
    <x v="25"/>
    <n v="41"/>
    <s v="Oregon"/>
    <n v="51"/>
    <s v="Multnomah County"/>
    <n v="43"/>
    <n v="70"/>
    <n v="1975"/>
    <n v="14493"/>
    <n v="28835"/>
    <n v="897325"/>
    <n v="269441"/>
    <n v="639270"/>
    <n v="19205476"/>
    <n v="6077"/>
    <x v="25"/>
    <n v="41051"/>
    <n v="0"/>
    <n v="1"/>
  </r>
  <r>
    <x v="4"/>
    <n v="6"/>
    <x v="2"/>
    <n v="79"/>
    <x v="26"/>
    <n v="41"/>
    <s v="Oregon"/>
    <n v="51"/>
    <s v="Multnomah County"/>
    <n v="52"/>
    <n v="66"/>
    <n v="2310"/>
    <n v="6809"/>
    <n v="11251"/>
    <n v="469105"/>
    <n v="110834"/>
    <n v="220701"/>
    <n v="10119520"/>
    <n v="6079"/>
    <x v="26"/>
    <n v="41051"/>
    <n v="0"/>
    <n v="1"/>
  </r>
  <r>
    <x v="4"/>
    <n v="6"/>
    <x v="2"/>
    <n v="81"/>
    <x v="27"/>
    <n v="41"/>
    <s v="Oregon"/>
    <n v="51"/>
    <s v="Multnomah County"/>
    <n v="163"/>
    <n v="261"/>
    <n v="21745"/>
    <n v="30275"/>
    <n v="52643"/>
    <n v="5416745"/>
    <n v="333608"/>
    <n v="676761"/>
    <n v="74253848"/>
    <n v="6081"/>
    <x v="27"/>
    <n v="41051"/>
    <n v="0"/>
    <n v="1"/>
  </r>
  <r>
    <x v="4"/>
    <n v="6"/>
    <x v="2"/>
    <n v="83"/>
    <x v="28"/>
    <n v="41"/>
    <s v="Oregon"/>
    <n v="51"/>
    <s v="Multnomah County"/>
    <n v="66"/>
    <n v="87"/>
    <n v="3816"/>
    <n v="9850"/>
    <n v="16971"/>
    <n v="764769"/>
    <n v="170253"/>
    <n v="362567"/>
    <n v="16011537"/>
    <n v="6083"/>
    <x v="28"/>
    <n v="41051"/>
    <n v="0"/>
    <n v="1"/>
  </r>
  <r>
    <x v="4"/>
    <n v="6"/>
    <x v="2"/>
    <n v="85"/>
    <x v="29"/>
    <n v="41"/>
    <s v="Oregon"/>
    <n v="51"/>
    <s v="Multnomah County"/>
    <n v="308"/>
    <n v="465"/>
    <n v="44146"/>
    <n v="58011"/>
    <n v="104797"/>
    <n v="10130715"/>
    <n v="807842"/>
    <n v="1710208"/>
    <n v="153486672"/>
    <n v="6085"/>
    <x v="29"/>
    <n v="41051"/>
    <n v="0"/>
    <n v="1"/>
  </r>
  <r>
    <x v="4"/>
    <n v="6"/>
    <x v="2"/>
    <n v="87"/>
    <x v="30"/>
    <n v="41"/>
    <s v="Oregon"/>
    <n v="51"/>
    <s v="Multnomah County"/>
    <n v="89"/>
    <n v="110"/>
    <n v="6006"/>
    <n v="7309"/>
    <n v="12376"/>
    <n v="647217"/>
    <n v="108421"/>
    <n v="218797"/>
    <n v="11940623"/>
    <n v="6087"/>
    <x v="30"/>
    <n v="41051"/>
    <n v="0"/>
    <n v="1"/>
  </r>
  <r>
    <x v="4"/>
    <n v="6"/>
    <x v="2"/>
    <n v="89"/>
    <x v="31"/>
    <n v="41"/>
    <s v="Oregon"/>
    <n v="51"/>
    <s v="Multnomah County"/>
    <n v="28"/>
    <n v="39"/>
    <n v="1148"/>
    <n v="3955"/>
    <n v="7273"/>
    <n v="214391"/>
    <n v="65047"/>
    <n v="136658"/>
    <n v="4379255"/>
    <n v="6089"/>
    <x v="31"/>
    <n v="41051"/>
    <n v="0"/>
    <n v="1"/>
  </r>
  <r>
    <x v="4"/>
    <n v="6"/>
    <x v="2"/>
    <n v="95"/>
    <x v="32"/>
    <n v="41"/>
    <s v="Oregon"/>
    <n v="51"/>
    <s v="Multnomah County"/>
    <n v="31"/>
    <n v="39"/>
    <n v="1531"/>
    <n v="12429"/>
    <n v="23660"/>
    <n v="837761"/>
    <n v="177750"/>
    <n v="376026"/>
    <n v="14404492"/>
    <n v="6095"/>
    <x v="32"/>
    <n v="41051"/>
    <n v="0"/>
    <n v="1"/>
  </r>
  <r>
    <x v="4"/>
    <n v="6"/>
    <x v="2"/>
    <n v="97"/>
    <x v="33"/>
    <n v="41"/>
    <s v="Oregon"/>
    <n v="51"/>
    <s v="Multnomah County"/>
    <n v="76"/>
    <n v="105"/>
    <n v="5730"/>
    <n v="10295"/>
    <n v="17148"/>
    <n v="865737"/>
    <n v="203838"/>
    <n v="407811"/>
    <n v="19674604"/>
    <n v="6097"/>
    <x v="33"/>
    <n v="41051"/>
    <n v="0"/>
    <n v="1"/>
  </r>
  <r>
    <x v="4"/>
    <n v="6"/>
    <x v="2"/>
    <n v="99"/>
    <x v="34"/>
    <n v="41"/>
    <s v="Oregon"/>
    <n v="51"/>
    <s v="Multnomah County"/>
    <n v="30"/>
    <n v="47"/>
    <n v="1731"/>
    <n v="10137"/>
    <n v="20737"/>
    <n v="581393"/>
    <n v="192996"/>
    <n v="459076"/>
    <n v="12834175"/>
    <n v="6099"/>
    <x v="34"/>
    <n v="41051"/>
    <n v="0"/>
    <n v="1"/>
  </r>
  <r>
    <x v="4"/>
    <n v="6"/>
    <x v="2"/>
    <n v="111"/>
    <x v="35"/>
    <n v="41"/>
    <s v="Oregon"/>
    <n v="51"/>
    <s v="Multnomah County"/>
    <n v="62"/>
    <n v="94"/>
    <n v="3554"/>
    <n v="17551"/>
    <n v="32065"/>
    <n v="1528842"/>
    <n v="336600"/>
    <n v="724813"/>
    <n v="32940592"/>
    <n v="6111"/>
    <x v="35"/>
    <n v="41051"/>
    <n v="0"/>
    <n v="1"/>
  </r>
  <r>
    <x v="4"/>
    <n v="6"/>
    <x v="2"/>
    <n v="113"/>
    <x v="36"/>
    <n v="41"/>
    <s v="Oregon"/>
    <n v="51"/>
    <s v="Multnomah County"/>
    <n v="38"/>
    <n v="45"/>
    <n v="2014"/>
    <n v="6763"/>
    <n v="11402"/>
    <n v="416425"/>
    <n v="77063"/>
    <n v="165288"/>
    <n v="6977078"/>
    <n v="6113"/>
    <x v="36"/>
    <n v="41051"/>
    <n v="0"/>
    <n v="1"/>
  </r>
  <r>
    <x v="4"/>
    <n v="8"/>
    <x v="3"/>
    <n v="1"/>
    <x v="37"/>
    <n v="41"/>
    <s v="Oregon"/>
    <n v="51"/>
    <s v="Multnomah County"/>
    <n v="26"/>
    <n v="29"/>
    <n v="1250"/>
    <n v="22323"/>
    <n v="42130"/>
    <n v="1279984"/>
    <n v="199430"/>
    <n v="427966"/>
    <n v="14057123"/>
    <n v="8001"/>
    <x v="37"/>
    <n v="41051"/>
    <n v="0"/>
    <n v="1"/>
  </r>
  <r>
    <x v="4"/>
    <n v="8"/>
    <x v="3"/>
    <n v="5"/>
    <x v="38"/>
    <n v="41"/>
    <s v="Oregon"/>
    <n v="51"/>
    <s v="Multnomah County"/>
    <n v="44"/>
    <n v="74"/>
    <n v="2844"/>
    <n v="33285"/>
    <n v="58983"/>
    <n v="2336243"/>
    <n v="267607"/>
    <n v="551735"/>
    <n v="26792948"/>
    <n v="8005"/>
    <x v="38"/>
    <n v="41051"/>
    <n v="0"/>
    <n v="1"/>
  </r>
  <r>
    <x v="4"/>
    <n v="8"/>
    <x v="3"/>
    <n v="13"/>
    <x v="39"/>
    <n v="41"/>
    <s v="Oregon"/>
    <n v="51"/>
    <s v="Multnomah County"/>
    <n v="56"/>
    <n v="61"/>
    <n v="3113"/>
    <n v="14551"/>
    <n v="22701"/>
    <n v="1136968"/>
    <n v="135090"/>
    <n v="261546"/>
    <n v="17573326"/>
    <n v="8013"/>
    <x v="39"/>
    <n v="41051"/>
    <n v="0"/>
    <n v="1"/>
  </r>
  <r>
    <x v="4"/>
    <n v="8"/>
    <x v="3"/>
    <n v="31"/>
    <x v="40"/>
    <n v="41"/>
    <s v="Oregon"/>
    <n v="51"/>
    <s v="Multnomah County"/>
    <n v="170"/>
    <n v="196"/>
    <n v="9560"/>
    <n v="46946"/>
    <n v="74006"/>
    <n v="3655908"/>
    <n v="312869"/>
    <n v="556541"/>
    <n v="32743636"/>
    <n v="8031"/>
    <x v="40"/>
    <n v="41051"/>
    <n v="0"/>
    <n v="1"/>
  </r>
  <r>
    <x v="4"/>
    <n v="8"/>
    <x v="3"/>
    <n v="41"/>
    <x v="41"/>
    <n v="41"/>
    <s v="Oregon"/>
    <n v="51"/>
    <s v="Multnomah County"/>
    <n v="52"/>
    <n v="77"/>
    <n v="2353"/>
    <n v="25615"/>
    <n v="53004"/>
    <n v="1496037"/>
    <n v="281780"/>
    <n v="609770"/>
    <n v="22194068"/>
    <n v="8041"/>
    <x v="41"/>
    <n v="41051"/>
    <n v="0"/>
    <n v="1"/>
  </r>
  <r>
    <x v="4"/>
    <n v="8"/>
    <x v="3"/>
    <n v="59"/>
    <x v="42"/>
    <n v="41"/>
    <s v="Oregon"/>
    <n v="51"/>
    <s v="Multnomah County"/>
    <n v="49"/>
    <n v="62"/>
    <n v="3338"/>
    <n v="28424"/>
    <n v="47250"/>
    <n v="2032609"/>
    <n v="255282"/>
    <n v="494762"/>
    <n v="25674256"/>
    <n v="8059"/>
    <x v="42"/>
    <n v="41051"/>
    <n v="0"/>
    <n v="1"/>
  </r>
  <r>
    <x v="4"/>
    <n v="8"/>
    <x v="3"/>
    <n v="69"/>
    <x v="43"/>
    <n v="41"/>
    <s v="Oregon"/>
    <n v="51"/>
    <s v="Multnomah County"/>
    <n v="49"/>
    <n v="58"/>
    <n v="2047"/>
    <n v="13551"/>
    <n v="22749"/>
    <n v="850764"/>
    <n v="146158"/>
    <n v="288980"/>
    <n v="13594415"/>
    <n v="8069"/>
    <x v="43"/>
    <n v="41051"/>
    <n v="0"/>
    <n v="1"/>
  </r>
  <r>
    <x v="4"/>
    <n v="9"/>
    <x v="4"/>
    <n v="1"/>
    <x v="44"/>
    <n v="41"/>
    <s v="Oregon"/>
    <n v="51"/>
    <s v="Multnomah County"/>
    <n v="27"/>
    <n v="32"/>
    <n v="2568"/>
    <n v="22603"/>
    <n v="39245"/>
    <n v="3434797"/>
    <n v="378407"/>
    <n v="796766"/>
    <n v="70614368"/>
    <n v="9001"/>
    <x v="44"/>
    <n v="41051"/>
    <n v="0"/>
    <n v="1"/>
  </r>
  <r>
    <x v="4"/>
    <n v="9"/>
    <x v="4"/>
    <n v="3"/>
    <x v="170"/>
    <n v="41"/>
    <s v="Oregon"/>
    <n v="51"/>
    <s v="Multnomah County"/>
    <n v="21"/>
    <n v="25"/>
    <n v="1330"/>
    <n v="19079"/>
    <n v="31750"/>
    <n v="1670597"/>
    <n v="378238"/>
    <n v="749883"/>
    <n v="34946548"/>
    <n v="9003"/>
    <x v="184"/>
    <n v="41051"/>
    <n v="0"/>
    <n v="1"/>
  </r>
  <r>
    <x v="4"/>
    <n v="9"/>
    <x v="4"/>
    <n v="9"/>
    <x v="45"/>
    <n v="41"/>
    <s v="Oregon"/>
    <n v="51"/>
    <s v="Multnomah County"/>
    <n v="25"/>
    <n v="28"/>
    <n v="1158"/>
    <n v="19079"/>
    <n v="31661"/>
    <n v="1379986"/>
    <n v="348894"/>
    <n v="686606"/>
    <n v="29872228"/>
    <n v="9009"/>
    <x v="45"/>
    <n v="41051"/>
    <n v="0"/>
    <n v="1"/>
  </r>
  <r>
    <x v="4"/>
    <n v="11"/>
    <x v="5"/>
    <n v="1"/>
    <x v="46"/>
    <n v="41"/>
    <s v="Oregon"/>
    <n v="51"/>
    <s v="Multnomah County"/>
    <n v="138"/>
    <n v="182"/>
    <n v="13881"/>
    <n v="35911"/>
    <n v="53104"/>
    <n v="3726830"/>
    <n v="299449"/>
    <n v="498412"/>
    <n v="36296552"/>
    <n v="11001"/>
    <x v="46"/>
    <n v="41051"/>
    <n v="0"/>
    <n v="1"/>
  </r>
  <r>
    <x v="4"/>
    <n v="12"/>
    <x v="6"/>
    <n v="11"/>
    <x v="47"/>
    <n v="41"/>
    <s v="Oregon"/>
    <n v="51"/>
    <s v="Multnomah County"/>
    <n v="43"/>
    <n v="58"/>
    <n v="2416"/>
    <n v="54040"/>
    <n v="96065"/>
    <n v="4186859"/>
    <n v="799534"/>
    <n v="1559043"/>
    <n v="65290392"/>
    <n v="12011"/>
    <x v="47"/>
    <n v="41051"/>
    <n v="0"/>
    <n v="1"/>
  </r>
  <r>
    <x v="4"/>
    <n v="12"/>
    <x v="6"/>
    <n v="31"/>
    <x v="48"/>
    <n v="41"/>
    <s v="Oregon"/>
    <n v="51"/>
    <s v="Multnomah County"/>
    <n v="29"/>
    <n v="38"/>
    <n v="1215"/>
    <n v="28061"/>
    <n v="53249"/>
    <n v="1792086"/>
    <n v="386623"/>
    <n v="771930"/>
    <n v="27363836"/>
    <n v="12031"/>
    <x v="48"/>
    <n v="41051"/>
    <n v="0"/>
    <n v="1"/>
  </r>
  <r>
    <x v="4"/>
    <n v="12"/>
    <x v="6"/>
    <n v="57"/>
    <x v="49"/>
    <n v="41"/>
    <s v="Oregon"/>
    <n v="51"/>
    <s v="Multnomah County"/>
    <n v="47"/>
    <n v="77"/>
    <n v="2542"/>
    <n v="41973"/>
    <n v="76813"/>
    <n v="2953950"/>
    <n v="567194"/>
    <n v="1160648"/>
    <n v="46240292"/>
    <n v="12057"/>
    <x v="49"/>
    <n v="41051"/>
    <n v="0"/>
    <n v="1"/>
  </r>
  <r>
    <x v="4"/>
    <n v="12"/>
    <x v="6"/>
    <n v="71"/>
    <x v="50"/>
    <n v="41"/>
    <s v="Oregon"/>
    <n v="51"/>
    <s v="Multnomah County"/>
    <n v="20"/>
    <n v="22"/>
    <n v="1058"/>
    <n v="19244"/>
    <n v="33135"/>
    <n v="1551773"/>
    <n v="303290"/>
    <n v="588303"/>
    <n v="27650364"/>
    <n v="12071"/>
    <x v="50"/>
    <n v="41051"/>
    <n v="0"/>
    <n v="1"/>
  </r>
  <r>
    <x v="4"/>
    <n v="12"/>
    <x v="6"/>
    <n v="86"/>
    <x v="52"/>
    <n v="41"/>
    <s v="Oregon"/>
    <n v="51"/>
    <s v="Multnomah County"/>
    <n v="55"/>
    <n v="86"/>
    <n v="4486"/>
    <n v="56335"/>
    <n v="99545"/>
    <n v="3547017"/>
    <n v="1127371"/>
    <n v="2145880"/>
    <n v="83902544"/>
    <n v="12086"/>
    <x v="52"/>
    <n v="41051"/>
    <n v="0"/>
    <n v="1"/>
  </r>
  <r>
    <x v="4"/>
    <n v="12"/>
    <x v="6"/>
    <n v="95"/>
    <x v="18"/>
    <n v="41"/>
    <s v="Oregon"/>
    <n v="51"/>
    <s v="Multnomah County"/>
    <n v="43"/>
    <n v="57"/>
    <n v="2247"/>
    <n v="53893"/>
    <n v="97498"/>
    <n v="3012934"/>
    <n v="556673"/>
    <n v="1122770"/>
    <n v="41689200"/>
    <n v="12095"/>
    <x v="53"/>
    <n v="41051"/>
    <n v="0"/>
    <n v="1"/>
  </r>
  <r>
    <x v="4"/>
    <n v="12"/>
    <x v="6"/>
    <n v="99"/>
    <x v="53"/>
    <n v="41"/>
    <s v="Oregon"/>
    <n v="51"/>
    <s v="Multnomah County"/>
    <n v="36"/>
    <n v="47"/>
    <n v="1522"/>
    <n v="36646"/>
    <n v="62165"/>
    <n v="3324292"/>
    <n v="610012"/>
    <n v="1177621"/>
    <n v="76544888"/>
    <n v="12099"/>
    <x v="54"/>
    <n v="41051"/>
    <n v="0"/>
    <n v="1"/>
  </r>
  <r>
    <x v="4"/>
    <n v="12"/>
    <x v="6"/>
    <n v="103"/>
    <x v="54"/>
    <n v="41"/>
    <s v="Oregon"/>
    <n v="51"/>
    <s v="Multnomah County"/>
    <n v="44"/>
    <n v="60"/>
    <n v="2965"/>
    <n v="28384"/>
    <n v="47369"/>
    <n v="1789483"/>
    <n v="409560"/>
    <n v="740820"/>
    <n v="34231572"/>
    <n v="12103"/>
    <x v="55"/>
    <n v="41051"/>
    <n v="0"/>
    <n v="1"/>
  </r>
  <r>
    <x v="4"/>
    <n v="13"/>
    <x v="7"/>
    <n v="89"/>
    <x v="56"/>
    <n v="41"/>
    <s v="Oregon"/>
    <n v="51"/>
    <s v="Multnomah County"/>
    <n v="29"/>
    <n v="51"/>
    <n v="1828"/>
    <n v="34806"/>
    <n v="64620"/>
    <n v="2207856"/>
    <n v="284067"/>
    <n v="570744"/>
    <n v="23792252"/>
    <n v="13089"/>
    <x v="57"/>
    <n v="41051"/>
    <n v="0"/>
    <n v="1"/>
  </r>
  <r>
    <x v="4"/>
    <n v="13"/>
    <x v="7"/>
    <n v="121"/>
    <x v="57"/>
    <n v="41"/>
    <s v="Oregon"/>
    <n v="51"/>
    <s v="Multnomah County"/>
    <n v="65"/>
    <n v="79"/>
    <n v="5288"/>
    <n v="50065"/>
    <n v="88135"/>
    <n v="4432875"/>
    <n v="440462"/>
    <n v="828845"/>
    <n v="53492820"/>
    <n v="13121"/>
    <x v="58"/>
    <n v="41051"/>
    <n v="0"/>
    <n v="1"/>
  </r>
  <r>
    <x v="4"/>
    <n v="15"/>
    <x v="8"/>
    <n v="1"/>
    <x v="58"/>
    <n v="41"/>
    <s v="Oregon"/>
    <n v="51"/>
    <s v="Multnomah County"/>
    <n v="34"/>
    <n v="47"/>
    <n v="1887"/>
    <n v="3427"/>
    <n v="6179"/>
    <n v="235909"/>
    <n v="76819"/>
    <n v="156203"/>
    <n v="4772866"/>
    <n v="15001"/>
    <x v="59"/>
    <n v="41051"/>
    <n v="0"/>
    <n v="1"/>
  </r>
  <r>
    <x v="4"/>
    <n v="15"/>
    <x v="8"/>
    <n v="3"/>
    <x v="59"/>
    <n v="41"/>
    <s v="Oregon"/>
    <n v="51"/>
    <s v="Multnomah County"/>
    <n v="152"/>
    <n v="233"/>
    <n v="7551"/>
    <n v="23142"/>
    <n v="50140"/>
    <n v="1452039"/>
    <n v="414986"/>
    <n v="838780"/>
    <n v="31782810"/>
    <n v="15003"/>
    <x v="60"/>
    <n v="41051"/>
    <n v="0"/>
    <n v="1"/>
  </r>
  <r>
    <x v="4"/>
    <n v="15"/>
    <x v="8"/>
    <n v="9"/>
    <x v="61"/>
    <n v="41"/>
    <s v="Oregon"/>
    <n v="51"/>
    <s v="Multnomah County"/>
    <n v="40"/>
    <n v="52"/>
    <n v="1931"/>
    <n v="3258"/>
    <n v="5470"/>
    <n v="197121"/>
    <n v="70365"/>
    <n v="138756"/>
    <n v="5011810"/>
    <n v="15009"/>
    <x v="62"/>
    <n v="41051"/>
    <n v="0"/>
    <n v="1"/>
  </r>
  <r>
    <x v="4"/>
    <n v="16"/>
    <x v="9"/>
    <n v="1"/>
    <x v="62"/>
    <n v="41"/>
    <s v="Oregon"/>
    <n v="51"/>
    <s v="Multnomah County"/>
    <n v="106"/>
    <n v="153"/>
    <n v="4745"/>
    <n v="12192"/>
    <n v="23601"/>
    <n v="742121"/>
    <n v="188951"/>
    <n v="412110"/>
    <n v="17370256"/>
    <n v="16001"/>
    <x v="63"/>
    <n v="41051"/>
    <n v="0"/>
    <n v="1"/>
  </r>
  <r>
    <x v="4"/>
    <n v="16"/>
    <x v="9"/>
    <n v="27"/>
    <x v="63"/>
    <n v="41"/>
    <s v="Oregon"/>
    <n v="51"/>
    <s v="Multnomah County"/>
    <n v="24"/>
    <n v="35"/>
    <n v="903"/>
    <n v="5934"/>
    <n v="12637"/>
    <n v="284904"/>
    <n v="78400"/>
    <n v="192511"/>
    <n v="4663248"/>
    <n v="16027"/>
    <x v="64"/>
    <n v="41051"/>
    <n v="0"/>
    <n v="1"/>
  </r>
  <r>
    <x v="4"/>
    <n v="17"/>
    <x v="10"/>
    <n v="31"/>
    <x v="65"/>
    <n v="41"/>
    <s v="Oregon"/>
    <n v="51"/>
    <s v="Multnomah County"/>
    <n v="282"/>
    <n v="367"/>
    <n v="24115"/>
    <n v="106486"/>
    <n v="188520"/>
    <n v="11227208"/>
    <n v="2101915"/>
    <n v="4242367"/>
    <n v="197786304"/>
    <n v="17031"/>
    <x v="66"/>
    <n v="41051"/>
    <n v="0"/>
    <n v="1"/>
  </r>
  <r>
    <x v="4"/>
    <n v="17"/>
    <x v="10"/>
    <n v="43"/>
    <x v="66"/>
    <n v="41"/>
    <s v="Oregon"/>
    <n v="51"/>
    <s v="Multnomah County"/>
    <n v="32"/>
    <n v="44"/>
    <n v="2007"/>
    <n v="29927"/>
    <n v="54384"/>
    <n v="2985522"/>
    <n v="386166"/>
    <n v="846244"/>
    <n v="47380716"/>
    <n v="17043"/>
    <x v="67"/>
    <n v="41051"/>
    <n v="0"/>
    <n v="1"/>
  </r>
  <r>
    <x v="4"/>
    <n v="17"/>
    <x v="10"/>
    <n v="197"/>
    <x v="202"/>
    <n v="41"/>
    <s v="Oregon"/>
    <n v="51"/>
    <s v="Multnomah County"/>
    <n v="22"/>
    <n v="27"/>
    <n v="1372"/>
    <n v="18592"/>
    <n v="35349"/>
    <n v="1443033"/>
    <n v="273888"/>
    <n v="622735"/>
    <n v="25343372"/>
    <n v="17197"/>
    <x v="223"/>
    <n v="41051"/>
    <n v="0"/>
    <n v="1"/>
  </r>
  <r>
    <x v="4"/>
    <n v="18"/>
    <x v="11"/>
    <n v="97"/>
    <x v="68"/>
    <n v="41"/>
    <s v="Oregon"/>
    <n v="51"/>
    <s v="Multnomah County"/>
    <n v="51"/>
    <n v="67"/>
    <n v="3448"/>
    <n v="29180"/>
    <n v="52888"/>
    <n v="1911629"/>
    <n v="378437"/>
    <n v="767691"/>
    <n v="24670062"/>
    <n v="18097"/>
    <x v="69"/>
    <n v="41051"/>
    <n v="0"/>
    <n v="1"/>
  </r>
  <r>
    <x v="4"/>
    <n v="19"/>
    <x v="12"/>
    <n v="103"/>
    <x v="71"/>
    <n v="41"/>
    <s v="Oregon"/>
    <n v="51"/>
    <s v="Multnomah County"/>
    <n v="21"/>
    <n v="28"/>
    <n v="1065"/>
    <n v="5224"/>
    <n v="8566"/>
    <n v="323016"/>
    <n v="56283"/>
    <n v="115351"/>
    <n v="5080938"/>
    <n v="19103"/>
    <x v="190"/>
    <n v="41051"/>
    <n v="0"/>
    <n v="1"/>
  </r>
  <r>
    <x v="4"/>
    <n v="20"/>
    <x v="13"/>
    <n v="91"/>
    <x v="71"/>
    <n v="41"/>
    <s v="Oregon"/>
    <n v="51"/>
    <s v="Multnomah County"/>
    <n v="25"/>
    <n v="37"/>
    <n v="1990"/>
    <n v="16554"/>
    <n v="29706"/>
    <n v="1362431"/>
    <n v="243833"/>
    <n v="538630"/>
    <n v="30618588"/>
    <n v="20091"/>
    <x v="72"/>
    <n v="41051"/>
    <n v="0"/>
    <n v="1"/>
  </r>
  <r>
    <x v="4"/>
    <n v="21"/>
    <x v="14"/>
    <n v="111"/>
    <x v="42"/>
    <n v="41"/>
    <s v="Oregon"/>
    <n v="51"/>
    <s v="Multnomah County"/>
    <n v="20"/>
    <n v="24"/>
    <n v="874"/>
    <n v="16752"/>
    <n v="30734"/>
    <n v="1457102"/>
    <n v="308450"/>
    <n v="612218"/>
    <n v="24646840"/>
    <n v="21111"/>
    <x v="73"/>
    <n v="41051"/>
    <n v="0"/>
    <n v="1"/>
  </r>
  <r>
    <x v="4"/>
    <n v="22"/>
    <x v="15"/>
    <n v="71"/>
    <x v="72"/>
    <n v="41"/>
    <s v="Oregon"/>
    <n v="51"/>
    <s v="Multnomah County"/>
    <n v="43"/>
    <n v="61"/>
    <n v="2212"/>
    <n v="12165"/>
    <n v="21458"/>
    <n v="702587"/>
    <n v="130857"/>
    <n v="247917"/>
    <n v="9516676"/>
    <n v="22071"/>
    <x v="74"/>
    <n v="41051"/>
    <n v="0"/>
    <n v="1"/>
  </r>
  <r>
    <x v="4"/>
    <n v="23"/>
    <x v="16"/>
    <n v="5"/>
    <x v="73"/>
    <n v="41"/>
    <s v="Oregon"/>
    <n v="51"/>
    <s v="Multnomah County"/>
    <n v="26"/>
    <n v="35"/>
    <n v="2537"/>
    <n v="8477"/>
    <n v="13311"/>
    <n v="540342"/>
    <n v="132059"/>
    <n v="251299"/>
    <n v="12363740"/>
    <n v="23005"/>
    <x v="75"/>
    <n v="41051"/>
    <n v="0"/>
    <n v="1"/>
  </r>
  <r>
    <x v="4"/>
    <n v="24"/>
    <x v="17"/>
    <n v="31"/>
    <x v="74"/>
    <n v="41"/>
    <s v="Oregon"/>
    <n v="51"/>
    <s v="Multnomah County"/>
    <n v="38"/>
    <n v="50"/>
    <n v="2794"/>
    <n v="32090"/>
    <n v="55901"/>
    <n v="3196436"/>
    <n v="437340"/>
    <n v="920192"/>
    <n v="59019044"/>
    <n v="24031"/>
    <x v="76"/>
    <n v="41051"/>
    <n v="0"/>
    <n v="1"/>
  </r>
  <r>
    <x v="4"/>
    <n v="24"/>
    <x v="17"/>
    <n v="510"/>
    <x v="75"/>
    <n v="41"/>
    <s v="Oregon"/>
    <n v="51"/>
    <s v="Multnomah County"/>
    <n v="41"/>
    <n v="58"/>
    <n v="2725"/>
    <n v="22417"/>
    <n v="39066"/>
    <n v="1569836"/>
    <n v="207409"/>
    <n v="388530"/>
    <n v="13633211"/>
    <n v="24510"/>
    <x v="77"/>
    <n v="41051"/>
    <n v="0"/>
    <n v="1"/>
  </r>
  <r>
    <x v="4"/>
    <n v="25"/>
    <x v="18"/>
    <n v="17"/>
    <x v="78"/>
    <n v="41"/>
    <s v="Oregon"/>
    <n v="51"/>
    <s v="Multnomah County"/>
    <n v="117"/>
    <n v="138"/>
    <n v="8739"/>
    <n v="53106"/>
    <n v="83477"/>
    <n v="5759388"/>
    <n v="675161"/>
    <n v="1341026"/>
    <n v="98937920"/>
    <n v="25017"/>
    <x v="80"/>
    <n v="41051"/>
    <n v="0"/>
    <n v="1"/>
  </r>
  <r>
    <x v="4"/>
    <n v="25"/>
    <x v="18"/>
    <n v="21"/>
    <x v="79"/>
    <n v="41"/>
    <s v="Oregon"/>
    <n v="51"/>
    <s v="Multnomah County"/>
    <n v="26"/>
    <n v="40"/>
    <n v="2633"/>
    <n v="24766"/>
    <n v="39942"/>
    <n v="2737788"/>
    <n v="297030"/>
    <n v="613175"/>
    <n v="47965348"/>
    <n v="25021"/>
    <x v="81"/>
    <n v="41051"/>
    <n v="0"/>
    <n v="1"/>
  </r>
  <r>
    <x v="4"/>
    <n v="25"/>
    <x v="18"/>
    <n v="25"/>
    <x v="80"/>
    <n v="41"/>
    <s v="Oregon"/>
    <n v="51"/>
    <s v="Multnomah County"/>
    <n v="97"/>
    <n v="120"/>
    <n v="9196"/>
    <n v="43288"/>
    <n v="64287"/>
    <n v="4805840"/>
    <n v="329651"/>
    <n v="558090"/>
    <n v="38047504"/>
    <n v="25025"/>
    <x v="82"/>
    <n v="41051"/>
    <n v="0"/>
    <n v="1"/>
  </r>
  <r>
    <x v="4"/>
    <n v="26"/>
    <x v="19"/>
    <n v="81"/>
    <x v="81"/>
    <n v="41"/>
    <s v="Oregon"/>
    <n v="51"/>
    <s v="Multnomah County"/>
    <n v="26"/>
    <n v="34"/>
    <n v="1252"/>
    <n v="15339"/>
    <n v="27134"/>
    <n v="931647"/>
    <n v="262180"/>
    <n v="560730"/>
    <n v="21506888"/>
    <n v="26081"/>
    <x v="83"/>
    <n v="41051"/>
    <n v="0"/>
    <n v="1"/>
  </r>
  <r>
    <x v="4"/>
    <n v="26"/>
    <x v="19"/>
    <n v="125"/>
    <x v="82"/>
    <n v="41"/>
    <s v="Oregon"/>
    <n v="51"/>
    <s v="Multnomah County"/>
    <n v="50"/>
    <n v="70"/>
    <n v="3985"/>
    <n v="32171"/>
    <n v="55906"/>
    <n v="2787325"/>
    <n v="529411"/>
    <n v="1084934"/>
    <n v="60481012"/>
    <n v="26125"/>
    <x v="84"/>
    <n v="41051"/>
    <n v="0"/>
    <n v="1"/>
  </r>
  <r>
    <x v="4"/>
    <n v="26"/>
    <x v="19"/>
    <n v="161"/>
    <x v="83"/>
    <n v="41"/>
    <s v="Oregon"/>
    <n v="51"/>
    <s v="Multnomah County"/>
    <n v="42"/>
    <n v="61"/>
    <n v="3802"/>
    <n v="12880"/>
    <n v="20391"/>
    <n v="875299"/>
    <n v="141458"/>
    <n v="282886"/>
    <n v="14608163"/>
    <n v="26161"/>
    <x v="85"/>
    <n v="41051"/>
    <n v="0"/>
    <n v="1"/>
  </r>
  <r>
    <x v="4"/>
    <n v="26"/>
    <x v="19"/>
    <n v="163"/>
    <x v="84"/>
    <n v="41"/>
    <s v="Oregon"/>
    <n v="51"/>
    <s v="Multnomah County"/>
    <n v="21"/>
    <n v="24"/>
    <n v="1313"/>
    <n v="32779"/>
    <n v="59328"/>
    <n v="1979599"/>
    <n v="650403"/>
    <n v="1356011"/>
    <n v="40767416"/>
    <n v="26163"/>
    <x v="86"/>
    <n v="41051"/>
    <n v="0"/>
    <n v="1"/>
  </r>
  <r>
    <x v="4"/>
    <n v="27"/>
    <x v="20"/>
    <n v="37"/>
    <x v="206"/>
    <n v="41"/>
    <s v="Oregon"/>
    <n v="51"/>
    <s v="Multnomah County"/>
    <n v="20"/>
    <n v="23"/>
    <n v="1082"/>
    <n v="14548"/>
    <n v="26070"/>
    <n v="1066700"/>
    <n v="184406"/>
    <n v="398406"/>
    <n v="17850068"/>
    <n v="27037"/>
    <x v="227"/>
    <n v="41051"/>
    <n v="0"/>
    <n v="1"/>
  </r>
  <r>
    <x v="4"/>
    <n v="27"/>
    <x v="20"/>
    <n v="53"/>
    <x v="85"/>
    <n v="41"/>
    <s v="Oregon"/>
    <n v="51"/>
    <s v="Multnomah County"/>
    <n v="136"/>
    <n v="173"/>
    <n v="10576"/>
    <n v="43746"/>
    <n v="74903"/>
    <n v="3790295"/>
    <n v="548476"/>
    <n v="1091379"/>
    <n v="61738584"/>
    <n v="27053"/>
    <x v="87"/>
    <n v="41051"/>
    <n v="0"/>
    <n v="1"/>
  </r>
  <r>
    <x v="4"/>
    <n v="27"/>
    <x v="20"/>
    <n v="123"/>
    <x v="86"/>
    <n v="41"/>
    <s v="Oregon"/>
    <n v="51"/>
    <s v="Multnomah County"/>
    <n v="33"/>
    <n v="39"/>
    <n v="2027"/>
    <n v="23536"/>
    <n v="41088"/>
    <n v="1555372"/>
    <n v="229195"/>
    <n v="466389"/>
    <n v="18799808"/>
    <n v="27123"/>
    <x v="88"/>
    <n v="41051"/>
    <n v="0"/>
    <n v="1"/>
  </r>
  <r>
    <x v="4"/>
    <n v="29"/>
    <x v="21"/>
    <n v="95"/>
    <x v="87"/>
    <n v="41"/>
    <s v="Oregon"/>
    <n v="51"/>
    <s v="Multnomah County"/>
    <n v="45"/>
    <n v="70"/>
    <n v="2892"/>
    <n v="19981"/>
    <n v="35596"/>
    <n v="1206185"/>
    <n v="273580"/>
    <n v="553695"/>
    <n v="18853196"/>
    <n v="29095"/>
    <x v="89"/>
    <n v="41051"/>
    <n v="0"/>
    <n v="1"/>
  </r>
  <r>
    <x v="4"/>
    <n v="29"/>
    <x v="21"/>
    <n v="189"/>
    <x v="88"/>
    <n v="41"/>
    <s v="Oregon"/>
    <n v="51"/>
    <s v="Multnomah County"/>
    <n v="34"/>
    <n v="56"/>
    <n v="2427"/>
    <n v="26436"/>
    <n v="47674"/>
    <n v="2204853"/>
    <n v="409815"/>
    <n v="842064"/>
    <n v="44891764"/>
    <n v="29189"/>
    <x v="90"/>
    <n v="41051"/>
    <n v="0"/>
    <n v="1"/>
  </r>
  <r>
    <x v="4"/>
    <n v="29"/>
    <x v="21"/>
    <n v="510"/>
    <x v="89"/>
    <n v="41"/>
    <s v="Oregon"/>
    <n v="51"/>
    <s v="Multnomah County"/>
    <n v="31"/>
    <n v="41"/>
    <n v="1984"/>
    <n v="14749"/>
    <n v="25725"/>
    <n v="815154"/>
    <n v="115707"/>
    <n v="204649"/>
    <n v="7499195"/>
    <n v="29510"/>
    <x v="91"/>
    <n v="41051"/>
    <n v="0"/>
    <n v="1"/>
  </r>
  <r>
    <x v="4"/>
    <n v="30"/>
    <x v="22"/>
    <n v="29"/>
    <x v="203"/>
    <n v="41"/>
    <s v="Oregon"/>
    <n v="51"/>
    <s v="Multnomah County"/>
    <n v="23"/>
    <n v="38"/>
    <n v="760"/>
    <n v="2391"/>
    <n v="4231"/>
    <n v="129618"/>
    <n v="43341"/>
    <n v="90644"/>
    <n v="3130073"/>
    <n v="30029"/>
    <x v="224"/>
    <n v="41051"/>
    <n v="0"/>
    <n v="1"/>
  </r>
  <r>
    <x v="4"/>
    <n v="30"/>
    <x v="22"/>
    <n v="31"/>
    <x v="90"/>
    <n v="41"/>
    <s v="Oregon"/>
    <n v="51"/>
    <s v="Multnomah County"/>
    <n v="44"/>
    <n v="53"/>
    <n v="1527"/>
    <n v="4437"/>
    <n v="6947"/>
    <n v="237570"/>
    <n v="48767"/>
    <n v="93838"/>
    <n v="4745027"/>
    <n v="30031"/>
    <x v="92"/>
    <n v="41051"/>
    <n v="0"/>
    <n v="1"/>
  </r>
  <r>
    <x v="4"/>
    <n v="30"/>
    <x v="22"/>
    <n v="63"/>
    <x v="92"/>
    <n v="41"/>
    <s v="Oregon"/>
    <n v="51"/>
    <s v="Multnomah County"/>
    <n v="42"/>
    <n v="54"/>
    <n v="1681"/>
    <n v="3791"/>
    <n v="6163"/>
    <n v="183035"/>
    <n v="49934"/>
    <n v="93979"/>
    <n v="3715145"/>
    <n v="30063"/>
    <x v="94"/>
    <n v="41051"/>
    <n v="0"/>
    <n v="1"/>
  </r>
  <r>
    <x v="4"/>
    <n v="31"/>
    <x v="23"/>
    <n v="55"/>
    <x v="93"/>
    <n v="41"/>
    <s v="Oregon"/>
    <n v="51"/>
    <s v="Multnomah County"/>
    <n v="27"/>
    <n v="44"/>
    <n v="1803"/>
    <n v="14496"/>
    <n v="27549"/>
    <n v="1269155"/>
    <n v="227554"/>
    <n v="497786"/>
    <n v="21312414"/>
    <n v="31055"/>
    <x v="95"/>
    <n v="41051"/>
    <n v="0"/>
    <n v="1"/>
  </r>
  <r>
    <x v="4"/>
    <n v="32"/>
    <x v="24"/>
    <n v="3"/>
    <x v="94"/>
    <n v="41"/>
    <s v="Oregon"/>
    <n v="51"/>
    <s v="Multnomah County"/>
    <n v="214"/>
    <n v="343"/>
    <n v="13407"/>
    <n v="42961"/>
    <n v="80557"/>
    <n v="2655822"/>
    <n v="881319"/>
    <n v="1804499"/>
    <n v="66572332"/>
    <n v="32003"/>
    <x v="96"/>
    <n v="41051"/>
    <n v="0"/>
    <n v="1"/>
  </r>
  <r>
    <x v="4"/>
    <n v="32"/>
    <x v="24"/>
    <n v="31"/>
    <x v="95"/>
    <n v="41"/>
    <s v="Oregon"/>
    <n v="51"/>
    <s v="Multnomah County"/>
    <n v="92"/>
    <n v="122"/>
    <n v="4819"/>
    <n v="11755"/>
    <n v="20231"/>
    <n v="811838"/>
    <n v="200613"/>
    <n v="395988"/>
    <n v="19278456"/>
    <n v="32031"/>
    <x v="97"/>
    <n v="41051"/>
    <n v="0"/>
    <n v="1"/>
  </r>
  <r>
    <x v="4"/>
    <n v="34"/>
    <x v="25"/>
    <n v="17"/>
    <x v="96"/>
    <n v="41"/>
    <s v="Oregon"/>
    <n v="51"/>
    <s v="Multnomah County"/>
    <n v="23"/>
    <n v="29"/>
    <n v="2681"/>
    <n v="32685"/>
    <n v="57605"/>
    <n v="3890113"/>
    <n v="294160"/>
    <n v="553254"/>
    <n v="27054808"/>
    <n v="34017"/>
    <x v="98"/>
    <n v="41051"/>
    <n v="0"/>
    <n v="1"/>
  </r>
  <r>
    <x v="4"/>
    <n v="34"/>
    <x v="25"/>
    <n v="23"/>
    <x v="78"/>
    <n v="41"/>
    <s v="Oregon"/>
    <n v="51"/>
    <s v="Multnomah County"/>
    <n v="20"/>
    <n v="22"/>
    <n v="1078"/>
    <n v="24997"/>
    <n v="45160"/>
    <n v="2170948"/>
    <n v="344799"/>
    <n v="736011"/>
    <n v="33209412"/>
    <n v="34023"/>
    <x v="228"/>
    <n v="41051"/>
    <n v="0"/>
    <n v="1"/>
  </r>
  <r>
    <x v="4"/>
    <n v="35"/>
    <x v="26"/>
    <n v="1"/>
    <x v="97"/>
    <n v="41"/>
    <s v="Oregon"/>
    <n v="51"/>
    <s v="Multnomah County"/>
    <n v="70"/>
    <n v="96"/>
    <n v="3671"/>
    <n v="14996"/>
    <n v="27462"/>
    <n v="913694"/>
    <n v="265692"/>
    <n v="519094"/>
    <n v="18253554"/>
    <n v="35001"/>
    <x v="99"/>
    <n v="41051"/>
    <n v="0"/>
    <n v="1"/>
  </r>
  <r>
    <x v="4"/>
    <n v="35"/>
    <x v="26"/>
    <n v="49"/>
    <x v="98"/>
    <n v="41"/>
    <s v="Oregon"/>
    <n v="51"/>
    <s v="Multnomah County"/>
    <n v="25"/>
    <n v="32"/>
    <n v="1243"/>
    <n v="4066"/>
    <n v="6847"/>
    <n v="323318"/>
    <n v="66153"/>
    <n v="121060"/>
    <n v="5636645"/>
    <n v="35049"/>
    <x v="100"/>
    <n v="41051"/>
    <n v="0"/>
    <n v="1"/>
  </r>
  <r>
    <x v="4"/>
    <n v="36"/>
    <x v="27"/>
    <n v="29"/>
    <x v="99"/>
    <n v="41"/>
    <s v="Oregon"/>
    <n v="51"/>
    <s v="Multnomah County"/>
    <n v="28"/>
    <n v="31"/>
    <n v="1340"/>
    <n v="12829"/>
    <n v="21558"/>
    <n v="838909"/>
    <n v="382001"/>
    <n v="752130"/>
    <n v="28695560"/>
    <n v="36029"/>
    <x v="101"/>
    <n v="41051"/>
    <n v="0"/>
    <n v="1"/>
  </r>
  <r>
    <x v="4"/>
    <n v="36"/>
    <x v="27"/>
    <n v="47"/>
    <x v="100"/>
    <n v="41"/>
    <s v="Oregon"/>
    <n v="51"/>
    <s v="Multnomah County"/>
    <n v="309"/>
    <n v="416"/>
    <n v="31489"/>
    <n v="88578"/>
    <n v="153011"/>
    <n v="7906081"/>
    <n v="1065151"/>
    <n v="2146036"/>
    <n v="80348424"/>
    <n v="36047"/>
    <x v="102"/>
    <n v="41051"/>
    <n v="0"/>
    <n v="1"/>
  </r>
  <r>
    <x v="4"/>
    <n v="36"/>
    <x v="27"/>
    <n v="55"/>
    <x v="69"/>
    <n v="41"/>
    <s v="Oregon"/>
    <n v="51"/>
    <s v="Multnomah County"/>
    <n v="30"/>
    <n v="37"/>
    <n v="1224"/>
    <n v="12543"/>
    <n v="21085"/>
    <n v="1032272"/>
    <n v="311214"/>
    <n v="611663"/>
    <n v="23974640"/>
    <n v="36055"/>
    <x v="103"/>
    <n v="41051"/>
    <n v="0"/>
    <n v="1"/>
  </r>
  <r>
    <x v="4"/>
    <n v="36"/>
    <x v="27"/>
    <n v="59"/>
    <x v="101"/>
    <n v="41"/>
    <s v="Oregon"/>
    <n v="51"/>
    <s v="Multnomah County"/>
    <n v="21"/>
    <n v="29"/>
    <n v="1345"/>
    <n v="31014"/>
    <n v="54148"/>
    <n v="3417621"/>
    <n v="600086"/>
    <n v="1260901"/>
    <n v="81995904"/>
    <n v="36059"/>
    <x v="104"/>
    <n v="41051"/>
    <n v="0"/>
    <n v="1"/>
  </r>
  <r>
    <x v="4"/>
    <n v="36"/>
    <x v="27"/>
    <n v="61"/>
    <x v="102"/>
    <n v="41"/>
    <s v="Oregon"/>
    <n v="51"/>
    <s v="Multnomah County"/>
    <n v="160"/>
    <n v="214"/>
    <n v="19842"/>
    <n v="106519"/>
    <n v="159613"/>
    <n v="21533700"/>
    <n v="774107"/>
    <n v="1256177"/>
    <n v="182584608"/>
    <n v="36061"/>
    <x v="105"/>
    <n v="41051"/>
    <n v="0"/>
    <n v="1"/>
  </r>
  <r>
    <x v="4"/>
    <n v="36"/>
    <x v="27"/>
    <n v="81"/>
    <x v="103"/>
    <n v="41"/>
    <s v="Oregon"/>
    <n v="51"/>
    <s v="Multnomah County"/>
    <n v="80"/>
    <n v="119"/>
    <n v="5947"/>
    <n v="67690"/>
    <n v="122149"/>
    <n v="4858919"/>
    <n v="1005050"/>
    <n v="1950848"/>
    <n v="63272336"/>
    <n v="36081"/>
    <x v="106"/>
    <n v="41051"/>
    <n v="0"/>
    <n v="1"/>
  </r>
  <r>
    <x v="4"/>
    <n v="36"/>
    <x v="27"/>
    <n v="103"/>
    <x v="80"/>
    <n v="41"/>
    <s v="Oregon"/>
    <n v="51"/>
    <s v="Multnomah County"/>
    <n v="32"/>
    <n v="39"/>
    <n v="1953"/>
    <n v="26142"/>
    <n v="43874"/>
    <n v="2475426"/>
    <n v="656261"/>
    <n v="1328884"/>
    <n v="70289688"/>
    <n v="36103"/>
    <x v="107"/>
    <n v="41051"/>
    <n v="0"/>
    <n v="1"/>
  </r>
  <r>
    <x v="4"/>
    <n v="36"/>
    <x v="27"/>
    <n v="119"/>
    <x v="104"/>
    <n v="41"/>
    <s v="Oregon"/>
    <n v="51"/>
    <s v="Multnomah County"/>
    <n v="27"/>
    <n v="38"/>
    <n v="2765"/>
    <n v="24311"/>
    <n v="43262"/>
    <n v="3371348"/>
    <n v="406525"/>
    <n v="843750"/>
    <n v="72200296"/>
    <n v="36119"/>
    <x v="108"/>
    <n v="41051"/>
    <n v="0"/>
    <n v="1"/>
  </r>
  <r>
    <x v="4"/>
    <n v="37"/>
    <x v="28"/>
    <n v="21"/>
    <x v="105"/>
    <n v="41"/>
    <s v="Oregon"/>
    <n v="51"/>
    <s v="Multnomah County"/>
    <n v="26"/>
    <n v="29"/>
    <n v="1586"/>
    <n v="8519"/>
    <n v="13966"/>
    <n v="487155"/>
    <n v="108482"/>
    <n v="206942"/>
    <n v="8232585"/>
    <n v="37021"/>
    <x v="109"/>
    <n v="41051"/>
    <n v="0"/>
    <n v="1"/>
  </r>
  <r>
    <x v="4"/>
    <n v="37"/>
    <x v="28"/>
    <n v="119"/>
    <x v="106"/>
    <n v="41"/>
    <s v="Oregon"/>
    <n v="51"/>
    <s v="Multnomah County"/>
    <n v="31"/>
    <n v="47"/>
    <n v="2503"/>
    <n v="37037"/>
    <n v="68770"/>
    <n v="3177772"/>
    <n v="423286"/>
    <n v="873188"/>
    <n v="43408028"/>
    <n v="37119"/>
    <x v="110"/>
    <n v="41051"/>
    <n v="0"/>
    <n v="1"/>
  </r>
  <r>
    <x v="4"/>
    <n v="37"/>
    <x v="28"/>
    <n v="183"/>
    <x v="107"/>
    <n v="41"/>
    <s v="Oregon"/>
    <n v="51"/>
    <s v="Multnomah County"/>
    <n v="39"/>
    <n v="56"/>
    <n v="2381"/>
    <n v="32212"/>
    <n v="58735"/>
    <n v="2582696"/>
    <n v="425340"/>
    <n v="932285"/>
    <n v="46267320"/>
    <n v="37183"/>
    <x v="112"/>
    <n v="41051"/>
    <n v="0"/>
    <n v="1"/>
  </r>
  <r>
    <x v="4"/>
    <n v="39"/>
    <x v="29"/>
    <n v="35"/>
    <x v="108"/>
    <n v="41"/>
    <s v="Oregon"/>
    <n v="51"/>
    <s v="Multnomah County"/>
    <n v="51"/>
    <n v="65"/>
    <n v="3612"/>
    <n v="24943"/>
    <n v="43055"/>
    <n v="1840088"/>
    <n v="516984"/>
    <n v="1002092"/>
    <n v="39841832"/>
    <n v="39035"/>
    <x v="113"/>
    <n v="41051"/>
    <n v="0"/>
    <n v="1"/>
  </r>
  <r>
    <x v="4"/>
    <n v="39"/>
    <x v="29"/>
    <n v="49"/>
    <x v="109"/>
    <n v="41"/>
    <s v="Oregon"/>
    <n v="51"/>
    <s v="Multnomah County"/>
    <n v="61"/>
    <n v="85"/>
    <n v="4375"/>
    <n v="34397"/>
    <n v="62589"/>
    <n v="2443862"/>
    <n v="532905"/>
    <n v="1073342"/>
    <n v="40670600"/>
    <n v="39049"/>
    <x v="114"/>
    <n v="41051"/>
    <n v="0"/>
    <n v="1"/>
  </r>
  <r>
    <x v="4"/>
    <n v="39"/>
    <x v="29"/>
    <n v="61"/>
    <x v="110"/>
    <n v="41"/>
    <s v="Oregon"/>
    <n v="51"/>
    <s v="Multnomah County"/>
    <n v="28"/>
    <n v="42"/>
    <n v="1851"/>
    <n v="20494"/>
    <n v="35816"/>
    <n v="1660097"/>
    <n v="334486"/>
    <n v="674281"/>
    <n v="30789540"/>
    <n v="39061"/>
    <x v="115"/>
    <n v="41051"/>
    <n v="0"/>
    <n v="1"/>
  </r>
  <r>
    <x v="4"/>
    <n v="40"/>
    <x v="30"/>
    <n v="109"/>
    <x v="111"/>
    <n v="41"/>
    <s v="Oregon"/>
    <n v="51"/>
    <s v="Multnomah County"/>
    <n v="30"/>
    <n v="49"/>
    <n v="2337"/>
    <n v="20192"/>
    <n v="40613"/>
    <n v="1282445"/>
    <n v="281909"/>
    <n v="608538"/>
    <n v="21914860"/>
    <n v="40109"/>
    <x v="116"/>
    <n v="41051"/>
    <n v="0"/>
    <n v="1"/>
  </r>
  <r>
    <x v="4"/>
    <n v="41"/>
    <x v="31"/>
    <n v="3"/>
    <x v="113"/>
    <n v="41"/>
    <s v="Oregon"/>
    <n v="51"/>
    <s v="Multnomah County"/>
    <n v="305"/>
    <n v="369"/>
    <n v="12100"/>
    <n v="3777"/>
    <n v="5683"/>
    <n v="197323"/>
    <n v="34097"/>
    <n v="66536"/>
    <n v="2991830"/>
    <n v="41003"/>
    <x v="118"/>
    <n v="41051"/>
    <n v="0"/>
    <n v="1"/>
  </r>
  <r>
    <x v="4"/>
    <n v="41"/>
    <x v="31"/>
    <n v="5"/>
    <x v="114"/>
    <n v="41"/>
    <s v="Oregon"/>
    <n v="51"/>
    <s v="Multnomah County"/>
    <n v="4085"/>
    <n v="6233"/>
    <n v="231652"/>
    <n v="14321"/>
    <n v="25007"/>
    <n v="1121327"/>
    <n v="169878"/>
    <n v="356210"/>
    <n v="17281188"/>
    <n v="41005"/>
    <x v="119"/>
    <n v="41051"/>
    <n v="0"/>
    <n v="1"/>
  </r>
  <r>
    <x v="4"/>
    <n v="41"/>
    <x v="31"/>
    <n v="7"/>
    <x v="115"/>
    <n v="41"/>
    <s v="Oregon"/>
    <n v="51"/>
    <s v="Multnomah County"/>
    <n v="90"/>
    <n v="126"/>
    <n v="4179"/>
    <n v="1299"/>
    <n v="2338"/>
    <n v="65495"/>
    <n v="16005"/>
    <n v="31531"/>
    <n v="1016005"/>
    <n v="41007"/>
    <x v="120"/>
    <n v="41051"/>
    <n v="0"/>
    <n v="1"/>
  </r>
  <r>
    <x v="4"/>
    <n v="41"/>
    <x v="31"/>
    <n v="9"/>
    <x v="116"/>
    <n v="41"/>
    <s v="Oregon"/>
    <n v="51"/>
    <s v="Multnomah County"/>
    <n v="171"/>
    <n v="273"/>
    <n v="8772"/>
    <n v="1381"/>
    <n v="2548"/>
    <n v="79414"/>
    <n v="20333"/>
    <n v="42568"/>
    <n v="1435992"/>
    <n v="41009"/>
    <x v="121"/>
    <n v="41051"/>
    <n v="0"/>
    <n v="1"/>
  </r>
  <r>
    <x v="4"/>
    <n v="41"/>
    <x v="31"/>
    <n v="11"/>
    <x v="117"/>
    <n v="41"/>
    <s v="Oregon"/>
    <n v="51"/>
    <s v="Multnomah County"/>
    <n v="36"/>
    <n v="53"/>
    <n v="1822"/>
    <n v="1441"/>
    <n v="2717"/>
    <n v="67868"/>
    <n v="23836"/>
    <n v="47508"/>
    <n v="1348397"/>
    <n v="41011"/>
    <x v="122"/>
    <n v="41051"/>
    <n v="0"/>
    <n v="1"/>
  </r>
  <r>
    <x v="4"/>
    <n v="41"/>
    <x v="31"/>
    <n v="17"/>
    <x v="118"/>
    <n v="41"/>
    <s v="Oregon"/>
    <n v="51"/>
    <s v="Multnomah County"/>
    <n v="317"/>
    <n v="421"/>
    <n v="16497"/>
    <n v="5872"/>
    <n v="10145"/>
    <n v="571794"/>
    <n v="82205"/>
    <n v="164302"/>
    <n v="7486221"/>
    <n v="41017"/>
    <x v="123"/>
    <n v="41051"/>
    <n v="0"/>
    <n v="1"/>
  </r>
  <r>
    <x v="4"/>
    <n v="41"/>
    <x v="31"/>
    <n v="19"/>
    <x v="93"/>
    <n v="41"/>
    <s v="Oregon"/>
    <n v="51"/>
    <s v="Multnomah County"/>
    <n v="43"/>
    <n v="65"/>
    <n v="1511"/>
    <n v="2002"/>
    <n v="3583"/>
    <n v="90939"/>
    <n v="39776"/>
    <n v="82680"/>
    <n v="2292342"/>
    <n v="41019"/>
    <x v="124"/>
    <n v="41051"/>
    <n v="0"/>
    <n v="1"/>
  </r>
  <r>
    <x v="4"/>
    <n v="41"/>
    <x v="31"/>
    <n v="27"/>
    <x v="119"/>
    <n v="41"/>
    <s v="Oregon"/>
    <n v="51"/>
    <s v="Multnomah County"/>
    <n v="97"/>
    <n v="138"/>
    <n v="4735"/>
    <n v="732"/>
    <n v="1260"/>
    <n v="44633"/>
    <n v="9996"/>
    <n v="21683"/>
    <n v="793586"/>
    <n v="41027"/>
    <x v="125"/>
    <n v="41051"/>
    <n v="0"/>
    <n v="1"/>
  </r>
  <r>
    <x v="4"/>
    <n v="41"/>
    <x v="31"/>
    <n v="29"/>
    <x v="87"/>
    <n v="41"/>
    <s v="Oregon"/>
    <n v="51"/>
    <s v="Multnomah County"/>
    <n v="210"/>
    <n v="275"/>
    <n v="12014"/>
    <n v="4945"/>
    <n v="8510"/>
    <n v="259752"/>
    <n v="87372"/>
    <n v="176135"/>
    <n v="5905231"/>
    <n v="41029"/>
    <x v="126"/>
    <n v="41051"/>
    <n v="0"/>
    <n v="1"/>
  </r>
  <r>
    <x v="4"/>
    <n v="41"/>
    <x v="31"/>
    <n v="31"/>
    <x v="42"/>
    <n v="41"/>
    <s v="Oregon"/>
    <n v="51"/>
    <s v="Multnomah County"/>
    <n v="20"/>
    <n v="32"/>
    <n v="973"/>
    <n v="652"/>
    <n v="1284"/>
    <n v="30817"/>
    <n v="8396"/>
    <n v="19096"/>
    <n v="443480"/>
    <n v="41031"/>
    <x v="127"/>
    <n v="41051"/>
    <n v="0"/>
    <n v="1"/>
  </r>
  <r>
    <x v="4"/>
    <n v="41"/>
    <x v="31"/>
    <n v="33"/>
    <x v="120"/>
    <n v="41"/>
    <s v="Oregon"/>
    <n v="51"/>
    <s v="Multnomah County"/>
    <n v="40"/>
    <n v="52"/>
    <n v="1747"/>
    <n v="2075"/>
    <n v="3594"/>
    <n v="88755"/>
    <n v="32089"/>
    <n v="64736"/>
    <n v="1841843"/>
    <n v="41033"/>
    <x v="128"/>
    <n v="41051"/>
    <n v="0"/>
    <n v="1"/>
  </r>
  <r>
    <x v="4"/>
    <n v="41"/>
    <x v="31"/>
    <n v="35"/>
    <x v="121"/>
    <n v="41"/>
    <s v="Oregon"/>
    <n v="51"/>
    <s v="Multnomah County"/>
    <n v="50"/>
    <n v="79"/>
    <n v="1663"/>
    <n v="1593"/>
    <n v="3019"/>
    <n v="74036"/>
    <n v="24345"/>
    <n v="52093"/>
    <n v="1336481"/>
    <n v="41035"/>
    <x v="129"/>
    <n v="41051"/>
    <n v="0"/>
    <n v="1"/>
  </r>
  <r>
    <x v="4"/>
    <n v="41"/>
    <x v="31"/>
    <n v="39"/>
    <x v="122"/>
    <n v="41"/>
    <s v="Oregon"/>
    <n v="51"/>
    <s v="Multnomah County"/>
    <n v="639"/>
    <n v="772"/>
    <n v="34482"/>
    <n v="8737"/>
    <n v="14212"/>
    <n v="418253"/>
    <n v="146925"/>
    <n v="283258"/>
    <n v="10292121"/>
    <n v="41039"/>
    <x v="130"/>
    <n v="41051"/>
    <n v="0"/>
    <n v="1"/>
  </r>
  <r>
    <x v="4"/>
    <n v="41"/>
    <x v="31"/>
    <n v="41"/>
    <x v="123"/>
    <n v="41"/>
    <s v="Oregon"/>
    <n v="51"/>
    <s v="Multnomah County"/>
    <n v="82"/>
    <n v="116"/>
    <n v="6148"/>
    <n v="1608"/>
    <n v="2815"/>
    <n v="89683"/>
    <n v="19428"/>
    <n v="37079"/>
    <n v="1181984"/>
    <n v="41041"/>
    <x v="131"/>
    <n v="41051"/>
    <n v="0"/>
    <n v="1"/>
  </r>
  <r>
    <x v="4"/>
    <n v="41"/>
    <x v="31"/>
    <n v="43"/>
    <x v="124"/>
    <n v="41"/>
    <s v="Oregon"/>
    <n v="51"/>
    <s v="Multnomah County"/>
    <n v="98"/>
    <n v="129"/>
    <n v="3123"/>
    <n v="3616"/>
    <n v="6865"/>
    <n v="175033"/>
    <n v="47946"/>
    <n v="103225"/>
    <n v="2980546"/>
    <n v="41043"/>
    <x v="132"/>
    <n v="41051"/>
    <n v="0"/>
    <n v="1"/>
  </r>
  <r>
    <x v="4"/>
    <n v="41"/>
    <x v="31"/>
    <n v="47"/>
    <x v="68"/>
    <n v="41"/>
    <s v="Oregon"/>
    <n v="51"/>
    <s v="Multnomah County"/>
    <n v="519"/>
    <n v="799"/>
    <n v="26174"/>
    <n v="8495"/>
    <n v="16020"/>
    <n v="468494"/>
    <n v="127847"/>
    <n v="283486"/>
    <n v="8695000"/>
    <n v="41047"/>
    <x v="133"/>
    <n v="41051"/>
    <n v="0"/>
    <n v="1"/>
  </r>
  <r>
    <x v="4"/>
    <n v="41"/>
    <x v="31"/>
    <n v="53"/>
    <x v="70"/>
    <n v="41"/>
    <s v="Oregon"/>
    <n v="51"/>
    <s v="Multnomah County"/>
    <n v="99"/>
    <n v="117"/>
    <n v="4293"/>
    <n v="3057"/>
    <n v="5760"/>
    <n v="162252"/>
    <n v="31195"/>
    <n v="69415"/>
    <n v="2246444"/>
    <n v="41053"/>
    <x v="134"/>
    <n v="41051"/>
    <n v="0"/>
    <n v="1"/>
  </r>
  <r>
    <x v="4"/>
    <n v="41"/>
    <x v="31"/>
    <n v="57"/>
    <x v="125"/>
    <n v="41"/>
    <s v="Oregon"/>
    <n v="51"/>
    <s v="Multnomah County"/>
    <n v="44"/>
    <n v="74"/>
    <n v="2001"/>
    <n v="685"/>
    <n v="1184"/>
    <n v="37465"/>
    <n v="10561"/>
    <n v="21386"/>
    <n v="654276"/>
    <n v="41057"/>
    <x v="135"/>
    <n v="41051"/>
    <n v="0"/>
    <n v="1"/>
  </r>
  <r>
    <x v="4"/>
    <n v="41"/>
    <x v="31"/>
    <n v="59"/>
    <x v="126"/>
    <n v="41"/>
    <s v="Oregon"/>
    <n v="51"/>
    <s v="Multnomah County"/>
    <n v="40"/>
    <n v="67"/>
    <n v="1770"/>
    <n v="1571"/>
    <n v="3055"/>
    <n v="76792"/>
    <n v="27058"/>
    <n v="61457"/>
    <n v="1638010"/>
    <n v="41059"/>
    <x v="136"/>
    <n v="41051"/>
    <n v="0"/>
    <n v="1"/>
  </r>
  <r>
    <x v="4"/>
    <n v="41"/>
    <x v="31"/>
    <n v="65"/>
    <x v="127"/>
    <n v="41"/>
    <s v="Oregon"/>
    <n v="51"/>
    <s v="Multnomah County"/>
    <n v="56"/>
    <n v="89"/>
    <n v="2267"/>
    <n v="747"/>
    <n v="1395"/>
    <n v="39791"/>
    <n v="9889"/>
    <n v="20869"/>
    <n v="610553"/>
    <n v="41065"/>
    <x v="137"/>
    <n v="41051"/>
    <n v="0"/>
    <n v="1"/>
  </r>
  <r>
    <x v="4"/>
    <n v="41"/>
    <x v="31"/>
    <n v="67"/>
    <x v="128"/>
    <n v="41"/>
    <s v="Oregon"/>
    <n v="51"/>
    <s v="Multnomah County"/>
    <n v="4491"/>
    <n v="6445"/>
    <n v="329865"/>
    <n v="20256"/>
    <n v="35449"/>
    <n v="1675213"/>
    <n v="242314"/>
    <n v="511939"/>
    <n v="23790586"/>
    <n v="41067"/>
    <x v="138"/>
    <n v="41051"/>
    <n v="0"/>
    <n v="1"/>
  </r>
  <r>
    <x v="4"/>
    <n v="41"/>
    <x v="31"/>
    <n v="71"/>
    <x v="129"/>
    <n v="41"/>
    <s v="Oregon"/>
    <n v="51"/>
    <s v="Multnomah County"/>
    <n v="192"/>
    <n v="289"/>
    <n v="8325"/>
    <n v="2959"/>
    <n v="5492"/>
    <n v="174998"/>
    <n v="39557"/>
    <n v="86791"/>
    <n v="3039838"/>
    <n v="41071"/>
    <x v="139"/>
    <n v="41051"/>
    <n v="0"/>
    <n v="1"/>
  </r>
  <r>
    <x v="4"/>
    <n v="42"/>
    <x v="32"/>
    <n v="3"/>
    <x v="130"/>
    <n v="41"/>
    <s v="Oregon"/>
    <n v="51"/>
    <s v="Multnomah County"/>
    <n v="64"/>
    <n v="94"/>
    <n v="3476"/>
    <n v="24371"/>
    <n v="40081"/>
    <n v="2018493"/>
    <n v="529606"/>
    <n v="1013091"/>
    <n v="47966964"/>
    <n v="42003"/>
    <x v="140"/>
    <n v="41051"/>
    <n v="0"/>
    <n v="1"/>
  </r>
  <r>
    <x v="4"/>
    <n v="42"/>
    <x v="32"/>
    <n v="101"/>
    <x v="131"/>
    <n v="41"/>
    <s v="Oregon"/>
    <n v="51"/>
    <s v="Multnomah County"/>
    <n v="96"/>
    <n v="121"/>
    <n v="7148"/>
    <n v="40445"/>
    <n v="69399"/>
    <n v="3183704"/>
    <n v="575991"/>
    <n v="1092597"/>
    <n v="37099360"/>
    <n v="42101"/>
    <x v="142"/>
    <n v="41051"/>
    <n v="0"/>
    <n v="1"/>
  </r>
  <r>
    <x v="4"/>
    <n v="45"/>
    <x v="44"/>
    <n v="19"/>
    <x v="191"/>
    <n v="41"/>
    <s v="Oregon"/>
    <n v="51"/>
    <s v="Multnomah County"/>
    <n v="21"/>
    <n v="28"/>
    <n v="1784"/>
    <n v="14758"/>
    <n v="25997"/>
    <n v="1008376"/>
    <n v="159420"/>
    <n v="311923"/>
    <n v="16971076"/>
    <n v="45019"/>
    <x v="210"/>
    <n v="41051"/>
    <n v="0"/>
    <n v="1"/>
  </r>
  <r>
    <x v="4"/>
    <n v="47"/>
    <x v="34"/>
    <n v="37"/>
    <x v="133"/>
    <n v="41"/>
    <s v="Oregon"/>
    <n v="51"/>
    <s v="Multnomah County"/>
    <n v="51"/>
    <n v="68"/>
    <n v="4086"/>
    <n v="30651"/>
    <n v="54016"/>
    <n v="2120222"/>
    <n v="289378"/>
    <n v="542976"/>
    <n v="27177172"/>
    <n v="47037"/>
    <x v="144"/>
    <n v="41051"/>
    <n v="0"/>
    <n v="1"/>
  </r>
  <r>
    <x v="4"/>
    <n v="47"/>
    <x v="34"/>
    <n v="157"/>
    <x v="135"/>
    <n v="41"/>
    <s v="Oregon"/>
    <n v="51"/>
    <s v="Multnomah County"/>
    <n v="31"/>
    <n v="47"/>
    <n v="1866"/>
    <n v="17917"/>
    <n v="34765"/>
    <n v="1200999"/>
    <n v="349565"/>
    <n v="735926"/>
    <n v="26018468"/>
    <n v="47157"/>
    <x v="146"/>
    <n v="41051"/>
    <n v="0"/>
    <n v="1"/>
  </r>
  <r>
    <x v="4"/>
    <n v="48"/>
    <x v="35"/>
    <n v="29"/>
    <x v="136"/>
    <n v="41"/>
    <s v="Oregon"/>
    <n v="51"/>
    <s v="Multnomah County"/>
    <n v="37"/>
    <n v="62"/>
    <n v="2744"/>
    <n v="39755"/>
    <n v="80992"/>
    <n v="2672595"/>
    <n v="742367"/>
    <n v="1607358"/>
    <n v="53758492"/>
    <n v="48029"/>
    <x v="147"/>
    <n v="41051"/>
    <n v="0"/>
    <n v="1"/>
  </r>
  <r>
    <x v="4"/>
    <n v="48"/>
    <x v="35"/>
    <n v="85"/>
    <x v="137"/>
    <n v="41"/>
    <s v="Oregon"/>
    <n v="51"/>
    <s v="Multnomah County"/>
    <n v="37"/>
    <n v="62"/>
    <n v="2656"/>
    <n v="36009"/>
    <n v="68066"/>
    <n v="3003968"/>
    <n v="384304"/>
    <n v="910487"/>
    <n v="46585752"/>
    <n v="48085"/>
    <x v="148"/>
    <n v="41051"/>
    <n v="0"/>
    <n v="1"/>
  </r>
  <r>
    <x v="4"/>
    <n v="48"/>
    <x v="35"/>
    <n v="113"/>
    <x v="138"/>
    <n v="41"/>
    <s v="Oregon"/>
    <n v="51"/>
    <s v="Multnomah County"/>
    <n v="88"/>
    <n v="118"/>
    <n v="8528"/>
    <n v="82078"/>
    <n v="154960"/>
    <n v="6198838"/>
    <n v="979446"/>
    <n v="2096007"/>
    <n v="89057472"/>
    <n v="48113"/>
    <x v="149"/>
    <n v="41051"/>
    <n v="0"/>
    <n v="1"/>
  </r>
  <r>
    <x v="4"/>
    <n v="48"/>
    <x v="35"/>
    <n v="121"/>
    <x v="192"/>
    <n v="41"/>
    <s v="Oregon"/>
    <n v="51"/>
    <s v="Multnomah County"/>
    <n v="27"/>
    <n v="35"/>
    <n v="1369"/>
    <n v="33161"/>
    <n v="62335"/>
    <n v="2590970"/>
    <n v="331527"/>
    <n v="758509"/>
    <n v="35193136"/>
    <n v="48121"/>
    <x v="211"/>
    <n v="41051"/>
    <n v="0"/>
    <n v="1"/>
  </r>
  <r>
    <x v="4"/>
    <n v="48"/>
    <x v="35"/>
    <n v="141"/>
    <x v="41"/>
    <n v="41"/>
    <s v="Oregon"/>
    <n v="51"/>
    <s v="Multnomah County"/>
    <n v="21"/>
    <n v="24"/>
    <n v="767"/>
    <n v="15602"/>
    <n v="35014"/>
    <n v="769338"/>
    <n v="314498"/>
    <n v="723206"/>
    <n v="16262963"/>
    <n v="48141"/>
    <x v="150"/>
    <n v="41051"/>
    <n v="0"/>
    <n v="1"/>
  </r>
  <r>
    <x v="4"/>
    <n v="48"/>
    <x v="35"/>
    <n v="201"/>
    <x v="139"/>
    <n v="41"/>
    <s v="Oregon"/>
    <n v="51"/>
    <s v="Multnomah County"/>
    <n v="110"/>
    <n v="153"/>
    <n v="8200"/>
    <n v="95771"/>
    <n v="193192"/>
    <n v="7622502"/>
    <n v="1669427"/>
    <n v="3706576"/>
    <n v="146376160"/>
    <n v="48201"/>
    <x v="151"/>
    <n v="41051"/>
    <n v="0"/>
    <n v="1"/>
  </r>
  <r>
    <x v="4"/>
    <n v="48"/>
    <x v="35"/>
    <n v="439"/>
    <x v="140"/>
    <n v="41"/>
    <s v="Oregon"/>
    <n v="51"/>
    <s v="Multnomah County"/>
    <n v="53"/>
    <n v="73"/>
    <n v="2593"/>
    <n v="56190"/>
    <n v="110094"/>
    <n v="3921885"/>
    <n v="783491"/>
    <n v="1744261"/>
    <n v="66818072"/>
    <n v="48439"/>
    <x v="152"/>
    <n v="41051"/>
    <n v="0"/>
    <n v="1"/>
  </r>
  <r>
    <x v="4"/>
    <n v="48"/>
    <x v="35"/>
    <n v="453"/>
    <x v="141"/>
    <n v="41"/>
    <s v="Oregon"/>
    <n v="51"/>
    <s v="Multnomah County"/>
    <n v="139"/>
    <n v="190"/>
    <n v="14527"/>
    <n v="49437"/>
    <n v="85361"/>
    <n v="4252732"/>
    <n v="506535"/>
    <n v="993251"/>
    <n v="63056796"/>
    <n v="48453"/>
    <x v="153"/>
    <n v="41051"/>
    <n v="0"/>
    <n v="1"/>
  </r>
  <r>
    <x v="4"/>
    <n v="49"/>
    <x v="36"/>
    <n v="35"/>
    <x v="143"/>
    <n v="41"/>
    <s v="Oregon"/>
    <n v="51"/>
    <s v="Multnomah County"/>
    <n v="147"/>
    <n v="205"/>
    <n v="7877"/>
    <n v="27987"/>
    <n v="57351"/>
    <n v="2050689"/>
    <n v="437729"/>
    <n v="1000665"/>
    <n v="38120164"/>
    <n v="49035"/>
    <x v="155"/>
    <n v="41051"/>
    <n v="0"/>
    <n v="1"/>
  </r>
  <r>
    <x v="4"/>
    <n v="49"/>
    <x v="36"/>
    <n v="49"/>
    <x v="144"/>
    <n v="41"/>
    <s v="Oregon"/>
    <n v="51"/>
    <s v="Multnomah County"/>
    <n v="28"/>
    <n v="45"/>
    <n v="1456"/>
    <n v="14311"/>
    <n v="33290"/>
    <n v="862328"/>
    <n v="195183"/>
    <n v="586908"/>
    <n v="18656736"/>
    <n v="49049"/>
    <x v="156"/>
    <n v="41051"/>
    <n v="0"/>
    <n v="1"/>
  </r>
  <r>
    <x v="4"/>
    <n v="50"/>
    <x v="37"/>
    <n v="7"/>
    <x v="146"/>
    <n v="41"/>
    <s v="Oregon"/>
    <n v="51"/>
    <s v="Multnomah County"/>
    <n v="28"/>
    <n v="31"/>
    <n v="1372"/>
    <n v="5042"/>
    <n v="7556"/>
    <n v="329329"/>
    <n v="72771"/>
    <n v="136362"/>
    <n v="6839406"/>
    <n v="50007"/>
    <x v="158"/>
    <n v="41051"/>
    <n v="0"/>
    <n v="1"/>
  </r>
  <r>
    <x v="4"/>
    <n v="51"/>
    <x v="38"/>
    <n v="59"/>
    <x v="148"/>
    <n v="41"/>
    <s v="Oregon"/>
    <n v="51"/>
    <s v="Multnomah County"/>
    <n v="50"/>
    <n v="71"/>
    <n v="5029"/>
    <n v="45594"/>
    <n v="86384"/>
    <n v="4824771"/>
    <n v="464679"/>
    <n v="1009281"/>
    <n v="68316480"/>
    <n v="51059"/>
    <x v="160"/>
    <n v="41051"/>
    <n v="0"/>
    <n v="1"/>
  </r>
  <r>
    <x v="4"/>
    <n v="53"/>
    <x v="39"/>
    <n v="5"/>
    <x v="113"/>
    <n v="41"/>
    <s v="Oregon"/>
    <n v="51"/>
    <s v="Multnomah County"/>
    <n v="44"/>
    <n v="70"/>
    <n v="3026"/>
    <n v="5364"/>
    <n v="11104"/>
    <n v="342205"/>
    <n v="76705"/>
    <n v="178120"/>
    <n v="6382978"/>
    <n v="53005"/>
    <x v="162"/>
    <n v="41051"/>
    <n v="0"/>
    <n v="1"/>
  </r>
  <r>
    <x v="4"/>
    <n v="53"/>
    <x v="39"/>
    <n v="11"/>
    <x v="94"/>
    <n v="41"/>
    <s v="Oregon"/>
    <n v="51"/>
    <s v="Multnomah County"/>
    <n v="1915"/>
    <n v="2966"/>
    <n v="118253"/>
    <n v="12322"/>
    <n v="23306"/>
    <n v="963296"/>
    <n v="197558"/>
    <n v="431918"/>
    <n v="18051754"/>
    <n v="53011"/>
    <x v="163"/>
    <n v="41051"/>
    <n v="0"/>
    <n v="1"/>
  </r>
  <r>
    <x v="4"/>
    <n v="53"/>
    <x v="39"/>
    <n v="15"/>
    <x v="150"/>
    <n v="41"/>
    <s v="Oregon"/>
    <n v="51"/>
    <s v="Multnomah County"/>
    <n v="111"/>
    <n v="172"/>
    <n v="4969"/>
    <n v="2679"/>
    <n v="5403"/>
    <n v="147404"/>
    <n v="41864"/>
    <n v="90924"/>
    <n v="2833375"/>
    <n v="53015"/>
    <x v="164"/>
    <n v="41051"/>
    <n v="0"/>
    <n v="1"/>
  </r>
  <r>
    <x v="4"/>
    <n v="53"/>
    <x v="39"/>
    <n v="31"/>
    <x v="42"/>
    <n v="41"/>
    <s v="Oregon"/>
    <n v="51"/>
    <s v="Multnomah County"/>
    <n v="24"/>
    <n v="33"/>
    <n v="1196"/>
    <n v="957"/>
    <n v="1551"/>
    <n v="62169"/>
    <n v="14707"/>
    <n v="26202"/>
    <n v="1143733"/>
    <n v="53031"/>
    <x v="229"/>
    <n v="41051"/>
    <n v="0"/>
    <n v="1"/>
  </r>
  <r>
    <x v="4"/>
    <n v="53"/>
    <x v="39"/>
    <n v="33"/>
    <x v="151"/>
    <n v="41"/>
    <s v="Oregon"/>
    <n v="51"/>
    <s v="Multnomah County"/>
    <n v="934"/>
    <n v="1283"/>
    <n v="81468"/>
    <n v="70038"/>
    <n v="120715"/>
    <n v="7610515"/>
    <n v="970156"/>
    <n v="1907580"/>
    <n v="145136112"/>
    <n v="53033"/>
    <x v="165"/>
    <n v="41051"/>
    <n v="0"/>
    <n v="1"/>
  </r>
  <r>
    <x v="4"/>
    <n v="53"/>
    <x v="39"/>
    <n v="35"/>
    <x v="152"/>
    <n v="41"/>
    <s v="Oregon"/>
    <n v="51"/>
    <s v="Multnomah County"/>
    <n v="51"/>
    <n v="66"/>
    <n v="2170"/>
    <n v="9337"/>
    <n v="18593"/>
    <n v="619480"/>
    <n v="111854"/>
    <n v="231807"/>
    <n v="10381488"/>
    <n v="53035"/>
    <x v="166"/>
    <n v="41051"/>
    <n v="0"/>
    <n v="1"/>
  </r>
  <r>
    <x v="4"/>
    <n v="53"/>
    <x v="39"/>
    <n v="39"/>
    <x v="153"/>
    <n v="41"/>
    <s v="Oregon"/>
    <n v="51"/>
    <s v="Multnomah County"/>
    <n v="31"/>
    <n v="41"/>
    <n v="1884"/>
    <n v="656"/>
    <n v="1282"/>
    <n v="40085"/>
    <n v="8841"/>
    <n v="18880"/>
    <n v="660100"/>
    <n v="53039"/>
    <x v="167"/>
    <n v="41051"/>
    <n v="0"/>
    <n v="1"/>
  </r>
  <r>
    <x v="4"/>
    <n v="53"/>
    <x v="39"/>
    <n v="41"/>
    <x v="201"/>
    <n v="41"/>
    <s v="Oregon"/>
    <n v="51"/>
    <s v="Multnomah County"/>
    <n v="27"/>
    <n v="35"/>
    <n v="1342"/>
    <n v="1994"/>
    <n v="3823"/>
    <n v="99253"/>
    <n v="30244"/>
    <n v="65762"/>
    <n v="1942524"/>
    <n v="53041"/>
    <x v="222"/>
    <n v="41051"/>
    <n v="0"/>
    <n v="1"/>
  </r>
  <r>
    <x v="4"/>
    <n v="53"/>
    <x v="39"/>
    <n v="53"/>
    <x v="155"/>
    <n v="41"/>
    <s v="Oregon"/>
    <n v="51"/>
    <s v="Multnomah County"/>
    <n v="185"/>
    <n v="272"/>
    <n v="15441"/>
    <n v="27862"/>
    <n v="56261"/>
    <n v="1782440"/>
    <n v="358134"/>
    <n v="761741"/>
    <n v="29592218"/>
    <n v="53053"/>
    <x v="169"/>
    <n v="41051"/>
    <n v="0"/>
    <n v="1"/>
  </r>
  <r>
    <x v="4"/>
    <n v="53"/>
    <x v="39"/>
    <n v="61"/>
    <x v="158"/>
    <n v="41"/>
    <s v="Oregon"/>
    <n v="51"/>
    <s v="Multnomah County"/>
    <n v="104"/>
    <n v="164"/>
    <n v="6220"/>
    <n v="22626"/>
    <n v="41263"/>
    <n v="1815437"/>
    <n v="331194"/>
    <n v="701718"/>
    <n v="32228904"/>
    <n v="53061"/>
    <x v="172"/>
    <n v="41051"/>
    <n v="0"/>
    <n v="1"/>
  </r>
  <r>
    <x v="4"/>
    <n v="53"/>
    <x v="39"/>
    <n v="63"/>
    <x v="159"/>
    <n v="41"/>
    <s v="Oregon"/>
    <n v="51"/>
    <s v="Multnomah County"/>
    <n v="88"/>
    <n v="120"/>
    <n v="4284"/>
    <n v="10873"/>
    <n v="20429"/>
    <n v="611048"/>
    <n v="206642"/>
    <n v="434093"/>
    <n v="15658449"/>
    <n v="53063"/>
    <x v="173"/>
    <n v="41051"/>
    <n v="0"/>
    <n v="1"/>
  </r>
  <r>
    <x v="4"/>
    <n v="53"/>
    <x v="39"/>
    <n v="67"/>
    <x v="160"/>
    <n v="41"/>
    <s v="Oregon"/>
    <n v="51"/>
    <s v="Multnomah County"/>
    <n v="106"/>
    <n v="143"/>
    <n v="5370"/>
    <n v="9935"/>
    <n v="19668"/>
    <n v="570473"/>
    <n v="120206"/>
    <n v="247790"/>
    <n v="9452814"/>
    <n v="53067"/>
    <x v="174"/>
    <n v="41051"/>
    <n v="0"/>
    <n v="1"/>
  </r>
  <r>
    <x v="4"/>
    <n v="53"/>
    <x v="39"/>
    <n v="71"/>
    <x v="161"/>
    <n v="41"/>
    <s v="Oregon"/>
    <n v="51"/>
    <s v="Multnomah County"/>
    <n v="20"/>
    <n v="24"/>
    <n v="1294"/>
    <n v="1426"/>
    <n v="2742"/>
    <n v="73241"/>
    <n v="22217"/>
    <n v="48703"/>
    <n v="1607343"/>
    <n v="53071"/>
    <x v="175"/>
    <n v="41051"/>
    <n v="0"/>
    <n v="1"/>
  </r>
  <r>
    <x v="4"/>
    <n v="53"/>
    <x v="39"/>
    <n v="73"/>
    <x v="162"/>
    <n v="41"/>
    <s v="Oregon"/>
    <n v="51"/>
    <s v="Multnomah County"/>
    <n v="86"/>
    <n v="119"/>
    <n v="3908"/>
    <n v="5564"/>
    <n v="8893"/>
    <n v="303752"/>
    <n v="90434"/>
    <n v="181759"/>
    <n v="7230874"/>
    <n v="53073"/>
    <x v="176"/>
    <n v="41051"/>
    <n v="0"/>
    <n v="1"/>
  </r>
  <r>
    <x v="4"/>
    <n v="53"/>
    <x v="39"/>
    <n v="75"/>
    <x v="196"/>
    <n v="41"/>
    <s v="Oregon"/>
    <n v="51"/>
    <s v="Multnomah County"/>
    <n v="21"/>
    <n v="27"/>
    <n v="943"/>
    <n v="2139"/>
    <n v="3297"/>
    <n v="94192"/>
    <n v="14717"/>
    <n v="29261"/>
    <n v="1072473"/>
    <n v="53075"/>
    <x v="216"/>
    <n v="41051"/>
    <n v="0"/>
    <n v="1"/>
  </r>
  <r>
    <x v="4"/>
    <n v="53"/>
    <x v="39"/>
    <n v="77"/>
    <x v="163"/>
    <n v="41"/>
    <s v="Oregon"/>
    <n v="51"/>
    <s v="Multnomah County"/>
    <n v="48"/>
    <n v="93"/>
    <n v="1994"/>
    <n v="3824"/>
    <n v="7418"/>
    <n v="202551"/>
    <n v="93214"/>
    <n v="220887"/>
    <n v="5635083"/>
    <n v="53077"/>
    <x v="177"/>
    <n v="41051"/>
    <n v="0"/>
    <n v="1"/>
  </r>
  <r>
    <x v="4"/>
    <n v="55"/>
    <x v="40"/>
    <n v="25"/>
    <x v="164"/>
    <n v="41"/>
    <s v="Oregon"/>
    <n v="51"/>
    <s v="Multnomah County"/>
    <n v="48"/>
    <n v="76"/>
    <n v="3925"/>
    <n v="15031"/>
    <n v="23995"/>
    <n v="1100129"/>
    <n v="236712"/>
    <n v="462454"/>
    <n v="23526722"/>
    <n v="55025"/>
    <x v="178"/>
    <n v="41051"/>
    <n v="0"/>
    <n v="1"/>
  </r>
  <r>
    <x v="4"/>
    <n v="55"/>
    <x v="40"/>
    <n v="79"/>
    <x v="165"/>
    <n v="41"/>
    <s v="Oregon"/>
    <n v="51"/>
    <s v="Multnomah County"/>
    <n v="51"/>
    <n v="64"/>
    <n v="2713"/>
    <n v="21678"/>
    <n v="38590"/>
    <n v="2041843"/>
    <n v="368771"/>
    <n v="741755"/>
    <n v="25422856"/>
    <n v="55079"/>
    <x v="179"/>
    <n v="41051"/>
    <n v="0"/>
    <n v="1"/>
  </r>
  <r>
    <x v="5"/>
    <n v="2"/>
    <x v="0"/>
    <n v="20"/>
    <x v="0"/>
    <n v="41"/>
    <s v="Oregon"/>
    <n v="51"/>
    <s v="Multnomah County"/>
    <n v="58"/>
    <n v="82"/>
    <n v="3622"/>
    <n v="9616"/>
    <n v="18462"/>
    <n v="706043"/>
    <n v="119386"/>
    <n v="232374"/>
    <n v="10946775"/>
    <n v="2020"/>
    <x v="0"/>
    <n v="41051"/>
    <n v="0"/>
    <n v="1"/>
  </r>
  <r>
    <x v="5"/>
    <n v="4"/>
    <x v="1"/>
    <n v="5"/>
    <x v="2"/>
    <n v="41"/>
    <s v="Oregon"/>
    <n v="51"/>
    <s v="Multnomah County"/>
    <n v="25"/>
    <n v="36"/>
    <n v="867"/>
    <n v="5260"/>
    <n v="8636"/>
    <n v="301613"/>
    <n v="51319"/>
    <n v="99313"/>
    <n v="3658962"/>
    <n v="4005"/>
    <x v="2"/>
    <n v="41051"/>
    <n v="0"/>
    <n v="1"/>
  </r>
  <r>
    <x v="5"/>
    <n v="4"/>
    <x v="1"/>
    <n v="13"/>
    <x v="3"/>
    <n v="41"/>
    <s v="Oregon"/>
    <n v="51"/>
    <s v="Multnomah County"/>
    <n v="385"/>
    <n v="520"/>
    <n v="20533"/>
    <n v="85167"/>
    <n v="151233"/>
    <n v="6556302"/>
    <n v="1692896"/>
    <n v="3385424"/>
    <n v="147923840"/>
    <n v="4013"/>
    <x v="3"/>
    <n v="41051"/>
    <n v="0"/>
    <n v="1"/>
  </r>
  <r>
    <x v="5"/>
    <n v="4"/>
    <x v="1"/>
    <n v="19"/>
    <x v="4"/>
    <n v="41"/>
    <s v="Oregon"/>
    <n v="51"/>
    <s v="Multnomah County"/>
    <n v="98"/>
    <n v="140"/>
    <n v="4380"/>
    <n v="20778"/>
    <n v="35761"/>
    <n v="1371091"/>
    <n v="405424"/>
    <n v="780835"/>
    <n v="28441568"/>
    <n v="4019"/>
    <x v="4"/>
    <n v="41051"/>
    <n v="0"/>
    <n v="1"/>
  </r>
  <r>
    <x v="5"/>
    <n v="4"/>
    <x v="1"/>
    <n v="21"/>
    <x v="207"/>
    <n v="41"/>
    <s v="Oregon"/>
    <n v="51"/>
    <s v="Multnomah County"/>
    <n v="20"/>
    <n v="31"/>
    <n v="973"/>
    <n v="14551"/>
    <n v="28278"/>
    <n v="788618"/>
    <n v="148229"/>
    <n v="315972"/>
    <n v="8829026"/>
    <n v="4021"/>
    <x v="230"/>
    <n v="41051"/>
    <n v="0"/>
    <n v="1"/>
  </r>
  <r>
    <x v="5"/>
    <n v="6"/>
    <x v="2"/>
    <n v="1"/>
    <x v="6"/>
    <n v="41"/>
    <s v="Oregon"/>
    <n v="51"/>
    <s v="Multnomah County"/>
    <n v="506"/>
    <n v="750"/>
    <n v="66325"/>
    <n v="61286"/>
    <n v="105644"/>
    <n v="8084909"/>
    <n v="682186"/>
    <n v="1328597"/>
    <n v="91950448"/>
    <n v="6001"/>
    <x v="6"/>
    <n v="41051"/>
    <n v="0"/>
    <n v="1"/>
  </r>
  <r>
    <x v="5"/>
    <n v="6"/>
    <x v="2"/>
    <n v="7"/>
    <x v="7"/>
    <n v="41"/>
    <s v="Oregon"/>
    <n v="51"/>
    <s v="Multnomah County"/>
    <n v="41"/>
    <n v="65"/>
    <n v="1699"/>
    <n v="5485"/>
    <n v="9071"/>
    <n v="291556"/>
    <n v="76052"/>
    <n v="147191"/>
    <n v="5162790"/>
    <n v="6007"/>
    <x v="7"/>
    <n v="41051"/>
    <n v="0"/>
    <n v="1"/>
  </r>
  <r>
    <x v="5"/>
    <n v="6"/>
    <x v="2"/>
    <n v="13"/>
    <x v="8"/>
    <n v="41"/>
    <s v="Oregon"/>
    <n v="51"/>
    <s v="Multnomah County"/>
    <n v="151"/>
    <n v="241"/>
    <n v="16662"/>
    <n v="33278"/>
    <n v="60213"/>
    <n v="4113547"/>
    <n v="468343"/>
    <n v="957465"/>
    <n v="64186748"/>
    <n v="6013"/>
    <x v="8"/>
    <n v="41051"/>
    <n v="0"/>
    <n v="1"/>
  </r>
  <r>
    <x v="5"/>
    <n v="6"/>
    <x v="2"/>
    <n v="17"/>
    <x v="9"/>
    <n v="41"/>
    <s v="Oregon"/>
    <n v="51"/>
    <s v="Multnomah County"/>
    <n v="28"/>
    <n v="34"/>
    <n v="1687"/>
    <n v="6418"/>
    <n v="11093"/>
    <n v="605580"/>
    <n v="78314"/>
    <n v="157342"/>
    <n v="8870879"/>
    <n v="6017"/>
    <x v="9"/>
    <n v="41051"/>
    <n v="0"/>
    <n v="1"/>
  </r>
  <r>
    <x v="5"/>
    <n v="6"/>
    <x v="2"/>
    <n v="19"/>
    <x v="10"/>
    <n v="41"/>
    <s v="Oregon"/>
    <n v="51"/>
    <s v="Multnomah County"/>
    <n v="63"/>
    <n v="102"/>
    <n v="5005"/>
    <n v="13925"/>
    <n v="25750"/>
    <n v="860456"/>
    <n v="358035"/>
    <n v="775383"/>
    <n v="23102454"/>
    <n v="6019"/>
    <x v="10"/>
    <n v="41051"/>
    <n v="0"/>
    <n v="1"/>
  </r>
  <r>
    <x v="5"/>
    <n v="6"/>
    <x v="2"/>
    <n v="23"/>
    <x v="11"/>
    <n v="41"/>
    <s v="Oregon"/>
    <n v="51"/>
    <s v="Multnomah County"/>
    <n v="48"/>
    <n v="63"/>
    <n v="1816"/>
    <n v="3028"/>
    <n v="4645"/>
    <n v="146222"/>
    <n v="50507"/>
    <n v="92316"/>
    <n v="3150502"/>
    <n v="6023"/>
    <x v="11"/>
    <n v="41051"/>
    <n v="0"/>
    <n v="1"/>
  </r>
  <r>
    <x v="5"/>
    <n v="6"/>
    <x v="2"/>
    <n v="29"/>
    <x v="12"/>
    <n v="41"/>
    <s v="Oregon"/>
    <n v="51"/>
    <s v="Multnomah County"/>
    <n v="49"/>
    <n v="68"/>
    <n v="2300"/>
    <n v="13996"/>
    <n v="26890"/>
    <n v="865883"/>
    <n v="307526"/>
    <n v="685068"/>
    <n v="19559816"/>
    <n v="6029"/>
    <x v="12"/>
    <n v="41051"/>
    <n v="0"/>
    <n v="1"/>
  </r>
  <r>
    <x v="5"/>
    <n v="6"/>
    <x v="2"/>
    <n v="37"/>
    <x v="13"/>
    <n v="41"/>
    <s v="Oregon"/>
    <n v="51"/>
    <s v="Multnomah County"/>
    <n v="1053"/>
    <n v="1432"/>
    <n v="77845"/>
    <n v="188269"/>
    <n v="320280"/>
    <n v="18347938"/>
    <n v="4018250"/>
    <n v="7581525"/>
    <n v="364855968"/>
    <n v="6037"/>
    <x v="13"/>
    <n v="41051"/>
    <n v="0"/>
    <n v="1"/>
  </r>
  <r>
    <x v="5"/>
    <n v="6"/>
    <x v="2"/>
    <n v="41"/>
    <x v="14"/>
    <n v="41"/>
    <s v="Oregon"/>
    <n v="51"/>
    <s v="Multnomah County"/>
    <n v="84"/>
    <n v="119"/>
    <n v="9183"/>
    <n v="8332"/>
    <n v="13648"/>
    <n v="1457992"/>
    <n v="109915"/>
    <n v="210922"/>
    <n v="25873606"/>
    <n v="6041"/>
    <x v="14"/>
    <n v="41051"/>
    <n v="0"/>
    <n v="1"/>
  </r>
  <r>
    <x v="5"/>
    <n v="6"/>
    <x v="2"/>
    <n v="53"/>
    <x v="16"/>
    <n v="41"/>
    <s v="Oregon"/>
    <n v="51"/>
    <s v="Multnomah County"/>
    <n v="58"/>
    <n v="82"/>
    <n v="3765"/>
    <n v="10195"/>
    <n v="18232"/>
    <n v="776124"/>
    <n v="166947"/>
    <n v="349464"/>
    <n v="13201250"/>
    <n v="6053"/>
    <x v="16"/>
    <n v="41051"/>
    <n v="0"/>
    <n v="1"/>
  </r>
  <r>
    <x v="5"/>
    <n v="6"/>
    <x v="2"/>
    <n v="57"/>
    <x v="168"/>
    <n v="41"/>
    <s v="Oregon"/>
    <n v="51"/>
    <s v="Multnomah County"/>
    <n v="22"/>
    <n v="28"/>
    <n v="956"/>
    <n v="3639"/>
    <n v="6001"/>
    <n v="322068"/>
    <n v="43177"/>
    <n v="79916"/>
    <n v="3867711"/>
    <n v="6057"/>
    <x v="182"/>
    <n v="41051"/>
    <n v="0"/>
    <n v="1"/>
  </r>
  <r>
    <x v="5"/>
    <n v="6"/>
    <x v="2"/>
    <n v="59"/>
    <x v="18"/>
    <n v="41"/>
    <s v="Oregon"/>
    <n v="51"/>
    <s v="Multnomah County"/>
    <n v="278"/>
    <n v="342"/>
    <n v="17107"/>
    <n v="74456"/>
    <n v="129032"/>
    <n v="7965049"/>
    <n v="1302885"/>
    <n v="2570529"/>
    <n v="144885856"/>
    <n v="6059"/>
    <x v="18"/>
    <n v="41051"/>
    <n v="0"/>
    <n v="1"/>
  </r>
  <r>
    <x v="5"/>
    <n v="6"/>
    <x v="2"/>
    <n v="61"/>
    <x v="19"/>
    <n v="41"/>
    <s v="Oregon"/>
    <n v="51"/>
    <s v="Multnomah County"/>
    <n v="40"/>
    <n v="50"/>
    <n v="2327"/>
    <n v="13027"/>
    <n v="23012"/>
    <n v="1241253"/>
    <n v="161852"/>
    <n v="336967"/>
    <n v="18627276"/>
    <n v="6061"/>
    <x v="19"/>
    <n v="41051"/>
    <n v="0"/>
    <n v="1"/>
  </r>
  <r>
    <x v="5"/>
    <n v="6"/>
    <x v="2"/>
    <n v="65"/>
    <x v="20"/>
    <n v="41"/>
    <s v="Oregon"/>
    <n v="51"/>
    <s v="Multnomah County"/>
    <n v="163"/>
    <n v="219"/>
    <n v="9909"/>
    <n v="56104"/>
    <n v="103944"/>
    <n v="3632153"/>
    <n v="894444"/>
    <n v="1884463"/>
    <n v="60998688"/>
    <n v="6065"/>
    <x v="20"/>
    <n v="41051"/>
    <n v="0"/>
    <n v="1"/>
  </r>
  <r>
    <x v="5"/>
    <n v="6"/>
    <x v="2"/>
    <n v="67"/>
    <x v="21"/>
    <n v="41"/>
    <s v="Oregon"/>
    <n v="51"/>
    <s v="Multnomah County"/>
    <n v="184"/>
    <n v="242"/>
    <n v="11418"/>
    <n v="37911"/>
    <n v="66626"/>
    <n v="2816149"/>
    <n v="620554"/>
    <n v="1236845"/>
    <n v="48025424"/>
    <n v="6067"/>
    <x v="21"/>
    <n v="41051"/>
    <n v="0"/>
    <n v="1"/>
  </r>
  <r>
    <x v="5"/>
    <n v="6"/>
    <x v="2"/>
    <n v="71"/>
    <x v="22"/>
    <n v="41"/>
    <s v="Oregon"/>
    <n v="51"/>
    <s v="Multnomah County"/>
    <n v="118"/>
    <n v="147"/>
    <n v="5703"/>
    <n v="52264"/>
    <n v="98000"/>
    <n v="3126747"/>
    <n v="810949"/>
    <n v="1695993"/>
    <n v="52220864"/>
    <n v="6071"/>
    <x v="22"/>
    <n v="41051"/>
    <n v="0"/>
    <n v="1"/>
  </r>
  <r>
    <x v="5"/>
    <n v="6"/>
    <x v="2"/>
    <n v="73"/>
    <x v="23"/>
    <n v="41"/>
    <s v="Oregon"/>
    <n v="51"/>
    <s v="Multnomah County"/>
    <n v="441"/>
    <n v="596"/>
    <n v="30927"/>
    <n v="78015"/>
    <n v="140175"/>
    <n v="6542162"/>
    <n v="1385224"/>
    <n v="2719574"/>
    <n v="134382512"/>
    <n v="6073"/>
    <x v="23"/>
    <n v="41051"/>
    <n v="0"/>
    <n v="1"/>
  </r>
  <r>
    <x v="5"/>
    <n v="6"/>
    <x v="2"/>
    <n v="75"/>
    <x v="24"/>
    <n v="41"/>
    <s v="Oregon"/>
    <n v="51"/>
    <s v="Multnomah County"/>
    <n v="464"/>
    <n v="609"/>
    <n v="91131"/>
    <n v="50414"/>
    <n v="70852"/>
    <n v="12101963"/>
    <n v="401615"/>
    <n v="643363"/>
    <n v="81712912"/>
    <n v="6075"/>
    <x v="24"/>
    <n v="41051"/>
    <n v="0"/>
    <n v="1"/>
  </r>
  <r>
    <x v="5"/>
    <n v="6"/>
    <x v="2"/>
    <n v="77"/>
    <x v="25"/>
    <n v="41"/>
    <s v="Oregon"/>
    <n v="51"/>
    <s v="Multnomah County"/>
    <n v="42"/>
    <n v="67"/>
    <n v="2539"/>
    <n v="15990"/>
    <n v="29864"/>
    <n v="1071124"/>
    <n v="283458"/>
    <n v="613626"/>
    <n v="20332240"/>
    <n v="6077"/>
    <x v="25"/>
    <n v="41051"/>
    <n v="0"/>
    <n v="1"/>
  </r>
  <r>
    <x v="5"/>
    <n v="6"/>
    <x v="2"/>
    <n v="79"/>
    <x v="26"/>
    <n v="41"/>
    <s v="Oregon"/>
    <n v="51"/>
    <s v="Multnomah County"/>
    <n v="40"/>
    <n v="49"/>
    <n v="1955"/>
    <n v="7025"/>
    <n v="11223"/>
    <n v="478007"/>
    <n v="113503"/>
    <n v="214744"/>
    <n v="10150826"/>
    <n v="6079"/>
    <x v="26"/>
    <n v="41051"/>
    <n v="0"/>
    <n v="1"/>
  </r>
  <r>
    <x v="5"/>
    <n v="6"/>
    <x v="2"/>
    <n v="81"/>
    <x v="27"/>
    <n v="41"/>
    <s v="Oregon"/>
    <n v="51"/>
    <s v="Multnomah County"/>
    <n v="156"/>
    <n v="237"/>
    <n v="34881"/>
    <n v="32543"/>
    <n v="54798"/>
    <n v="7218201"/>
    <n v="327454"/>
    <n v="632437"/>
    <n v="77824960"/>
    <n v="6081"/>
    <x v="27"/>
    <n v="41051"/>
    <n v="0"/>
    <n v="1"/>
  </r>
  <r>
    <x v="5"/>
    <n v="6"/>
    <x v="2"/>
    <n v="83"/>
    <x v="28"/>
    <n v="41"/>
    <s v="Oregon"/>
    <n v="51"/>
    <s v="Multnomah County"/>
    <n v="74"/>
    <n v="97"/>
    <n v="4747"/>
    <n v="10559"/>
    <n v="17083"/>
    <n v="870805"/>
    <n v="173609"/>
    <n v="345217"/>
    <n v="18721876"/>
    <n v="6083"/>
    <x v="28"/>
    <n v="41051"/>
    <n v="0"/>
    <n v="1"/>
  </r>
  <r>
    <x v="5"/>
    <n v="6"/>
    <x v="2"/>
    <n v="85"/>
    <x v="29"/>
    <n v="41"/>
    <s v="Oregon"/>
    <n v="51"/>
    <s v="Multnomah County"/>
    <n v="272"/>
    <n v="389"/>
    <n v="41330"/>
    <n v="61986"/>
    <n v="110695"/>
    <n v="12528628"/>
    <n v="803476"/>
    <n v="1604491"/>
    <n v="171078192"/>
    <n v="6085"/>
    <x v="29"/>
    <n v="41051"/>
    <n v="0"/>
    <n v="1"/>
  </r>
  <r>
    <x v="5"/>
    <n v="6"/>
    <x v="2"/>
    <n v="87"/>
    <x v="30"/>
    <n v="41"/>
    <s v="Oregon"/>
    <n v="51"/>
    <s v="Multnomah County"/>
    <n v="77"/>
    <n v="94"/>
    <n v="4855"/>
    <n v="7603"/>
    <n v="12063"/>
    <n v="760390"/>
    <n v="108880"/>
    <n v="206461"/>
    <n v="12520747"/>
    <n v="6087"/>
    <x v="30"/>
    <n v="41051"/>
    <n v="0"/>
    <n v="1"/>
  </r>
  <r>
    <x v="5"/>
    <n v="6"/>
    <x v="2"/>
    <n v="89"/>
    <x v="31"/>
    <n v="41"/>
    <s v="Oregon"/>
    <n v="51"/>
    <s v="Multnomah County"/>
    <n v="28"/>
    <n v="33"/>
    <n v="1374"/>
    <n v="4143"/>
    <n v="7291"/>
    <n v="274738"/>
    <n v="67639"/>
    <n v="134098"/>
    <n v="4509435"/>
    <n v="6089"/>
    <x v="31"/>
    <n v="41051"/>
    <n v="0"/>
    <n v="1"/>
  </r>
  <r>
    <x v="5"/>
    <n v="6"/>
    <x v="2"/>
    <n v="95"/>
    <x v="32"/>
    <n v="41"/>
    <s v="Oregon"/>
    <n v="51"/>
    <s v="Multnomah County"/>
    <n v="37"/>
    <n v="59"/>
    <n v="2881"/>
    <n v="13498"/>
    <n v="24120"/>
    <n v="968672"/>
    <n v="182580"/>
    <n v="359994"/>
    <n v="14732893"/>
    <n v="6095"/>
    <x v="32"/>
    <n v="41051"/>
    <n v="0"/>
    <n v="1"/>
  </r>
  <r>
    <x v="5"/>
    <n v="6"/>
    <x v="2"/>
    <n v="97"/>
    <x v="33"/>
    <n v="41"/>
    <s v="Oregon"/>
    <n v="51"/>
    <s v="Multnomah County"/>
    <n v="144"/>
    <n v="199"/>
    <n v="9362"/>
    <n v="11463"/>
    <n v="18760"/>
    <n v="1087260"/>
    <n v="206453"/>
    <n v="390286"/>
    <n v="19916468"/>
    <n v="6097"/>
    <x v="33"/>
    <n v="41051"/>
    <n v="0"/>
    <n v="1"/>
  </r>
  <r>
    <x v="5"/>
    <n v="6"/>
    <x v="2"/>
    <n v="99"/>
    <x v="34"/>
    <n v="41"/>
    <s v="Oregon"/>
    <n v="51"/>
    <s v="Multnomah County"/>
    <n v="26"/>
    <n v="36"/>
    <n v="1268"/>
    <n v="10797"/>
    <n v="20747"/>
    <n v="661695"/>
    <n v="200292"/>
    <n v="434912"/>
    <n v="13285944"/>
    <n v="6099"/>
    <x v="34"/>
    <n v="41051"/>
    <n v="0"/>
    <n v="1"/>
  </r>
  <r>
    <x v="5"/>
    <n v="6"/>
    <x v="2"/>
    <n v="111"/>
    <x v="35"/>
    <n v="41"/>
    <s v="Oregon"/>
    <n v="51"/>
    <s v="Multnomah County"/>
    <n v="77"/>
    <n v="102"/>
    <n v="3679"/>
    <n v="18943"/>
    <n v="33225"/>
    <n v="1809446"/>
    <n v="344052"/>
    <n v="692866"/>
    <n v="33961000"/>
    <n v="6111"/>
    <x v="35"/>
    <n v="41051"/>
    <n v="0"/>
    <n v="1"/>
  </r>
  <r>
    <x v="5"/>
    <n v="6"/>
    <x v="2"/>
    <n v="113"/>
    <x v="36"/>
    <n v="41"/>
    <s v="Oregon"/>
    <n v="51"/>
    <s v="Multnomah County"/>
    <n v="29"/>
    <n v="32"/>
    <n v="1090"/>
    <n v="7197"/>
    <n v="11605"/>
    <n v="473692"/>
    <n v="79178"/>
    <n v="158662"/>
    <n v="7225175"/>
    <n v="6113"/>
    <x v="36"/>
    <n v="41051"/>
    <n v="0"/>
    <n v="1"/>
  </r>
  <r>
    <x v="5"/>
    <n v="8"/>
    <x v="3"/>
    <n v="1"/>
    <x v="37"/>
    <n v="41"/>
    <s v="Oregon"/>
    <n v="51"/>
    <s v="Multnomah County"/>
    <n v="27"/>
    <n v="36"/>
    <n v="1943"/>
    <n v="23255"/>
    <n v="41214"/>
    <n v="1375036"/>
    <n v="204163"/>
    <n v="409747"/>
    <n v="14441405"/>
    <n v="8001"/>
    <x v="37"/>
    <n v="41051"/>
    <n v="0"/>
    <n v="1"/>
  </r>
  <r>
    <x v="5"/>
    <n v="8"/>
    <x v="3"/>
    <n v="5"/>
    <x v="38"/>
    <n v="41"/>
    <s v="Oregon"/>
    <n v="51"/>
    <s v="Multnomah County"/>
    <n v="53"/>
    <n v="74"/>
    <n v="2385"/>
    <n v="34319"/>
    <n v="57722"/>
    <n v="2586458"/>
    <n v="270095"/>
    <n v="528099"/>
    <n v="27108146"/>
    <n v="8005"/>
    <x v="38"/>
    <n v="41051"/>
    <n v="0"/>
    <n v="1"/>
  </r>
  <r>
    <x v="5"/>
    <n v="8"/>
    <x v="3"/>
    <n v="13"/>
    <x v="39"/>
    <n v="41"/>
    <s v="Oregon"/>
    <n v="51"/>
    <s v="Multnomah County"/>
    <n v="60"/>
    <n v="74"/>
    <n v="4091"/>
    <n v="14879"/>
    <n v="22591"/>
    <n v="1282580"/>
    <n v="134629"/>
    <n v="251201"/>
    <n v="17646116"/>
    <n v="8013"/>
    <x v="39"/>
    <n v="41051"/>
    <n v="0"/>
    <n v="1"/>
  </r>
  <r>
    <x v="5"/>
    <n v="8"/>
    <x v="3"/>
    <n v="31"/>
    <x v="40"/>
    <n v="41"/>
    <s v="Oregon"/>
    <n v="51"/>
    <s v="Multnomah County"/>
    <n v="170"/>
    <n v="207"/>
    <n v="11957"/>
    <n v="49269"/>
    <n v="74815"/>
    <n v="4188938"/>
    <n v="317402"/>
    <n v="536980"/>
    <n v="32975110"/>
    <n v="8031"/>
    <x v="40"/>
    <n v="41051"/>
    <n v="0"/>
    <n v="1"/>
  </r>
  <r>
    <x v="5"/>
    <n v="8"/>
    <x v="3"/>
    <n v="41"/>
    <x v="41"/>
    <n v="41"/>
    <s v="Oregon"/>
    <n v="51"/>
    <s v="Multnomah County"/>
    <n v="43"/>
    <n v="63"/>
    <n v="1683"/>
    <n v="27483"/>
    <n v="54067"/>
    <n v="1701474"/>
    <n v="289430"/>
    <n v="591722"/>
    <n v="23522792"/>
    <n v="8041"/>
    <x v="41"/>
    <n v="41051"/>
    <n v="0"/>
    <n v="1"/>
  </r>
  <r>
    <x v="5"/>
    <n v="8"/>
    <x v="3"/>
    <n v="59"/>
    <x v="42"/>
    <n v="41"/>
    <s v="Oregon"/>
    <n v="51"/>
    <s v="Multnomah County"/>
    <n v="51"/>
    <n v="70"/>
    <n v="3413"/>
    <n v="29092"/>
    <n v="46421"/>
    <n v="2131585"/>
    <n v="254630"/>
    <n v="473876"/>
    <n v="26043336"/>
    <n v="8059"/>
    <x v="42"/>
    <n v="41051"/>
    <n v="0"/>
    <n v="1"/>
  </r>
  <r>
    <x v="5"/>
    <n v="8"/>
    <x v="3"/>
    <n v="69"/>
    <x v="43"/>
    <n v="41"/>
    <s v="Oregon"/>
    <n v="51"/>
    <s v="Multnomah County"/>
    <n v="59"/>
    <n v="89"/>
    <n v="2815"/>
    <n v="14175"/>
    <n v="22758"/>
    <n v="936075"/>
    <n v="147645"/>
    <n v="279638"/>
    <n v="13752466"/>
    <n v="8069"/>
    <x v="43"/>
    <n v="41051"/>
    <n v="0"/>
    <n v="1"/>
  </r>
  <r>
    <x v="5"/>
    <n v="9"/>
    <x v="4"/>
    <n v="1"/>
    <x v="44"/>
    <n v="41"/>
    <s v="Oregon"/>
    <n v="51"/>
    <s v="Multnomah County"/>
    <n v="28"/>
    <n v="35"/>
    <n v="1651"/>
    <n v="23150"/>
    <n v="38865"/>
    <n v="4008844"/>
    <n v="377391"/>
    <n v="759392"/>
    <n v="71867816"/>
    <n v="9001"/>
    <x v="44"/>
    <n v="41051"/>
    <n v="0"/>
    <n v="1"/>
  </r>
  <r>
    <x v="5"/>
    <n v="9"/>
    <x v="4"/>
    <n v="3"/>
    <x v="170"/>
    <n v="41"/>
    <s v="Oregon"/>
    <n v="51"/>
    <s v="Multnomah County"/>
    <n v="25"/>
    <n v="30"/>
    <n v="1537"/>
    <n v="19454"/>
    <n v="31441"/>
    <n v="1807164"/>
    <n v="379150"/>
    <n v="719405"/>
    <n v="34715376"/>
    <n v="9003"/>
    <x v="184"/>
    <n v="41051"/>
    <n v="0"/>
    <n v="1"/>
  </r>
  <r>
    <x v="5"/>
    <n v="11"/>
    <x v="5"/>
    <n v="1"/>
    <x v="46"/>
    <n v="41"/>
    <s v="Oregon"/>
    <n v="51"/>
    <s v="Multnomah County"/>
    <n v="99"/>
    <n v="119"/>
    <n v="9107"/>
    <n v="35843"/>
    <n v="51255"/>
    <n v="4226743"/>
    <n v="294421"/>
    <n v="472725"/>
    <n v="35853776"/>
    <n v="11001"/>
    <x v="46"/>
    <n v="41051"/>
    <n v="0"/>
    <n v="1"/>
  </r>
  <r>
    <x v="5"/>
    <n v="12"/>
    <x v="6"/>
    <n v="1"/>
    <x v="172"/>
    <n v="41"/>
    <s v="Oregon"/>
    <n v="51"/>
    <s v="Multnomah County"/>
    <n v="27"/>
    <n v="30"/>
    <n v="1293"/>
    <n v="9351"/>
    <n v="14780"/>
    <n v="537302"/>
    <n v="98581"/>
    <n v="182953"/>
    <n v="7682728"/>
    <n v="12001"/>
    <x v="186"/>
    <n v="41051"/>
    <n v="0"/>
    <n v="1"/>
  </r>
  <r>
    <x v="5"/>
    <n v="12"/>
    <x v="6"/>
    <n v="11"/>
    <x v="47"/>
    <n v="41"/>
    <s v="Oregon"/>
    <n v="51"/>
    <s v="Multnomah County"/>
    <n v="37"/>
    <n v="51"/>
    <n v="4328"/>
    <n v="56136"/>
    <n v="96404"/>
    <n v="4115221"/>
    <n v="804740"/>
    <n v="1495282"/>
    <n v="66252088"/>
    <n v="12011"/>
    <x v="47"/>
    <n v="41051"/>
    <n v="0"/>
    <n v="1"/>
  </r>
  <r>
    <x v="5"/>
    <n v="12"/>
    <x v="6"/>
    <n v="31"/>
    <x v="48"/>
    <n v="41"/>
    <s v="Oregon"/>
    <n v="51"/>
    <s v="Multnomah County"/>
    <n v="34"/>
    <n v="37"/>
    <n v="1315"/>
    <n v="29162"/>
    <n v="52582"/>
    <n v="1902764"/>
    <n v="395527"/>
    <n v="751021"/>
    <n v="28807856"/>
    <n v="12031"/>
    <x v="48"/>
    <n v="41051"/>
    <n v="0"/>
    <n v="1"/>
  </r>
  <r>
    <x v="5"/>
    <n v="12"/>
    <x v="6"/>
    <n v="57"/>
    <x v="49"/>
    <n v="41"/>
    <s v="Oregon"/>
    <n v="51"/>
    <s v="Multnomah County"/>
    <n v="46"/>
    <n v="58"/>
    <n v="2333"/>
    <n v="45264"/>
    <n v="78117"/>
    <n v="2909752"/>
    <n v="585182"/>
    <n v="1135632"/>
    <n v="47531368"/>
    <n v="12057"/>
    <x v="49"/>
    <n v="41051"/>
    <n v="0"/>
    <n v="1"/>
  </r>
  <r>
    <x v="5"/>
    <n v="12"/>
    <x v="6"/>
    <n v="86"/>
    <x v="52"/>
    <n v="41"/>
    <s v="Oregon"/>
    <n v="51"/>
    <s v="Multnomah County"/>
    <n v="51"/>
    <n v="73"/>
    <n v="3332"/>
    <n v="59292"/>
    <n v="100913"/>
    <n v="3934249"/>
    <n v="1135907"/>
    <n v="2050146"/>
    <n v="87119856"/>
    <n v="12086"/>
    <x v="52"/>
    <n v="41051"/>
    <n v="0"/>
    <n v="1"/>
  </r>
  <r>
    <x v="5"/>
    <n v="12"/>
    <x v="6"/>
    <n v="95"/>
    <x v="18"/>
    <n v="41"/>
    <s v="Oregon"/>
    <n v="51"/>
    <s v="Multnomah County"/>
    <n v="53"/>
    <n v="59"/>
    <n v="2228"/>
    <n v="55725"/>
    <n v="97290"/>
    <n v="3339620"/>
    <n v="569018"/>
    <n v="1092314"/>
    <n v="42344312"/>
    <n v="12095"/>
    <x v="53"/>
    <n v="41051"/>
    <n v="0"/>
    <n v="1"/>
  </r>
  <r>
    <x v="5"/>
    <n v="12"/>
    <x v="6"/>
    <n v="99"/>
    <x v="53"/>
    <n v="41"/>
    <s v="Oregon"/>
    <n v="51"/>
    <s v="Multnomah County"/>
    <n v="32"/>
    <n v="41"/>
    <n v="1355"/>
    <n v="38649"/>
    <n v="63525"/>
    <n v="3725589"/>
    <n v="615950"/>
    <n v="1138817"/>
    <n v="86638712"/>
    <n v="12099"/>
    <x v="54"/>
    <n v="41051"/>
    <n v="0"/>
    <n v="1"/>
  </r>
  <r>
    <x v="5"/>
    <n v="12"/>
    <x v="6"/>
    <n v="103"/>
    <x v="54"/>
    <n v="41"/>
    <s v="Oregon"/>
    <n v="51"/>
    <s v="Multnomah County"/>
    <n v="45"/>
    <n v="62"/>
    <n v="3113"/>
    <n v="29578"/>
    <n v="47638"/>
    <n v="1995477"/>
    <n v="415170"/>
    <n v="720217"/>
    <n v="36037512"/>
    <n v="12103"/>
    <x v="55"/>
    <n v="41051"/>
    <n v="0"/>
    <n v="1"/>
  </r>
  <r>
    <x v="5"/>
    <n v="13"/>
    <x v="7"/>
    <n v="89"/>
    <x v="56"/>
    <n v="41"/>
    <s v="Oregon"/>
    <n v="51"/>
    <s v="Multnomah County"/>
    <n v="45"/>
    <n v="82"/>
    <n v="3212"/>
    <n v="35397"/>
    <n v="62451"/>
    <n v="2351549"/>
    <n v="287515"/>
    <n v="543766"/>
    <n v="24223592"/>
    <n v="13089"/>
    <x v="57"/>
    <n v="41051"/>
    <n v="0"/>
    <n v="1"/>
  </r>
  <r>
    <x v="5"/>
    <n v="13"/>
    <x v="7"/>
    <n v="121"/>
    <x v="57"/>
    <n v="41"/>
    <s v="Oregon"/>
    <n v="51"/>
    <s v="Multnomah County"/>
    <n v="52"/>
    <n v="67"/>
    <n v="5449"/>
    <n v="52892"/>
    <n v="87692"/>
    <n v="4928354"/>
    <n v="432704"/>
    <n v="786374"/>
    <n v="54781456"/>
    <n v="13121"/>
    <x v="58"/>
    <n v="41051"/>
    <n v="0"/>
    <n v="1"/>
  </r>
  <r>
    <x v="5"/>
    <n v="15"/>
    <x v="8"/>
    <n v="1"/>
    <x v="58"/>
    <n v="41"/>
    <s v="Oregon"/>
    <n v="51"/>
    <s v="Multnomah County"/>
    <n v="27"/>
    <n v="38"/>
    <n v="1822"/>
    <n v="3491"/>
    <n v="6035"/>
    <n v="206576"/>
    <n v="77750"/>
    <n v="149794"/>
    <n v="4770277"/>
    <n v="15001"/>
    <x v="59"/>
    <n v="41051"/>
    <n v="0"/>
    <n v="1"/>
  </r>
  <r>
    <x v="5"/>
    <n v="15"/>
    <x v="8"/>
    <n v="3"/>
    <x v="59"/>
    <n v="41"/>
    <s v="Oregon"/>
    <n v="51"/>
    <s v="Multnomah County"/>
    <n v="142"/>
    <n v="228"/>
    <n v="6895"/>
    <n v="23315"/>
    <n v="48541"/>
    <n v="1665547"/>
    <n v="409188"/>
    <n v="785490"/>
    <n v="32158036"/>
    <n v="15003"/>
    <x v="60"/>
    <n v="41051"/>
    <n v="0"/>
    <n v="1"/>
  </r>
  <r>
    <x v="5"/>
    <n v="15"/>
    <x v="8"/>
    <n v="9"/>
    <x v="61"/>
    <n v="41"/>
    <s v="Oregon"/>
    <n v="51"/>
    <s v="Multnomah County"/>
    <n v="34"/>
    <n v="52"/>
    <n v="2144"/>
    <n v="3502"/>
    <n v="5754"/>
    <n v="228270"/>
    <n v="70452"/>
    <n v="132063"/>
    <n v="4782527"/>
    <n v="15009"/>
    <x v="62"/>
    <n v="41051"/>
    <n v="0"/>
    <n v="1"/>
  </r>
  <r>
    <x v="5"/>
    <n v="16"/>
    <x v="9"/>
    <n v="1"/>
    <x v="62"/>
    <n v="41"/>
    <s v="Oregon"/>
    <n v="51"/>
    <s v="Multnomah County"/>
    <n v="123"/>
    <n v="151"/>
    <n v="5348"/>
    <n v="14188"/>
    <n v="26614"/>
    <n v="959265"/>
    <n v="195979"/>
    <n v="403490"/>
    <n v="19901030"/>
    <n v="16001"/>
    <x v="63"/>
    <n v="41051"/>
    <n v="0"/>
    <n v="1"/>
  </r>
  <r>
    <x v="5"/>
    <n v="16"/>
    <x v="9"/>
    <n v="27"/>
    <x v="63"/>
    <n v="41"/>
    <s v="Oregon"/>
    <n v="51"/>
    <s v="Multnomah County"/>
    <n v="27"/>
    <n v="37"/>
    <n v="659"/>
    <n v="6597"/>
    <n v="12932"/>
    <n v="329448"/>
    <n v="83588"/>
    <n v="187878"/>
    <n v="5165300"/>
    <n v="16027"/>
    <x v="64"/>
    <n v="41051"/>
    <n v="0"/>
    <n v="1"/>
  </r>
  <r>
    <x v="5"/>
    <n v="16"/>
    <x v="9"/>
    <n v="55"/>
    <x v="64"/>
    <n v="41"/>
    <s v="Oregon"/>
    <n v="51"/>
    <s v="Multnomah County"/>
    <n v="20"/>
    <n v="35"/>
    <n v="931"/>
    <n v="4809"/>
    <n v="9141"/>
    <n v="265379"/>
    <n v="68959"/>
    <n v="142437"/>
    <n v="5332579"/>
    <n v="16055"/>
    <x v="65"/>
    <n v="41051"/>
    <n v="0"/>
    <n v="1"/>
  </r>
  <r>
    <x v="5"/>
    <n v="17"/>
    <x v="10"/>
    <n v="31"/>
    <x v="65"/>
    <n v="41"/>
    <s v="Oregon"/>
    <n v="51"/>
    <s v="Multnomah County"/>
    <n v="326"/>
    <n v="415"/>
    <n v="26548"/>
    <n v="113733"/>
    <n v="193426"/>
    <n v="13588670"/>
    <n v="2085894"/>
    <n v="3959796"/>
    <n v="200828000"/>
    <n v="17031"/>
    <x v="66"/>
    <n v="41051"/>
    <n v="0"/>
    <n v="1"/>
  </r>
  <r>
    <x v="5"/>
    <n v="17"/>
    <x v="10"/>
    <n v="43"/>
    <x v="66"/>
    <n v="41"/>
    <s v="Oregon"/>
    <n v="51"/>
    <s v="Multnomah County"/>
    <n v="22"/>
    <n v="32"/>
    <n v="1562"/>
    <n v="30572"/>
    <n v="54346"/>
    <n v="3134312"/>
    <n v="380539"/>
    <n v="793488"/>
    <n v="46738360"/>
    <n v="17043"/>
    <x v="67"/>
    <n v="41051"/>
    <n v="0"/>
    <n v="1"/>
  </r>
  <r>
    <x v="5"/>
    <n v="17"/>
    <x v="10"/>
    <n v="97"/>
    <x v="67"/>
    <n v="41"/>
    <s v="Oregon"/>
    <n v="51"/>
    <s v="Multnomah County"/>
    <n v="20"/>
    <n v="23"/>
    <n v="887"/>
    <n v="18596"/>
    <n v="33515"/>
    <n v="3046413"/>
    <n v="277882"/>
    <n v="593672"/>
    <n v="37977384"/>
    <n v="17097"/>
    <x v="68"/>
    <n v="41051"/>
    <n v="0"/>
    <n v="1"/>
  </r>
  <r>
    <x v="5"/>
    <n v="18"/>
    <x v="11"/>
    <n v="97"/>
    <x v="68"/>
    <n v="41"/>
    <s v="Oregon"/>
    <n v="51"/>
    <s v="Multnomah County"/>
    <n v="42"/>
    <n v="53"/>
    <n v="2783"/>
    <n v="30045"/>
    <n v="52511"/>
    <n v="1947473"/>
    <n v="384841"/>
    <n v="735476"/>
    <n v="24812298"/>
    <n v="18097"/>
    <x v="69"/>
    <n v="41051"/>
    <n v="0"/>
    <n v="1"/>
  </r>
  <r>
    <x v="5"/>
    <n v="19"/>
    <x v="12"/>
    <n v="103"/>
    <x v="71"/>
    <n v="41"/>
    <s v="Oregon"/>
    <n v="51"/>
    <s v="Multnomah County"/>
    <n v="26"/>
    <n v="27"/>
    <n v="1029"/>
    <n v="5206"/>
    <n v="8225"/>
    <n v="309541"/>
    <n v="57217"/>
    <n v="112275"/>
    <n v="5257448"/>
    <n v="19103"/>
    <x v="190"/>
    <n v="41051"/>
    <n v="0"/>
    <n v="1"/>
  </r>
  <r>
    <x v="5"/>
    <n v="19"/>
    <x v="12"/>
    <n v="153"/>
    <x v="70"/>
    <n v="41"/>
    <s v="Oregon"/>
    <n v="51"/>
    <s v="Multnomah County"/>
    <n v="35"/>
    <n v="42"/>
    <n v="1517"/>
    <n v="13704"/>
    <n v="23147"/>
    <n v="859695"/>
    <n v="201110"/>
    <n v="407107"/>
    <n v="17424684"/>
    <n v="19153"/>
    <x v="71"/>
    <n v="41051"/>
    <n v="0"/>
    <n v="1"/>
  </r>
  <r>
    <x v="5"/>
    <n v="20"/>
    <x v="13"/>
    <n v="91"/>
    <x v="71"/>
    <n v="41"/>
    <s v="Oregon"/>
    <n v="51"/>
    <s v="Multnomah County"/>
    <n v="23"/>
    <n v="29"/>
    <n v="1486"/>
    <n v="16576"/>
    <n v="28463"/>
    <n v="1495241"/>
    <n v="244462"/>
    <n v="517083"/>
    <n v="31313388"/>
    <n v="20091"/>
    <x v="72"/>
    <n v="41051"/>
    <n v="0"/>
    <n v="1"/>
  </r>
  <r>
    <x v="5"/>
    <n v="22"/>
    <x v="15"/>
    <n v="33"/>
    <x v="208"/>
    <n v="41"/>
    <s v="Oregon"/>
    <n v="51"/>
    <s v="Multnomah County"/>
    <n v="20"/>
    <n v="28"/>
    <n v="1190"/>
    <n v="11452"/>
    <n v="20304"/>
    <n v="663058"/>
    <n v="158118"/>
    <n v="310826"/>
    <n v="11941430"/>
    <n v="22033"/>
    <x v="231"/>
    <n v="41051"/>
    <n v="0"/>
    <n v="1"/>
  </r>
  <r>
    <x v="5"/>
    <n v="22"/>
    <x v="15"/>
    <n v="71"/>
    <x v="72"/>
    <n v="41"/>
    <s v="Oregon"/>
    <n v="51"/>
    <s v="Multnomah County"/>
    <n v="54"/>
    <n v="68"/>
    <n v="2237"/>
    <n v="13297"/>
    <n v="22498"/>
    <n v="830464"/>
    <n v="131736"/>
    <n v="236423"/>
    <n v="9176230"/>
    <n v="22071"/>
    <x v="74"/>
    <n v="41051"/>
    <n v="0"/>
    <n v="1"/>
  </r>
  <r>
    <x v="5"/>
    <n v="23"/>
    <x v="16"/>
    <n v="5"/>
    <x v="73"/>
    <n v="41"/>
    <s v="Oregon"/>
    <n v="51"/>
    <s v="Multnomah County"/>
    <n v="26"/>
    <n v="31"/>
    <n v="1581"/>
    <n v="8928"/>
    <n v="13720"/>
    <n v="727232"/>
    <n v="132264"/>
    <n v="243716"/>
    <n v="13192194"/>
    <n v="23005"/>
    <x v="75"/>
    <n v="41051"/>
    <n v="0"/>
    <n v="1"/>
  </r>
  <r>
    <x v="5"/>
    <n v="24"/>
    <x v="17"/>
    <n v="31"/>
    <x v="74"/>
    <n v="41"/>
    <s v="Oregon"/>
    <n v="51"/>
    <s v="Multnomah County"/>
    <n v="34"/>
    <n v="50"/>
    <n v="4270"/>
    <n v="32832"/>
    <n v="55399"/>
    <n v="3338519"/>
    <n v="427823"/>
    <n v="857692"/>
    <n v="58226840"/>
    <n v="24031"/>
    <x v="76"/>
    <n v="41051"/>
    <n v="0"/>
    <n v="1"/>
  </r>
  <r>
    <x v="5"/>
    <n v="24"/>
    <x v="17"/>
    <n v="510"/>
    <x v="75"/>
    <n v="41"/>
    <s v="Oregon"/>
    <n v="51"/>
    <s v="Multnomah County"/>
    <n v="36"/>
    <n v="45"/>
    <n v="2732"/>
    <n v="22450"/>
    <n v="36636"/>
    <n v="1633590"/>
    <n v="209421"/>
    <n v="367016"/>
    <n v="13553577"/>
    <n v="24510"/>
    <x v="77"/>
    <n v="41051"/>
    <n v="0"/>
    <n v="1"/>
  </r>
  <r>
    <x v="5"/>
    <n v="25"/>
    <x v="18"/>
    <n v="17"/>
    <x v="78"/>
    <n v="41"/>
    <s v="Oregon"/>
    <n v="51"/>
    <s v="Multnomah County"/>
    <n v="89"/>
    <n v="119"/>
    <n v="11201"/>
    <n v="54823"/>
    <n v="84099"/>
    <n v="6769123"/>
    <n v="666117"/>
    <n v="1274571"/>
    <n v="101082688"/>
    <n v="25017"/>
    <x v="80"/>
    <n v="41051"/>
    <n v="0"/>
    <n v="1"/>
  </r>
  <r>
    <x v="5"/>
    <n v="25"/>
    <x v="18"/>
    <n v="21"/>
    <x v="79"/>
    <n v="41"/>
    <s v="Oregon"/>
    <n v="51"/>
    <s v="Multnomah County"/>
    <n v="31"/>
    <n v="44"/>
    <n v="2753"/>
    <n v="25239"/>
    <n v="39784"/>
    <n v="3235241"/>
    <n v="294539"/>
    <n v="583754"/>
    <n v="49003056"/>
    <n v="25021"/>
    <x v="81"/>
    <n v="41051"/>
    <n v="0"/>
    <n v="1"/>
  </r>
  <r>
    <x v="5"/>
    <n v="25"/>
    <x v="18"/>
    <n v="25"/>
    <x v="80"/>
    <n v="41"/>
    <s v="Oregon"/>
    <n v="51"/>
    <s v="Multnomah County"/>
    <n v="60"/>
    <n v="71"/>
    <n v="5734"/>
    <n v="45033"/>
    <n v="64230"/>
    <n v="5567730"/>
    <n v="327558"/>
    <n v="528681"/>
    <n v="39815112"/>
    <n v="25025"/>
    <x v="82"/>
    <n v="41051"/>
    <n v="0"/>
    <n v="1"/>
  </r>
  <r>
    <x v="5"/>
    <n v="25"/>
    <x v="18"/>
    <n v="27"/>
    <x v="179"/>
    <n v="41"/>
    <s v="Oregon"/>
    <n v="51"/>
    <s v="Multnomah County"/>
    <n v="32"/>
    <n v="49"/>
    <n v="2124"/>
    <n v="16390"/>
    <n v="27214"/>
    <n v="1435188"/>
    <n v="339456"/>
    <n v="662386"/>
    <n v="31026972"/>
    <n v="25027"/>
    <x v="195"/>
    <n v="41051"/>
    <n v="0"/>
    <n v="1"/>
  </r>
  <r>
    <x v="5"/>
    <n v="26"/>
    <x v="19"/>
    <n v="81"/>
    <x v="81"/>
    <n v="41"/>
    <s v="Oregon"/>
    <n v="51"/>
    <s v="Multnomah County"/>
    <n v="22"/>
    <n v="33"/>
    <n v="1520"/>
    <n v="15382"/>
    <n v="26318"/>
    <n v="1064606"/>
    <n v="264849"/>
    <n v="536363"/>
    <n v="22337116"/>
    <n v="26081"/>
    <x v="83"/>
    <n v="41051"/>
    <n v="0"/>
    <n v="1"/>
  </r>
  <r>
    <x v="5"/>
    <n v="26"/>
    <x v="19"/>
    <n v="125"/>
    <x v="82"/>
    <n v="41"/>
    <s v="Oregon"/>
    <n v="51"/>
    <s v="Multnomah County"/>
    <n v="40"/>
    <n v="55"/>
    <n v="3701"/>
    <n v="32777"/>
    <n v="54694"/>
    <n v="2948111"/>
    <n v="526709"/>
    <n v="1028867"/>
    <n v="61121256"/>
    <n v="26125"/>
    <x v="84"/>
    <n v="41051"/>
    <n v="0"/>
    <n v="1"/>
  </r>
  <r>
    <x v="5"/>
    <n v="26"/>
    <x v="19"/>
    <n v="161"/>
    <x v="83"/>
    <n v="41"/>
    <s v="Oregon"/>
    <n v="51"/>
    <s v="Multnomah County"/>
    <n v="31"/>
    <n v="41"/>
    <n v="1591"/>
    <n v="12980"/>
    <n v="19837"/>
    <n v="995235"/>
    <n v="141173"/>
    <n v="268918"/>
    <n v="14839928"/>
    <n v="26161"/>
    <x v="85"/>
    <n v="41051"/>
    <n v="0"/>
    <n v="1"/>
  </r>
  <r>
    <x v="5"/>
    <n v="26"/>
    <x v="19"/>
    <n v="163"/>
    <x v="84"/>
    <n v="41"/>
    <s v="Oregon"/>
    <n v="51"/>
    <s v="Multnomah County"/>
    <n v="33"/>
    <n v="36"/>
    <n v="1609"/>
    <n v="33745"/>
    <n v="57854"/>
    <n v="2392725"/>
    <n v="655821"/>
    <n v="1277219"/>
    <n v="41340652"/>
    <n v="26163"/>
    <x v="86"/>
    <n v="41051"/>
    <n v="0"/>
    <n v="1"/>
  </r>
  <r>
    <x v="5"/>
    <n v="27"/>
    <x v="20"/>
    <n v="53"/>
    <x v="85"/>
    <n v="41"/>
    <s v="Oregon"/>
    <n v="51"/>
    <s v="Multnomah County"/>
    <n v="166"/>
    <n v="193"/>
    <n v="10203"/>
    <n v="46212"/>
    <n v="75856"/>
    <n v="3963518"/>
    <n v="546211"/>
    <n v="1032533"/>
    <n v="61680372"/>
    <n v="27053"/>
    <x v="87"/>
    <n v="41051"/>
    <n v="0"/>
    <n v="1"/>
  </r>
  <r>
    <x v="5"/>
    <n v="27"/>
    <x v="20"/>
    <n v="123"/>
    <x v="86"/>
    <n v="41"/>
    <s v="Oregon"/>
    <n v="51"/>
    <s v="Multnomah County"/>
    <n v="45"/>
    <n v="56"/>
    <n v="2396"/>
    <n v="24008"/>
    <n v="40053"/>
    <n v="1527863"/>
    <n v="227855"/>
    <n v="434585"/>
    <n v="18876028"/>
    <n v="27123"/>
    <x v="88"/>
    <n v="41051"/>
    <n v="0"/>
    <n v="1"/>
  </r>
  <r>
    <x v="5"/>
    <n v="29"/>
    <x v="21"/>
    <n v="95"/>
    <x v="87"/>
    <n v="41"/>
    <s v="Oregon"/>
    <n v="51"/>
    <s v="Multnomah County"/>
    <n v="43"/>
    <n v="61"/>
    <n v="2580"/>
    <n v="20778"/>
    <n v="35166"/>
    <n v="1373961"/>
    <n v="277912"/>
    <n v="533168"/>
    <n v="19230232"/>
    <n v="29095"/>
    <x v="89"/>
    <n v="41051"/>
    <n v="0"/>
    <n v="1"/>
  </r>
  <r>
    <x v="5"/>
    <n v="29"/>
    <x v="21"/>
    <n v="189"/>
    <x v="88"/>
    <n v="41"/>
    <s v="Oregon"/>
    <n v="51"/>
    <s v="Multnomah County"/>
    <n v="28"/>
    <n v="40"/>
    <n v="2123"/>
    <n v="26630"/>
    <n v="46204"/>
    <n v="2068437"/>
    <n v="403269"/>
    <n v="795015"/>
    <n v="43552944"/>
    <n v="29189"/>
    <x v="90"/>
    <n v="41051"/>
    <n v="0"/>
    <n v="1"/>
  </r>
  <r>
    <x v="5"/>
    <n v="29"/>
    <x v="21"/>
    <n v="510"/>
    <x v="89"/>
    <n v="41"/>
    <s v="Oregon"/>
    <n v="51"/>
    <s v="Multnomah County"/>
    <n v="35"/>
    <n v="40"/>
    <n v="2774"/>
    <n v="15503"/>
    <n v="25619"/>
    <n v="898773"/>
    <n v="116164"/>
    <n v="195179"/>
    <n v="6869218"/>
    <n v="29510"/>
    <x v="91"/>
    <n v="41051"/>
    <n v="0"/>
    <n v="1"/>
  </r>
  <r>
    <x v="5"/>
    <n v="30"/>
    <x v="22"/>
    <n v="31"/>
    <x v="90"/>
    <n v="41"/>
    <s v="Oregon"/>
    <n v="51"/>
    <s v="Multnomah County"/>
    <n v="36"/>
    <n v="46"/>
    <n v="1590"/>
    <n v="4576"/>
    <n v="7128"/>
    <n v="338090"/>
    <n v="49960"/>
    <n v="92421"/>
    <n v="5326381"/>
    <n v="30031"/>
    <x v="92"/>
    <n v="41051"/>
    <n v="0"/>
    <n v="1"/>
  </r>
  <r>
    <x v="5"/>
    <n v="30"/>
    <x v="22"/>
    <n v="63"/>
    <x v="92"/>
    <n v="41"/>
    <s v="Oregon"/>
    <n v="51"/>
    <s v="Multnomah County"/>
    <n v="56"/>
    <n v="65"/>
    <n v="1815"/>
    <n v="3896"/>
    <n v="6250"/>
    <n v="195925"/>
    <n v="50801"/>
    <n v="92185"/>
    <n v="4035123"/>
    <n v="30063"/>
    <x v="94"/>
    <n v="41051"/>
    <n v="0"/>
    <n v="1"/>
  </r>
  <r>
    <x v="5"/>
    <n v="30"/>
    <x v="22"/>
    <n v="111"/>
    <x v="182"/>
    <n v="41"/>
    <s v="Oregon"/>
    <n v="51"/>
    <s v="Multnomah County"/>
    <n v="20"/>
    <n v="26"/>
    <n v="839"/>
    <n v="3668"/>
    <n v="6415"/>
    <n v="235771"/>
    <n v="67554"/>
    <n v="133054"/>
    <n v="5266860"/>
    <n v="30111"/>
    <x v="198"/>
    <n v="41051"/>
    <n v="0"/>
    <n v="1"/>
  </r>
  <r>
    <x v="5"/>
    <n v="31"/>
    <x v="23"/>
    <n v="55"/>
    <x v="93"/>
    <n v="41"/>
    <s v="Oregon"/>
    <n v="51"/>
    <s v="Multnomah County"/>
    <n v="37"/>
    <n v="58"/>
    <n v="2665"/>
    <n v="14907"/>
    <n v="26759"/>
    <n v="1040353"/>
    <n v="230826"/>
    <n v="474239"/>
    <n v="22181954"/>
    <n v="31055"/>
    <x v="95"/>
    <n v="41051"/>
    <n v="0"/>
    <n v="1"/>
  </r>
  <r>
    <x v="5"/>
    <n v="32"/>
    <x v="24"/>
    <n v="3"/>
    <x v="94"/>
    <n v="41"/>
    <s v="Oregon"/>
    <n v="51"/>
    <s v="Multnomah County"/>
    <n v="222"/>
    <n v="326"/>
    <n v="9125"/>
    <n v="48164"/>
    <n v="85592"/>
    <n v="3120599"/>
    <n v="915756"/>
    <n v="1753633"/>
    <n v="67815288"/>
    <n v="32003"/>
    <x v="96"/>
    <n v="41051"/>
    <n v="0"/>
    <n v="1"/>
  </r>
  <r>
    <x v="5"/>
    <n v="32"/>
    <x v="24"/>
    <n v="31"/>
    <x v="95"/>
    <n v="41"/>
    <s v="Oregon"/>
    <n v="51"/>
    <s v="Multnomah County"/>
    <n v="74"/>
    <n v="96"/>
    <n v="3390"/>
    <n v="12506"/>
    <n v="20754"/>
    <n v="1105791"/>
    <n v="206081"/>
    <n v="385351"/>
    <n v="20870260"/>
    <n v="32031"/>
    <x v="97"/>
    <n v="41051"/>
    <n v="0"/>
    <n v="1"/>
  </r>
  <r>
    <x v="5"/>
    <n v="35"/>
    <x v="26"/>
    <n v="1"/>
    <x v="97"/>
    <n v="41"/>
    <s v="Oregon"/>
    <n v="51"/>
    <s v="Multnomah County"/>
    <n v="56"/>
    <n v="75"/>
    <n v="3277"/>
    <n v="15881"/>
    <n v="27821"/>
    <n v="962097"/>
    <n v="269738"/>
    <n v="500385"/>
    <n v="18443720"/>
    <n v="35001"/>
    <x v="99"/>
    <n v="41051"/>
    <n v="0"/>
    <n v="1"/>
  </r>
  <r>
    <x v="5"/>
    <n v="35"/>
    <x v="26"/>
    <n v="49"/>
    <x v="98"/>
    <n v="41"/>
    <s v="Oregon"/>
    <n v="51"/>
    <s v="Multnomah County"/>
    <n v="20"/>
    <n v="22"/>
    <n v="827"/>
    <n v="4377"/>
    <n v="7019"/>
    <n v="321850"/>
    <n v="65995"/>
    <n v="115534"/>
    <n v="5698358"/>
    <n v="35049"/>
    <x v="100"/>
    <n v="41051"/>
    <n v="0"/>
    <n v="1"/>
  </r>
  <r>
    <x v="5"/>
    <n v="36"/>
    <x v="27"/>
    <n v="47"/>
    <x v="100"/>
    <n v="41"/>
    <s v="Oregon"/>
    <n v="51"/>
    <s v="Multnomah County"/>
    <n v="300"/>
    <n v="389"/>
    <n v="27061"/>
    <n v="93012"/>
    <n v="152330"/>
    <n v="8486859"/>
    <n v="1067984"/>
    <n v="1955124"/>
    <n v="80656288"/>
    <n v="36047"/>
    <x v="102"/>
    <n v="41051"/>
    <n v="0"/>
    <n v="1"/>
  </r>
  <r>
    <x v="5"/>
    <n v="36"/>
    <x v="27"/>
    <n v="55"/>
    <x v="69"/>
    <n v="41"/>
    <s v="Oregon"/>
    <n v="51"/>
    <s v="Multnomah County"/>
    <n v="29"/>
    <n v="47"/>
    <n v="2276"/>
    <n v="12916"/>
    <n v="21044"/>
    <n v="869533"/>
    <n v="314527"/>
    <n v="590324"/>
    <n v="23670610"/>
    <n v="36055"/>
    <x v="103"/>
    <n v="41051"/>
    <n v="0"/>
    <n v="1"/>
  </r>
  <r>
    <x v="5"/>
    <n v="36"/>
    <x v="27"/>
    <n v="61"/>
    <x v="102"/>
    <n v="41"/>
    <s v="Oregon"/>
    <n v="51"/>
    <s v="Multnomah County"/>
    <n v="130"/>
    <n v="161"/>
    <n v="14296"/>
    <n v="102592"/>
    <n v="147971"/>
    <n v="24510353"/>
    <n v="736790"/>
    <n v="1146537"/>
    <n v="172055184"/>
    <n v="36061"/>
    <x v="105"/>
    <n v="41051"/>
    <n v="0"/>
    <n v="1"/>
  </r>
  <r>
    <x v="5"/>
    <n v="36"/>
    <x v="27"/>
    <n v="67"/>
    <x v="185"/>
    <n v="41"/>
    <s v="Oregon"/>
    <n v="51"/>
    <s v="Multnomah County"/>
    <n v="21"/>
    <n v="22"/>
    <n v="887"/>
    <n v="9512"/>
    <n v="15515"/>
    <n v="637957"/>
    <n v="193083"/>
    <n v="367436"/>
    <n v="14972144"/>
    <n v="36067"/>
    <x v="203"/>
    <n v="41051"/>
    <n v="0"/>
    <n v="1"/>
  </r>
  <r>
    <x v="5"/>
    <n v="36"/>
    <x v="27"/>
    <n v="81"/>
    <x v="103"/>
    <n v="41"/>
    <s v="Oregon"/>
    <n v="51"/>
    <s v="Multnomah County"/>
    <n v="48"/>
    <n v="67"/>
    <n v="4125"/>
    <n v="73433"/>
    <n v="126511"/>
    <n v="5544389"/>
    <n v="1016109"/>
    <n v="1845481"/>
    <n v="61861296"/>
    <n v="36081"/>
    <x v="106"/>
    <n v="41051"/>
    <n v="0"/>
    <n v="1"/>
  </r>
  <r>
    <x v="5"/>
    <n v="36"/>
    <x v="27"/>
    <n v="103"/>
    <x v="80"/>
    <n v="41"/>
    <s v="Oregon"/>
    <n v="51"/>
    <s v="Multnomah County"/>
    <n v="26"/>
    <n v="33"/>
    <n v="1562"/>
    <n v="28388"/>
    <n v="46626"/>
    <n v="4025063"/>
    <n v="663020"/>
    <n v="1273134"/>
    <n v="74060176"/>
    <n v="36103"/>
    <x v="107"/>
    <n v="41051"/>
    <n v="0"/>
    <n v="1"/>
  </r>
  <r>
    <x v="5"/>
    <n v="37"/>
    <x v="28"/>
    <n v="21"/>
    <x v="105"/>
    <n v="41"/>
    <s v="Oregon"/>
    <n v="51"/>
    <s v="Multnomah County"/>
    <n v="21"/>
    <n v="22"/>
    <n v="560"/>
    <n v="9010"/>
    <n v="14352"/>
    <n v="620729"/>
    <n v="110183"/>
    <n v="201828"/>
    <n v="8416763"/>
    <n v="37021"/>
    <x v="109"/>
    <n v="41051"/>
    <n v="0"/>
    <n v="1"/>
  </r>
  <r>
    <x v="5"/>
    <n v="37"/>
    <x v="28"/>
    <n v="63"/>
    <x v="186"/>
    <n v="41"/>
    <s v="Oregon"/>
    <n v="51"/>
    <s v="Multnomah County"/>
    <n v="32"/>
    <n v="42"/>
    <n v="2243"/>
    <n v="14865"/>
    <n v="24246"/>
    <n v="1065368"/>
    <n v="127113"/>
    <n v="233908"/>
    <n v="10526505"/>
    <n v="37063"/>
    <x v="204"/>
    <n v="41051"/>
    <n v="0"/>
    <n v="1"/>
  </r>
  <r>
    <x v="5"/>
    <n v="37"/>
    <x v="28"/>
    <n v="119"/>
    <x v="106"/>
    <n v="41"/>
    <s v="Oregon"/>
    <n v="51"/>
    <s v="Multnomah County"/>
    <n v="37"/>
    <n v="59"/>
    <n v="2810"/>
    <n v="39125"/>
    <n v="69619"/>
    <n v="3202555"/>
    <n v="433561"/>
    <n v="849434"/>
    <n v="45641396"/>
    <n v="37119"/>
    <x v="110"/>
    <n v="41051"/>
    <n v="0"/>
    <n v="1"/>
  </r>
  <r>
    <x v="5"/>
    <n v="37"/>
    <x v="28"/>
    <n v="183"/>
    <x v="107"/>
    <n v="41"/>
    <s v="Oregon"/>
    <n v="51"/>
    <s v="Multnomah County"/>
    <n v="38"/>
    <n v="54"/>
    <n v="1434"/>
    <n v="34545"/>
    <n v="60819"/>
    <n v="2672873"/>
    <n v="436337"/>
    <n v="913747"/>
    <n v="47474392"/>
    <n v="37183"/>
    <x v="112"/>
    <n v="41051"/>
    <n v="0"/>
    <n v="1"/>
  </r>
  <r>
    <x v="5"/>
    <n v="39"/>
    <x v="29"/>
    <n v="35"/>
    <x v="108"/>
    <n v="41"/>
    <s v="Oregon"/>
    <n v="51"/>
    <s v="Multnomah County"/>
    <n v="44"/>
    <n v="60"/>
    <n v="2908"/>
    <n v="25985"/>
    <n v="42148"/>
    <n v="2320679"/>
    <n v="517380"/>
    <n v="937539"/>
    <n v="39999412"/>
    <n v="39035"/>
    <x v="113"/>
    <n v="41051"/>
    <n v="0"/>
    <n v="1"/>
  </r>
  <r>
    <x v="5"/>
    <n v="39"/>
    <x v="29"/>
    <n v="49"/>
    <x v="109"/>
    <n v="41"/>
    <s v="Oregon"/>
    <n v="51"/>
    <s v="Multnomah County"/>
    <n v="54"/>
    <n v="74"/>
    <n v="3645"/>
    <n v="35696"/>
    <n v="61592"/>
    <n v="2494289"/>
    <n v="540046"/>
    <n v="1017284"/>
    <n v="41964520"/>
    <n v="39049"/>
    <x v="114"/>
    <n v="41051"/>
    <n v="0"/>
    <n v="1"/>
  </r>
  <r>
    <x v="5"/>
    <n v="39"/>
    <x v="29"/>
    <n v="61"/>
    <x v="110"/>
    <n v="41"/>
    <s v="Oregon"/>
    <n v="51"/>
    <s v="Multnomah County"/>
    <n v="30"/>
    <n v="35"/>
    <n v="1860"/>
    <n v="21042"/>
    <n v="34811"/>
    <n v="1752920"/>
    <n v="335768"/>
    <n v="637371"/>
    <n v="30701716"/>
    <n v="39061"/>
    <x v="115"/>
    <n v="41051"/>
    <n v="0"/>
    <n v="1"/>
  </r>
  <r>
    <x v="5"/>
    <n v="40"/>
    <x v="30"/>
    <n v="109"/>
    <x v="111"/>
    <n v="41"/>
    <s v="Oregon"/>
    <n v="51"/>
    <s v="Multnomah County"/>
    <n v="24"/>
    <n v="30"/>
    <n v="1285"/>
    <n v="21647"/>
    <n v="40417"/>
    <n v="1210240"/>
    <n v="288236"/>
    <n v="585865"/>
    <n v="22056930"/>
    <n v="40109"/>
    <x v="116"/>
    <n v="41051"/>
    <n v="0"/>
    <n v="1"/>
  </r>
  <r>
    <x v="5"/>
    <n v="41"/>
    <x v="31"/>
    <n v="3"/>
    <x v="113"/>
    <n v="41"/>
    <s v="Oregon"/>
    <n v="51"/>
    <s v="Multnomah County"/>
    <n v="272"/>
    <n v="314"/>
    <n v="10150"/>
    <n v="3941"/>
    <n v="6044"/>
    <n v="203880"/>
    <n v="34470"/>
    <n v="64712"/>
    <n v="2940117"/>
    <n v="41003"/>
    <x v="118"/>
    <n v="41051"/>
    <n v="0"/>
    <n v="1"/>
  </r>
  <r>
    <x v="5"/>
    <n v="41"/>
    <x v="31"/>
    <n v="5"/>
    <x v="114"/>
    <n v="41"/>
    <s v="Oregon"/>
    <n v="51"/>
    <s v="Multnomah County"/>
    <n v="4022"/>
    <n v="6068"/>
    <n v="222634"/>
    <n v="15588"/>
    <n v="27042"/>
    <n v="1230005"/>
    <n v="171145"/>
    <n v="343029"/>
    <n v="17594912"/>
    <n v="41005"/>
    <x v="119"/>
    <n v="41051"/>
    <n v="0"/>
    <n v="1"/>
  </r>
  <r>
    <x v="5"/>
    <n v="41"/>
    <x v="31"/>
    <n v="7"/>
    <x v="115"/>
    <n v="41"/>
    <s v="Oregon"/>
    <n v="51"/>
    <s v="Multnomah County"/>
    <n v="120"/>
    <n v="165"/>
    <n v="9453"/>
    <n v="1402"/>
    <n v="2404"/>
    <n v="98087"/>
    <n v="16525"/>
    <n v="30783"/>
    <n v="1088741"/>
    <n v="41007"/>
    <x v="120"/>
    <n v="41051"/>
    <n v="0"/>
    <n v="1"/>
  </r>
  <r>
    <x v="5"/>
    <n v="41"/>
    <x v="31"/>
    <n v="9"/>
    <x v="116"/>
    <n v="41"/>
    <s v="Oregon"/>
    <n v="51"/>
    <s v="Multnomah County"/>
    <n v="196"/>
    <n v="289"/>
    <n v="9082"/>
    <n v="1604"/>
    <n v="2787"/>
    <n v="98317"/>
    <n v="20858"/>
    <n v="41284"/>
    <n v="1494792"/>
    <n v="41009"/>
    <x v="121"/>
    <n v="41051"/>
    <n v="0"/>
    <n v="1"/>
  </r>
  <r>
    <x v="5"/>
    <n v="41"/>
    <x v="31"/>
    <n v="11"/>
    <x v="117"/>
    <n v="41"/>
    <s v="Oregon"/>
    <n v="51"/>
    <s v="Multnomah County"/>
    <n v="45"/>
    <n v="55"/>
    <n v="1397"/>
    <n v="1649"/>
    <n v="2935"/>
    <n v="73586"/>
    <n v="24527"/>
    <n v="46208"/>
    <n v="1486739"/>
    <n v="41011"/>
    <x v="122"/>
    <n v="41051"/>
    <n v="0"/>
    <n v="1"/>
  </r>
  <r>
    <x v="5"/>
    <n v="41"/>
    <x v="31"/>
    <n v="17"/>
    <x v="118"/>
    <n v="41"/>
    <s v="Oregon"/>
    <n v="51"/>
    <s v="Multnomah County"/>
    <n v="313"/>
    <n v="394"/>
    <n v="18368"/>
    <n v="6817"/>
    <n v="11776"/>
    <n v="535527"/>
    <n v="85276"/>
    <n v="164073"/>
    <n v="8072821"/>
    <n v="41017"/>
    <x v="123"/>
    <n v="41051"/>
    <n v="0"/>
    <n v="1"/>
  </r>
  <r>
    <x v="5"/>
    <n v="41"/>
    <x v="31"/>
    <n v="19"/>
    <x v="93"/>
    <n v="41"/>
    <s v="Oregon"/>
    <n v="51"/>
    <s v="Multnomah County"/>
    <n v="63"/>
    <n v="84"/>
    <n v="2409"/>
    <n v="2262"/>
    <n v="3827"/>
    <n v="112108"/>
    <n v="41025"/>
    <n v="80571"/>
    <n v="2414381"/>
    <n v="41019"/>
    <x v="124"/>
    <n v="41051"/>
    <n v="0"/>
    <n v="1"/>
  </r>
  <r>
    <x v="5"/>
    <n v="41"/>
    <x v="31"/>
    <n v="27"/>
    <x v="119"/>
    <n v="41"/>
    <s v="Oregon"/>
    <n v="51"/>
    <s v="Multnomah County"/>
    <n v="94"/>
    <n v="129"/>
    <n v="5754"/>
    <n v="800"/>
    <n v="1321"/>
    <n v="59240"/>
    <n v="10035"/>
    <n v="20487"/>
    <n v="834721"/>
    <n v="41027"/>
    <x v="125"/>
    <n v="41051"/>
    <n v="0"/>
    <n v="1"/>
  </r>
  <r>
    <x v="5"/>
    <n v="41"/>
    <x v="31"/>
    <n v="29"/>
    <x v="87"/>
    <n v="41"/>
    <s v="Oregon"/>
    <n v="51"/>
    <s v="Multnomah County"/>
    <n v="238"/>
    <n v="301"/>
    <n v="9399"/>
    <n v="5621"/>
    <n v="9446"/>
    <n v="300369"/>
    <n v="88978"/>
    <n v="170461"/>
    <n v="6084506"/>
    <n v="41029"/>
    <x v="126"/>
    <n v="41051"/>
    <n v="0"/>
    <n v="1"/>
  </r>
  <r>
    <x v="5"/>
    <n v="41"/>
    <x v="31"/>
    <n v="31"/>
    <x v="42"/>
    <n v="41"/>
    <s v="Oregon"/>
    <n v="51"/>
    <s v="Multnomah County"/>
    <n v="26"/>
    <n v="41"/>
    <n v="783"/>
    <n v="882"/>
    <n v="1480"/>
    <n v="33925"/>
    <n v="8831"/>
    <n v="18380"/>
    <n v="469734"/>
    <n v="41031"/>
    <x v="127"/>
    <n v="41051"/>
    <n v="0"/>
    <n v="1"/>
  </r>
  <r>
    <x v="5"/>
    <n v="41"/>
    <x v="31"/>
    <n v="33"/>
    <x v="120"/>
    <n v="41"/>
    <s v="Oregon"/>
    <n v="51"/>
    <s v="Multnomah County"/>
    <n v="49"/>
    <n v="64"/>
    <n v="1389"/>
    <n v="2235"/>
    <n v="3830"/>
    <n v="102995"/>
    <n v="33105"/>
    <n v="63653"/>
    <n v="1867408"/>
    <n v="41033"/>
    <x v="128"/>
    <n v="41051"/>
    <n v="0"/>
    <n v="1"/>
  </r>
  <r>
    <x v="5"/>
    <n v="41"/>
    <x v="31"/>
    <n v="35"/>
    <x v="121"/>
    <n v="41"/>
    <s v="Oregon"/>
    <n v="51"/>
    <s v="Multnomah County"/>
    <n v="37"/>
    <n v="44"/>
    <n v="2250"/>
    <n v="1695"/>
    <n v="2957"/>
    <n v="78916"/>
    <n v="25065"/>
    <n v="50747"/>
    <n v="1406906"/>
    <n v="41035"/>
    <x v="129"/>
    <n v="41051"/>
    <n v="0"/>
    <n v="1"/>
  </r>
  <r>
    <x v="5"/>
    <n v="41"/>
    <x v="31"/>
    <n v="39"/>
    <x v="122"/>
    <n v="41"/>
    <s v="Oregon"/>
    <n v="51"/>
    <s v="Multnomah County"/>
    <n v="650"/>
    <n v="779"/>
    <n v="28001"/>
    <n v="9331"/>
    <n v="14904"/>
    <n v="493932"/>
    <n v="149588"/>
    <n v="274886"/>
    <n v="10424591"/>
    <n v="41039"/>
    <x v="130"/>
    <n v="41051"/>
    <n v="0"/>
    <n v="1"/>
  </r>
  <r>
    <x v="5"/>
    <n v="41"/>
    <x v="31"/>
    <n v="41"/>
    <x v="123"/>
    <n v="41"/>
    <s v="Oregon"/>
    <n v="51"/>
    <s v="Multnomah County"/>
    <n v="77"/>
    <n v="107"/>
    <n v="4153"/>
    <n v="1708"/>
    <n v="2837"/>
    <n v="88796"/>
    <n v="19860"/>
    <n v="36139"/>
    <n v="1189130"/>
    <n v="41041"/>
    <x v="131"/>
    <n v="41051"/>
    <n v="0"/>
    <n v="1"/>
  </r>
  <r>
    <x v="5"/>
    <n v="41"/>
    <x v="31"/>
    <n v="43"/>
    <x v="124"/>
    <n v="41"/>
    <s v="Oregon"/>
    <n v="51"/>
    <s v="Multnomah County"/>
    <n v="97"/>
    <n v="125"/>
    <n v="3754"/>
    <n v="3873"/>
    <n v="6999"/>
    <n v="201347"/>
    <n v="49298"/>
    <n v="99824"/>
    <n v="3068417"/>
    <n v="41043"/>
    <x v="132"/>
    <n v="41051"/>
    <n v="0"/>
    <n v="1"/>
  </r>
  <r>
    <x v="5"/>
    <n v="41"/>
    <x v="31"/>
    <n v="47"/>
    <x v="68"/>
    <n v="41"/>
    <s v="Oregon"/>
    <n v="51"/>
    <s v="Multnomah County"/>
    <n v="601"/>
    <n v="841"/>
    <n v="25825"/>
    <n v="9069"/>
    <n v="16150"/>
    <n v="484053"/>
    <n v="130269"/>
    <n v="268294"/>
    <n v="8790628"/>
    <n v="41047"/>
    <x v="133"/>
    <n v="41051"/>
    <n v="0"/>
    <n v="1"/>
  </r>
  <r>
    <x v="5"/>
    <n v="41"/>
    <x v="31"/>
    <n v="53"/>
    <x v="70"/>
    <n v="41"/>
    <s v="Oregon"/>
    <n v="51"/>
    <s v="Multnomah County"/>
    <n v="102"/>
    <n v="127"/>
    <n v="4491"/>
    <n v="3425"/>
    <n v="6181"/>
    <n v="180455"/>
    <n v="32369"/>
    <n v="67325"/>
    <n v="2305410"/>
    <n v="41053"/>
    <x v="134"/>
    <n v="41051"/>
    <n v="0"/>
    <n v="1"/>
  </r>
  <r>
    <x v="5"/>
    <n v="41"/>
    <x v="31"/>
    <n v="57"/>
    <x v="125"/>
    <n v="41"/>
    <s v="Oregon"/>
    <n v="51"/>
    <s v="Multnomah County"/>
    <n v="54"/>
    <n v="77"/>
    <n v="3212"/>
    <n v="868"/>
    <n v="1512"/>
    <n v="49586"/>
    <n v="10938"/>
    <n v="20907"/>
    <n v="690430"/>
    <n v="41057"/>
    <x v="135"/>
    <n v="41051"/>
    <n v="0"/>
    <n v="1"/>
  </r>
  <r>
    <x v="5"/>
    <n v="41"/>
    <x v="31"/>
    <n v="59"/>
    <x v="126"/>
    <n v="41"/>
    <s v="Oregon"/>
    <n v="51"/>
    <s v="Multnomah County"/>
    <n v="58"/>
    <n v="79"/>
    <n v="3615"/>
    <n v="1954"/>
    <n v="3283"/>
    <n v="85885"/>
    <n v="28378"/>
    <n v="59084"/>
    <n v="1702186"/>
    <n v="41059"/>
    <x v="136"/>
    <n v="41051"/>
    <n v="0"/>
    <n v="1"/>
  </r>
  <r>
    <x v="5"/>
    <n v="41"/>
    <x v="31"/>
    <n v="61"/>
    <x v="189"/>
    <n v="41"/>
    <s v="Oregon"/>
    <n v="51"/>
    <s v="Multnomah County"/>
    <n v="25"/>
    <n v="44"/>
    <n v="1267"/>
    <n v="635"/>
    <n v="1111"/>
    <n v="32680"/>
    <n v="9957"/>
    <n v="20379"/>
    <n v="625861"/>
    <n v="41061"/>
    <x v="207"/>
    <n v="41051"/>
    <n v="0"/>
    <n v="1"/>
  </r>
  <r>
    <x v="5"/>
    <n v="41"/>
    <x v="31"/>
    <n v="65"/>
    <x v="127"/>
    <n v="41"/>
    <s v="Oregon"/>
    <n v="51"/>
    <s v="Multnomah County"/>
    <n v="53"/>
    <n v="84"/>
    <n v="2287"/>
    <n v="765"/>
    <n v="1353"/>
    <n v="41102"/>
    <n v="10058"/>
    <n v="19974"/>
    <n v="621307"/>
    <n v="41065"/>
    <x v="137"/>
    <n v="41051"/>
    <n v="0"/>
    <n v="1"/>
  </r>
  <r>
    <x v="5"/>
    <n v="41"/>
    <x v="31"/>
    <n v="67"/>
    <x v="128"/>
    <n v="41"/>
    <s v="Oregon"/>
    <n v="51"/>
    <s v="Multnomah County"/>
    <n v="4324"/>
    <n v="5956"/>
    <n v="349406"/>
    <n v="21144"/>
    <n v="36132"/>
    <n v="1954475"/>
    <n v="244148"/>
    <n v="488483"/>
    <n v="24500828"/>
    <n v="41067"/>
    <x v="138"/>
    <n v="41051"/>
    <n v="0"/>
    <n v="1"/>
  </r>
  <r>
    <x v="5"/>
    <n v="41"/>
    <x v="31"/>
    <n v="71"/>
    <x v="129"/>
    <n v="41"/>
    <s v="Oregon"/>
    <n v="51"/>
    <s v="Multnomah County"/>
    <n v="205"/>
    <n v="294"/>
    <n v="7757"/>
    <n v="3117"/>
    <n v="5670"/>
    <n v="250552"/>
    <n v="40230"/>
    <n v="83253"/>
    <n v="3110449"/>
    <n v="41071"/>
    <x v="139"/>
    <n v="41051"/>
    <n v="0"/>
    <n v="1"/>
  </r>
  <r>
    <x v="5"/>
    <n v="42"/>
    <x v="32"/>
    <n v="3"/>
    <x v="130"/>
    <n v="41"/>
    <s v="Oregon"/>
    <n v="51"/>
    <s v="Multnomah County"/>
    <n v="52"/>
    <n v="67"/>
    <n v="4723"/>
    <n v="25787"/>
    <n v="41378"/>
    <n v="2267471"/>
    <n v="524929"/>
    <n v="964620"/>
    <n v="46737048"/>
    <n v="42003"/>
    <x v="140"/>
    <n v="41051"/>
    <n v="0"/>
    <n v="1"/>
  </r>
  <r>
    <x v="5"/>
    <n v="42"/>
    <x v="32"/>
    <n v="101"/>
    <x v="131"/>
    <n v="41"/>
    <s v="Oregon"/>
    <n v="51"/>
    <s v="Multnomah County"/>
    <n v="84"/>
    <n v="95"/>
    <n v="5680"/>
    <n v="45091"/>
    <n v="74349"/>
    <n v="3832078"/>
    <n v="586830"/>
    <n v="1044394"/>
    <n v="37878708"/>
    <n v="42101"/>
    <x v="142"/>
    <n v="41051"/>
    <n v="0"/>
    <n v="1"/>
  </r>
  <r>
    <x v="5"/>
    <n v="45"/>
    <x v="44"/>
    <n v="19"/>
    <x v="191"/>
    <n v="41"/>
    <s v="Oregon"/>
    <n v="51"/>
    <s v="Multnomah County"/>
    <n v="21"/>
    <n v="28"/>
    <n v="1266"/>
    <n v="15869"/>
    <n v="26746"/>
    <n v="1088852"/>
    <n v="162431"/>
    <n v="305000"/>
    <n v="18274108"/>
    <n v="45019"/>
    <x v="210"/>
    <n v="41051"/>
    <n v="0"/>
    <n v="1"/>
  </r>
  <r>
    <x v="5"/>
    <n v="47"/>
    <x v="34"/>
    <n v="37"/>
    <x v="133"/>
    <n v="41"/>
    <s v="Oregon"/>
    <n v="51"/>
    <s v="Multnomah County"/>
    <n v="55"/>
    <n v="69"/>
    <n v="5314"/>
    <n v="31412"/>
    <n v="52176"/>
    <n v="2206094"/>
    <n v="291518"/>
    <n v="518117"/>
    <n v="26799694"/>
    <n v="47037"/>
    <x v="144"/>
    <n v="41051"/>
    <n v="0"/>
    <n v="1"/>
  </r>
  <r>
    <x v="5"/>
    <n v="47"/>
    <x v="34"/>
    <n v="157"/>
    <x v="135"/>
    <n v="41"/>
    <s v="Oregon"/>
    <n v="51"/>
    <s v="Multnomah County"/>
    <n v="27"/>
    <n v="36"/>
    <n v="2022"/>
    <n v="18458"/>
    <n v="34427"/>
    <n v="1273205"/>
    <n v="350581"/>
    <n v="698457"/>
    <n v="26320756"/>
    <n v="47157"/>
    <x v="146"/>
    <n v="41051"/>
    <n v="0"/>
    <n v="1"/>
  </r>
  <r>
    <x v="5"/>
    <n v="48"/>
    <x v="35"/>
    <n v="29"/>
    <x v="136"/>
    <n v="41"/>
    <s v="Oregon"/>
    <n v="51"/>
    <s v="Multnomah County"/>
    <n v="46"/>
    <n v="67"/>
    <n v="3614"/>
    <n v="41336"/>
    <n v="78900"/>
    <n v="2698129"/>
    <n v="765227"/>
    <n v="1564962"/>
    <n v="53347032"/>
    <n v="48029"/>
    <x v="147"/>
    <n v="41051"/>
    <n v="0"/>
    <n v="1"/>
  </r>
  <r>
    <x v="5"/>
    <n v="48"/>
    <x v="35"/>
    <n v="85"/>
    <x v="137"/>
    <n v="41"/>
    <s v="Oregon"/>
    <n v="51"/>
    <s v="Multnomah County"/>
    <n v="28"/>
    <n v="35"/>
    <n v="1324"/>
    <n v="37761"/>
    <n v="68361"/>
    <n v="3424748"/>
    <n v="400720"/>
    <n v="901814"/>
    <n v="49147368"/>
    <n v="48085"/>
    <x v="148"/>
    <n v="41051"/>
    <n v="0"/>
    <n v="1"/>
  </r>
  <r>
    <x v="5"/>
    <n v="48"/>
    <x v="35"/>
    <n v="113"/>
    <x v="138"/>
    <n v="41"/>
    <s v="Oregon"/>
    <n v="51"/>
    <s v="Multnomah County"/>
    <n v="84"/>
    <n v="114"/>
    <n v="5211"/>
    <n v="85067"/>
    <n v="152010"/>
    <n v="6353152"/>
    <n v="993530"/>
    <n v="1990560"/>
    <n v="90758992"/>
    <n v="48113"/>
    <x v="149"/>
    <n v="41051"/>
    <n v="0"/>
    <n v="1"/>
  </r>
  <r>
    <x v="5"/>
    <n v="48"/>
    <x v="35"/>
    <n v="121"/>
    <x v="192"/>
    <n v="41"/>
    <s v="Oregon"/>
    <n v="51"/>
    <s v="Multnomah County"/>
    <n v="28"/>
    <n v="41"/>
    <n v="2096"/>
    <n v="34902"/>
    <n v="63357"/>
    <n v="2776044"/>
    <n v="346451"/>
    <n v="753305"/>
    <n v="36968428"/>
    <n v="48121"/>
    <x v="211"/>
    <n v="41051"/>
    <n v="0"/>
    <n v="1"/>
  </r>
  <r>
    <x v="5"/>
    <n v="48"/>
    <x v="35"/>
    <n v="201"/>
    <x v="139"/>
    <n v="41"/>
    <s v="Oregon"/>
    <n v="51"/>
    <s v="Multnomah County"/>
    <n v="96"/>
    <n v="136"/>
    <n v="6828"/>
    <n v="100883"/>
    <n v="192481"/>
    <n v="7747410"/>
    <n v="1708006"/>
    <n v="3567387"/>
    <n v="145020960"/>
    <n v="48201"/>
    <x v="151"/>
    <n v="41051"/>
    <n v="0"/>
    <n v="1"/>
  </r>
  <r>
    <x v="5"/>
    <n v="48"/>
    <x v="35"/>
    <n v="439"/>
    <x v="140"/>
    <n v="41"/>
    <s v="Oregon"/>
    <n v="51"/>
    <s v="Multnomah County"/>
    <n v="52"/>
    <n v="78"/>
    <n v="2568"/>
    <n v="57710"/>
    <n v="107687"/>
    <n v="4101015"/>
    <n v="803056"/>
    <n v="1683469"/>
    <n v="67712080"/>
    <n v="48439"/>
    <x v="152"/>
    <n v="41051"/>
    <n v="0"/>
    <n v="1"/>
  </r>
  <r>
    <x v="5"/>
    <n v="48"/>
    <x v="35"/>
    <n v="453"/>
    <x v="141"/>
    <n v="41"/>
    <s v="Oregon"/>
    <n v="51"/>
    <s v="Multnomah County"/>
    <n v="174"/>
    <n v="229"/>
    <n v="14605"/>
    <n v="54753"/>
    <n v="91376"/>
    <n v="4674809"/>
    <n v="520072"/>
    <n v="973950"/>
    <n v="69774336"/>
    <n v="48453"/>
    <x v="153"/>
    <n v="41051"/>
    <n v="0"/>
    <n v="1"/>
  </r>
  <r>
    <x v="5"/>
    <n v="48"/>
    <x v="35"/>
    <n v="491"/>
    <x v="142"/>
    <n v="41"/>
    <s v="Oregon"/>
    <n v="51"/>
    <s v="Multnomah County"/>
    <n v="25"/>
    <n v="42"/>
    <n v="1825"/>
    <n v="22838"/>
    <n v="42084"/>
    <n v="1713017"/>
    <n v="239023"/>
    <n v="517198"/>
    <n v="23616896"/>
    <n v="48491"/>
    <x v="154"/>
    <n v="41051"/>
    <n v="0"/>
    <n v="1"/>
  </r>
  <r>
    <x v="5"/>
    <n v="49"/>
    <x v="36"/>
    <n v="35"/>
    <x v="143"/>
    <n v="41"/>
    <s v="Oregon"/>
    <n v="51"/>
    <s v="Multnomah County"/>
    <n v="145"/>
    <n v="199"/>
    <n v="9388"/>
    <n v="29757"/>
    <n v="56869"/>
    <n v="2114826"/>
    <n v="448452"/>
    <n v="940253"/>
    <n v="42126468"/>
    <n v="49035"/>
    <x v="155"/>
    <n v="41051"/>
    <n v="0"/>
    <n v="1"/>
  </r>
  <r>
    <x v="5"/>
    <n v="49"/>
    <x v="36"/>
    <n v="49"/>
    <x v="144"/>
    <n v="41"/>
    <s v="Oregon"/>
    <n v="51"/>
    <s v="Multnomah County"/>
    <n v="24"/>
    <n v="40"/>
    <n v="932"/>
    <n v="14880"/>
    <n v="31990"/>
    <n v="1107086"/>
    <n v="204610"/>
    <n v="537804"/>
    <n v="19389480"/>
    <n v="49049"/>
    <x v="156"/>
    <n v="41051"/>
    <n v="0"/>
    <n v="1"/>
  </r>
  <r>
    <x v="5"/>
    <n v="49"/>
    <x v="36"/>
    <n v="57"/>
    <x v="145"/>
    <n v="41"/>
    <s v="Oregon"/>
    <n v="51"/>
    <s v="Multnomah County"/>
    <n v="20"/>
    <n v="30"/>
    <n v="723"/>
    <n v="7562"/>
    <n v="15039"/>
    <n v="417859"/>
    <n v="98180"/>
    <n v="215387"/>
    <n v="7271975"/>
    <n v="49057"/>
    <x v="157"/>
    <n v="41051"/>
    <n v="0"/>
    <n v="1"/>
  </r>
  <r>
    <x v="5"/>
    <n v="50"/>
    <x v="37"/>
    <n v="7"/>
    <x v="146"/>
    <n v="41"/>
    <s v="Oregon"/>
    <n v="51"/>
    <s v="Multnomah County"/>
    <n v="20"/>
    <n v="22"/>
    <n v="1106"/>
    <n v="5099"/>
    <n v="7484"/>
    <n v="352513"/>
    <n v="72505"/>
    <n v="131748"/>
    <n v="6539677"/>
    <n v="50007"/>
    <x v="158"/>
    <n v="41051"/>
    <n v="0"/>
    <n v="1"/>
  </r>
  <r>
    <x v="5"/>
    <n v="51"/>
    <x v="38"/>
    <n v="59"/>
    <x v="148"/>
    <n v="41"/>
    <s v="Oregon"/>
    <n v="51"/>
    <s v="Multnomah County"/>
    <n v="33"/>
    <n v="39"/>
    <n v="3059"/>
    <n v="45728"/>
    <n v="83491"/>
    <n v="5406808"/>
    <n v="457177"/>
    <n v="947007"/>
    <n v="68784592"/>
    <n v="51059"/>
    <x v="160"/>
    <n v="41051"/>
    <n v="0"/>
    <n v="1"/>
  </r>
  <r>
    <x v="5"/>
    <n v="53"/>
    <x v="39"/>
    <n v="5"/>
    <x v="113"/>
    <n v="41"/>
    <s v="Oregon"/>
    <n v="51"/>
    <s v="Multnomah County"/>
    <n v="42"/>
    <n v="59"/>
    <n v="2166"/>
    <n v="5783"/>
    <n v="11153"/>
    <n v="370080"/>
    <n v="79096"/>
    <n v="169999"/>
    <n v="6637192"/>
    <n v="53005"/>
    <x v="162"/>
    <n v="41051"/>
    <n v="0"/>
    <n v="1"/>
  </r>
  <r>
    <x v="5"/>
    <n v="53"/>
    <x v="39"/>
    <n v="11"/>
    <x v="94"/>
    <n v="41"/>
    <s v="Oregon"/>
    <n v="51"/>
    <s v="Multnomah County"/>
    <n v="1737"/>
    <n v="2597"/>
    <n v="85766"/>
    <n v="13614"/>
    <n v="25073"/>
    <n v="1110982"/>
    <n v="203559"/>
    <n v="414169"/>
    <n v="18523348"/>
    <n v="53011"/>
    <x v="163"/>
    <n v="41051"/>
    <n v="0"/>
    <n v="1"/>
  </r>
  <r>
    <x v="5"/>
    <n v="53"/>
    <x v="39"/>
    <n v="15"/>
    <x v="150"/>
    <n v="41"/>
    <s v="Oregon"/>
    <n v="51"/>
    <s v="Multnomah County"/>
    <n v="97"/>
    <n v="144"/>
    <n v="3676"/>
    <n v="2939"/>
    <n v="5628"/>
    <n v="157907"/>
    <n v="43165"/>
    <n v="87861"/>
    <n v="3100529"/>
    <n v="53015"/>
    <x v="164"/>
    <n v="41051"/>
    <n v="0"/>
    <n v="1"/>
  </r>
  <r>
    <x v="5"/>
    <n v="53"/>
    <x v="39"/>
    <n v="31"/>
    <x v="42"/>
    <n v="41"/>
    <s v="Oregon"/>
    <n v="51"/>
    <s v="Multnomah County"/>
    <n v="20"/>
    <n v="29"/>
    <n v="1032"/>
    <n v="1007"/>
    <n v="1634"/>
    <n v="68594"/>
    <n v="14954"/>
    <n v="25772"/>
    <n v="1191803"/>
    <n v="53031"/>
    <x v="229"/>
    <n v="41051"/>
    <n v="0"/>
    <n v="1"/>
  </r>
  <r>
    <x v="5"/>
    <n v="53"/>
    <x v="39"/>
    <n v="33"/>
    <x v="151"/>
    <n v="41"/>
    <s v="Oregon"/>
    <n v="51"/>
    <s v="Multnomah County"/>
    <n v="962"/>
    <n v="1274"/>
    <n v="90430"/>
    <n v="75380"/>
    <n v="127129"/>
    <n v="9284698"/>
    <n v="975815"/>
    <n v="1833387"/>
    <n v="150975792"/>
    <n v="53033"/>
    <x v="165"/>
    <n v="41051"/>
    <n v="0"/>
    <n v="1"/>
  </r>
  <r>
    <x v="5"/>
    <n v="53"/>
    <x v="39"/>
    <n v="35"/>
    <x v="152"/>
    <n v="41"/>
    <s v="Oregon"/>
    <n v="51"/>
    <s v="Multnomah County"/>
    <n v="59"/>
    <n v="76"/>
    <n v="3283"/>
    <n v="9260"/>
    <n v="17437"/>
    <n v="823355"/>
    <n v="112867"/>
    <n v="222300"/>
    <n v="12075231"/>
    <n v="53035"/>
    <x v="166"/>
    <n v="41051"/>
    <n v="0"/>
    <n v="1"/>
  </r>
  <r>
    <x v="5"/>
    <n v="53"/>
    <x v="39"/>
    <n v="39"/>
    <x v="153"/>
    <n v="41"/>
    <s v="Oregon"/>
    <n v="51"/>
    <s v="Multnomah County"/>
    <n v="26"/>
    <n v="34"/>
    <n v="979"/>
    <n v="649"/>
    <n v="1197"/>
    <n v="45416"/>
    <n v="9093"/>
    <n v="18228"/>
    <n v="717865"/>
    <n v="53039"/>
    <x v="167"/>
    <n v="41051"/>
    <n v="0"/>
    <n v="1"/>
  </r>
  <r>
    <x v="5"/>
    <n v="53"/>
    <x v="39"/>
    <n v="53"/>
    <x v="155"/>
    <n v="41"/>
    <s v="Oregon"/>
    <n v="51"/>
    <s v="Multnomah County"/>
    <n v="197"/>
    <n v="291"/>
    <n v="12074"/>
    <n v="30401"/>
    <n v="58311"/>
    <n v="2017018"/>
    <n v="367783"/>
    <n v="736467"/>
    <n v="30743296"/>
    <n v="53053"/>
    <x v="169"/>
    <n v="41051"/>
    <n v="0"/>
    <n v="1"/>
  </r>
  <r>
    <x v="5"/>
    <n v="53"/>
    <x v="39"/>
    <n v="59"/>
    <x v="157"/>
    <n v="41"/>
    <s v="Oregon"/>
    <n v="51"/>
    <s v="Multnomah County"/>
    <n v="20"/>
    <n v="27"/>
    <n v="1543"/>
    <n v="337"/>
    <n v="603"/>
    <n v="27504"/>
    <n v="4477"/>
    <n v="8836"/>
    <n v="457645"/>
    <n v="53059"/>
    <x v="171"/>
    <n v="41051"/>
    <n v="0"/>
    <n v="1"/>
  </r>
  <r>
    <x v="5"/>
    <n v="53"/>
    <x v="39"/>
    <n v="61"/>
    <x v="158"/>
    <n v="41"/>
    <s v="Oregon"/>
    <n v="51"/>
    <s v="Multnomah County"/>
    <n v="135"/>
    <n v="179"/>
    <n v="7971"/>
    <n v="24312"/>
    <n v="43487"/>
    <n v="2088950"/>
    <n v="337521"/>
    <n v="679226"/>
    <n v="33406570"/>
    <n v="53061"/>
    <x v="172"/>
    <n v="41051"/>
    <n v="0"/>
    <n v="1"/>
  </r>
  <r>
    <x v="5"/>
    <n v="53"/>
    <x v="39"/>
    <n v="63"/>
    <x v="159"/>
    <n v="41"/>
    <s v="Oregon"/>
    <n v="51"/>
    <s v="Multnomah County"/>
    <n v="144"/>
    <n v="203"/>
    <n v="7603"/>
    <n v="11908"/>
    <n v="21214"/>
    <n v="696658"/>
    <n v="213597"/>
    <n v="423069"/>
    <n v="16265265"/>
    <n v="53063"/>
    <x v="173"/>
    <n v="41051"/>
    <n v="0"/>
    <n v="1"/>
  </r>
  <r>
    <x v="5"/>
    <n v="53"/>
    <x v="39"/>
    <n v="67"/>
    <x v="160"/>
    <n v="41"/>
    <s v="Oregon"/>
    <n v="51"/>
    <s v="Multnomah County"/>
    <n v="117"/>
    <n v="165"/>
    <n v="6734"/>
    <n v="10539"/>
    <n v="20262"/>
    <n v="663838"/>
    <n v="123051"/>
    <n v="241383"/>
    <n v="9830290"/>
    <n v="53067"/>
    <x v="174"/>
    <n v="41051"/>
    <n v="0"/>
    <n v="1"/>
  </r>
  <r>
    <x v="5"/>
    <n v="53"/>
    <x v="39"/>
    <n v="71"/>
    <x v="161"/>
    <n v="41"/>
    <s v="Oregon"/>
    <n v="51"/>
    <s v="Multnomah County"/>
    <n v="29"/>
    <n v="39"/>
    <n v="1213"/>
    <n v="1639"/>
    <n v="2845"/>
    <n v="89345"/>
    <n v="23175"/>
    <n v="46605"/>
    <n v="1657397"/>
    <n v="53071"/>
    <x v="175"/>
    <n v="41051"/>
    <n v="0"/>
    <n v="1"/>
  </r>
  <r>
    <x v="5"/>
    <n v="53"/>
    <x v="39"/>
    <n v="73"/>
    <x v="162"/>
    <n v="41"/>
    <s v="Oregon"/>
    <n v="51"/>
    <s v="Multnomah County"/>
    <n v="96"/>
    <n v="110"/>
    <n v="3492"/>
    <n v="5818"/>
    <n v="9326"/>
    <n v="340213"/>
    <n v="92040"/>
    <n v="176188"/>
    <n v="7552084"/>
    <n v="53073"/>
    <x v="176"/>
    <n v="41051"/>
    <n v="0"/>
    <n v="1"/>
  </r>
  <r>
    <x v="5"/>
    <n v="53"/>
    <x v="39"/>
    <n v="77"/>
    <x v="163"/>
    <n v="41"/>
    <s v="Oregon"/>
    <n v="51"/>
    <s v="Multnomah County"/>
    <n v="31"/>
    <n v="45"/>
    <n v="1195"/>
    <n v="4061"/>
    <n v="7185"/>
    <n v="199888"/>
    <n v="95792"/>
    <n v="208140"/>
    <n v="5801375"/>
    <n v="53077"/>
    <x v="177"/>
    <n v="41051"/>
    <n v="0"/>
    <n v="1"/>
  </r>
  <r>
    <x v="5"/>
    <n v="55"/>
    <x v="40"/>
    <n v="25"/>
    <x v="164"/>
    <n v="41"/>
    <s v="Oregon"/>
    <n v="51"/>
    <s v="Multnomah County"/>
    <n v="61"/>
    <n v="80"/>
    <n v="3950"/>
    <n v="15652"/>
    <n v="24164"/>
    <n v="1185054"/>
    <n v="238687"/>
    <n v="451072"/>
    <n v="24212124"/>
    <n v="55025"/>
    <x v="178"/>
    <n v="41051"/>
    <n v="0"/>
    <n v="1"/>
  </r>
  <r>
    <x v="5"/>
    <n v="55"/>
    <x v="40"/>
    <n v="79"/>
    <x v="165"/>
    <n v="41"/>
    <s v="Oregon"/>
    <n v="51"/>
    <s v="Multnomah County"/>
    <n v="55"/>
    <n v="68"/>
    <n v="5371"/>
    <n v="22989"/>
    <n v="38488"/>
    <n v="1603602"/>
    <n v="373260"/>
    <n v="711039"/>
    <n v="24148276"/>
    <n v="55079"/>
    <x v="179"/>
    <n v="41051"/>
    <n v="0"/>
    <n v="1"/>
  </r>
  <r>
    <x v="6"/>
    <n v="2"/>
    <x v="0"/>
    <n v="20"/>
    <x v="0"/>
    <n v="41"/>
    <s v="Oregon"/>
    <n v="51"/>
    <s v="Multnomah County"/>
    <n v="42"/>
    <n v="61"/>
    <n v="2583"/>
    <n v="9216"/>
    <n v="17542"/>
    <n v="750851"/>
    <n v="120756"/>
    <n v="234256"/>
    <n v="12707941"/>
    <n v="2020"/>
    <x v="0"/>
    <n v="41051"/>
    <n v="0"/>
    <n v="1"/>
  </r>
  <r>
    <x v="6"/>
    <n v="2"/>
    <x v="0"/>
    <n v="90"/>
    <x v="1"/>
    <n v="41"/>
    <s v="Oregon"/>
    <n v="51"/>
    <s v="Multnomah County"/>
    <n v="20"/>
    <n v="33"/>
    <n v="709"/>
    <n v="4186"/>
    <n v="8315"/>
    <n v="292701"/>
    <n v="38854"/>
    <n v="77244"/>
    <n v="3487037"/>
    <n v="2090"/>
    <x v="1"/>
    <n v="41051"/>
    <n v="0"/>
    <n v="1"/>
  </r>
  <r>
    <x v="6"/>
    <n v="4"/>
    <x v="1"/>
    <n v="5"/>
    <x v="2"/>
    <n v="41"/>
    <s v="Oregon"/>
    <n v="51"/>
    <s v="Multnomah County"/>
    <n v="39"/>
    <n v="45"/>
    <n v="1375"/>
    <n v="5468"/>
    <n v="8391"/>
    <n v="382057"/>
    <n v="52898"/>
    <n v="100837"/>
    <n v="4356097"/>
    <n v="4005"/>
    <x v="2"/>
    <n v="41051"/>
    <n v="0"/>
    <n v="1"/>
  </r>
  <r>
    <x v="6"/>
    <n v="4"/>
    <x v="1"/>
    <n v="13"/>
    <x v="3"/>
    <n v="41"/>
    <s v="Oregon"/>
    <n v="51"/>
    <s v="Multnomah County"/>
    <n v="426"/>
    <n v="553"/>
    <n v="27831"/>
    <n v="88845"/>
    <n v="154875"/>
    <n v="7644642"/>
    <n v="1764064"/>
    <n v="3489539"/>
    <n v="181540640"/>
    <n v="4013"/>
    <x v="3"/>
    <n v="41051"/>
    <n v="0"/>
    <n v="1"/>
  </r>
  <r>
    <x v="6"/>
    <n v="4"/>
    <x v="1"/>
    <n v="19"/>
    <x v="4"/>
    <n v="41"/>
    <s v="Oregon"/>
    <n v="51"/>
    <s v="Multnomah County"/>
    <n v="124"/>
    <n v="163"/>
    <n v="9605"/>
    <n v="21230"/>
    <n v="35873"/>
    <n v="1496005"/>
    <n v="418634"/>
    <n v="798311"/>
    <n v="33520120"/>
    <n v="4019"/>
    <x v="4"/>
    <n v="41051"/>
    <n v="0"/>
    <n v="1"/>
  </r>
  <r>
    <x v="6"/>
    <n v="4"/>
    <x v="1"/>
    <n v="21"/>
    <x v="207"/>
    <n v="41"/>
    <s v="Oregon"/>
    <n v="51"/>
    <s v="Multnomah County"/>
    <n v="20"/>
    <n v="31"/>
    <n v="1028"/>
    <n v="14679"/>
    <n v="27573"/>
    <n v="904142"/>
    <n v="158299"/>
    <n v="333545"/>
    <n v="10513052"/>
    <n v="4021"/>
    <x v="230"/>
    <n v="41051"/>
    <n v="0"/>
    <n v="1"/>
  </r>
  <r>
    <x v="6"/>
    <n v="4"/>
    <x v="1"/>
    <n v="25"/>
    <x v="5"/>
    <n v="41"/>
    <s v="Oregon"/>
    <n v="51"/>
    <s v="Multnomah County"/>
    <n v="24"/>
    <n v="31"/>
    <n v="1602"/>
    <n v="7059"/>
    <n v="11707"/>
    <n v="485755"/>
    <n v="102979"/>
    <n v="188315"/>
    <n v="8171876"/>
    <n v="4025"/>
    <x v="5"/>
    <n v="41051"/>
    <n v="0"/>
    <n v="1"/>
  </r>
  <r>
    <x v="6"/>
    <n v="6"/>
    <x v="2"/>
    <n v="1"/>
    <x v="6"/>
    <n v="41"/>
    <s v="Oregon"/>
    <n v="51"/>
    <s v="Multnomah County"/>
    <n v="440"/>
    <n v="612"/>
    <n v="54791"/>
    <n v="55628"/>
    <n v="94850"/>
    <n v="8691620"/>
    <n v="690384"/>
    <n v="1335986"/>
    <n v="110911784"/>
    <n v="6001"/>
    <x v="6"/>
    <n v="41051"/>
    <n v="0"/>
    <n v="1"/>
  </r>
  <r>
    <x v="6"/>
    <n v="6"/>
    <x v="2"/>
    <n v="7"/>
    <x v="7"/>
    <n v="41"/>
    <s v="Oregon"/>
    <n v="51"/>
    <s v="Multnomah County"/>
    <n v="42"/>
    <n v="64"/>
    <n v="1717"/>
    <n v="4984"/>
    <n v="8011"/>
    <n v="300533"/>
    <n v="77359"/>
    <n v="149120"/>
    <n v="6110390"/>
    <n v="6007"/>
    <x v="7"/>
    <n v="41051"/>
    <n v="0"/>
    <n v="1"/>
  </r>
  <r>
    <x v="6"/>
    <n v="6"/>
    <x v="2"/>
    <n v="13"/>
    <x v="8"/>
    <n v="41"/>
    <s v="Oregon"/>
    <n v="51"/>
    <s v="Multnomah County"/>
    <n v="173"/>
    <n v="241"/>
    <n v="20496"/>
    <n v="32035"/>
    <n v="55614"/>
    <n v="4933552"/>
    <n v="482618"/>
    <n v="978333"/>
    <n v="77303680"/>
    <n v="6013"/>
    <x v="8"/>
    <n v="41051"/>
    <n v="0"/>
    <n v="1"/>
  </r>
  <r>
    <x v="6"/>
    <n v="6"/>
    <x v="2"/>
    <n v="17"/>
    <x v="9"/>
    <n v="41"/>
    <s v="Oregon"/>
    <n v="51"/>
    <s v="Multnomah County"/>
    <n v="34"/>
    <n v="43"/>
    <n v="1182"/>
    <n v="6637"/>
    <n v="11076"/>
    <n v="687613"/>
    <n v="80955"/>
    <n v="161604"/>
    <n v="10437443"/>
    <n v="6017"/>
    <x v="9"/>
    <n v="41051"/>
    <n v="0"/>
    <n v="1"/>
  </r>
  <r>
    <x v="6"/>
    <n v="6"/>
    <x v="2"/>
    <n v="19"/>
    <x v="10"/>
    <n v="41"/>
    <s v="Oregon"/>
    <n v="51"/>
    <s v="Multnomah County"/>
    <n v="54"/>
    <n v="75"/>
    <n v="2765"/>
    <n v="14271"/>
    <n v="25727"/>
    <n v="1030070"/>
    <n v="374120"/>
    <n v="799438"/>
    <n v="26741298"/>
    <n v="6019"/>
    <x v="10"/>
    <n v="41051"/>
    <n v="0"/>
    <n v="1"/>
  </r>
  <r>
    <x v="6"/>
    <n v="6"/>
    <x v="2"/>
    <n v="23"/>
    <x v="11"/>
    <n v="41"/>
    <s v="Oregon"/>
    <n v="51"/>
    <s v="Multnomah County"/>
    <n v="43"/>
    <n v="52"/>
    <n v="1709"/>
    <n v="3082"/>
    <n v="4663"/>
    <n v="187742"/>
    <n v="51549"/>
    <n v="93609"/>
    <n v="3703797"/>
    <n v="6023"/>
    <x v="11"/>
    <n v="41051"/>
    <n v="0"/>
    <n v="1"/>
  </r>
  <r>
    <x v="6"/>
    <n v="6"/>
    <x v="2"/>
    <n v="29"/>
    <x v="12"/>
    <n v="41"/>
    <s v="Oregon"/>
    <n v="51"/>
    <s v="Multnomah County"/>
    <n v="50"/>
    <n v="71"/>
    <n v="2434"/>
    <n v="14733"/>
    <n v="28166"/>
    <n v="988600"/>
    <n v="322306"/>
    <n v="708397"/>
    <n v="21106892"/>
    <n v="6029"/>
    <x v="12"/>
    <n v="41051"/>
    <n v="0"/>
    <n v="1"/>
  </r>
  <r>
    <x v="6"/>
    <n v="6"/>
    <x v="2"/>
    <n v="37"/>
    <x v="13"/>
    <n v="41"/>
    <s v="Oregon"/>
    <n v="51"/>
    <s v="Multnomah County"/>
    <n v="1121"/>
    <n v="1499"/>
    <n v="92074"/>
    <n v="176895"/>
    <n v="297551"/>
    <n v="19049356"/>
    <n v="4122148"/>
    <n v="7685574"/>
    <n v="449229664"/>
    <n v="6037"/>
    <x v="13"/>
    <n v="41051"/>
    <n v="0"/>
    <n v="1"/>
  </r>
  <r>
    <x v="6"/>
    <n v="6"/>
    <x v="2"/>
    <n v="41"/>
    <x v="14"/>
    <n v="41"/>
    <s v="Oregon"/>
    <n v="51"/>
    <s v="Multnomah County"/>
    <n v="57"/>
    <n v="78"/>
    <n v="13747"/>
    <n v="7796"/>
    <n v="12358"/>
    <n v="1738319"/>
    <n v="111335"/>
    <n v="213243"/>
    <n v="34621712"/>
    <n v="6041"/>
    <x v="14"/>
    <n v="41051"/>
    <n v="0"/>
    <n v="1"/>
  </r>
  <r>
    <x v="6"/>
    <n v="6"/>
    <x v="2"/>
    <n v="53"/>
    <x v="16"/>
    <n v="41"/>
    <s v="Oregon"/>
    <n v="51"/>
    <s v="Multnomah County"/>
    <n v="52"/>
    <n v="68"/>
    <n v="3649"/>
    <n v="9997"/>
    <n v="17509"/>
    <n v="836478"/>
    <n v="174184"/>
    <n v="360060"/>
    <n v="16048976"/>
    <n v="6053"/>
    <x v="16"/>
    <n v="41051"/>
    <n v="0"/>
    <n v="1"/>
  </r>
  <r>
    <x v="6"/>
    <n v="6"/>
    <x v="2"/>
    <n v="55"/>
    <x v="17"/>
    <n v="41"/>
    <s v="Oregon"/>
    <n v="51"/>
    <s v="Multnomah County"/>
    <n v="22"/>
    <n v="27"/>
    <n v="1290"/>
    <n v="3874"/>
    <n v="6403"/>
    <n v="449514"/>
    <n v="58111"/>
    <n v="113455"/>
    <n v="8053670"/>
    <n v="6055"/>
    <x v="17"/>
    <n v="41051"/>
    <n v="0"/>
    <n v="1"/>
  </r>
  <r>
    <x v="6"/>
    <n v="6"/>
    <x v="2"/>
    <n v="59"/>
    <x v="18"/>
    <n v="41"/>
    <s v="Oregon"/>
    <n v="51"/>
    <s v="Multnomah County"/>
    <n v="295"/>
    <n v="400"/>
    <n v="21907"/>
    <n v="74430"/>
    <n v="126144"/>
    <n v="8421575"/>
    <n v="1353693"/>
    <n v="2635880"/>
    <n v="177130272"/>
    <n v="6059"/>
    <x v="18"/>
    <n v="41051"/>
    <n v="0"/>
    <n v="1"/>
  </r>
  <r>
    <x v="6"/>
    <n v="6"/>
    <x v="2"/>
    <n v="61"/>
    <x v="19"/>
    <n v="41"/>
    <s v="Oregon"/>
    <n v="51"/>
    <s v="Multnomah County"/>
    <n v="55"/>
    <n v="69"/>
    <n v="2886"/>
    <n v="12958"/>
    <n v="22614"/>
    <n v="1357206"/>
    <n v="169523"/>
    <n v="350455"/>
    <n v="22284444"/>
    <n v="6061"/>
    <x v="19"/>
    <n v="41051"/>
    <n v="0"/>
    <n v="1"/>
  </r>
  <r>
    <x v="6"/>
    <n v="6"/>
    <x v="2"/>
    <n v="65"/>
    <x v="20"/>
    <n v="41"/>
    <s v="Oregon"/>
    <n v="51"/>
    <s v="Multnomah County"/>
    <n v="180"/>
    <n v="241"/>
    <n v="10793"/>
    <n v="57191"/>
    <n v="103760"/>
    <n v="4226847"/>
    <n v="945820"/>
    <n v="1959861"/>
    <n v="71955600"/>
    <n v="6065"/>
    <x v="20"/>
    <n v="41051"/>
    <n v="0"/>
    <n v="1"/>
  </r>
  <r>
    <x v="6"/>
    <n v="6"/>
    <x v="2"/>
    <n v="67"/>
    <x v="21"/>
    <n v="41"/>
    <s v="Oregon"/>
    <n v="51"/>
    <s v="Multnomah County"/>
    <n v="198"/>
    <n v="261"/>
    <n v="13114"/>
    <n v="37894"/>
    <n v="65560"/>
    <n v="2992992"/>
    <n v="640361"/>
    <n v="1267386"/>
    <n v="55357812"/>
    <n v="6067"/>
    <x v="21"/>
    <n v="41051"/>
    <n v="0"/>
    <n v="1"/>
  </r>
  <r>
    <x v="6"/>
    <n v="6"/>
    <x v="2"/>
    <n v="71"/>
    <x v="22"/>
    <n v="41"/>
    <s v="Oregon"/>
    <n v="51"/>
    <s v="Multnomah County"/>
    <n v="144"/>
    <n v="185"/>
    <n v="7652"/>
    <n v="52202"/>
    <n v="96410"/>
    <n v="3436202"/>
    <n v="849096"/>
    <n v="1747699"/>
    <n v="58958532"/>
    <n v="6071"/>
    <x v="22"/>
    <n v="41051"/>
    <n v="0"/>
    <n v="1"/>
  </r>
  <r>
    <x v="6"/>
    <n v="6"/>
    <x v="2"/>
    <n v="73"/>
    <x v="23"/>
    <n v="41"/>
    <s v="Oregon"/>
    <n v="51"/>
    <s v="Multnomah County"/>
    <n v="408"/>
    <n v="553"/>
    <n v="30978"/>
    <n v="78452"/>
    <n v="137177"/>
    <n v="7607334"/>
    <n v="1423230"/>
    <n v="2765876"/>
    <n v="163813312"/>
    <n v="6073"/>
    <x v="23"/>
    <n v="41051"/>
    <n v="0"/>
    <n v="1"/>
  </r>
  <r>
    <x v="6"/>
    <n v="6"/>
    <x v="2"/>
    <n v="75"/>
    <x v="24"/>
    <n v="41"/>
    <s v="Oregon"/>
    <n v="51"/>
    <s v="Multnomah County"/>
    <n v="318"/>
    <n v="433"/>
    <n v="78545"/>
    <n v="38153"/>
    <n v="54889"/>
    <n v="11743774"/>
    <n v="392147"/>
    <n v="632509"/>
    <n v="107512296"/>
    <n v="6075"/>
    <x v="24"/>
    <n v="41051"/>
    <n v="0"/>
    <n v="1"/>
  </r>
  <r>
    <x v="6"/>
    <n v="6"/>
    <x v="2"/>
    <n v="77"/>
    <x v="25"/>
    <n v="41"/>
    <s v="Oregon"/>
    <n v="51"/>
    <s v="Multnomah County"/>
    <n v="44"/>
    <n v="61"/>
    <n v="2687"/>
    <n v="16446"/>
    <n v="30194"/>
    <n v="1207423"/>
    <n v="299041"/>
    <n v="639393"/>
    <n v="23989848"/>
    <n v="6077"/>
    <x v="25"/>
    <n v="41051"/>
    <n v="0"/>
    <n v="1"/>
  </r>
  <r>
    <x v="6"/>
    <n v="6"/>
    <x v="2"/>
    <n v="79"/>
    <x v="26"/>
    <n v="41"/>
    <s v="Oregon"/>
    <n v="51"/>
    <s v="Multnomah County"/>
    <n v="53"/>
    <n v="77"/>
    <n v="3694"/>
    <n v="7034"/>
    <n v="11105"/>
    <n v="600990"/>
    <n v="116284"/>
    <n v="219160"/>
    <n v="12930148"/>
    <n v="6079"/>
    <x v="26"/>
    <n v="41051"/>
    <n v="0"/>
    <n v="1"/>
  </r>
  <r>
    <x v="6"/>
    <n v="6"/>
    <x v="2"/>
    <n v="81"/>
    <x v="27"/>
    <n v="41"/>
    <s v="Oregon"/>
    <n v="51"/>
    <s v="Multnomah County"/>
    <n v="136"/>
    <n v="195"/>
    <n v="29133"/>
    <n v="27158"/>
    <n v="45125"/>
    <n v="7371357"/>
    <n v="328978"/>
    <n v="631734"/>
    <n v="108056672"/>
    <n v="6081"/>
    <x v="27"/>
    <n v="41051"/>
    <n v="0"/>
    <n v="1"/>
  </r>
  <r>
    <x v="6"/>
    <n v="6"/>
    <x v="2"/>
    <n v="83"/>
    <x v="28"/>
    <n v="41"/>
    <s v="Oregon"/>
    <n v="51"/>
    <s v="Multnomah County"/>
    <n v="76"/>
    <n v="89"/>
    <n v="5529"/>
    <n v="10724"/>
    <n v="17245"/>
    <n v="1014425"/>
    <n v="179358"/>
    <n v="353212"/>
    <n v="21210408"/>
    <n v="6083"/>
    <x v="28"/>
    <n v="41051"/>
    <n v="0"/>
    <n v="1"/>
  </r>
  <r>
    <x v="6"/>
    <n v="6"/>
    <x v="2"/>
    <n v="85"/>
    <x v="29"/>
    <n v="41"/>
    <s v="Oregon"/>
    <n v="51"/>
    <s v="Multnomah County"/>
    <n v="271"/>
    <n v="375"/>
    <n v="37779"/>
    <n v="57531"/>
    <n v="99937"/>
    <n v="14131374"/>
    <n v="818219"/>
    <n v="1613891"/>
    <n v="217988928"/>
    <n v="6085"/>
    <x v="29"/>
    <n v="41051"/>
    <n v="0"/>
    <n v="1"/>
  </r>
  <r>
    <x v="6"/>
    <n v="6"/>
    <x v="2"/>
    <n v="87"/>
    <x v="30"/>
    <n v="41"/>
    <s v="Oregon"/>
    <n v="51"/>
    <s v="Multnomah County"/>
    <n v="71"/>
    <n v="90"/>
    <n v="5364"/>
    <n v="7434"/>
    <n v="11761"/>
    <n v="829053"/>
    <n v="112420"/>
    <n v="211970"/>
    <n v="15416050"/>
    <n v="6087"/>
    <x v="30"/>
    <n v="41051"/>
    <n v="0"/>
    <n v="1"/>
  </r>
  <r>
    <x v="6"/>
    <n v="6"/>
    <x v="2"/>
    <n v="89"/>
    <x v="31"/>
    <n v="41"/>
    <s v="Oregon"/>
    <n v="51"/>
    <s v="Multnomah County"/>
    <n v="33"/>
    <n v="44"/>
    <n v="1606"/>
    <n v="4155"/>
    <n v="7264"/>
    <n v="261319"/>
    <n v="68809"/>
    <n v="135728"/>
    <n v="5268946"/>
    <n v="6089"/>
    <x v="31"/>
    <n v="41051"/>
    <n v="0"/>
    <n v="1"/>
  </r>
  <r>
    <x v="6"/>
    <n v="6"/>
    <x v="2"/>
    <n v="95"/>
    <x v="32"/>
    <n v="41"/>
    <s v="Oregon"/>
    <n v="51"/>
    <s v="Multnomah County"/>
    <n v="30"/>
    <n v="46"/>
    <n v="2578"/>
    <n v="12778"/>
    <n v="22483"/>
    <n v="950648"/>
    <n v="186044"/>
    <n v="364224"/>
    <n v="16310610"/>
    <n v="6095"/>
    <x v="32"/>
    <n v="41051"/>
    <n v="0"/>
    <n v="1"/>
  </r>
  <r>
    <x v="6"/>
    <n v="6"/>
    <x v="2"/>
    <n v="97"/>
    <x v="33"/>
    <n v="41"/>
    <s v="Oregon"/>
    <n v="51"/>
    <s v="Multnomah County"/>
    <n v="107"/>
    <n v="128"/>
    <n v="7025"/>
    <n v="10778"/>
    <n v="16921"/>
    <n v="1428615"/>
    <n v="214093"/>
    <n v="400987"/>
    <n v="25245460"/>
    <n v="6097"/>
    <x v="33"/>
    <n v="41051"/>
    <n v="0"/>
    <n v="1"/>
  </r>
  <r>
    <x v="6"/>
    <n v="6"/>
    <x v="2"/>
    <n v="99"/>
    <x v="34"/>
    <n v="41"/>
    <s v="Oregon"/>
    <n v="51"/>
    <s v="Multnomah County"/>
    <n v="38"/>
    <n v="64"/>
    <n v="2081"/>
    <n v="10778"/>
    <n v="20137"/>
    <n v="757485"/>
    <n v="209416"/>
    <n v="448044"/>
    <n v="15395172"/>
    <n v="6099"/>
    <x v="34"/>
    <n v="41051"/>
    <n v="0"/>
    <n v="1"/>
  </r>
  <r>
    <x v="6"/>
    <n v="6"/>
    <x v="2"/>
    <n v="107"/>
    <x v="209"/>
    <n v="41"/>
    <s v="Oregon"/>
    <n v="51"/>
    <s v="Multnomah County"/>
    <n v="29"/>
    <n v="40"/>
    <n v="1414"/>
    <n v="6407"/>
    <n v="11849"/>
    <n v="382968"/>
    <n v="169943"/>
    <n v="380769"/>
    <n v="10453354"/>
    <n v="6107"/>
    <x v="232"/>
    <n v="41051"/>
    <n v="0"/>
    <n v="1"/>
  </r>
  <r>
    <x v="6"/>
    <n v="6"/>
    <x v="2"/>
    <n v="111"/>
    <x v="35"/>
    <n v="41"/>
    <s v="Oregon"/>
    <n v="51"/>
    <s v="Multnomah County"/>
    <n v="90"/>
    <n v="121"/>
    <n v="7115"/>
    <n v="19263"/>
    <n v="32780"/>
    <n v="2057247"/>
    <n v="356579"/>
    <n v="708703"/>
    <n v="40972312"/>
    <n v="6111"/>
    <x v="35"/>
    <n v="41051"/>
    <n v="0"/>
    <n v="1"/>
  </r>
  <r>
    <x v="6"/>
    <n v="6"/>
    <x v="2"/>
    <n v="113"/>
    <x v="36"/>
    <n v="41"/>
    <s v="Oregon"/>
    <n v="51"/>
    <s v="Multnomah County"/>
    <n v="33"/>
    <n v="39"/>
    <n v="1551"/>
    <n v="7400"/>
    <n v="11639"/>
    <n v="540195"/>
    <n v="82952"/>
    <n v="163884"/>
    <n v="8425750"/>
    <n v="6113"/>
    <x v="36"/>
    <n v="41051"/>
    <n v="0"/>
    <n v="1"/>
  </r>
  <r>
    <x v="6"/>
    <n v="8"/>
    <x v="3"/>
    <n v="1"/>
    <x v="37"/>
    <n v="41"/>
    <s v="Oregon"/>
    <n v="51"/>
    <s v="Multnomah County"/>
    <n v="27"/>
    <n v="37"/>
    <n v="1280"/>
    <n v="22879"/>
    <n v="39567"/>
    <n v="1499165"/>
    <n v="215552"/>
    <n v="425604"/>
    <n v="16719165"/>
    <n v="8001"/>
    <x v="37"/>
    <n v="41051"/>
    <n v="0"/>
    <n v="1"/>
  </r>
  <r>
    <x v="6"/>
    <n v="8"/>
    <x v="3"/>
    <n v="5"/>
    <x v="38"/>
    <n v="41"/>
    <s v="Oregon"/>
    <n v="51"/>
    <s v="Multnomah County"/>
    <n v="67"/>
    <n v="110"/>
    <n v="4360"/>
    <n v="34278"/>
    <n v="57128"/>
    <n v="2862252"/>
    <n v="281495"/>
    <n v="544713"/>
    <n v="33958596"/>
    <n v="8005"/>
    <x v="38"/>
    <n v="41051"/>
    <n v="0"/>
    <n v="1"/>
  </r>
  <r>
    <x v="6"/>
    <n v="8"/>
    <x v="3"/>
    <n v="13"/>
    <x v="39"/>
    <n v="41"/>
    <s v="Oregon"/>
    <n v="51"/>
    <s v="Multnomah County"/>
    <n v="67"/>
    <n v="87"/>
    <n v="7607"/>
    <n v="15539"/>
    <n v="23298"/>
    <n v="1812849"/>
    <n v="139525"/>
    <n v="258035"/>
    <n v="23647292"/>
    <n v="8013"/>
    <x v="39"/>
    <n v="41051"/>
    <n v="0"/>
    <n v="1"/>
  </r>
  <r>
    <x v="6"/>
    <n v="8"/>
    <x v="3"/>
    <n v="31"/>
    <x v="40"/>
    <n v="41"/>
    <s v="Oregon"/>
    <n v="51"/>
    <s v="Multnomah County"/>
    <n v="201"/>
    <n v="248"/>
    <n v="16628"/>
    <n v="49553"/>
    <n v="73054"/>
    <n v="4840539"/>
    <n v="327781"/>
    <n v="548910"/>
    <n v="43353448"/>
    <n v="8031"/>
    <x v="40"/>
    <n v="41051"/>
    <n v="0"/>
    <n v="1"/>
  </r>
  <r>
    <x v="6"/>
    <n v="8"/>
    <x v="3"/>
    <n v="41"/>
    <x v="41"/>
    <n v="41"/>
    <s v="Oregon"/>
    <n v="51"/>
    <s v="Multnomah County"/>
    <n v="57"/>
    <n v="82"/>
    <n v="3539"/>
    <n v="27762"/>
    <n v="52679"/>
    <n v="1866235"/>
    <n v="301075"/>
    <n v="606872"/>
    <n v="26910228"/>
    <n v="8041"/>
    <x v="41"/>
    <n v="41051"/>
    <n v="0"/>
    <n v="1"/>
  </r>
  <r>
    <x v="6"/>
    <n v="8"/>
    <x v="3"/>
    <n v="59"/>
    <x v="42"/>
    <n v="41"/>
    <s v="Oregon"/>
    <n v="51"/>
    <s v="Multnomah County"/>
    <n v="78"/>
    <n v="92"/>
    <n v="4795"/>
    <n v="29137"/>
    <n v="45209"/>
    <n v="2447600"/>
    <n v="262464"/>
    <n v="483232"/>
    <n v="30999142"/>
    <n v="8059"/>
    <x v="42"/>
    <n v="41051"/>
    <n v="0"/>
    <n v="1"/>
  </r>
  <r>
    <x v="6"/>
    <n v="8"/>
    <x v="3"/>
    <n v="69"/>
    <x v="43"/>
    <n v="41"/>
    <s v="Oregon"/>
    <n v="51"/>
    <s v="Multnomah County"/>
    <n v="60"/>
    <n v="74"/>
    <n v="2729"/>
    <n v="14907"/>
    <n v="23120"/>
    <n v="1101538"/>
    <n v="155392"/>
    <n v="290549"/>
    <n v="16682339"/>
    <n v="8069"/>
    <x v="43"/>
    <n v="41051"/>
    <n v="0"/>
    <n v="1"/>
  </r>
  <r>
    <x v="6"/>
    <n v="11"/>
    <x v="5"/>
    <n v="1"/>
    <x v="46"/>
    <n v="41"/>
    <s v="Oregon"/>
    <n v="51"/>
    <s v="Multnomah County"/>
    <n v="103"/>
    <n v="128"/>
    <n v="13714"/>
    <n v="32602"/>
    <n v="46615"/>
    <n v="4211641"/>
    <n v="295241"/>
    <n v="474758"/>
    <n v="43092940"/>
    <n v="11001"/>
    <x v="46"/>
    <n v="41051"/>
    <n v="0"/>
    <n v="1"/>
  </r>
  <r>
    <x v="6"/>
    <n v="12"/>
    <x v="6"/>
    <n v="11"/>
    <x v="47"/>
    <n v="41"/>
    <s v="Oregon"/>
    <n v="51"/>
    <s v="Multnomah County"/>
    <n v="45"/>
    <n v="58"/>
    <n v="2977"/>
    <n v="55167"/>
    <n v="92579"/>
    <n v="4717920"/>
    <n v="828879"/>
    <n v="1520762"/>
    <n v="79659008"/>
    <n v="12011"/>
    <x v="47"/>
    <n v="41051"/>
    <n v="0"/>
    <n v="1"/>
  </r>
  <r>
    <x v="6"/>
    <n v="12"/>
    <x v="6"/>
    <n v="31"/>
    <x v="48"/>
    <n v="41"/>
    <s v="Oregon"/>
    <n v="51"/>
    <s v="Multnomah County"/>
    <n v="27"/>
    <n v="41"/>
    <n v="1854"/>
    <n v="27955"/>
    <n v="49684"/>
    <n v="2071860"/>
    <n v="405773"/>
    <n v="764770"/>
    <n v="33092136"/>
    <n v="12031"/>
    <x v="48"/>
    <n v="41051"/>
    <n v="0"/>
    <n v="1"/>
  </r>
  <r>
    <x v="6"/>
    <n v="12"/>
    <x v="6"/>
    <n v="57"/>
    <x v="49"/>
    <n v="41"/>
    <s v="Oregon"/>
    <n v="51"/>
    <s v="Multnomah County"/>
    <n v="46"/>
    <n v="67"/>
    <n v="2381"/>
    <n v="46120"/>
    <n v="78769"/>
    <n v="3432037"/>
    <n v="606138"/>
    <n v="1162731"/>
    <n v="56233128"/>
    <n v="12057"/>
    <x v="49"/>
    <n v="41051"/>
    <n v="0"/>
    <n v="1"/>
  </r>
  <r>
    <x v="6"/>
    <n v="12"/>
    <x v="6"/>
    <n v="86"/>
    <x v="52"/>
    <n v="41"/>
    <s v="Oregon"/>
    <n v="51"/>
    <s v="Multnomah County"/>
    <n v="66"/>
    <n v="80"/>
    <n v="4728"/>
    <n v="59594"/>
    <n v="98500"/>
    <n v="5898228"/>
    <n v="1179060"/>
    <n v="2095143"/>
    <n v="115668616"/>
    <n v="12086"/>
    <x v="52"/>
    <n v="41051"/>
    <n v="0"/>
    <n v="1"/>
  </r>
  <r>
    <x v="6"/>
    <n v="12"/>
    <x v="6"/>
    <n v="95"/>
    <x v="18"/>
    <n v="41"/>
    <s v="Oregon"/>
    <n v="51"/>
    <s v="Multnomah County"/>
    <n v="43"/>
    <n v="59"/>
    <n v="2390"/>
    <n v="53462"/>
    <n v="89939"/>
    <n v="3487258"/>
    <n v="586455"/>
    <n v="1111620"/>
    <n v="50344084"/>
    <n v="12095"/>
    <x v="53"/>
    <n v="41051"/>
    <n v="0"/>
    <n v="1"/>
  </r>
  <r>
    <x v="6"/>
    <n v="12"/>
    <x v="6"/>
    <n v="99"/>
    <x v="53"/>
    <n v="41"/>
    <s v="Oregon"/>
    <n v="51"/>
    <s v="Multnomah County"/>
    <n v="25"/>
    <n v="31"/>
    <n v="2076"/>
    <n v="39255"/>
    <n v="63587"/>
    <n v="6231092"/>
    <n v="638018"/>
    <n v="1167759"/>
    <n v="112443208"/>
    <n v="12099"/>
    <x v="54"/>
    <n v="41051"/>
    <n v="0"/>
    <n v="1"/>
  </r>
  <r>
    <x v="6"/>
    <n v="12"/>
    <x v="6"/>
    <n v="103"/>
    <x v="54"/>
    <n v="41"/>
    <s v="Oregon"/>
    <n v="51"/>
    <s v="Multnomah County"/>
    <n v="39"/>
    <n v="62"/>
    <n v="2669"/>
    <n v="29391"/>
    <n v="46296"/>
    <n v="2382751"/>
    <n v="421447"/>
    <n v="724465"/>
    <n v="42497664"/>
    <n v="12103"/>
    <x v="55"/>
    <n v="41051"/>
    <n v="0"/>
    <n v="1"/>
  </r>
  <r>
    <x v="6"/>
    <n v="12"/>
    <x v="6"/>
    <n v="115"/>
    <x v="197"/>
    <n v="41"/>
    <s v="Oregon"/>
    <n v="51"/>
    <s v="Multnomah County"/>
    <n v="26"/>
    <n v="40"/>
    <n v="1762"/>
    <n v="15106"/>
    <n v="24306"/>
    <n v="1349456"/>
    <n v="197108"/>
    <n v="347526"/>
    <n v="29225926"/>
    <n v="12115"/>
    <x v="218"/>
    <n v="41051"/>
    <n v="0"/>
    <n v="1"/>
  </r>
  <r>
    <x v="6"/>
    <n v="13"/>
    <x v="7"/>
    <n v="89"/>
    <x v="56"/>
    <n v="41"/>
    <s v="Oregon"/>
    <n v="51"/>
    <s v="Multnomah County"/>
    <n v="48"/>
    <n v="77"/>
    <n v="3169"/>
    <n v="34853"/>
    <n v="59701"/>
    <n v="2809622"/>
    <n v="296890"/>
    <n v="555071"/>
    <n v="28914268"/>
    <n v="13089"/>
    <x v="57"/>
    <n v="41051"/>
    <n v="0"/>
    <n v="1"/>
  </r>
  <r>
    <x v="6"/>
    <n v="13"/>
    <x v="7"/>
    <n v="121"/>
    <x v="57"/>
    <n v="41"/>
    <s v="Oregon"/>
    <n v="51"/>
    <s v="Multnomah County"/>
    <n v="60"/>
    <n v="68"/>
    <n v="5405"/>
    <n v="51965"/>
    <n v="84162"/>
    <n v="5772000"/>
    <n v="447977"/>
    <n v="808015"/>
    <n v="79444920"/>
    <n v="13121"/>
    <x v="58"/>
    <n v="41051"/>
    <n v="0"/>
    <n v="1"/>
  </r>
  <r>
    <x v="6"/>
    <n v="13"/>
    <x v="7"/>
    <n v="135"/>
    <x v="174"/>
    <n v="41"/>
    <s v="Oregon"/>
    <n v="51"/>
    <s v="Multnomah County"/>
    <n v="25"/>
    <n v="38"/>
    <n v="1486"/>
    <n v="32251"/>
    <n v="58900"/>
    <n v="2322276"/>
    <n v="367995"/>
    <n v="774433"/>
    <n v="29351580"/>
    <n v="13135"/>
    <x v="188"/>
    <n v="41051"/>
    <n v="0"/>
    <n v="1"/>
  </r>
  <r>
    <x v="6"/>
    <n v="15"/>
    <x v="8"/>
    <n v="1"/>
    <x v="58"/>
    <n v="41"/>
    <s v="Oregon"/>
    <n v="51"/>
    <s v="Multnomah County"/>
    <n v="40"/>
    <n v="64"/>
    <n v="2374"/>
    <n v="3616"/>
    <n v="6230"/>
    <n v="287088"/>
    <n v="79934"/>
    <n v="153602"/>
    <n v="5887021"/>
    <n v="15001"/>
    <x v="59"/>
    <n v="41051"/>
    <n v="0"/>
    <n v="1"/>
  </r>
  <r>
    <x v="6"/>
    <n v="15"/>
    <x v="8"/>
    <n v="3"/>
    <x v="59"/>
    <n v="41"/>
    <s v="Oregon"/>
    <n v="51"/>
    <s v="Multnomah County"/>
    <n v="121"/>
    <n v="204"/>
    <n v="8657"/>
    <n v="23110"/>
    <n v="46256"/>
    <n v="1677784"/>
    <n v="414631"/>
    <n v="792233"/>
    <n v="36654272"/>
    <n v="15003"/>
    <x v="60"/>
    <n v="41051"/>
    <n v="0"/>
    <n v="1"/>
  </r>
  <r>
    <x v="6"/>
    <n v="15"/>
    <x v="8"/>
    <n v="9"/>
    <x v="61"/>
    <n v="41"/>
    <s v="Oregon"/>
    <n v="51"/>
    <s v="Multnomah County"/>
    <n v="35"/>
    <n v="49"/>
    <n v="1845"/>
    <n v="3321"/>
    <n v="5530"/>
    <n v="295034"/>
    <n v="70942"/>
    <n v="132567"/>
    <n v="6083676"/>
    <n v="15009"/>
    <x v="62"/>
    <n v="41051"/>
    <n v="0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2">
  <r>
    <x v="0"/>
    <n v="41"/>
    <s v="Oregon"/>
    <n v="51"/>
    <s v="Multnomah County"/>
    <n v="2"/>
    <x v="0"/>
    <n v="20"/>
    <x v="0"/>
    <n v="45"/>
    <n v="65"/>
    <n v="2004"/>
    <n v="27256"/>
    <n v="45439"/>
    <n v="1565266"/>
    <n v="326949"/>
    <n v="614640"/>
    <n v="24887144"/>
    <n v="41051"/>
    <n v="41051"/>
    <x v="0"/>
    <n v="1"/>
    <n v="0"/>
  </r>
  <r>
    <x v="0"/>
    <n v="41"/>
    <s v="Oregon"/>
    <n v="51"/>
    <s v="Multnomah County"/>
    <n v="4"/>
    <x v="1"/>
    <n v="13"/>
    <x v="1"/>
    <n v="276"/>
    <n v="439"/>
    <n v="15704"/>
    <n v="27256"/>
    <n v="45439"/>
    <n v="1565266"/>
    <n v="326949"/>
    <n v="614640"/>
    <n v="24887144"/>
    <n v="41051"/>
    <n v="41051"/>
    <x v="1"/>
    <n v="1"/>
    <n v="0"/>
  </r>
  <r>
    <x v="0"/>
    <n v="41"/>
    <s v="Oregon"/>
    <n v="51"/>
    <s v="Multnomah County"/>
    <n v="4"/>
    <x v="1"/>
    <n v="19"/>
    <x v="2"/>
    <n v="90"/>
    <n v="117"/>
    <n v="4583"/>
    <n v="27256"/>
    <n v="45439"/>
    <n v="1565266"/>
    <n v="326949"/>
    <n v="614640"/>
    <n v="24887144"/>
    <n v="41051"/>
    <n v="41051"/>
    <x v="2"/>
    <n v="1"/>
    <n v="0"/>
  </r>
  <r>
    <x v="0"/>
    <n v="41"/>
    <s v="Oregon"/>
    <n v="51"/>
    <s v="Multnomah County"/>
    <n v="4"/>
    <x v="1"/>
    <n v="21"/>
    <x v="3"/>
    <n v="29"/>
    <n v="66"/>
    <n v="1369"/>
    <n v="27256"/>
    <n v="45439"/>
    <n v="1565266"/>
    <n v="326949"/>
    <n v="614640"/>
    <n v="24887144"/>
    <n v="41051"/>
    <n v="41051"/>
    <x v="3"/>
    <n v="1"/>
    <n v="0"/>
  </r>
  <r>
    <x v="0"/>
    <n v="41"/>
    <s v="Oregon"/>
    <n v="51"/>
    <s v="Multnomah County"/>
    <n v="6"/>
    <x v="2"/>
    <n v="1"/>
    <x v="4"/>
    <n v="152"/>
    <n v="186"/>
    <n v="8567"/>
    <n v="27256"/>
    <n v="45439"/>
    <n v="1565266"/>
    <n v="326949"/>
    <n v="614640"/>
    <n v="24887144"/>
    <n v="41051"/>
    <n v="41051"/>
    <x v="4"/>
    <n v="1"/>
    <n v="0"/>
  </r>
  <r>
    <x v="0"/>
    <n v="41"/>
    <s v="Oregon"/>
    <n v="51"/>
    <s v="Multnomah County"/>
    <n v="6"/>
    <x v="2"/>
    <n v="13"/>
    <x v="5"/>
    <n v="61"/>
    <n v="89"/>
    <n v="3601"/>
    <n v="27256"/>
    <n v="45439"/>
    <n v="1565266"/>
    <n v="326949"/>
    <n v="614640"/>
    <n v="24887144"/>
    <n v="41051"/>
    <n v="41051"/>
    <x v="5"/>
    <n v="1"/>
    <n v="0"/>
  </r>
  <r>
    <x v="0"/>
    <n v="41"/>
    <s v="Oregon"/>
    <n v="51"/>
    <s v="Multnomah County"/>
    <n v="6"/>
    <x v="2"/>
    <n v="19"/>
    <x v="6"/>
    <n v="40"/>
    <n v="73"/>
    <n v="1176"/>
    <n v="27256"/>
    <n v="45439"/>
    <n v="1565266"/>
    <n v="326949"/>
    <n v="614640"/>
    <n v="24887144"/>
    <n v="41051"/>
    <n v="41051"/>
    <x v="6"/>
    <n v="1"/>
    <n v="0"/>
  </r>
  <r>
    <x v="0"/>
    <n v="41"/>
    <s v="Oregon"/>
    <n v="51"/>
    <s v="Multnomah County"/>
    <n v="6"/>
    <x v="2"/>
    <n v="23"/>
    <x v="7"/>
    <n v="25"/>
    <n v="33"/>
    <n v="704"/>
    <n v="27256"/>
    <n v="45439"/>
    <n v="1565266"/>
    <n v="326949"/>
    <n v="614640"/>
    <n v="24887144"/>
    <n v="41051"/>
    <n v="41051"/>
    <x v="7"/>
    <n v="1"/>
    <n v="0"/>
  </r>
  <r>
    <x v="0"/>
    <n v="41"/>
    <s v="Oregon"/>
    <n v="51"/>
    <s v="Multnomah County"/>
    <n v="6"/>
    <x v="2"/>
    <n v="29"/>
    <x v="8"/>
    <n v="22"/>
    <n v="45"/>
    <n v="929"/>
    <n v="27256"/>
    <n v="45439"/>
    <n v="1565266"/>
    <n v="326949"/>
    <n v="614640"/>
    <n v="24887144"/>
    <n v="41051"/>
    <n v="41051"/>
    <x v="8"/>
    <n v="1"/>
    <n v="0"/>
  </r>
  <r>
    <x v="0"/>
    <n v="41"/>
    <s v="Oregon"/>
    <n v="51"/>
    <s v="Multnomah County"/>
    <n v="6"/>
    <x v="2"/>
    <n v="37"/>
    <x v="9"/>
    <n v="472"/>
    <n v="629"/>
    <n v="24302"/>
    <n v="27256"/>
    <n v="45439"/>
    <n v="1565266"/>
    <n v="326949"/>
    <n v="614640"/>
    <n v="24887144"/>
    <n v="41051"/>
    <n v="41051"/>
    <x v="9"/>
    <n v="1"/>
    <n v="0"/>
  </r>
  <r>
    <x v="0"/>
    <n v="41"/>
    <s v="Oregon"/>
    <n v="51"/>
    <s v="Multnomah County"/>
    <n v="6"/>
    <x v="2"/>
    <n v="41"/>
    <x v="10"/>
    <n v="30"/>
    <n v="48"/>
    <n v="2945"/>
    <n v="27256"/>
    <n v="45439"/>
    <n v="1565266"/>
    <n v="326949"/>
    <n v="614640"/>
    <n v="24887144"/>
    <n v="41051"/>
    <n v="41051"/>
    <x v="10"/>
    <n v="1"/>
    <n v="0"/>
  </r>
  <r>
    <x v="0"/>
    <n v="41"/>
    <s v="Oregon"/>
    <n v="51"/>
    <s v="Multnomah County"/>
    <n v="6"/>
    <x v="2"/>
    <n v="53"/>
    <x v="11"/>
    <n v="23"/>
    <n v="29"/>
    <n v="1429"/>
    <n v="27256"/>
    <n v="45439"/>
    <n v="1565266"/>
    <n v="326949"/>
    <n v="614640"/>
    <n v="24887144"/>
    <n v="41051"/>
    <n v="41051"/>
    <x v="11"/>
    <n v="1"/>
    <n v="0"/>
  </r>
  <r>
    <x v="0"/>
    <n v="41"/>
    <s v="Oregon"/>
    <n v="51"/>
    <s v="Multnomah County"/>
    <n v="6"/>
    <x v="2"/>
    <n v="59"/>
    <x v="12"/>
    <n v="121"/>
    <n v="185"/>
    <n v="7058"/>
    <n v="27256"/>
    <n v="45439"/>
    <n v="1565266"/>
    <n v="326949"/>
    <n v="614640"/>
    <n v="24887144"/>
    <n v="41051"/>
    <n v="41051"/>
    <x v="12"/>
    <n v="1"/>
    <n v="0"/>
  </r>
  <r>
    <x v="0"/>
    <n v="41"/>
    <s v="Oregon"/>
    <n v="51"/>
    <s v="Multnomah County"/>
    <n v="6"/>
    <x v="2"/>
    <n v="61"/>
    <x v="13"/>
    <n v="23"/>
    <n v="35"/>
    <n v="1425"/>
    <n v="27256"/>
    <n v="45439"/>
    <n v="1565266"/>
    <n v="326949"/>
    <n v="614640"/>
    <n v="24887144"/>
    <n v="41051"/>
    <n v="41051"/>
    <x v="13"/>
    <n v="1"/>
    <n v="0"/>
  </r>
  <r>
    <x v="0"/>
    <n v="41"/>
    <s v="Oregon"/>
    <n v="51"/>
    <s v="Multnomah County"/>
    <n v="6"/>
    <x v="2"/>
    <n v="65"/>
    <x v="14"/>
    <n v="72"/>
    <n v="111"/>
    <n v="3879"/>
    <n v="27256"/>
    <n v="45439"/>
    <n v="1565266"/>
    <n v="326949"/>
    <n v="614640"/>
    <n v="24887144"/>
    <n v="41051"/>
    <n v="41051"/>
    <x v="14"/>
    <n v="1"/>
    <n v="0"/>
  </r>
  <r>
    <x v="0"/>
    <n v="41"/>
    <s v="Oregon"/>
    <n v="51"/>
    <s v="Multnomah County"/>
    <n v="6"/>
    <x v="2"/>
    <n v="67"/>
    <x v="15"/>
    <n v="92"/>
    <n v="170"/>
    <n v="4183"/>
    <n v="27256"/>
    <n v="45439"/>
    <n v="1565266"/>
    <n v="326949"/>
    <n v="614640"/>
    <n v="24887144"/>
    <n v="41051"/>
    <n v="41051"/>
    <x v="15"/>
    <n v="1"/>
    <n v="0"/>
  </r>
  <r>
    <x v="0"/>
    <n v="41"/>
    <s v="Oregon"/>
    <n v="51"/>
    <s v="Multnomah County"/>
    <n v="6"/>
    <x v="2"/>
    <n v="71"/>
    <x v="16"/>
    <n v="49"/>
    <n v="97"/>
    <n v="2977"/>
    <n v="27256"/>
    <n v="45439"/>
    <n v="1565266"/>
    <n v="326949"/>
    <n v="614640"/>
    <n v="24887144"/>
    <n v="41051"/>
    <n v="41051"/>
    <x v="16"/>
    <n v="1"/>
    <n v="0"/>
  </r>
  <r>
    <x v="0"/>
    <n v="41"/>
    <s v="Oregon"/>
    <n v="51"/>
    <s v="Multnomah County"/>
    <n v="6"/>
    <x v="2"/>
    <n v="73"/>
    <x v="17"/>
    <n v="217"/>
    <n v="326"/>
    <n v="11604"/>
    <n v="27256"/>
    <n v="45439"/>
    <n v="1565266"/>
    <n v="326949"/>
    <n v="614640"/>
    <n v="24887144"/>
    <n v="41051"/>
    <n v="41051"/>
    <x v="17"/>
    <n v="1"/>
    <n v="0"/>
  </r>
  <r>
    <x v="0"/>
    <n v="41"/>
    <s v="Oregon"/>
    <n v="51"/>
    <s v="Multnomah County"/>
    <n v="6"/>
    <x v="2"/>
    <n v="75"/>
    <x v="18"/>
    <n v="170"/>
    <n v="198"/>
    <n v="15375"/>
    <n v="27256"/>
    <n v="45439"/>
    <n v="1565266"/>
    <n v="326949"/>
    <n v="614640"/>
    <n v="24887144"/>
    <n v="41051"/>
    <n v="41051"/>
    <x v="18"/>
    <n v="1"/>
    <n v="0"/>
  </r>
  <r>
    <x v="0"/>
    <n v="41"/>
    <s v="Oregon"/>
    <n v="51"/>
    <s v="Multnomah County"/>
    <n v="6"/>
    <x v="2"/>
    <n v="79"/>
    <x v="19"/>
    <n v="30"/>
    <n v="41"/>
    <n v="1389"/>
    <n v="27256"/>
    <n v="45439"/>
    <n v="1565266"/>
    <n v="326949"/>
    <n v="614640"/>
    <n v="24887144"/>
    <n v="41051"/>
    <n v="41051"/>
    <x v="19"/>
    <n v="1"/>
    <n v="0"/>
  </r>
  <r>
    <x v="0"/>
    <n v="41"/>
    <s v="Oregon"/>
    <n v="51"/>
    <s v="Multnomah County"/>
    <n v="6"/>
    <x v="2"/>
    <n v="81"/>
    <x v="20"/>
    <n v="43"/>
    <n v="58"/>
    <n v="4550"/>
    <n v="27256"/>
    <n v="45439"/>
    <n v="1565266"/>
    <n v="326949"/>
    <n v="614640"/>
    <n v="24887144"/>
    <n v="41051"/>
    <n v="41051"/>
    <x v="20"/>
    <n v="1"/>
    <n v="0"/>
  </r>
  <r>
    <x v="0"/>
    <n v="41"/>
    <s v="Oregon"/>
    <n v="51"/>
    <s v="Multnomah County"/>
    <n v="6"/>
    <x v="2"/>
    <n v="83"/>
    <x v="21"/>
    <n v="31"/>
    <n v="44"/>
    <n v="1348"/>
    <n v="27256"/>
    <n v="45439"/>
    <n v="1565266"/>
    <n v="326949"/>
    <n v="614640"/>
    <n v="24887144"/>
    <n v="41051"/>
    <n v="41051"/>
    <x v="21"/>
    <n v="1"/>
    <n v="0"/>
  </r>
  <r>
    <x v="0"/>
    <n v="41"/>
    <s v="Oregon"/>
    <n v="51"/>
    <s v="Multnomah County"/>
    <n v="6"/>
    <x v="2"/>
    <n v="85"/>
    <x v="22"/>
    <n v="114"/>
    <n v="170"/>
    <n v="13876"/>
    <n v="27256"/>
    <n v="45439"/>
    <n v="1565266"/>
    <n v="326949"/>
    <n v="614640"/>
    <n v="24887144"/>
    <n v="41051"/>
    <n v="41051"/>
    <x v="22"/>
    <n v="1"/>
    <n v="0"/>
  </r>
  <r>
    <x v="0"/>
    <n v="41"/>
    <s v="Oregon"/>
    <n v="51"/>
    <s v="Multnomah County"/>
    <n v="6"/>
    <x v="2"/>
    <n v="87"/>
    <x v="23"/>
    <n v="27"/>
    <n v="35"/>
    <n v="1071"/>
    <n v="27256"/>
    <n v="45439"/>
    <n v="1565266"/>
    <n v="326949"/>
    <n v="614640"/>
    <n v="24887144"/>
    <n v="41051"/>
    <n v="41051"/>
    <x v="23"/>
    <n v="1"/>
    <n v="0"/>
  </r>
  <r>
    <x v="0"/>
    <n v="41"/>
    <s v="Oregon"/>
    <n v="51"/>
    <s v="Multnomah County"/>
    <n v="6"/>
    <x v="2"/>
    <n v="89"/>
    <x v="24"/>
    <n v="22"/>
    <n v="35"/>
    <n v="489"/>
    <n v="27256"/>
    <n v="45439"/>
    <n v="1565266"/>
    <n v="326949"/>
    <n v="614640"/>
    <n v="24887144"/>
    <n v="41051"/>
    <n v="41051"/>
    <x v="24"/>
    <n v="1"/>
    <n v="0"/>
  </r>
  <r>
    <x v="0"/>
    <n v="41"/>
    <s v="Oregon"/>
    <n v="51"/>
    <s v="Multnomah County"/>
    <n v="6"/>
    <x v="2"/>
    <n v="97"/>
    <x v="25"/>
    <n v="41"/>
    <n v="59"/>
    <n v="1795"/>
    <n v="27256"/>
    <n v="45439"/>
    <n v="1565266"/>
    <n v="326949"/>
    <n v="614640"/>
    <n v="24887144"/>
    <n v="41051"/>
    <n v="41051"/>
    <x v="25"/>
    <n v="1"/>
    <n v="0"/>
  </r>
  <r>
    <x v="0"/>
    <n v="41"/>
    <s v="Oregon"/>
    <n v="51"/>
    <s v="Multnomah County"/>
    <n v="6"/>
    <x v="2"/>
    <n v="111"/>
    <x v="26"/>
    <n v="38"/>
    <n v="62"/>
    <n v="1786"/>
    <n v="27256"/>
    <n v="45439"/>
    <n v="1565266"/>
    <n v="326949"/>
    <n v="614640"/>
    <n v="24887144"/>
    <n v="41051"/>
    <n v="41051"/>
    <x v="26"/>
    <n v="1"/>
    <n v="0"/>
  </r>
  <r>
    <x v="0"/>
    <n v="41"/>
    <s v="Oregon"/>
    <n v="51"/>
    <s v="Multnomah County"/>
    <n v="8"/>
    <x v="3"/>
    <n v="5"/>
    <x v="27"/>
    <n v="29"/>
    <n v="43"/>
    <n v="1257"/>
    <n v="27256"/>
    <n v="45439"/>
    <n v="1565266"/>
    <n v="326949"/>
    <n v="614640"/>
    <n v="24887144"/>
    <n v="41051"/>
    <n v="41051"/>
    <x v="27"/>
    <n v="1"/>
    <n v="0"/>
  </r>
  <r>
    <x v="0"/>
    <n v="41"/>
    <s v="Oregon"/>
    <n v="51"/>
    <s v="Multnomah County"/>
    <n v="8"/>
    <x v="3"/>
    <n v="13"/>
    <x v="28"/>
    <n v="41"/>
    <n v="56"/>
    <n v="2145"/>
    <n v="27256"/>
    <n v="45439"/>
    <n v="1565266"/>
    <n v="326949"/>
    <n v="614640"/>
    <n v="24887144"/>
    <n v="41051"/>
    <n v="41051"/>
    <x v="28"/>
    <n v="1"/>
    <n v="0"/>
  </r>
  <r>
    <x v="0"/>
    <n v="41"/>
    <s v="Oregon"/>
    <n v="51"/>
    <s v="Multnomah County"/>
    <n v="8"/>
    <x v="3"/>
    <n v="31"/>
    <x v="29"/>
    <n v="99"/>
    <n v="139"/>
    <n v="7447"/>
    <n v="27256"/>
    <n v="45439"/>
    <n v="1565266"/>
    <n v="326949"/>
    <n v="614640"/>
    <n v="24887144"/>
    <n v="41051"/>
    <n v="41051"/>
    <x v="29"/>
    <n v="1"/>
    <n v="0"/>
  </r>
  <r>
    <x v="0"/>
    <n v="41"/>
    <s v="Oregon"/>
    <n v="51"/>
    <s v="Multnomah County"/>
    <n v="8"/>
    <x v="3"/>
    <n v="41"/>
    <x v="30"/>
    <n v="32"/>
    <n v="48"/>
    <n v="1585"/>
    <n v="27256"/>
    <n v="45439"/>
    <n v="1565266"/>
    <n v="326949"/>
    <n v="614640"/>
    <n v="24887144"/>
    <n v="41051"/>
    <n v="41051"/>
    <x v="30"/>
    <n v="1"/>
    <n v="0"/>
  </r>
  <r>
    <x v="0"/>
    <n v="41"/>
    <s v="Oregon"/>
    <n v="51"/>
    <s v="Multnomah County"/>
    <n v="8"/>
    <x v="3"/>
    <n v="59"/>
    <x v="31"/>
    <n v="42"/>
    <n v="54"/>
    <n v="2384"/>
    <n v="27256"/>
    <n v="45439"/>
    <n v="1565266"/>
    <n v="326949"/>
    <n v="614640"/>
    <n v="24887144"/>
    <n v="41051"/>
    <n v="41051"/>
    <x v="31"/>
    <n v="1"/>
    <n v="0"/>
  </r>
  <r>
    <x v="0"/>
    <n v="41"/>
    <s v="Oregon"/>
    <n v="51"/>
    <s v="Multnomah County"/>
    <n v="8"/>
    <x v="3"/>
    <n v="69"/>
    <x v="32"/>
    <n v="27"/>
    <n v="38"/>
    <n v="1346"/>
    <n v="27256"/>
    <n v="45439"/>
    <n v="1565266"/>
    <n v="326949"/>
    <n v="614640"/>
    <n v="24887144"/>
    <n v="41051"/>
    <n v="41051"/>
    <x v="32"/>
    <n v="1"/>
    <n v="0"/>
  </r>
  <r>
    <x v="0"/>
    <n v="41"/>
    <s v="Oregon"/>
    <n v="51"/>
    <s v="Multnomah County"/>
    <n v="9"/>
    <x v="4"/>
    <n v="9"/>
    <x v="33"/>
    <n v="20"/>
    <n v="23"/>
    <n v="833"/>
    <n v="27256"/>
    <n v="45439"/>
    <n v="1565266"/>
    <n v="326949"/>
    <n v="614640"/>
    <n v="24887144"/>
    <n v="41051"/>
    <n v="41051"/>
    <x v="33"/>
    <n v="1"/>
    <n v="0"/>
  </r>
  <r>
    <x v="0"/>
    <n v="41"/>
    <s v="Oregon"/>
    <n v="51"/>
    <s v="Multnomah County"/>
    <n v="11"/>
    <x v="5"/>
    <n v="1"/>
    <x v="34"/>
    <n v="64"/>
    <n v="76"/>
    <n v="5880"/>
    <n v="27256"/>
    <n v="45439"/>
    <n v="1565266"/>
    <n v="326949"/>
    <n v="614640"/>
    <n v="24887144"/>
    <n v="41051"/>
    <n v="41051"/>
    <x v="34"/>
    <n v="1"/>
    <n v="0"/>
  </r>
  <r>
    <x v="0"/>
    <n v="41"/>
    <s v="Oregon"/>
    <n v="51"/>
    <s v="Multnomah County"/>
    <n v="12"/>
    <x v="6"/>
    <n v="57"/>
    <x v="35"/>
    <n v="21"/>
    <n v="47"/>
    <n v="708"/>
    <n v="27256"/>
    <n v="45439"/>
    <n v="1565266"/>
    <n v="326949"/>
    <n v="614640"/>
    <n v="24887144"/>
    <n v="41051"/>
    <n v="41051"/>
    <x v="35"/>
    <n v="1"/>
    <n v="0"/>
  </r>
  <r>
    <x v="0"/>
    <n v="41"/>
    <s v="Oregon"/>
    <n v="51"/>
    <s v="Multnomah County"/>
    <n v="12"/>
    <x v="6"/>
    <n v="86"/>
    <x v="36"/>
    <n v="56"/>
    <n v="86"/>
    <n v="2732"/>
    <n v="27256"/>
    <n v="45439"/>
    <n v="1565266"/>
    <n v="326949"/>
    <n v="614640"/>
    <n v="24887144"/>
    <n v="41051"/>
    <n v="41051"/>
    <x v="36"/>
    <n v="1"/>
    <n v="0"/>
  </r>
  <r>
    <x v="0"/>
    <n v="41"/>
    <s v="Oregon"/>
    <n v="51"/>
    <s v="Multnomah County"/>
    <n v="12"/>
    <x v="6"/>
    <n v="95"/>
    <x v="12"/>
    <n v="30"/>
    <n v="49"/>
    <n v="1354"/>
    <n v="27256"/>
    <n v="45439"/>
    <n v="1565266"/>
    <n v="326949"/>
    <n v="614640"/>
    <n v="24887144"/>
    <n v="41051"/>
    <n v="41051"/>
    <x v="37"/>
    <n v="1"/>
    <n v="0"/>
  </r>
  <r>
    <x v="0"/>
    <n v="41"/>
    <s v="Oregon"/>
    <n v="51"/>
    <s v="Multnomah County"/>
    <n v="12"/>
    <x v="6"/>
    <n v="99"/>
    <x v="37"/>
    <n v="29"/>
    <n v="43"/>
    <n v="1226"/>
    <n v="27256"/>
    <n v="45439"/>
    <n v="1565266"/>
    <n v="326949"/>
    <n v="614640"/>
    <n v="24887144"/>
    <n v="41051"/>
    <n v="41051"/>
    <x v="38"/>
    <n v="1"/>
    <n v="0"/>
  </r>
  <r>
    <x v="0"/>
    <n v="41"/>
    <s v="Oregon"/>
    <n v="51"/>
    <s v="Multnomah County"/>
    <n v="12"/>
    <x v="6"/>
    <n v="103"/>
    <x v="38"/>
    <n v="22"/>
    <n v="36"/>
    <n v="1024"/>
    <n v="27256"/>
    <n v="45439"/>
    <n v="1565266"/>
    <n v="326949"/>
    <n v="614640"/>
    <n v="24887144"/>
    <n v="41051"/>
    <n v="41051"/>
    <x v="39"/>
    <n v="1"/>
    <n v="0"/>
  </r>
  <r>
    <x v="0"/>
    <n v="41"/>
    <s v="Oregon"/>
    <n v="51"/>
    <s v="Multnomah County"/>
    <n v="13"/>
    <x v="7"/>
    <n v="89"/>
    <x v="39"/>
    <n v="24"/>
    <n v="29"/>
    <n v="795"/>
    <n v="27256"/>
    <n v="45439"/>
    <n v="1565266"/>
    <n v="326949"/>
    <n v="614640"/>
    <n v="24887144"/>
    <n v="41051"/>
    <n v="41051"/>
    <x v="40"/>
    <n v="1"/>
    <n v="0"/>
  </r>
  <r>
    <x v="0"/>
    <n v="41"/>
    <s v="Oregon"/>
    <n v="51"/>
    <s v="Multnomah County"/>
    <n v="13"/>
    <x v="7"/>
    <n v="121"/>
    <x v="40"/>
    <n v="31"/>
    <n v="41"/>
    <n v="3296"/>
    <n v="27256"/>
    <n v="45439"/>
    <n v="1565266"/>
    <n v="326949"/>
    <n v="614640"/>
    <n v="24887144"/>
    <n v="41051"/>
    <n v="41051"/>
    <x v="41"/>
    <n v="1"/>
    <n v="0"/>
  </r>
  <r>
    <x v="0"/>
    <n v="41"/>
    <s v="Oregon"/>
    <n v="51"/>
    <s v="Multnomah County"/>
    <n v="15"/>
    <x v="8"/>
    <n v="1"/>
    <x v="41"/>
    <n v="43"/>
    <n v="76"/>
    <n v="2095"/>
    <n v="27256"/>
    <n v="45439"/>
    <n v="1565266"/>
    <n v="326949"/>
    <n v="614640"/>
    <n v="24887144"/>
    <n v="41051"/>
    <n v="41051"/>
    <x v="42"/>
    <n v="1"/>
    <n v="0"/>
  </r>
  <r>
    <x v="0"/>
    <n v="41"/>
    <s v="Oregon"/>
    <n v="51"/>
    <s v="Multnomah County"/>
    <n v="15"/>
    <x v="8"/>
    <n v="3"/>
    <x v="42"/>
    <n v="72"/>
    <n v="112"/>
    <n v="2808"/>
    <n v="27256"/>
    <n v="45439"/>
    <n v="1565266"/>
    <n v="326949"/>
    <n v="614640"/>
    <n v="24887144"/>
    <n v="41051"/>
    <n v="41051"/>
    <x v="43"/>
    <n v="1"/>
    <n v="0"/>
  </r>
  <r>
    <x v="0"/>
    <n v="41"/>
    <s v="Oregon"/>
    <n v="51"/>
    <s v="Multnomah County"/>
    <n v="15"/>
    <x v="8"/>
    <n v="9"/>
    <x v="43"/>
    <n v="39"/>
    <n v="56"/>
    <n v="2041"/>
    <n v="27256"/>
    <n v="45439"/>
    <n v="1565266"/>
    <n v="326949"/>
    <n v="614640"/>
    <n v="24887144"/>
    <n v="41051"/>
    <n v="41051"/>
    <x v="44"/>
    <n v="1"/>
    <n v="0"/>
  </r>
  <r>
    <x v="0"/>
    <n v="41"/>
    <s v="Oregon"/>
    <n v="51"/>
    <s v="Multnomah County"/>
    <n v="16"/>
    <x v="9"/>
    <n v="1"/>
    <x v="44"/>
    <n v="104"/>
    <n v="175"/>
    <n v="4799"/>
    <n v="27256"/>
    <n v="45439"/>
    <n v="1565266"/>
    <n v="326949"/>
    <n v="614640"/>
    <n v="24887144"/>
    <n v="41051"/>
    <n v="41051"/>
    <x v="45"/>
    <n v="1"/>
    <n v="0"/>
  </r>
  <r>
    <x v="0"/>
    <n v="41"/>
    <s v="Oregon"/>
    <n v="51"/>
    <s v="Multnomah County"/>
    <n v="16"/>
    <x v="9"/>
    <n v="27"/>
    <x v="45"/>
    <n v="32"/>
    <n v="59"/>
    <n v="1324"/>
    <n v="27256"/>
    <n v="45439"/>
    <n v="1565266"/>
    <n v="326949"/>
    <n v="614640"/>
    <n v="24887144"/>
    <n v="41051"/>
    <n v="41051"/>
    <x v="46"/>
    <n v="1"/>
    <n v="0"/>
  </r>
  <r>
    <x v="0"/>
    <n v="41"/>
    <s v="Oregon"/>
    <n v="51"/>
    <s v="Multnomah County"/>
    <n v="16"/>
    <x v="9"/>
    <n v="55"/>
    <x v="46"/>
    <n v="24"/>
    <n v="50"/>
    <n v="885"/>
    <n v="27256"/>
    <n v="45439"/>
    <n v="1565266"/>
    <n v="326949"/>
    <n v="614640"/>
    <n v="24887144"/>
    <n v="41051"/>
    <n v="41051"/>
    <x v="47"/>
    <n v="1"/>
    <n v="0"/>
  </r>
  <r>
    <x v="0"/>
    <n v="41"/>
    <s v="Oregon"/>
    <n v="51"/>
    <s v="Multnomah County"/>
    <n v="17"/>
    <x v="10"/>
    <n v="31"/>
    <x v="47"/>
    <n v="148"/>
    <n v="188"/>
    <n v="8062"/>
    <n v="27256"/>
    <n v="45439"/>
    <n v="1565266"/>
    <n v="326949"/>
    <n v="614640"/>
    <n v="24887144"/>
    <n v="41051"/>
    <n v="41051"/>
    <x v="48"/>
    <n v="1"/>
    <n v="0"/>
  </r>
  <r>
    <x v="0"/>
    <n v="41"/>
    <s v="Oregon"/>
    <n v="51"/>
    <s v="Multnomah County"/>
    <n v="18"/>
    <x v="11"/>
    <n v="97"/>
    <x v="48"/>
    <n v="20"/>
    <n v="25"/>
    <n v="880"/>
    <n v="27256"/>
    <n v="45439"/>
    <n v="1565266"/>
    <n v="326949"/>
    <n v="614640"/>
    <n v="24887144"/>
    <n v="41051"/>
    <n v="41051"/>
    <x v="49"/>
    <n v="1"/>
    <n v="0"/>
  </r>
  <r>
    <x v="0"/>
    <n v="41"/>
    <s v="Oregon"/>
    <n v="51"/>
    <s v="Multnomah County"/>
    <n v="19"/>
    <x v="12"/>
    <n v="153"/>
    <x v="49"/>
    <n v="21"/>
    <n v="24"/>
    <n v="547"/>
    <n v="27256"/>
    <n v="45439"/>
    <n v="1565266"/>
    <n v="326949"/>
    <n v="614640"/>
    <n v="24887144"/>
    <n v="41051"/>
    <n v="41051"/>
    <x v="50"/>
    <n v="1"/>
    <n v="0"/>
  </r>
  <r>
    <x v="0"/>
    <n v="41"/>
    <s v="Oregon"/>
    <n v="51"/>
    <s v="Multnomah County"/>
    <n v="22"/>
    <x v="13"/>
    <n v="71"/>
    <x v="50"/>
    <n v="37"/>
    <n v="44"/>
    <n v="1878"/>
    <n v="27256"/>
    <n v="45439"/>
    <n v="1565266"/>
    <n v="326949"/>
    <n v="614640"/>
    <n v="24887144"/>
    <n v="41051"/>
    <n v="41051"/>
    <x v="51"/>
    <n v="1"/>
    <n v="0"/>
  </r>
  <r>
    <x v="0"/>
    <n v="41"/>
    <s v="Oregon"/>
    <n v="51"/>
    <s v="Multnomah County"/>
    <n v="23"/>
    <x v="14"/>
    <n v="5"/>
    <x v="51"/>
    <n v="21"/>
    <n v="37"/>
    <n v="1344"/>
    <n v="27256"/>
    <n v="45439"/>
    <n v="1565266"/>
    <n v="326949"/>
    <n v="614640"/>
    <n v="24887144"/>
    <n v="41051"/>
    <n v="41051"/>
    <x v="52"/>
    <n v="1"/>
    <n v="0"/>
  </r>
  <r>
    <x v="0"/>
    <n v="41"/>
    <s v="Oregon"/>
    <n v="51"/>
    <s v="Multnomah County"/>
    <n v="24"/>
    <x v="15"/>
    <n v="31"/>
    <x v="52"/>
    <n v="23"/>
    <n v="42"/>
    <n v="1858"/>
    <n v="27256"/>
    <n v="45439"/>
    <n v="1565266"/>
    <n v="326949"/>
    <n v="614640"/>
    <n v="24887144"/>
    <n v="41051"/>
    <n v="41051"/>
    <x v="53"/>
    <n v="1"/>
    <n v="0"/>
  </r>
  <r>
    <x v="0"/>
    <n v="41"/>
    <s v="Oregon"/>
    <n v="51"/>
    <s v="Multnomah County"/>
    <n v="25"/>
    <x v="16"/>
    <n v="17"/>
    <x v="53"/>
    <n v="52"/>
    <n v="85"/>
    <n v="4576"/>
    <n v="27256"/>
    <n v="45439"/>
    <n v="1565266"/>
    <n v="326949"/>
    <n v="614640"/>
    <n v="24887144"/>
    <n v="41051"/>
    <n v="41051"/>
    <x v="54"/>
    <n v="1"/>
    <n v="0"/>
  </r>
  <r>
    <x v="0"/>
    <n v="41"/>
    <s v="Oregon"/>
    <n v="51"/>
    <s v="Multnomah County"/>
    <n v="25"/>
    <x v="16"/>
    <n v="25"/>
    <x v="54"/>
    <n v="58"/>
    <n v="62"/>
    <n v="2727"/>
    <n v="27256"/>
    <n v="45439"/>
    <n v="1565266"/>
    <n v="326949"/>
    <n v="614640"/>
    <n v="24887144"/>
    <n v="41051"/>
    <n v="41051"/>
    <x v="55"/>
    <n v="1"/>
    <n v="0"/>
  </r>
  <r>
    <x v="0"/>
    <n v="41"/>
    <s v="Oregon"/>
    <n v="51"/>
    <s v="Multnomah County"/>
    <n v="26"/>
    <x v="17"/>
    <n v="161"/>
    <x v="55"/>
    <n v="21"/>
    <n v="34"/>
    <n v="1220"/>
    <n v="27256"/>
    <n v="45439"/>
    <n v="1565266"/>
    <n v="326949"/>
    <n v="614640"/>
    <n v="24887144"/>
    <n v="41051"/>
    <n v="41051"/>
    <x v="56"/>
    <n v="1"/>
    <n v="0"/>
  </r>
  <r>
    <x v="0"/>
    <n v="41"/>
    <s v="Oregon"/>
    <n v="51"/>
    <s v="Multnomah County"/>
    <n v="27"/>
    <x v="18"/>
    <n v="53"/>
    <x v="56"/>
    <n v="80"/>
    <n v="127"/>
    <n v="4000"/>
    <n v="27256"/>
    <n v="45439"/>
    <n v="1565266"/>
    <n v="326949"/>
    <n v="614640"/>
    <n v="24887144"/>
    <n v="41051"/>
    <n v="41051"/>
    <x v="57"/>
    <n v="1"/>
    <n v="0"/>
  </r>
  <r>
    <x v="0"/>
    <n v="41"/>
    <s v="Oregon"/>
    <n v="51"/>
    <s v="Multnomah County"/>
    <n v="27"/>
    <x v="18"/>
    <n v="123"/>
    <x v="57"/>
    <n v="23"/>
    <n v="38"/>
    <n v="1444"/>
    <n v="27256"/>
    <n v="45439"/>
    <n v="1565266"/>
    <n v="326949"/>
    <n v="614640"/>
    <n v="24887144"/>
    <n v="41051"/>
    <n v="41051"/>
    <x v="58"/>
    <n v="1"/>
    <n v="0"/>
  </r>
  <r>
    <x v="0"/>
    <n v="41"/>
    <s v="Oregon"/>
    <n v="51"/>
    <s v="Multnomah County"/>
    <n v="30"/>
    <x v="19"/>
    <n v="31"/>
    <x v="58"/>
    <n v="24"/>
    <n v="31"/>
    <n v="1591"/>
    <n v="27256"/>
    <n v="45439"/>
    <n v="1565266"/>
    <n v="326949"/>
    <n v="614640"/>
    <n v="24887144"/>
    <n v="41051"/>
    <n v="41051"/>
    <x v="59"/>
    <n v="1"/>
    <n v="0"/>
  </r>
  <r>
    <x v="0"/>
    <n v="41"/>
    <s v="Oregon"/>
    <n v="51"/>
    <s v="Multnomah County"/>
    <n v="30"/>
    <x v="19"/>
    <n v="63"/>
    <x v="59"/>
    <n v="56"/>
    <n v="75"/>
    <n v="2078"/>
    <n v="27256"/>
    <n v="45439"/>
    <n v="1565266"/>
    <n v="326949"/>
    <n v="614640"/>
    <n v="24887144"/>
    <n v="41051"/>
    <n v="41051"/>
    <x v="60"/>
    <n v="1"/>
    <n v="0"/>
  </r>
  <r>
    <x v="0"/>
    <n v="41"/>
    <s v="Oregon"/>
    <n v="51"/>
    <s v="Multnomah County"/>
    <n v="30"/>
    <x v="19"/>
    <n v="111"/>
    <x v="60"/>
    <n v="21"/>
    <n v="45"/>
    <n v="801"/>
    <n v="27256"/>
    <n v="45439"/>
    <n v="1565266"/>
    <n v="326949"/>
    <n v="614640"/>
    <n v="24887144"/>
    <n v="41051"/>
    <n v="41051"/>
    <x v="61"/>
    <n v="1"/>
    <n v="0"/>
  </r>
  <r>
    <x v="0"/>
    <n v="41"/>
    <s v="Oregon"/>
    <n v="51"/>
    <s v="Multnomah County"/>
    <n v="32"/>
    <x v="20"/>
    <n v="3"/>
    <x v="61"/>
    <n v="146"/>
    <n v="234"/>
    <n v="6380"/>
    <n v="27256"/>
    <n v="45439"/>
    <n v="1565266"/>
    <n v="326949"/>
    <n v="614640"/>
    <n v="24887144"/>
    <n v="41051"/>
    <n v="41051"/>
    <x v="62"/>
    <n v="1"/>
    <n v="0"/>
  </r>
  <r>
    <x v="0"/>
    <n v="41"/>
    <s v="Oregon"/>
    <n v="51"/>
    <s v="Multnomah County"/>
    <n v="32"/>
    <x v="20"/>
    <n v="31"/>
    <x v="62"/>
    <n v="51"/>
    <n v="77"/>
    <n v="2950"/>
    <n v="27256"/>
    <n v="45439"/>
    <n v="1565266"/>
    <n v="326949"/>
    <n v="614640"/>
    <n v="24887144"/>
    <n v="41051"/>
    <n v="41051"/>
    <x v="63"/>
    <n v="1"/>
    <n v="0"/>
  </r>
  <r>
    <x v="0"/>
    <n v="41"/>
    <s v="Oregon"/>
    <n v="51"/>
    <s v="Multnomah County"/>
    <n v="35"/>
    <x v="21"/>
    <n v="1"/>
    <x v="63"/>
    <n v="47"/>
    <n v="70"/>
    <n v="2573"/>
    <n v="27256"/>
    <n v="45439"/>
    <n v="1565266"/>
    <n v="326949"/>
    <n v="614640"/>
    <n v="24887144"/>
    <n v="41051"/>
    <n v="41051"/>
    <x v="64"/>
    <n v="1"/>
    <n v="0"/>
  </r>
  <r>
    <x v="0"/>
    <n v="41"/>
    <s v="Oregon"/>
    <n v="51"/>
    <s v="Multnomah County"/>
    <n v="35"/>
    <x v="21"/>
    <n v="49"/>
    <x v="64"/>
    <n v="23"/>
    <n v="34"/>
    <n v="1094"/>
    <n v="27256"/>
    <n v="45439"/>
    <n v="1565266"/>
    <n v="326949"/>
    <n v="614640"/>
    <n v="24887144"/>
    <n v="41051"/>
    <n v="41051"/>
    <x v="65"/>
    <n v="1"/>
    <n v="0"/>
  </r>
  <r>
    <x v="0"/>
    <n v="41"/>
    <s v="Oregon"/>
    <n v="51"/>
    <s v="Multnomah County"/>
    <n v="36"/>
    <x v="22"/>
    <n v="47"/>
    <x v="65"/>
    <n v="161"/>
    <n v="191"/>
    <n v="8623"/>
    <n v="27256"/>
    <n v="45439"/>
    <n v="1565266"/>
    <n v="326949"/>
    <n v="614640"/>
    <n v="24887144"/>
    <n v="41051"/>
    <n v="41051"/>
    <x v="66"/>
    <n v="1"/>
    <n v="0"/>
  </r>
  <r>
    <x v="0"/>
    <n v="41"/>
    <s v="Oregon"/>
    <n v="51"/>
    <s v="Multnomah County"/>
    <n v="36"/>
    <x v="22"/>
    <n v="61"/>
    <x v="66"/>
    <n v="110"/>
    <n v="132"/>
    <n v="10880"/>
    <n v="27256"/>
    <n v="45439"/>
    <n v="1565266"/>
    <n v="326949"/>
    <n v="614640"/>
    <n v="24887144"/>
    <n v="41051"/>
    <n v="41051"/>
    <x v="67"/>
    <n v="1"/>
    <n v="0"/>
  </r>
  <r>
    <x v="0"/>
    <n v="41"/>
    <s v="Oregon"/>
    <n v="51"/>
    <s v="Multnomah County"/>
    <n v="36"/>
    <x v="22"/>
    <n v="81"/>
    <x v="67"/>
    <n v="28"/>
    <n v="34"/>
    <n v="1351"/>
    <n v="27256"/>
    <n v="45439"/>
    <n v="1565266"/>
    <n v="326949"/>
    <n v="614640"/>
    <n v="24887144"/>
    <n v="41051"/>
    <n v="41051"/>
    <x v="68"/>
    <n v="1"/>
    <n v="0"/>
  </r>
  <r>
    <x v="0"/>
    <n v="41"/>
    <s v="Oregon"/>
    <n v="51"/>
    <s v="Multnomah County"/>
    <n v="36"/>
    <x v="22"/>
    <n v="119"/>
    <x v="68"/>
    <n v="20"/>
    <n v="31"/>
    <n v="2173"/>
    <n v="27256"/>
    <n v="45439"/>
    <n v="1565266"/>
    <n v="326949"/>
    <n v="614640"/>
    <n v="24887144"/>
    <n v="41051"/>
    <n v="41051"/>
    <x v="69"/>
    <n v="1"/>
    <n v="0"/>
  </r>
  <r>
    <x v="0"/>
    <n v="41"/>
    <s v="Oregon"/>
    <n v="51"/>
    <s v="Multnomah County"/>
    <n v="37"/>
    <x v="23"/>
    <n v="21"/>
    <x v="69"/>
    <n v="21"/>
    <n v="32"/>
    <n v="1438"/>
    <n v="27256"/>
    <n v="45439"/>
    <n v="1565266"/>
    <n v="326949"/>
    <n v="614640"/>
    <n v="24887144"/>
    <n v="41051"/>
    <n v="41051"/>
    <x v="70"/>
    <n v="1"/>
    <n v="0"/>
  </r>
  <r>
    <x v="0"/>
    <n v="41"/>
    <s v="Oregon"/>
    <n v="51"/>
    <s v="Multnomah County"/>
    <n v="37"/>
    <x v="23"/>
    <n v="119"/>
    <x v="70"/>
    <n v="23"/>
    <n v="36"/>
    <n v="1160"/>
    <n v="27256"/>
    <n v="45439"/>
    <n v="1565266"/>
    <n v="326949"/>
    <n v="614640"/>
    <n v="24887144"/>
    <n v="41051"/>
    <n v="41051"/>
    <x v="71"/>
    <n v="1"/>
    <n v="0"/>
  </r>
  <r>
    <x v="0"/>
    <n v="41"/>
    <s v="Oregon"/>
    <n v="51"/>
    <s v="Multnomah County"/>
    <n v="39"/>
    <x v="24"/>
    <n v="49"/>
    <x v="71"/>
    <n v="39"/>
    <n v="80"/>
    <n v="1383"/>
    <n v="27256"/>
    <n v="45439"/>
    <n v="1565266"/>
    <n v="326949"/>
    <n v="614640"/>
    <n v="24887144"/>
    <n v="41051"/>
    <n v="41051"/>
    <x v="72"/>
    <n v="1"/>
    <n v="0"/>
  </r>
  <r>
    <x v="0"/>
    <n v="41"/>
    <s v="Oregon"/>
    <n v="51"/>
    <s v="Multnomah County"/>
    <n v="41"/>
    <x v="25"/>
    <n v="1"/>
    <x v="72"/>
    <n v="24"/>
    <n v="38"/>
    <n v="611"/>
    <n v="27256"/>
    <n v="45439"/>
    <n v="1565266"/>
    <n v="326949"/>
    <n v="614640"/>
    <n v="24887144"/>
    <n v="41051"/>
    <n v="41051"/>
    <x v="73"/>
    <n v="1"/>
    <n v="0"/>
  </r>
  <r>
    <x v="0"/>
    <n v="41"/>
    <s v="Oregon"/>
    <n v="51"/>
    <s v="Multnomah County"/>
    <n v="41"/>
    <x v="25"/>
    <n v="3"/>
    <x v="73"/>
    <n v="189"/>
    <n v="249"/>
    <n v="6611"/>
    <n v="27256"/>
    <n v="45439"/>
    <n v="1565266"/>
    <n v="326949"/>
    <n v="614640"/>
    <n v="24887144"/>
    <n v="41051"/>
    <n v="41051"/>
    <x v="74"/>
    <n v="1"/>
    <n v="0"/>
  </r>
  <r>
    <x v="0"/>
    <n v="41"/>
    <s v="Oregon"/>
    <n v="51"/>
    <s v="Multnomah County"/>
    <n v="41"/>
    <x v="25"/>
    <n v="5"/>
    <x v="74"/>
    <n v="5529"/>
    <n v="10215"/>
    <n v="352085"/>
    <n v="27256"/>
    <n v="45439"/>
    <n v="1565266"/>
    <n v="326949"/>
    <n v="614640"/>
    <n v="24887144"/>
    <n v="41051"/>
    <n v="41051"/>
    <x v="75"/>
    <n v="1"/>
    <n v="0"/>
  </r>
  <r>
    <x v="0"/>
    <n v="41"/>
    <s v="Oregon"/>
    <n v="51"/>
    <s v="Multnomah County"/>
    <n v="41"/>
    <x v="25"/>
    <n v="7"/>
    <x v="75"/>
    <n v="153"/>
    <n v="232"/>
    <n v="8003"/>
    <n v="27256"/>
    <n v="45439"/>
    <n v="1565266"/>
    <n v="326949"/>
    <n v="614640"/>
    <n v="24887144"/>
    <n v="41051"/>
    <n v="41051"/>
    <x v="76"/>
    <n v="1"/>
    <n v="0"/>
  </r>
  <r>
    <x v="0"/>
    <n v="41"/>
    <s v="Oregon"/>
    <n v="51"/>
    <s v="Multnomah County"/>
    <n v="41"/>
    <x v="25"/>
    <n v="9"/>
    <x v="76"/>
    <n v="356"/>
    <n v="644"/>
    <n v="18824"/>
    <n v="27256"/>
    <n v="45439"/>
    <n v="1565266"/>
    <n v="326949"/>
    <n v="614640"/>
    <n v="24887144"/>
    <n v="41051"/>
    <n v="41051"/>
    <x v="77"/>
    <n v="1"/>
    <n v="0"/>
  </r>
  <r>
    <x v="0"/>
    <n v="41"/>
    <s v="Oregon"/>
    <n v="51"/>
    <s v="Multnomah County"/>
    <n v="41"/>
    <x v="25"/>
    <n v="11"/>
    <x v="77"/>
    <n v="43"/>
    <n v="66"/>
    <n v="1656"/>
    <n v="27256"/>
    <n v="45439"/>
    <n v="1565266"/>
    <n v="326949"/>
    <n v="614640"/>
    <n v="24887144"/>
    <n v="41051"/>
    <n v="41051"/>
    <x v="78"/>
    <n v="1"/>
    <n v="0"/>
  </r>
  <r>
    <x v="0"/>
    <n v="41"/>
    <s v="Oregon"/>
    <n v="51"/>
    <s v="Multnomah County"/>
    <n v="41"/>
    <x v="25"/>
    <n v="13"/>
    <x v="78"/>
    <n v="39"/>
    <n v="65"/>
    <n v="2243"/>
    <n v="27256"/>
    <n v="45439"/>
    <n v="1565266"/>
    <n v="326949"/>
    <n v="614640"/>
    <n v="24887144"/>
    <n v="41051"/>
    <n v="41051"/>
    <x v="79"/>
    <n v="1"/>
    <n v="0"/>
  </r>
  <r>
    <x v="0"/>
    <n v="41"/>
    <s v="Oregon"/>
    <n v="51"/>
    <s v="Multnomah County"/>
    <n v="41"/>
    <x v="25"/>
    <n v="17"/>
    <x v="79"/>
    <n v="435"/>
    <n v="747"/>
    <n v="33873"/>
    <n v="27256"/>
    <n v="45439"/>
    <n v="1565266"/>
    <n v="326949"/>
    <n v="614640"/>
    <n v="24887144"/>
    <n v="41051"/>
    <n v="41051"/>
    <x v="80"/>
    <n v="1"/>
    <n v="0"/>
  </r>
  <r>
    <x v="0"/>
    <n v="41"/>
    <s v="Oregon"/>
    <n v="51"/>
    <s v="Multnomah County"/>
    <n v="41"/>
    <x v="25"/>
    <n v="19"/>
    <x v="80"/>
    <n v="57"/>
    <n v="91"/>
    <n v="2695"/>
    <n v="27256"/>
    <n v="45439"/>
    <n v="1565266"/>
    <n v="326949"/>
    <n v="614640"/>
    <n v="24887144"/>
    <n v="41051"/>
    <n v="41051"/>
    <x v="81"/>
    <n v="1"/>
    <n v="0"/>
  </r>
  <r>
    <x v="0"/>
    <n v="41"/>
    <s v="Oregon"/>
    <n v="51"/>
    <s v="Multnomah County"/>
    <n v="41"/>
    <x v="25"/>
    <n v="27"/>
    <x v="81"/>
    <n v="101"/>
    <n v="170"/>
    <n v="6432"/>
    <n v="27256"/>
    <n v="45439"/>
    <n v="1565266"/>
    <n v="326949"/>
    <n v="614640"/>
    <n v="24887144"/>
    <n v="41051"/>
    <n v="41051"/>
    <x v="82"/>
    <n v="1"/>
    <n v="0"/>
  </r>
  <r>
    <x v="0"/>
    <n v="41"/>
    <s v="Oregon"/>
    <n v="51"/>
    <s v="Multnomah County"/>
    <n v="41"/>
    <x v="25"/>
    <n v="29"/>
    <x v="82"/>
    <n v="178"/>
    <n v="260"/>
    <n v="7561"/>
    <n v="27256"/>
    <n v="45439"/>
    <n v="1565266"/>
    <n v="326949"/>
    <n v="614640"/>
    <n v="24887144"/>
    <n v="41051"/>
    <n v="41051"/>
    <x v="83"/>
    <n v="1"/>
    <n v="0"/>
  </r>
  <r>
    <x v="0"/>
    <n v="41"/>
    <s v="Oregon"/>
    <n v="51"/>
    <s v="Multnomah County"/>
    <n v="41"/>
    <x v="25"/>
    <n v="31"/>
    <x v="31"/>
    <n v="38"/>
    <n v="82"/>
    <n v="1440"/>
    <n v="27256"/>
    <n v="45439"/>
    <n v="1565266"/>
    <n v="326949"/>
    <n v="614640"/>
    <n v="24887144"/>
    <n v="41051"/>
    <n v="41051"/>
    <x v="84"/>
    <n v="1"/>
    <n v="0"/>
  </r>
  <r>
    <x v="0"/>
    <n v="41"/>
    <s v="Oregon"/>
    <n v="51"/>
    <s v="Multnomah County"/>
    <n v="41"/>
    <x v="25"/>
    <n v="33"/>
    <x v="83"/>
    <n v="49"/>
    <n v="73"/>
    <n v="690"/>
    <n v="27256"/>
    <n v="45439"/>
    <n v="1565266"/>
    <n v="326949"/>
    <n v="614640"/>
    <n v="24887144"/>
    <n v="41051"/>
    <n v="41051"/>
    <x v="85"/>
    <n v="1"/>
    <n v="0"/>
  </r>
  <r>
    <x v="0"/>
    <n v="41"/>
    <s v="Oregon"/>
    <n v="51"/>
    <s v="Multnomah County"/>
    <n v="41"/>
    <x v="25"/>
    <n v="35"/>
    <x v="84"/>
    <n v="44"/>
    <n v="62"/>
    <n v="2069"/>
    <n v="27256"/>
    <n v="45439"/>
    <n v="1565266"/>
    <n v="326949"/>
    <n v="614640"/>
    <n v="24887144"/>
    <n v="41051"/>
    <n v="41051"/>
    <x v="86"/>
    <n v="1"/>
    <n v="0"/>
  </r>
  <r>
    <x v="0"/>
    <n v="41"/>
    <s v="Oregon"/>
    <n v="51"/>
    <s v="Multnomah County"/>
    <n v="41"/>
    <x v="25"/>
    <n v="39"/>
    <x v="85"/>
    <n v="461"/>
    <n v="661"/>
    <n v="15175"/>
    <n v="27256"/>
    <n v="45439"/>
    <n v="1565266"/>
    <n v="326949"/>
    <n v="614640"/>
    <n v="24887144"/>
    <n v="41051"/>
    <n v="41051"/>
    <x v="87"/>
    <n v="1"/>
    <n v="0"/>
  </r>
  <r>
    <x v="0"/>
    <n v="41"/>
    <s v="Oregon"/>
    <n v="51"/>
    <s v="Multnomah County"/>
    <n v="41"/>
    <x v="25"/>
    <n v="41"/>
    <x v="86"/>
    <n v="123"/>
    <n v="189"/>
    <n v="5722"/>
    <n v="27256"/>
    <n v="45439"/>
    <n v="1565266"/>
    <n v="326949"/>
    <n v="614640"/>
    <n v="24887144"/>
    <n v="41051"/>
    <n v="41051"/>
    <x v="88"/>
    <n v="1"/>
    <n v="0"/>
  </r>
  <r>
    <x v="0"/>
    <n v="41"/>
    <s v="Oregon"/>
    <n v="51"/>
    <s v="Multnomah County"/>
    <n v="41"/>
    <x v="25"/>
    <n v="43"/>
    <x v="87"/>
    <n v="111"/>
    <n v="180"/>
    <n v="3501"/>
    <n v="27256"/>
    <n v="45439"/>
    <n v="1565266"/>
    <n v="326949"/>
    <n v="614640"/>
    <n v="24887144"/>
    <n v="41051"/>
    <n v="41051"/>
    <x v="89"/>
    <n v="1"/>
    <n v="0"/>
  </r>
  <r>
    <x v="0"/>
    <n v="41"/>
    <s v="Oregon"/>
    <n v="51"/>
    <s v="Multnomah County"/>
    <n v="41"/>
    <x v="25"/>
    <n v="47"/>
    <x v="48"/>
    <n v="618"/>
    <n v="1050"/>
    <n v="26330"/>
    <n v="27256"/>
    <n v="45439"/>
    <n v="1565266"/>
    <n v="326949"/>
    <n v="614640"/>
    <n v="24887144"/>
    <n v="41051"/>
    <n v="41051"/>
    <x v="90"/>
    <n v="1"/>
    <n v="0"/>
  </r>
  <r>
    <x v="0"/>
    <n v="41"/>
    <s v="Oregon"/>
    <n v="51"/>
    <s v="Multnomah County"/>
    <n v="41"/>
    <x v="25"/>
    <n v="53"/>
    <x v="49"/>
    <n v="104"/>
    <n v="192"/>
    <n v="4915"/>
    <n v="27256"/>
    <n v="45439"/>
    <n v="1565266"/>
    <n v="326949"/>
    <n v="614640"/>
    <n v="24887144"/>
    <n v="41051"/>
    <n v="41051"/>
    <x v="91"/>
    <n v="1"/>
    <n v="0"/>
  </r>
  <r>
    <x v="0"/>
    <n v="41"/>
    <s v="Oregon"/>
    <n v="51"/>
    <s v="Multnomah County"/>
    <n v="41"/>
    <x v="25"/>
    <n v="57"/>
    <x v="88"/>
    <n v="133"/>
    <n v="218"/>
    <n v="9202"/>
    <n v="27256"/>
    <n v="45439"/>
    <n v="1565266"/>
    <n v="326949"/>
    <n v="614640"/>
    <n v="24887144"/>
    <n v="41051"/>
    <n v="41051"/>
    <x v="92"/>
    <n v="1"/>
    <n v="0"/>
  </r>
  <r>
    <x v="0"/>
    <n v="41"/>
    <s v="Oregon"/>
    <n v="51"/>
    <s v="Multnomah County"/>
    <n v="41"/>
    <x v="25"/>
    <n v="59"/>
    <x v="89"/>
    <n v="56"/>
    <n v="87"/>
    <n v="1569"/>
    <n v="27256"/>
    <n v="45439"/>
    <n v="1565266"/>
    <n v="326949"/>
    <n v="614640"/>
    <n v="24887144"/>
    <n v="41051"/>
    <n v="41051"/>
    <x v="93"/>
    <n v="1"/>
    <n v="0"/>
  </r>
  <r>
    <x v="0"/>
    <n v="41"/>
    <s v="Oregon"/>
    <n v="51"/>
    <s v="Multnomah County"/>
    <n v="41"/>
    <x v="25"/>
    <n v="61"/>
    <x v="90"/>
    <n v="27"/>
    <n v="46"/>
    <n v="1006"/>
    <n v="27256"/>
    <n v="45439"/>
    <n v="1565266"/>
    <n v="326949"/>
    <n v="614640"/>
    <n v="24887144"/>
    <n v="41051"/>
    <n v="41051"/>
    <x v="94"/>
    <n v="1"/>
    <n v="0"/>
  </r>
  <r>
    <x v="0"/>
    <n v="41"/>
    <s v="Oregon"/>
    <n v="51"/>
    <s v="Multnomah County"/>
    <n v="41"/>
    <x v="25"/>
    <n v="65"/>
    <x v="91"/>
    <n v="69"/>
    <n v="110"/>
    <n v="2808"/>
    <n v="27256"/>
    <n v="45439"/>
    <n v="1565266"/>
    <n v="326949"/>
    <n v="614640"/>
    <n v="24887144"/>
    <n v="41051"/>
    <n v="41051"/>
    <x v="95"/>
    <n v="1"/>
    <n v="0"/>
  </r>
  <r>
    <x v="0"/>
    <n v="41"/>
    <s v="Oregon"/>
    <n v="51"/>
    <s v="Multnomah County"/>
    <n v="41"/>
    <x v="25"/>
    <n v="67"/>
    <x v="92"/>
    <n v="4831"/>
    <n v="7517"/>
    <n v="299317"/>
    <n v="27256"/>
    <n v="45439"/>
    <n v="1565266"/>
    <n v="326949"/>
    <n v="614640"/>
    <n v="24887144"/>
    <n v="41051"/>
    <n v="41051"/>
    <x v="96"/>
    <n v="1"/>
    <n v="0"/>
  </r>
  <r>
    <x v="0"/>
    <n v="41"/>
    <s v="Oregon"/>
    <n v="51"/>
    <s v="Multnomah County"/>
    <n v="41"/>
    <x v="25"/>
    <n v="71"/>
    <x v="93"/>
    <n v="230"/>
    <n v="390"/>
    <n v="13267"/>
    <n v="27256"/>
    <n v="45439"/>
    <n v="1565266"/>
    <n v="326949"/>
    <n v="614640"/>
    <n v="24887144"/>
    <n v="41051"/>
    <n v="41051"/>
    <x v="97"/>
    <n v="1"/>
    <n v="0"/>
  </r>
  <r>
    <x v="0"/>
    <n v="41"/>
    <s v="Oregon"/>
    <n v="51"/>
    <s v="Multnomah County"/>
    <n v="42"/>
    <x v="26"/>
    <n v="3"/>
    <x v="94"/>
    <n v="31"/>
    <n v="43"/>
    <n v="1377"/>
    <n v="27256"/>
    <n v="45439"/>
    <n v="1565266"/>
    <n v="326949"/>
    <n v="614640"/>
    <n v="24887144"/>
    <n v="41051"/>
    <n v="41051"/>
    <x v="98"/>
    <n v="1"/>
    <n v="0"/>
  </r>
  <r>
    <x v="0"/>
    <n v="41"/>
    <s v="Oregon"/>
    <n v="51"/>
    <s v="Multnomah County"/>
    <n v="42"/>
    <x v="26"/>
    <n v="101"/>
    <x v="95"/>
    <n v="46"/>
    <n v="61"/>
    <n v="1879"/>
    <n v="27256"/>
    <n v="45439"/>
    <n v="1565266"/>
    <n v="326949"/>
    <n v="614640"/>
    <n v="24887144"/>
    <n v="41051"/>
    <n v="41051"/>
    <x v="99"/>
    <n v="1"/>
    <n v="0"/>
  </r>
  <r>
    <x v="0"/>
    <n v="41"/>
    <s v="Oregon"/>
    <n v="51"/>
    <s v="Multnomah County"/>
    <n v="47"/>
    <x v="27"/>
    <n v="37"/>
    <x v="96"/>
    <n v="40"/>
    <n v="62"/>
    <n v="2052"/>
    <n v="27256"/>
    <n v="45439"/>
    <n v="1565266"/>
    <n v="326949"/>
    <n v="614640"/>
    <n v="24887144"/>
    <n v="41051"/>
    <n v="41051"/>
    <x v="100"/>
    <n v="1"/>
    <n v="0"/>
  </r>
  <r>
    <x v="0"/>
    <n v="41"/>
    <s v="Oregon"/>
    <n v="51"/>
    <s v="Multnomah County"/>
    <n v="47"/>
    <x v="27"/>
    <n v="93"/>
    <x v="97"/>
    <n v="21"/>
    <n v="39"/>
    <n v="1443"/>
    <n v="27256"/>
    <n v="45439"/>
    <n v="1565266"/>
    <n v="326949"/>
    <n v="614640"/>
    <n v="24887144"/>
    <n v="41051"/>
    <n v="41051"/>
    <x v="101"/>
    <n v="1"/>
    <n v="0"/>
  </r>
  <r>
    <x v="0"/>
    <n v="41"/>
    <s v="Oregon"/>
    <n v="51"/>
    <s v="Multnomah County"/>
    <n v="48"/>
    <x v="28"/>
    <n v="29"/>
    <x v="98"/>
    <n v="28"/>
    <n v="51"/>
    <n v="1430"/>
    <n v="27256"/>
    <n v="45439"/>
    <n v="1565266"/>
    <n v="326949"/>
    <n v="614640"/>
    <n v="24887144"/>
    <n v="41051"/>
    <n v="41051"/>
    <x v="102"/>
    <n v="1"/>
    <n v="0"/>
  </r>
  <r>
    <x v="0"/>
    <n v="41"/>
    <s v="Oregon"/>
    <n v="51"/>
    <s v="Multnomah County"/>
    <n v="48"/>
    <x v="28"/>
    <n v="113"/>
    <x v="99"/>
    <n v="52"/>
    <n v="77"/>
    <n v="2967"/>
    <n v="27256"/>
    <n v="45439"/>
    <n v="1565266"/>
    <n v="326949"/>
    <n v="614640"/>
    <n v="24887144"/>
    <n v="41051"/>
    <n v="41051"/>
    <x v="103"/>
    <n v="1"/>
    <n v="0"/>
  </r>
  <r>
    <x v="0"/>
    <n v="41"/>
    <s v="Oregon"/>
    <n v="51"/>
    <s v="Multnomah County"/>
    <n v="48"/>
    <x v="28"/>
    <n v="201"/>
    <x v="100"/>
    <n v="61"/>
    <n v="103"/>
    <n v="3203"/>
    <n v="27256"/>
    <n v="45439"/>
    <n v="1565266"/>
    <n v="326949"/>
    <n v="614640"/>
    <n v="24887144"/>
    <n v="41051"/>
    <n v="41051"/>
    <x v="104"/>
    <n v="1"/>
    <n v="0"/>
  </r>
  <r>
    <x v="0"/>
    <n v="41"/>
    <s v="Oregon"/>
    <n v="51"/>
    <s v="Multnomah County"/>
    <n v="48"/>
    <x v="28"/>
    <n v="439"/>
    <x v="101"/>
    <n v="51"/>
    <n v="102"/>
    <n v="2433"/>
    <n v="27256"/>
    <n v="45439"/>
    <n v="1565266"/>
    <n v="326949"/>
    <n v="614640"/>
    <n v="24887144"/>
    <n v="41051"/>
    <n v="41051"/>
    <x v="105"/>
    <n v="1"/>
    <n v="0"/>
  </r>
  <r>
    <x v="0"/>
    <n v="41"/>
    <s v="Oregon"/>
    <n v="51"/>
    <s v="Multnomah County"/>
    <n v="48"/>
    <x v="28"/>
    <n v="453"/>
    <x v="102"/>
    <n v="104"/>
    <n v="155"/>
    <n v="6062"/>
    <n v="27256"/>
    <n v="45439"/>
    <n v="1565266"/>
    <n v="326949"/>
    <n v="614640"/>
    <n v="24887144"/>
    <n v="41051"/>
    <n v="41051"/>
    <x v="106"/>
    <n v="1"/>
    <n v="0"/>
  </r>
  <r>
    <x v="0"/>
    <n v="41"/>
    <s v="Oregon"/>
    <n v="51"/>
    <s v="Multnomah County"/>
    <n v="49"/>
    <x v="29"/>
    <n v="35"/>
    <x v="103"/>
    <n v="92"/>
    <n v="149"/>
    <n v="5384"/>
    <n v="27256"/>
    <n v="45439"/>
    <n v="1565266"/>
    <n v="326949"/>
    <n v="614640"/>
    <n v="24887144"/>
    <n v="41051"/>
    <n v="41051"/>
    <x v="107"/>
    <n v="1"/>
    <n v="0"/>
  </r>
  <r>
    <x v="0"/>
    <n v="41"/>
    <s v="Oregon"/>
    <n v="51"/>
    <s v="Multnomah County"/>
    <n v="50"/>
    <x v="30"/>
    <n v="7"/>
    <x v="104"/>
    <n v="31"/>
    <n v="48"/>
    <n v="1635"/>
    <n v="27256"/>
    <n v="45439"/>
    <n v="1565266"/>
    <n v="326949"/>
    <n v="614640"/>
    <n v="24887144"/>
    <n v="41051"/>
    <n v="41051"/>
    <x v="108"/>
    <n v="1"/>
    <n v="0"/>
  </r>
  <r>
    <x v="0"/>
    <n v="41"/>
    <s v="Oregon"/>
    <n v="51"/>
    <s v="Multnomah County"/>
    <n v="51"/>
    <x v="31"/>
    <n v="59"/>
    <x v="105"/>
    <n v="26"/>
    <n v="53"/>
    <n v="1609"/>
    <n v="27256"/>
    <n v="45439"/>
    <n v="1565266"/>
    <n v="326949"/>
    <n v="614640"/>
    <n v="24887144"/>
    <n v="41051"/>
    <n v="41051"/>
    <x v="109"/>
    <n v="1"/>
    <n v="0"/>
  </r>
  <r>
    <x v="0"/>
    <n v="41"/>
    <s v="Oregon"/>
    <n v="51"/>
    <s v="Multnomah County"/>
    <n v="53"/>
    <x v="32"/>
    <n v="5"/>
    <x v="73"/>
    <n v="40"/>
    <n v="66"/>
    <n v="1947"/>
    <n v="27256"/>
    <n v="45439"/>
    <n v="1565266"/>
    <n v="326949"/>
    <n v="614640"/>
    <n v="24887144"/>
    <n v="41051"/>
    <n v="41051"/>
    <x v="110"/>
    <n v="1"/>
    <n v="0"/>
  </r>
  <r>
    <x v="0"/>
    <n v="41"/>
    <s v="Oregon"/>
    <n v="51"/>
    <s v="Multnomah County"/>
    <n v="53"/>
    <x v="32"/>
    <n v="11"/>
    <x v="61"/>
    <n v="2667"/>
    <n v="5445"/>
    <n v="146228"/>
    <n v="27256"/>
    <n v="45439"/>
    <n v="1565266"/>
    <n v="326949"/>
    <n v="614640"/>
    <n v="24887144"/>
    <n v="41051"/>
    <n v="41051"/>
    <x v="111"/>
    <n v="1"/>
    <n v="0"/>
  </r>
  <r>
    <x v="0"/>
    <n v="41"/>
    <s v="Oregon"/>
    <n v="51"/>
    <s v="Multnomah County"/>
    <n v="53"/>
    <x v="32"/>
    <n v="15"/>
    <x v="106"/>
    <n v="131"/>
    <n v="249"/>
    <n v="5619"/>
    <n v="27256"/>
    <n v="45439"/>
    <n v="1565266"/>
    <n v="326949"/>
    <n v="614640"/>
    <n v="24887144"/>
    <n v="41051"/>
    <n v="41051"/>
    <x v="112"/>
    <n v="1"/>
    <n v="0"/>
  </r>
  <r>
    <x v="0"/>
    <n v="41"/>
    <s v="Oregon"/>
    <n v="51"/>
    <s v="Multnomah County"/>
    <n v="53"/>
    <x v="32"/>
    <n v="27"/>
    <x v="107"/>
    <n v="21"/>
    <n v="34"/>
    <n v="1256"/>
    <n v="27256"/>
    <n v="45439"/>
    <n v="1565266"/>
    <n v="326949"/>
    <n v="614640"/>
    <n v="24887144"/>
    <n v="41051"/>
    <n v="41051"/>
    <x v="113"/>
    <n v="1"/>
    <n v="0"/>
  </r>
  <r>
    <x v="0"/>
    <n v="41"/>
    <s v="Oregon"/>
    <n v="51"/>
    <s v="Multnomah County"/>
    <n v="53"/>
    <x v="32"/>
    <n v="29"/>
    <x v="108"/>
    <n v="23"/>
    <n v="30"/>
    <n v="557"/>
    <n v="27256"/>
    <n v="45439"/>
    <n v="1565266"/>
    <n v="326949"/>
    <n v="614640"/>
    <n v="24887144"/>
    <n v="41051"/>
    <n v="41051"/>
    <x v="114"/>
    <n v="1"/>
    <n v="0"/>
  </r>
  <r>
    <x v="0"/>
    <n v="41"/>
    <s v="Oregon"/>
    <n v="51"/>
    <s v="Multnomah County"/>
    <n v="53"/>
    <x v="32"/>
    <n v="31"/>
    <x v="31"/>
    <n v="27"/>
    <n v="45"/>
    <n v="2521"/>
    <n v="27256"/>
    <n v="45439"/>
    <n v="1565266"/>
    <n v="326949"/>
    <n v="614640"/>
    <n v="24887144"/>
    <n v="41051"/>
    <n v="41051"/>
    <x v="115"/>
    <n v="1"/>
    <n v="0"/>
  </r>
  <r>
    <x v="0"/>
    <n v="41"/>
    <s v="Oregon"/>
    <n v="51"/>
    <s v="Multnomah County"/>
    <n v="53"/>
    <x v="32"/>
    <n v="33"/>
    <x v="109"/>
    <n v="793"/>
    <n v="1115"/>
    <n v="52292"/>
    <n v="27256"/>
    <n v="45439"/>
    <n v="1565266"/>
    <n v="326949"/>
    <n v="614640"/>
    <n v="24887144"/>
    <n v="41051"/>
    <n v="41051"/>
    <x v="116"/>
    <n v="1"/>
    <n v="0"/>
  </r>
  <r>
    <x v="0"/>
    <n v="41"/>
    <s v="Oregon"/>
    <n v="51"/>
    <s v="Multnomah County"/>
    <n v="53"/>
    <x v="32"/>
    <n v="35"/>
    <x v="110"/>
    <n v="50"/>
    <n v="82"/>
    <n v="2946"/>
    <n v="27256"/>
    <n v="45439"/>
    <n v="1565266"/>
    <n v="326949"/>
    <n v="614640"/>
    <n v="24887144"/>
    <n v="41051"/>
    <n v="41051"/>
    <x v="117"/>
    <n v="1"/>
    <n v="0"/>
  </r>
  <r>
    <x v="0"/>
    <n v="41"/>
    <s v="Oregon"/>
    <n v="51"/>
    <s v="Multnomah County"/>
    <n v="53"/>
    <x v="32"/>
    <n v="39"/>
    <x v="111"/>
    <n v="54"/>
    <n v="89"/>
    <n v="4784"/>
    <n v="27256"/>
    <n v="45439"/>
    <n v="1565266"/>
    <n v="326949"/>
    <n v="614640"/>
    <n v="24887144"/>
    <n v="41051"/>
    <n v="41051"/>
    <x v="118"/>
    <n v="1"/>
    <n v="0"/>
  </r>
  <r>
    <x v="0"/>
    <n v="41"/>
    <s v="Oregon"/>
    <n v="51"/>
    <s v="Multnomah County"/>
    <n v="53"/>
    <x v="32"/>
    <n v="41"/>
    <x v="112"/>
    <n v="23"/>
    <n v="49"/>
    <n v="1095"/>
    <n v="27256"/>
    <n v="45439"/>
    <n v="1565266"/>
    <n v="326949"/>
    <n v="614640"/>
    <n v="24887144"/>
    <n v="41051"/>
    <n v="41051"/>
    <x v="119"/>
    <n v="1"/>
    <n v="0"/>
  </r>
  <r>
    <x v="0"/>
    <n v="41"/>
    <s v="Oregon"/>
    <n v="51"/>
    <s v="Multnomah County"/>
    <n v="53"/>
    <x v="32"/>
    <n v="49"/>
    <x v="113"/>
    <n v="36"/>
    <n v="52"/>
    <n v="2197"/>
    <n v="27256"/>
    <n v="45439"/>
    <n v="1565266"/>
    <n v="326949"/>
    <n v="614640"/>
    <n v="24887144"/>
    <n v="41051"/>
    <n v="41051"/>
    <x v="120"/>
    <n v="1"/>
    <n v="0"/>
  </r>
  <r>
    <x v="0"/>
    <n v="41"/>
    <s v="Oregon"/>
    <n v="51"/>
    <s v="Multnomah County"/>
    <n v="53"/>
    <x v="32"/>
    <n v="53"/>
    <x v="114"/>
    <n v="166"/>
    <n v="289"/>
    <n v="8040"/>
    <n v="27256"/>
    <n v="45439"/>
    <n v="1565266"/>
    <n v="326949"/>
    <n v="614640"/>
    <n v="24887144"/>
    <n v="41051"/>
    <n v="41051"/>
    <x v="121"/>
    <n v="1"/>
    <n v="0"/>
  </r>
  <r>
    <x v="0"/>
    <n v="41"/>
    <s v="Oregon"/>
    <n v="51"/>
    <s v="Multnomah County"/>
    <n v="53"/>
    <x v="32"/>
    <n v="59"/>
    <x v="115"/>
    <n v="44"/>
    <n v="81"/>
    <n v="2557"/>
    <n v="27256"/>
    <n v="45439"/>
    <n v="1565266"/>
    <n v="326949"/>
    <n v="614640"/>
    <n v="24887144"/>
    <n v="41051"/>
    <n v="41051"/>
    <x v="122"/>
    <n v="1"/>
    <n v="0"/>
  </r>
  <r>
    <x v="0"/>
    <n v="41"/>
    <s v="Oregon"/>
    <n v="51"/>
    <s v="Multnomah County"/>
    <n v="53"/>
    <x v="32"/>
    <n v="61"/>
    <x v="116"/>
    <n v="106"/>
    <n v="155"/>
    <n v="4791"/>
    <n v="27256"/>
    <n v="45439"/>
    <n v="1565266"/>
    <n v="326949"/>
    <n v="614640"/>
    <n v="24887144"/>
    <n v="41051"/>
    <n v="41051"/>
    <x v="123"/>
    <n v="1"/>
    <n v="0"/>
  </r>
  <r>
    <x v="0"/>
    <n v="41"/>
    <s v="Oregon"/>
    <n v="51"/>
    <s v="Multnomah County"/>
    <n v="53"/>
    <x v="32"/>
    <n v="63"/>
    <x v="117"/>
    <n v="118"/>
    <n v="213"/>
    <n v="5892"/>
    <n v="27256"/>
    <n v="45439"/>
    <n v="1565266"/>
    <n v="326949"/>
    <n v="614640"/>
    <n v="24887144"/>
    <n v="41051"/>
    <n v="41051"/>
    <x v="124"/>
    <n v="1"/>
    <n v="0"/>
  </r>
  <r>
    <x v="0"/>
    <n v="41"/>
    <s v="Oregon"/>
    <n v="51"/>
    <s v="Multnomah County"/>
    <n v="53"/>
    <x v="32"/>
    <n v="67"/>
    <x v="118"/>
    <n v="107"/>
    <n v="173"/>
    <n v="4938"/>
    <n v="27256"/>
    <n v="45439"/>
    <n v="1565266"/>
    <n v="326949"/>
    <n v="614640"/>
    <n v="24887144"/>
    <n v="41051"/>
    <n v="41051"/>
    <x v="125"/>
    <n v="1"/>
    <n v="0"/>
  </r>
  <r>
    <x v="0"/>
    <n v="41"/>
    <s v="Oregon"/>
    <n v="51"/>
    <s v="Multnomah County"/>
    <n v="53"/>
    <x v="32"/>
    <n v="71"/>
    <x v="119"/>
    <n v="24"/>
    <n v="33"/>
    <n v="1185"/>
    <n v="27256"/>
    <n v="45439"/>
    <n v="1565266"/>
    <n v="326949"/>
    <n v="614640"/>
    <n v="24887144"/>
    <n v="41051"/>
    <n v="41051"/>
    <x v="126"/>
    <n v="1"/>
    <n v="0"/>
  </r>
  <r>
    <x v="0"/>
    <n v="41"/>
    <s v="Oregon"/>
    <n v="51"/>
    <s v="Multnomah County"/>
    <n v="53"/>
    <x v="32"/>
    <n v="73"/>
    <x v="120"/>
    <n v="76"/>
    <n v="122"/>
    <n v="3623"/>
    <n v="27256"/>
    <n v="45439"/>
    <n v="1565266"/>
    <n v="326949"/>
    <n v="614640"/>
    <n v="24887144"/>
    <n v="41051"/>
    <n v="41051"/>
    <x v="127"/>
    <n v="1"/>
    <n v="0"/>
  </r>
  <r>
    <x v="0"/>
    <n v="41"/>
    <s v="Oregon"/>
    <n v="51"/>
    <s v="Multnomah County"/>
    <n v="53"/>
    <x v="32"/>
    <n v="77"/>
    <x v="121"/>
    <n v="39"/>
    <n v="78"/>
    <n v="1475"/>
    <n v="27256"/>
    <n v="45439"/>
    <n v="1565266"/>
    <n v="326949"/>
    <n v="614640"/>
    <n v="24887144"/>
    <n v="41051"/>
    <n v="41051"/>
    <x v="128"/>
    <n v="1"/>
    <n v="0"/>
  </r>
  <r>
    <x v="0"/>
    <n v="41"/>
    <s v="Oregon"/>
    <n v="51"/>
    <s v="Multnomah County"/>
    <n v="55"/>
    <x v="33"/>
    <n v="25"/>
    <x v="122"/>
    <n v="31"/>
    <n v="40"/>
    <n v="1736"/>
    <n v="27256"/>
    <n v="45439"/>
    <n v="1565266"/>
    <n v="326949"/>
    <n v="614640"/>
    <n v="24887144"/>
    <n v="41051"/>
    <n v="41051"/>
    <x v="129"/>
    <n v="1"/>
    <n v="0"/>
  </r>
  <r>
    <x v="0"/>
    <n v="41"/>
    <s v="Oregon"/>
    <n v="51"/>
    <s v="Multnomah County"/>
    <n v="55"/>
    <x v="33"/>
    <n v="79"/>
    <x v="123"/>
    <n v="22"/>
    <n v="31"/>
    <n v="842"/>
    <n v="27256"/>
    <n v="45439"/>
    <n v="1565266"/>
    <n v="326949"/>
    <n v="614640"/>
    <n v="24887144"/>
    <n v="41051"/>
    <n v="41051"/>
    <x v="130"/>
    <n v="1"/>
    <n v="0"/>
  </r>
  <r>
    <x v="1"/>
    <n v="41"/>
    <s v="Oregon"/>
    <n v="51"/>
    <s v="Multnomah County"/>
    <n v="2"/>
    <x v="0"/>
    <n v="20"/>
    <x v="0"/>
    <n v="71"/>
    <n v="97"/>
    <n v="3446"/>
    <n v="39037"/>
    <n v="65103"/>
    <n v="2442335"/>
    <n v="334001"/>
    <n v="620621"/>
    <n v="26145032"/>
    <n v="41051"/>
    <n v="41051"/>
    <x v="0"/>
    <n v="1"/>
    <n v="0"/>
  </r>
  <r>
    <x v="1"/>
    <n v="41"/>
    <s v="Oregon"/>
    <n v="51"/>
    <s v="Multnomah County"/>
    <n v="4"/>
    <x v="1"/>
    <n v="5"/>
    <x v="124"/>
    <n v="22"/>
    <n v="31"/>
    <n v="784"/>
    <n v="39037"/>
    <n v="65103"/>
    <n v="2442335"/>
    <n v="334001"/>
    <n v="620621"/>
    <n v="26145032"/>
    <n v="41051"/>
    <n v="41051"/>
    <x v="131"/>
    <n v="1"/>
    <n v="0"/>
  </r>
  <r>
    <x v="1"/>
    <n v="41"/>
    <s v="Oregon"/>
    <n v="51"/>
    <s v="Multnomah County"/>
    <n v="4"/>
    <x v="1"/>
    <n v="13"/>
    <x v="1"/>
    <n v="441"/>
    <n v="763"/>
    <n v="28896"/>
    <n v="39037"/>
    <n v="65103"/>
    <n v="2442335"/>
    <n v="334001"/>
    <n v="620621"/>
    <n v="26145032"/>
    <n v="41051"/>
    <n v="41051"/>
    <x v="1"/>
    <n v="1"/>
    <n v="0"/>
  </r>
  <r>
    <x v="1"/>
    <n v="41"/>
    <s v="Oregon"/>
    <n v="51"/>
    <s v="Multnomah County"/>
    <n v="4"/>
    <x v="1"/>
    <n v="19"/>
    <x v="2"/>
    <n v="154"/>
    <n v="218"/>
    <n v="8884"/>
    <n v="39037"/>
    <n v="65103"/>
    <n v="2442335"/>
    <n v="334001"/>
    <n v="620621"/>
    <n v="26145032"/>
    <n v="41051"/>
    <n v="41051"/>
    <x v="2"/>
    <n v="1"/>
    <n v="0"/>
  </r>
  <r>
    <x v="1"/>
    <n v="41"/>
    <s v="Oregon"/>
    <n v="51"/>
    <s v="Multnomah County"/>
    <n v="4"/>
    <x v="1"/>
    <n v="21"/>
    <x v="3"/>
    <n v="38"/>
    <n v="69"/>
    <n v="3942"/>
    <n v="39037"/>
    <n v="65103"/>
    <n v="2442335"/>
    <n v="334001"/>
    <n v="620621"/>
    <n v="26145032"/>
    <n v="41051"/>
    <n v="41051"/>
    <x v="3"/>
    <n v="1"/>
    <n v="0"/>
  </r>
  <r>
    <x v="1"/>
    <n v="41"/>
    <s v="Oregon"/>
    <n v="51"/>
    <s v="Multnomah County"/>
    <n v="4"/>
    <x v="1"/>
    <n v="25"/>
    <x v="125"/>
    <n v="41"/>
    <n v="57"/>
    <n v="2134"/>
    <n v="39037"/>
    <n v="65103"/>
    <n v="2442335"/>
    <n v="334001"/>
    <n v="620621"/>
    <n v="26145032"/>
    <n v="41051"/>
    <n v="41051"/>
    <x v="132"/>
    <n v="1"/>
    <n v="0"/>
  </r>
  <r>
    <x v="1"/>
    <n v="41"/>
    <s v="Oregon"/>
    <n v="51"/>
    <s v="Multnomah County"/>
    <n v="6"/>
    <x v="2"/>
    <n v="1"/>
    <x v="4"/>
    <n v="231"/>
    <n v="288"/>
    <n v="16333"/>
    <n v="39037"/>
    <n v="65103"/>
    <n v="2442335"/>
    <n v="334001"/>
    <n v="620621"/>
    <n v="26145032"/>
    <n v="41051"/>
    <n v="41051"/>
    <x v="4"/>
    <n v="1"/>
    <n v="0"/>
  </r>
  <r>
    <x v="1"/>
    <n v="41"/>
    <s v="Oregon"/>
    <n v="51"/>
    <s v="Multnomah County"/>
    <n v="6"/>
    <x v="2"/>
    <n v="7"/>
    <x v="126"/>
    <n v="38"/>
    <n v="69"/>
    <n v="1609"/>
    <n v="39037"/>
    <n v="65103"/>
    <n v="2442335"/>
    <n v="334001"/>
    <n v="620621"/>
    <n v="26145032"/>
    <n v="41051"/>
    <n v="41051"/>
    <x v="133"/>
    <n v="1"/>
    <n v="0"/>
  </r>
  <r>
    <x v="1"/>
    <n v="41"/>
    <s v="Oregon"/>
    <n v="51"/>
    <s v="Multnomah County"/>
    <n v="6"/>
    <x v="2"/>
    <n v="13"/>
    <x v="5"/>
    <n v="63"/>
    <n v="108"/>
    <n v="6729"/>
    <n v="39037"/>
    <n v="65103"/>
    <n v="2442335"/>
    <n v="334001"/>
    <n v="620621"/>
    <n v="26145032"/>
    <n v="41051"/>
    <n v="41051"/>
    <x v="5"/>
    <n v="1"/>
    <n v="0"/>
  </r>
  <r>
    <x v="1"/>
    <n v="41"/>
    <s v="Oregon"/>
    <n v="51"/>
    <s v="Multnomah County"/>
    <n v="6"/>
    <x v="2"/>
    <n v="19"/>
    <x v="6"/>
    <n v="27"/>
    <n v="44"/>
    <n v="998"/>
    <n v="39037"/>
    <n v="65103"/>
    <n v="2442335"/>
    <n v="334001"/>
    <n v="620621"/>
    <n v="26145032"/>
    <n v="41051"/>
    <n v="41051"/>
    <x v="6"/>
    <n v="1"/>
    <n v="0"/>
  </r>
  <r>
    <x v="1"/>
    <n v="41"/>
    <s v="Oregon"/>
    <n v="51"/>
    <s v="Multnomah County"/>
    <n v="6"/>
    <x v="2"/>
    <n v="23"/>
    <x v="7"/>
    <n v="37"/>
    <n v="47"/>
    <n v="1007"/>
    <n v="39037"/>
    <n v="65103"/>
    <n v="2442335"/>
    <n v="334001"/>
    <n v="620621"/>
    <n v="26145032"/>
    <n v="41051"/>
    <n v="41051"/>
    <x v="7"/>
    <n v="1"/>
    <n v="0"/>
  </r>
  <r>
    <x v="1"/>
    <n v="41"/>
    <s v="Oregon"/>
    <n v="51"/>
    <s v="Multnomah County"/>
    <n v="6"/>
    <x v="2"/>
    <n v="29"/>
    <x v="8"/>
    <n v="25"/>
    <n v="44"/>
    <n v="1232"/>
    <n v="39037"/>
    <n v="65103"/>
    <n v="2442335"/>
    <n v="334001"/>
    <n v="620621"/>
    <n v="26145032"/>
    <n v="41051"/>
    <n v="41051"/>
    <x v="8"/>
    <n v="1"/>
    <n v="0"/>
  </r>
  <r>
    <x v="1"/>
    <n v="41"/>
    <s v="Oregon"/>
    <n v="51"/>
    <s v="Multnomah County"/>
    <n v="6"/>
    <x v="2"/>
    <n v="37"/>
    <x v="9"/>
    <n v="737"/>
    <n v="988"/>
    <n v="51507"/>
    <n v="39037"/>
    <n v="65103"/>
    <n v="2442335"/>
    <n v="334001"/>
    <n v="620621"/>
    <n v="26145032"/>
    <n v="41051"/>
    <n v="41051"/>
    <x v="9"/>
    <n v="1"/>
    <n v="0"/>
  </r>
  <r>
    <x v="1"/>
    <n v="41"/>
    <s v="Oregon"/>
    <n v="51"/>
    <s v="Multnomah County"/>
    <n v="6"/>
    <x v="2"/>
    <n v="41"/>
    <x v="10"/>
    <n v="44"/>
    <n v="76"/>
    <n v="3514"/>
    <n v="39037"/>
    <n v="65103"/>
    <n v="2442335"/>
    <n v="334001"/>
    <n v="620621"/>
    <n v="26145032"/>
    <n v="41051"/>
    <n v="41051"/>
    <x v="10"/>
    <n v="1"/>
    <n v="0"/>
  </r>
  <r>
    <x v="1"/>
    <n v="41"/>
    <s v="Oregon"/>
    <n v="51"/>
    <s v="Multnomah County"/>
    <n v="6"/>
    <x v="2"/>
    <n v="45"/>
    <x v="127"/>
    <n v="21"/>
    <n v="28"/>
    <n v="662"/>
    <n v="39037"/>
    <n v="65103"/>
    <n v="2442335"/>
    <n v="334001"/>
    <n v="620621"/>
    <n v="26145032"/>
    <n v="41051"/>
    <n v="41051"/>
    <x v="134"/>
    <n v="1"/>
    <n v="0"/>
  </r>
  <r>
    <x v="1"/>
    <n v="41"/>
    <s v="Oregon"/>
    <n v="51"/>
    <s v="Multnomah County"/>
    <n v="6"/>
    <x v="2"/>
    <n v="53"/>
    <x v="11"/>
    <n v="32"/>
    <n v="57"/>
    <n v="2364"/>
    <n v="39037"/>
    <n v="65103"/>
    <n v="2442335"/>
    <n v="334001"/>
    <n v="620621"/>
    <n v="26145032"/>
    <n v="41051"/>
    <n v="41051"/>
    <x v="11"/>
    <n v="1"/>
    <n v="0"/>
  </r>
  <r>
    <x v="1"/>
    <n v="41"/>
    <s v="Oregon"/>
    <n v="51"/>
    <s v="Multnomah County"/>
    <n v="6"/>
    <x v="2"/>
    <n v="59"/>
    <x v="12"/>
    <n v="173"/>
    <n v="243"/>
    <n v="11538"/>
    <n v="39037"/>
    <n v="65103"/>
    <n v="2442335"/>
    <n v="334001"/>
    <n v="620621"/>
    <n v="26145032"/>
    <n v="41051"/>
    <n v="41051"/>
    <x v="12"/>
    <n v="1"/>
    <n v="0"/>
  </r>
  <r>
    <x v="1"/>
    <n v="41"/>
    <s v="Oregon"/>
    <n v="51"/>
    <s v="Multnomah County"/>
    <n v="6"/>
    <x v="2"/>
    <n v="61"/>
    <x v="13"/>
    <n v="39"/>
    <n v="66"/>
    <n v="2449"/>
    <n v="39037"/>
    <n v="65103"/>
    <n v="2442335"/>
    <n v="334001"/>
    <n v="620621"/>
    <n v="26145032"/>
    <n v="41051"/>
    <n v="41051"/>
    <x v="13"/>
    <n v="1"/>
    <n v="0"/>
  </r>
  <r>
    <x v="1"/>
    <n v="41"/>
    <s v="Oregon"/>
    <n v="51"/>
    <s v="Multnomah County"/>
    <n v="6"/>
    <x v="2"/>
    <n v="65"/>
    <x v="14"/>
    <n v="124"/>
    <n v="188"/>
    <n v="7671"/>
    <n v="39037"/>
    <n v="65103"/>
    <n v="2442335"/>
    <n v="334001"/>
    <n v="620621"/>
    <n v="26145032"/>
    <n v="41051"/>
    <n v="41051"/>
    <x v="14"/>
    <n v="1"/>
    <n v="0"/>
  </r>
  <r>
    <x v="1"/>
    <n v="41"/>
    <s v="Oregon"/>
    <n v="51"/>
    <s v="Multnomah County"/>
    <n v="6"/>
    <x v="2"/>
    <n v="67"/>
    <x v="15"/>
    <n v="152"/>
    <n v="237"/>
    <n v="7077"/>
    <n v="39037"/>
    <n v="65103"/>
    <n v="2442335"/>
    <n v="334001"/>
    <n v="620621"/>
    <n v="26145032"/>
    <n v="41051"/>
    <n v="41051"/>
    <x v="15"/>
    <n v="1"/>
    <n v="0"/>
  </r>
  <r>
    <x v="1"/>
    <n v="41"/>
    <s v="Oregon"/>
    <n v="51"/>
    <s v="Multnomah County"/>
    <n v="6"/>
    <x v="2"/>
    <n v="71"/>
    <x v="16"/>
    <n v="53"/>
    <n v="73"/>
    <n v="2414"/>
    <n v="39037"/>
    <n v="65103"/>
    <n v="2442335"/>
    <n v="334001"/>
    <n v="620621"/>
    <n v="26145032"/>
    <n v="41051"/>
    <n v="41051"/>
    <x v="16"/>
    <n v="1"/>
    <n v="0"/>
  </r>
  <r>
    <x v="1"/>
    <n v="41"/>
    <s v="Oregon"/>
    <n v="51"/>
    <s v="Multnomah County"/>
    <n v="6"/>
    <x v="2"/>
    <n v="73"/>
    <x v="17"/>
    <n v="378"/>
    <n v="570"/>
    <n v="22148"/>
    <n v="39037"/>
    <n v="65103"/>
    <n v="2442335"/>
    <n v="334001"/>
    <n v="620621"/>
    <n v="26145032"/>
    <n v="41051"/>
    <n v="41051"/>
    <x v="17"/>
    <n v="1"/>
    <n v="0"/>
  </r>
  <r>
    <x v="1"/>
    <n v="41"/>
    <s v="Oregon"/>
    <n v="51"/>
    <s v="Multnomah County"/>
    <n v="6"/>
    <x v="2"/>
    <n v="75"/>
    <x v="18"/>
    <n v="246"/>
    <n v="298"/>
    <n v="21848"/>
    <n v="39037"/>
    <n v="65103"/>
    <n v="2442335"/>
    <n v="334001"/>
    <n v="620621"/>
    <n v="26145032"/>
    <n v="41051"/>
    <n v="41051"/>
    <x v="18"/>
    <n v="1"/>
    <n v="0"/>
  </r>
  <r>
    <x v="1"/>
    <n v="41"/>
    <s v="Oregon"/>
    <n v="51"/>
    <s v="Multnomah County"/>
    <n v="6"/>
    <x v="2"/>
    <n v="77"/>
    <x v="128"/>
    <n v="25"/>
    <n v="38"/>
    <n v="585"/>
    <n v="39037"/>
    <n v="65103"/>
    <n v="2442335"/>
    <n v="334001"/>
    <n v="620621"/>
    <n v="26145032"/>
    <n v="41051"/>
    <n v="41051"/>
    <x v="135"/>
    <n v="1"/>
    <n v="0"/>
  </r>
  <r>
    <x v="1"/>
    <n v="41"/>
    <s v="Oregon"/>
    <n v="51"/>
    <s v="Multnomah County"/>
    <n v="6"/>
    <x v="2"/>
    <n v="79"/>
    <x v="19"/>
    <n v="35"/>
    <n v="53"/>
    <n v="1598"/>
    <n v="39037"/>
    <n v="65103"/>
    <n v="2442335"/>
    <n v="334001"/>
    <n v="620621"/>
    <n v="26145032"/>
    <n v="41051"/>
    <n v="41051"/>
    <x v="19"/>
    <n v="1"/>
    <n v="0"/>
  </r>
  <r>
    <x v="1"/>
    <n v="41"/>
    <s v="Oregon"/>
    <n v="51"/>
    <s v="Multnomah County"/>
    <n v="6"/>
    <x v="2"/>
    <n v="81"/>
    <x v="20"/>
    <n v="71"/>
    <n v="106"/>
    <n v="7015"/>
    <n v="39037"/>
    <n v="65103"/>
    <n v="2442335"/>
    <n v="334001"/>
    <n v="620621"/>
    <n v="26145032"/>
    <n v="41051"/>
    <n v="41051"/>
    <x v="20"/>
    <n v="1"/>
    <n v="0"/>
  </r>
  <r>
    <x v="1"/>
    <n v="41"/>
    <s v="Oregon"/>
    <n v="51"/>
    <s v="Multnomah County"/>
    <n v="6"/>
    <x v="2"/>
    <n v="83"/>
    <x v="21"/>
    <n v="59"/>
    <n v="79"/>
    <n v="5225"/>
    <n v="39037"/>
    <n v="65103"/>
    <n v="2442335"/>
    <n v="334001"/>
    <n v="620621"/>
    <n v="26145032"/>
    <n v="41051"/>
    <n v="41051"/>
    <x v="21"/>
    <n v="1"/>
    <n v="0"/>
  </r>
  <r>
    <x v="1"/>
    <n v="41"/>
    <s v="Oregon"/>
    <n v="51"/>
    <s v="Multnomah County"/>
    <n v="6"/>
    <x v="2"/>
    <n v="85"/>
    <x v="22"/>
    <n v="164"/>
    <n v="249"/>
    <n v="22764"/>
    <n v="39037"/>
    <n v="65103"/>
    <n v="2442335"/>
    <n v="334001"/>
    <n v="620621"/>
    <n v="26145032"/>
    <n v="41051"/>
    <n v="41051"/>
    <x v="22"/>
    <n v="1"/>
    <n v="0"/>
  </r>
  <r>
    <x v="1"/>
    <n v="41"/>
    <s v="Oregon"/>
    <n v="51"/>
    <s v="Multnomah County"/>
    <n v="6"/>
    <x v="2"/>
    <n v="87"/>
    <x v="23"/>
    <n v="50"/>
    <n v="63"/>
    <n v="2749"/>
    <n v="39037"/>
    <n v="65103"/>
    <n v="2442335"/>
    <n v="334001"/>
    <n v="620621"/>
    <n v="26145032"/>
    <n v="41051"/>
    <n v="41051"/>
    <x v="23"/>
    <n v="1"/>
    <n v="0"/>
  </r>
  <r>
    <x v="1"/>
    <n v="41"/>
    <s v="Oregon"/>
    <n v="51"/>
    <s v="Multnomah County"/>
    <n v="6"/>
    <x v="2"/>
    <n v="89"/>
    <x v="24"/>
    <n v="33"/>
    <n v="54"/>
    <n v="2108"/>
    <n v="39037"/>
    <n v="65103"/>
    <n v="2442335"/>
    <n v="334001"/>
    <n v="620621"/>
    <n v="26145032"/>
    <n v="41051"/>
    <n v="41051"/>
    <x v="24"/>
    <n v="1"/>
    <n v="0"/>
  </r>
  <r>
    <x v="1"/>
    <n v="41"/>
    <s v="Oregon"/>
    <n v="51"/>
    <s v="Multnomah County"/>
    <n v="6"/>
    <x v="2"/>
    <n v="95"/>
    <x v="129"/>
    <n v="27"/>
    <n v="46"/>
    <n v="1011"/>
    <n v="39037"/>
    <n v="65103"/>
    <n v="2442335"/>
    <n v="334001"/>
    <n v="620621"/>
    <n v="26145032"/>
    <n v="41051"/>
    <n v="41051"/>
    <x v="136"/>
    <n v="1"/>
    <n v="0"/>
  </r>
  <r>
    <x v="1"/>
    <n v="41"/>
    <s v="Oregon"/>
    <n v="51"/>
    <s v="Multnomah County"/>
    <n v="6"/>
    <x v="2"/>
    <n v="97"/>
    <x v="25"/>
    <n v="69"/>
    <n v="109"/>
    <n v="3135"/>
    <n v="39037"/>
    <n v="65103"/>
    <n v="2442335"/>
    <n v="334001"/>
    <n v="620621"/>
    <n v="26145032"/>
    <n v="41051"/>
    <n v="41051"/>
    <x v="25"/>
    <n v="1"/>
    <n v="0"/>
  </r>
  <r>
    <x v="1"/>
    <n v="41"/>
    <s v="Oregon"/>
    <n v="51"/>
    <s v="Multnomah County"/>
    <n v="6"/>
    <x v="2"/>
    <n v="111"/>
    <x v="26"/>
    <n v="55"/>
    <n v="77"/>
    <n v="2054"/>
    <n v="39037"/>
    <n v="65103"/>
    <n v="2442335"/>
    <n v="334001"/>
    <n v="620621"/>
    <n v="26145032"/>
    <n v="41051"/>
    <n v="41051"/>
    <x v="26"/>
    <n v="1"/>
    <n v="0"/>
  </r>
  <r>
    <x v="1"/>
    <n v="41"/>
    <s v="Oregon"/>
    <n v="51"/>
    <s v="Multnomah County"/>
    <n v="6"/>
    <x v="2"/>
    <n v="113"/>
    <x v="130"/>
    <n v="27"/>
    <n v="36"/>
    <n v="1279"/>
    <n v="39037"/>
    <n v="65103"/>
    <n v="2442335"/>
    <n v="334001"/>
    <n v="620621"/>
    <n v="26145032"/>
    <n v="41051"/>
    <n v="41051"/>
    <x v="137"/>
    <n v="1"/>
    <n v="0"/>
  </r>
  <r>
    <x v="1"/>
    <n v="41"/>
    <s v="Oregon"/>
    <n v="51"/>
    <s v="Multnomah County"/>
    <n v="8"/>
    <x v="3"/>
    <n v="5"/>
    <x v="27"/>
    <n v="45"/>
    <n v="64"/>
    <n v="2301"/>
    <n v="39037"/>
    <n v="65103"/>
    <n v="2442335"/>
    <n v="334001"/>
    <n v="620621"/>
    <n v="26145032"/>
    <n v="41051"/>
    <n v="41051"/>
    <x v="27"/>
    <n v="1"/>
    <n v="0"/>
  </r>
  <r>
    <x v="1"/>
    <n v="41"/>
    <s v="Oregon"/>
    <n v="51"/>
    <s v="Multnomah County"/>
    <n v="8"/>
    <x v="3"/>
    <n v="13"/>
    <x v="28"/>
    <n v="93"/>
    <n v="121"/>
    <n v="4682"/>
    <n v="39037"/>
    <n v="65103"/>
    <n v="2442335"/>
    <n v="334001"/>
    <n v="620621"/>
    <n v="26145032"/>
    <n v="41051"/>
    <n v="41051"/>
    <x v="28"/>
    <n v="1"/>
    <n v="0"/>
  </r>
  <r>
    <x v="1"/>
    <n v="41"/>
    <s v="Oregon"/>
    <n v="51"/>
    <s v="Multnomah County"/>
    <n v="8"/>
    <x v="3"/>
    <n v="31"/>
    <x v="29"/>
    <n v="163"/>
    <n v="224"/>
    <n v="11046"/>
    <n v="39037"/>
    <n v="65103"/>
    <n v="2442335"/>
    <n v="334001"/>
    <n v="620621"/>
    <n v="26145032"/>
    <n v="41051"/>
    <n v="41051"/>
    <x v="29"/>
    <n v="1"/>
    <n v="0"/>
  </r>
  <r>
    <x v="1"/>
    <n v="41"/>
    <s v="Oregon"/>
    <n v="51"/>
    <s v="Multnomah County"/>
    <n v="8"/>
    <x v="3"/>
    <n v="41"/>
    <x v="30"/>
    <n v="55"/>
    <n v="95"/>
    <n v="2349"/>
    <n v="39037"/>
    <n v="65103"/>
    <n v="2442335"/>
    <n v="334001"/>
    <n v="620621"/>
    <n v="26145032"/>
    <n v="41051"/>
    <n v="41051"/>
    <x v="30"/>
    <n v="1"/>
    <n v="0"/>
  </r>
  <r>
    <x v="1"/>
    <n v="41"/>
    <s v="Oregon"/>
    <n v="51"/>
    <s v="Multnomah County"/>
    <n v="8"/>
    <x v="3"/>
    <n v="59"/>
    <x v="31"/>
    <n v="55"/>
    <n v="87"/>
    <n v="3625"/>
    <n v="39037"/>
    <n v="65103"/>
    <n v="2442335"/>
    <n v="334001"/>
    <n v="620621"/>
    <n v="26145032"/>
    <n v="41051"/>
    <n v="41051"/>
    <x v="31"/>
    <n v="1"/>
    <n v="0"/>
  </r>
  <r>
    <x v="1"/>
    <n v="41"/>
    <s v="Oregon"/>
    <n v="51"/>
    <s v="Multnomah County"/>
    <n v="8"/>
    <x v="3"/>
    <n v="69"/>
    <x v="32"/>
    <n v="61"/>
    <n v="82"/>
    <n v="2838"/>
    <n v="39037"/>
    <n v="65103"/>
    <n v="2442335"/>
    <n v="334001"/>
    <n v="620621"/>
    <n v="26145032"/>
    <n v="41051"/>
    <n v="41051"/>
    <x v="32"/>
    <n v="1"/>
    <n v="0"/>
  </r>
  <r>
    <x v="1"/>
    <n v="41"/>
    <s v="Oregon"/>
    <n v="51"/>
    <s v="Multnomah County"/>
    <n v="9"/>
    <x v="4"/>
    <n v="3"/>
    <x v="131"/>
    <n v="20"/>
    <n v="27"/>
    <n v="387"/>
    <n v="39037"/>
    <n v="65103"/>
    <n v="2442335"/>
    <n v="334001"/>
    <n v="620621"/>
    <n v="26145032"/>
    <n v="41051"/>
    <n v="41051"/>
    <x v="138"/>
    <n v="1"/>
    <n v="0"/>
  </r>
  <r>
    <x v="1"/>
    <n v="41"/>
    <s v="Oregon"/>
    <n v="51"/>
    <s v="Multnomah County"/>
    <n v="9"/>
    <x v="4"/>
    <n v="9"/>
    <x v="33"/>
    <n v="39"/>
    <n v="58"/>
    <n v="2049"/>
    <n v="39037"/>
    <n v="65103"/>
    <n v="2442335"/>
    <n v="334001"/>
    <n v="620621"/>
    <n v="26145032"/>
    <n v="41051"/>
    <n v="41051"/>
    <x v="33"/>
    <n v="1"/>
    <n v="0"/>
  </r>
  <r>
    <x v="1"/>
    <n v="41"/>
    <s v="Oregon"/>
    <n v="51"/>
    <s v="Multnomah County"/>
    <n v="11"/>
    <x v="5"/>
    <n v="1"/>
    <x v="34"/>
    <n v="88"/>
    <n v="99"/>
    <n v="4650"/>
    <n v="39037"/>
    <n v="65103"/>
    <n v="2442335"/>
    <n v="334001"/>
    <n v="620621"/>
    <n v="26145032"/>
    <n v="41051"/>
    <n v="41051"/>
    <x v="34"/>
    <n v="1"/>
    <n v="0"/>
  </r>
  <r>
    <x v="1"/>
    <n v="41"/>
    <s v="Oregon"/>
    <n v="51"/>
    <s v="Multnomah County"/>
    <n v="12"/>
    <x v="6"/>
    <n v="11"/>
    <x v="132"/>
    <n v="30"/>
    <n v="50"/>
    <n v="2367"/>
    <n v="39037"/>
    <n v="65103"/>
    <n v="2442335"/>
    <n v="334001"/>
    <n v="620621"/>
    <n v="26145032"/>
    <n v="41051"/>
    <n v="41051"/>
    <x v="139"/>
    <n v="1"/>
    <n v="0"/>
  </r>
  <r>
    <x v="1"/>
    <n v="41"/>
    <s v="Oregon"/>
    <n v="51"/>
    <s v="Multnomah County"/>
    <n v="12"/>
    <x v="6"/>
    <n v="31"/>
    <x v="133"/>
    <n v="33"/>
    <n v="67"/>
    <n v="2365"/>
    <n v="39037"/>
    <n v="65103"/>
    <n v="2442335"/>
    <n v="334001"/>
    <n v="620621"/>
    <n v="26145032"/>
    <n v="41051"/>
    <n v="41051"/>
    <x v="140"/>
    <n v="1"/>
    <n v="0"/>
  </r>
  <r>
    <x v="1"/>
    <n v="41"/>
    <s v="Oregon"/>
    <n v="51"/>
    <s v="Multnomah County"/>
    <n v="12"/>
    <x v="6"/>
    <n v="57"/>
    <x v="35"/>
    <n v="30"/>
    <n v="50"/>
    <n v="1419"/>
    <n v="39037"/>
    <n v="65103"/>
    <n v="2442335"/>
    <n v="334001"/>
    <n v="620621"/>
    <n v="26145032"/>
    <n v="41051"/>
    <n v="41051"/>
    <x v="35"/>
    <n v="1"/>
    <n v="0"/>
  </r>
  <r>
    <x v="1"/>
    <n v="41"/>
    <s v="Oregon"/>
    <n v="51"/>
    <s v="Multnomah County"/>
    <n v="12"/>
    <x v="6"/>
    <n v="86"/>
    <x v="36"/>
    <n v="47"/>
    <n v="75"/>
    <n v="3566"/>
    <n v="39037"/>
    <n v="65103"/>
    <n v="2442335"/>
    <n v="334001"/>
    <n v="620621"/>
    <n v="26145032"/>
    <n v="41051"/>
    <n v="41051"/>
    <x v="36"/>
    <n v="1"/>
    <n v="0"/>
  </r>
  <r>
    <x v="1"/>
    <n v="41"/>
    <s v="Oregon"/>
    <n v="51"/>
    <s v="Multnomah County"/>
    <n v="12"/>
    <x v="6"/>
    <n v="95"/>
    <x v="12"/>
    <n v="38"/>
    <n v="66"/>
    <n v="1778"/>
    <n v="39037"/>
    <n v="65103"/>
    <n v="2442335"/>
    <n v="334001"/>
    <n v="620621"/>
    <n v="26145032"/>
    <n v="41051"/>
    <n v="41051"/>
    <x v="37"/>
    <n v="1"/>
    <n v="0"/>
  </r>
  <r>
    <x v="1"/>
    <n v="41"/>
    <s v="Oregon"/>
    <n v="51"/>
    <s v="Multnomah County"/>
    <n v="12"/>
    <x v="6"/>
    <n v="99"/>
    <x v="37"/>
    <n v="32"/>
    <n v="55"/>
    <n v="1964"/>
    <n v="39037"/>
    <n v="65103"/>
    <n v="2442335"/>
    <n v="334001"/>
    <n v="620621"/>
    <n v="26145032"/>
    <n v="41051"/>
    <n v="41051"/>
    <x v="38"/>
    <n v="1"/>
    <n v="0"/>
  </r>
  <r>
    <x v="1"/>
    <n v="41"/>
    <s v="Oregon"/>
    <n v="51"/>
    <s v="Multnomah County"/>
    <n v="12"/>
    <x v="6"/>
    <n v="103"/>
    <x v="38"/>
    <n v="52"/>
    <n v="85"/>
    <n v="3043"/>
    <n v="39037"/>
    <n v="65103"/>
    <n v="2442335"/>
    <n v="334001"/>
    <n v="620621"/>
    <n v="26145032"/>
    <n v="41051"/>
    <n v="41051"/>
    <x v="39"/>
    <n v="1"/>
    <n v="0"/>
  </r>
  <r>
    <x v="1"/>
    <n v="41"/>
    <s v="Oregon"/>
    <n v="51"/>
    <s v="Multnomah County"/>
    <n v="13"/>
    <x v="7"/>
    <n v="89"/>
    <x v="39"/>
    <n v="40"/>
    <n v="70"/>
    <n v="3101"/>
    <n v="39037"/>
    <n v="65103"/>
    <n v="2442335"/>
    <n v="334001"/>
    <n v="620621"/>
    <n v="26145032"/>
    <n v="41051"/>
    <n v="41051"/>
    <x v="40"/>
    <n v="1"/>
    <n v="0"/>
  </r>
  <r>
    <x v="1"/>
    <n v="41"/>
    <s v="Oregon"/>
    <n v="51"/>
    <s v="Multnomah County"/>
    <n v="13"/>
    <x v="7"/>
    <n v="121"/>
    <x v="40"/>
    <n v="53"/>
    <n v="75"/>
    <n v="5116"/>
    <n v="39037"/>
    <n v="65103"/>
    <n v="2442335"/>
    <n v="334001"/>
    <n v="620621"/>
    <n v="26145032"/>
    <n v="41051"/>
    <n v="41051"/>
    <x v="41"/>
    <n v="1"/>
    <n v="0"/>
  </r>
  <r>
    <x v="1"/>
    <n v="41"/>
    <s v="Oregon"/>
    <n v="51"/>
    <s v="Multnomah County"/>
    <n v="15"/>
    <x v="8"/>
    <n v="1"/>
    <x v="41"/>
    <n v="65"/>
    <n v="103"/>
    <n v="2989"/>
    <n v="39037"/>
    <n v="65103"/>
    <n v="2442335"/>
    <n v="334001"/>
    <n v="620621"/>
    <n v="26145032"/>
    <n v="41051"/>
    <n v="41051"/>
    <x v="42"/>
    <n v="1"/>
    <n v="0"/>
  </r>
  <r>
    <x v="1"/>
    <n v="41"/>
    <s v="Oregon"/>
    <n v="51"/>
    <s v="Multnomah County"/>
    <n v="15"/>
    <x v="8"/>
    <n v="3"/>
    <x v="42"/>
    <n v="97"/>
    <n v="157"/>
    <n v="6818"/>
    <n v="39037"/>
    <n v="65103"/>
    <n v="2442335"/>
    <n v="334001"/>
    <n v="620621"/>
    <n v="26145032"/>
    <n v="41051"/>
    <n v="41051"/>
    <x v="43"/>
    <n v="1"/>
    <n v="0"/>
  </r>
  <r>
    <x v="1"/>
    <n v="41"/>
    <s v="Oregon"/>
    <n v="51"/>
    <s v="Multnomah County"/>
    <n v="15"/>
    <x v="8"/>
    <n v="7"/>
    <x v="134"/>
    <n v="26"/>
    <n v="35"/>
    <n v="760"/>
    <n v="39037"/>
    <n v="65103"/>
    <n v="2442335"/>
    <n v="334001"/>
    <n v="620621"/>
    <n v="26145032"/>
    <n v="41051"/>
    <n v="41051"/>
    <x v="141"/>
    <n v="1"/>
    <n v="0"/>
  </r>
  <r>
    <x v="1"/>
    <n v="41"/>
    <s v="Oregon"/>
    <n v="51"/>
    <s v="Multnomah County"/>
    <n v="15"/>
    <x v="8"/>
    <n v="9"/>
    <x v="43"/>
    <n v="38"/>
    <n v="62"/>
    <n v="2417"/>
    <n v="39037"/>
    <n v="65103"/>
    <n v="2442335"/>
    <n v="334001"/>
    <n v="620621"/>
    <n v="26145032"/>
    <n v="41051"/>
    <n v="41051"/>
    <x v="44"/>
    <n v="1"/>
    <n v="0"/>
  </r>
  <r>
    <x v="1"/>
    <n v="41"/>
    <s v="Oregon"/>
    <n v="51"/>
    <s v="Multnomah County"/>
    <n v="16"/>
    <x v="9"/>
    <n v="1"/>
    <x v="44"/>
    <n v="201"/>
    <n v="369"/>
    <n v="11868"/>
    <n v="39037"/>
    <n v="65103"/>
    <n v="2442335"/>
    <n v="334001"/>
    <n v="620621"/>
    <n v="26145032"/>
    <n v="41051"/>
    <n v="41051"/>
    <x v="45"/>
    <n v="1"/>
    <n v="0"/>
  </r>
  <r>
    <x v="1"/>
    <n v="41"/>
    <s v="Oregon"/>
    <n v="51"/>
    <s v="Multnomah County"/>
    <n v="16"/>
    <x v="9"/>
    <n v="13"/>
    <x v="135"/>
    <n v="21"/>
    <n v="29"/>
    <n v="1681"/>
    <n v="39037"/>
    <n v="65103"/>
    <n v="2442335"/>
    <n v="334001"/>
    <n v="620621"/>
    <n v="26145032"/>
    <n v="41051"/>
    <n v="41051"/>
    <x v="142"/>
    <n v="1"/>
    <n v="0"/>
  </r>
  <r>
    <x v="1"/>
    <n v="41"/>
    <s v="Oregon"/>
    <n v="51"/>
    <s v="Multnomah County"/>
    <n v="16"/>
    <x v="9"/>
    <n v="27"/>
    <x v="45"/>
    <n v="79"/>
    <n v="168"/>
    <n v="3258"/>
    <n v="39037"/>
    <n v="65103"/>
    <n v="2442335"/>
    <n v="334001"/>
    <n v="620621"/>
    <n v="26145032"/>
    <n v="41051"/>
    <n v="41051"/>
    <x v="46"/>
    <n v="1"/>
    <n v="0"/>
  </r>
  <r>
    <x v="1"/>
    <n v="41"/>
    <s v="Oregon"/>
    <n v="51"/>
    <s v="Multnomah County"/>
    <n v="16"/>
    <x v="9"/>
    <n v="55"/>
    <x v="46"/>
    <n v="52"/>
    <n v="88"/>
    <n v="2633"/>
    <n v="39037"/>
    <n v="65103"/>
    <n v="2442335"/>
    <n v="334001"/>
    <n v="620621"/>
    <n v="26145032"/>
    <n v="41051"/>
    <n v="41051"/>
    <x v="47"/>
    <n v="1"/>
    <n v="0"/>
  </r>
  <r>
    <x v="1"/>
    <n v="41"/>
    <s v="Oregon"/>
    <n v="51"/>
    <s v="Multnomah County"/>
    <n v="17"/>
    <x v="10"/>
    <n v="31"/>
    <x v="47"/>
    <n v="224"/>
    <n v="278"/>
    <n v="12727"/>
    <n v="39037"/>
    <n v="65103"/>
    <n v="2442335"/>
    <n v="334001"/>
    <n v="620621"/>
    <n v="26145032"/>
    <n v="41051"/>
    <n v="41051"/>
    <x v="48"/>
    <n v="1"/>
    <n v="0"/>
  </r>
  <r>
    <x v="1"/>
    <n v="41"/>
    <s v="Oregon"/>
    <n v="51"/>
    <s v="Multnomah County"/>
    <n v="17"/>
    <x v="10"/>
    <n v="43"/>
    <x v="136"/>
    <n v="28"/>
    <n v="37"/>
    <n v="1608"/>
    <n v="39037"/>
    <n v="65103"/>
    <n v="2442335"/>
    <n v="334001"/>
    <n v="620621"/>
    <n v="26145032"/>
    <n v="41051"/>
    <n v="41051"/>
    <x v="143"/>
    <n v="1"/>
    <n v="0"/>
  </r>
  <r>
    <x v="1"/>
    <n v="41"/>
    <s v="Oregon"/>
    <n v="51"/>
    <s v="Multnomah County"/>
    <n v="18"/>
    <x v="11"/>
    <n v="97"/>
    <x v="48"/>
    <n v="31"/>
    <n v="45"/>
    <n v="1358"/>
    <n v="39037"/>
    <n v="65103"/>
    <n v="2442335"/>
    <n v="334001"/>
    <n v="620621"/>
    <n v="26145032"/>
    <n v="41051"/>
    <n v="41051"/>
    <x v="49"/>
    <n v="1"/>
    <n v="0"/>
  </r>
  <r>
    <x v="1"/>
    <n v="41"/>
    <s v="Oregon"/>
    <n v="51"/>
    <s v="Multnomah County"/>
    <n v="19"/>
    <x v="12"/>
    <n v="153"/>
    <x v="49"/>
    <n v="23"/>
    <n v="49"/>
    <n v="1182"/>
    <n v="39037"/>
    <n v="65103"/>
    <n v="2442335"/>
    <n v="334001"/>
    <n v="620621"/>
    <n v="26145032"/>
    <n v="41051"/>
    <n v="41051"/>
    <x v="50"/>
    <n v="1"/>
    <n v="0"/>
  </r>
  <r>
    <x v="1"/>
    <n v="41"/>
    <s v="Oregon"/>
    <n v="51"/>
    <s v="Multnomah County"/>
    <n v="20"/>
    <x v="34"/>
    <n v="91"/>
    <x v="137"/>
    <n v="22"/>
    <n v="56"/>
    <n v="2364"/>
    <n v="39037"/>
    <n v="65103"/>
    <n v="2442335"/>
    <n v="334001"/>
    <n v="620621"/>
    <n v="26145032"/>
    <n v="41051"/>
    <n v="41051"/>
    <x v="144"/>
    <n v="1"/>
    <n v="0"/>
  </r>
  <r>
    <x v="1"/>
    <n v="41"/>
    <s v="Oregon"/>
    <n v="51"/>
    <s v="Multnomah County"/>
    <n v="21"/>
    <x v="35"/>
    <n v="111"/>
    <x v="31"/>
    <n v="30"/>
    <n v="42"/>
    <n v="1639"/>
    <n v="39037"/>
    <n v="65103"/>
    <n v="2442335"/>
    <n v="334001"/>
    <n v="620621"/>
    <n v="26145032"/>
    <n v="41051"/>
    <n v="41051"/>
    <x v="145"/>
    <n v="1"/>
    <n v="0"/>
  </r>
  <r>
    <x v="1"/>
    <n v="41"/>
    <s v="Oregon"/>
    <n v="51"/>
    <s v="Multnomah County"/>
    <n v="22"/>
    <x v="13"/>
    <n v="71"/>
    <x v="50"/>
    <n v="62"/>
    <n v="84"/>
    <n v="2451"/>
    <n v="39037"/>
    <n v="65103"/>
    <n v="2442335"/>
    <n v="334001"/>
    <n v="620621"/>
    <n v="26145032"/>
    <n v="41051"/>
    <n v="41051"/>
    <x v="51"/>
    <n v="1"/>
    <n v="0"/>
  </r>
  <r>
    <x v="1"/>
    <n v="41"/>
    <s v="Oregon"/>
    <n v="51"/>
    <s v="Multnomah County"/>
    <n v="23"/>
    <x v="14"/>
    <n v="5"/>
    <x v="51"/>
    <n v="48"/>
    <n v="66"/>
    <n v="2386"/>
    <n v="39037"/>
    <n v="65103"/>
    <n v="2442335"/>
    <n v="334001"/>
    <n v="620621"/>
    <n v="26145032"/>
    <n v="41051"/>
    <n v="41051"/>
    <x v="52"/>
    <n v="1"/>
    <n v="0"/>
  </r>
  <r>
    <x v="1"/>
    <n v="41"/>
    <s v="Oregon"/>
    <n v="51"/>
    <s v="Multnomah County"/>
    <n v="24"/>
    <x v="15"/>
    <n v="31"/>
    <x v="52"/>
    <n v="31"/>
    <n v="50"/>
    <n v="1800"/>
    <n v="39037"/>
    <n v="65103"/>
    <n v="2442335"/>
    <n v="334001"/>
    <n v="620621"/>
    <n v="26145032"/>
    <n v="41051"/>
    <n v="41051"/>
    <x v="53"/>
    <n v="1"/>
    <n v="0"/>
  </r>
  <r>
    <x v="1"/>
    <n v="41"/>
    <s v="Oregon"/>
    <n v="51"/>
    <s v="Multnomah County"/>
    <n v="24"/>
    <x v="15"/>
    <n v="33"/>
    <x v="138"/>
    <n v="20"/>
    <n v="29"/>
    <n v="1043"/>
    <n v="39037"/>
    <n v="65103"/>
    <n v="2442335"/>
    <n v="334001"/>
    <n v="620621"/>
    <n v="26145032"/>
    <n v="41051"/>
    <n v="41051"/>
    <x v="146"/>
    <n v="1"/>
    <n v="0"/>
  </r>
  <r>
    <x v="1"/>
    <n v="41"/>
    <s v="Oregon"/>
    <n v="51"/>
    <s v="Multnomah County"/>
    <n v="24"/>
    <x v="15"/>
    <n v="510"/>
    <x v="139"/>
    <n v="42"/>
    <n v="57"/>
    <n v="2739"/>
    <n v="39037"/>
    <n v="65103"/>
    <n v="2442335"/>
    <n v="334001"/>
    <n v="620621"/>
    <n v="26145032"/>
    <n v="41051"/>
    <n v="41051"/>
    <x v="147"/>
    <n v="1"/>
    <n v="0"/>
  </r>
  <r>
    <x v="1"/>
    <n v="41"/>
    <s v="Oregon"/>
    <n v="51"/>
    <s v="Multnomah County"/>
    <n v="25"/>
    <x v="16"/>
    <n v="15"/>
    <x v="140"/>
    <n v="26"/>
    <n v="42"/>
    <n v="2205"/>
    <n v="39037"/>
    <n v="65103"/>
    <n v="2442335"/>
    <n v="334001"/>
    <n v="620621"/>
    <n v="26145032"/>
    <n v="41051"/>
    <n v="41051"/>
    <x v="148"/>
    <n v="1"/>
    <n v="0"/>
  </r>
  <r>
    <x v="1"/>
    <n v="41"/>
    <s v="Oregon"/>
    <n v="51"/>
    <s v="Multnomah County"/>
    <n v="25"/>
    <x v="16"/>
    <n v="17"/>
    <x v="53"/>
    <n v="98"/>
    <n v="140"/>
    <n v="7308"/>
    <n v="39037"/>
    <n v="65103"/>
    <n v="2442335"/>
    <n v="334001"/>
    <n v="620621"/>
    <n v="26145032"/>
    <n v="41051"/>
    <n v="41051"/>
    <x v="54"/>
    <n v="1"/>
    <n v="0"/>
  </r>
  <r>
    <x v="1"/>
    <n v="41"/>
    <s v="Oregon"/>
    <n v="51"/>
    <s v="Multnomah County"/>
    <n v="25"/>
    <x v="16"/>
    <n v="21"/>
    <x v="141"/>
    <n v="24"/>
    <n v="35"/>
    <n v="3706"/>
    <n v="39037"/>
    <n v="65103"/>
    <n v="2442335"/>
    <n v="334001"/>
    <n v="620621"/>
    <n v="26145032"/>
    <n v="41051"/>
    <n v="41051"/>
    <x v="149"/>
    <n v="1"/>
    <n v="0"/>
  </r>
  <r>
    <x v="1"/>
    <n v="41"/>
    <s v="Oregon"/>
    <n v="51"/>
    <s v="Multnomah County"/>
    <n v="25"/>
    <x v="16"/>
    <n v="25"/>
    <x v="54"/>
    <n v="66"/>
    <n v="82"/>
    <n v="6898"/>
    <n v="39037"/>
    <n v="65103"/>
    <n v="2442335"/>
    <n v="334001"/>
    <n v="620621"/>
    <n v="26145032"/>
    <n v="41051"/>
    <n v="41051"/>
    <x v="55"/>
    <n v="1"/>
    <n v="0"/>
  </r>
  <r>
    <x v="1"/>
    <n v="41"/>
    <s v="Oregon"/>
    <n v="51"/>
    <s v="Multnomah County"/>
    <n v="26"/>
    <x v="17"/>
    <n v="81"/>
    <x v="142"/>
    <n v="24"/>
    <n v="44"/>
    <n v="1589"/>
    <n v="39037"/>
    <n v="65103"/>
    <n v="2442335"/>
    <n v="334001"/>
    <n v="620621"/>
    <n v="26145032"/>
    <n v="41051"/>
    <n v="41051"/>
    <x v="150"/>
    <n v="1"/>
    <n v="0"/>
  </r>
  <r>
    <x v="1"/>
    <n v="41"/>
    <s v="Oregon"/>
    <n v="51"/>
    <s v="Multnomah County"/>
    <n v="26"/>
    <x v="17"/>
    <n v="125"/>
    <x v="143"/>
    <n v="41"/>
    <n v="63"/>
    <n v="2780"/>
    <n v="39037"/>
    <n v="65103"/>
    <n v="2442335"/>
    <n v="334001"/>
    <n v="620621"/>
    <n v="26145032"/>
    <n v="41051"/>
    <n v="41051"/>
    <x v="151"/>
    <n v="1"/>
    <n v="0"/>
  </r>
  <r>
    <x v="1"/>
    <n v="41"/>
    <s v="Oregon"/>
    <n v="51"/>
    <s v="Multnomah County"/>
    <n v="26"/>
    <x v="17"/>
    <n v="161"/>
    <x v="55"/>
    <n v="43"/>
    <n v="61"/>
    <n v="2403"/>
    <n v="39037"/>
    <n v="65103"/>
    <n v="2442335"/>
    <n v="334001"/>
    <n v="620621"/>
    <n v="26145032"/>
    <n v="41051"/>
    <n v="41051"/>
    <x v="56"/>
    <n v="1"/>
    <n v="0"/>
  </r>
  <r>
    <x v="1"/>
    <n v="41"/>
    <s v="Oregon"/>
    <n v="51"/>
    <s v="Multnomah County"/>
    <n v="26"/>
    <x v="17"/>
    <n v="163"/>
    <x v="144"/>
    <n v="39"/>
    <n v="55"/>
    <n v="1621"/>
    <n v="39037"/>
    <n v="65103"/>
    <n v="2442335"/>
    <n v="334001"/>
    <n v="620621"/>
    <n v="26145032"/>
    <n v="41051"/>
    <n v="41051"/>
    <x v="152"/>
    <n v="1"/>
    <n v="0"/>
  </r>
  <r>
    <x v="1"/>
    <n v="41"/>
    <s v="Oregon"/>
    <n v="51"/>
    <s v="Multnomah County"/>
    <n v="27"/>
    <x v="18"/>
    <n v="53"/>
    <x v="56"/>
    <n v="146"/>
    <n v="222"/>
    <n v="8404"/>
    <n v="39037"/>
    <n v="65103"/>
    <n v="2442335"/>
    <n v="334001"/>
    <n v="620621"/>
    <n v="26145032"/>
    <n v="41051"/>
    <n v="41051"/>
    <x v="57"/>
    <n v="1"/>
    <n v="0"/>
  </r>
  <r>
    <x v="1"/>
    <n v="41"/>
    <s v="Oregon"/>
    <n v="51"/>
    <s v="Multnomah County"/>
    <n v="27"/>
    <x v="18"/>
    <n v="123"/>
    <x v="57"/>
    <n v="41"/>
    <n v="67"/>
    <n v="1933"/>
    <n v="39037"/>
    <n v="65103"/>
    <n v="2442335"/>
    <n v="334001"/>
    <n v="620621"/>
    <n v="26145032"/>
    <n v="41051"/>
    <n v="41051"/>
    <x v="58"/>
    <n v="1"/>
    <n v="0"/>
  </r>
  <r>
    <x v="1"/>
    <n v="41"/>
    <s v="Oregon"/>
    <n v="51"/>
    <s v="Multnomah County"/>
    <n v="29"/>
    <x v="36"/>
    <n v="77"/>
    <x v="145"/>
    <n v="24"/>
    <n v="51"/>
    <n v="1092"/>
    <n v="39037"/>
    <n v="65103"/>
    <n v="2442335"/>
    <n v="334001"/>
    <n v="620621"/>
    <n v="26145032"/>
    <n v="41051"/>
    <n v="41051"/>
    <x v="153"/>
    <n v="1"/>
    <n v="0"/>
  </r>
  <r>
    <x v="1"/>
    <n v="41"/>
    <s v="Oregon"/>
    <n v="51"/>
    <s v="Multnomah County"/>
    <n v="29"/>
    <x v="36"/>
    <n v="95"/>
    <x v="82"/>
    <n v="35"/>
    <n v="57"/>
    <n v="1876"/>
    <n v="39037"/>
    <n v="65103"/>
    <n v="2442335"/>
    <n v="334001"/>
    <n v="620621"/>
    <n v="26145032"/>
    <n v="41051"/>
    <n v="41051"/>
    <x v="154"/>
    <n v="1"/>
    <n v="0"/>
  </r>
  <r>
    <x v="1"/>
    <n v="41"/>
    <s v="Oregon"/>
    <n v="51"/>
    <s v="Multnomah County"/>
    <n v="29"/>
    <x v="36"/>
    <n v="189"/>
    <x v="146"/>
    <n v="22"/>
    <n v="40"/>
    <n v="1530"/>
    <n v="39037"/>
    <n v="65103"/>
    <n v="2442335"/>
    <n v="334001"/>
    <n v="620621"/>
    <n v="26145032"/>
    <n v="41051"/>
    <n v="41051"/>
    <x v="155"/>
    <n v="1"/>
    <n v="0"/>
  </r>
  <r>
    <x v="1"/>
    <n v="41"/>
    <s v="Oregon"/>
    <n v="51"/>
    <s v="Multnomah County"/>
    <n v="29"/>
    <x v="36"/>
    <n v="510"/>
    <x v="147"/>
    <n v="26"/>
    <n v="36"/>
    <n v="1503"/>
    <n v="39037"/>
    <n v="65103"/>
    <n v="2442335"/>
    <n v="334001"/>
    <n v="620621"/>
    <n v="26145032"/>
    <n v="41051"/>
    <n v="41051"/>
    <x v="156"/>
    <n v="1"/>
    <n v="0"/>
  </r>
  <r>
    <x v="1"/>
    <n v="41"/>
    <s v="Oregon"/>
    <n v="51"/>
    <s v="Multnomah County"/>
    <n v="30"/>
    <x v="19"/>
    <n v="29"/>
    <x v="148"/>
    <n v="33"/>
    <n v="55"/>
    <n v="2245"/>
    <n v="39037"/>
    <n v="65103"/>
    <n v="2442335"/>
    <n v="334001"/>
    <n v="620621"/>
    <n v="26145032"/>
    <n v="41051"/>
    <n v="41051"/>
    <x v="157"/>
    <n v="1"/>
    <n v="0"/>
  </r>
  <r>
    <x v="1"/>
    <n v="41"/>
    <s v="Oregon"/>
    <n v="51"/>
    <s v="Multnomah County"/>
    <n v="30"/>
    <x v="19"/>
    <n v="31"/>
    <x v="58"/>
    <n v="44"/>
    <n v="65"/>
    <n v="1690"/>
    <n v="39037"/>
    <n v="65103"/>
    <n v="2442335"/>
    <n v="334001"/>
    <n v="620621"/>
    <n v="26145032"/>
    <n v="41051"/>
    <n v="41051"/>
    <x v="59"/>
    <n v="1"/>
    <n v="0"/>
  </r>
  <r>
    <x v="1"/>
    <n v="41"/>
    <s v="Oregon"/>
    <n v="51"/>
    <s v="Multnomah County"/>
    <n v="30"/>
    <x v="19"/>
    <n v="49"/>
    <x v="149"/>
    <n v="27"/>
    <n v="40"/>
    <n v="1183"/>
    <n v="39037"/>
    <n v="65103"/>
    <n v="2442335"/>
    <n v="334001"/>
    <n v="620621"/>
    <n v="26145032"/>
    <n v="41051"/>
    <n v="41051"/>
    <x v="158"/>
    <n v="1"/>
    <n v="0"/>
  </r>
  <r>
    <x v="1"/>
    <n v="41"/>
    <s v="Oregon"/>
    <n v="51"/>
    <s v="Multnomah County"/>
    <n v="30"/>
    <x v="19"/>
    <n v="63"/>
    <x v="59"/>
    <n v="50"/>
    <n v="76"/>
    <n v="2666"/>
    <n v="39037"/>
    <n v="65103"/>
    <n v="2442335"/>
    <n v="334001"/>
    <n v="620621"/>
    <n v="26145032"/>
    <n v="41051"/>
    <n v="41051"/>
    <x v="60"/>
    <n v="1"/>
    <n v="0"/>
  </r>
  <r>
    <x v="1"/>
    <n v="41"/>
    <s v="Oregon"/>
    <n v="51"/>
    <s v="Multnomah County"/>
    <n v="31"/>
    <x v="37"/>
    <n v="55"/>
    <x v="80"/>
    <n v="35"/>
    <n v="63"/>
    <n v="2133"/>
    <n v="39037"/>
    <n v="65103"/>
    <n v="2442335"/>
    <n v="334001"/>
    <n v="620621"/>
    <n v="26145032"/>
    <n v="41051"/>
    <n v="41051"/>
    <x v="159"/>
    <n v="1"/>
    <n v="0"/>
  </r>
  <r>
    <x v="1"/>
    <n v="41"/>
    <s v="Oregon"/>
    <n v="51"/>
    <s v="Multnomah County"/>
    <n v="32"/>
    <x v="20"/>
    <n v="3"/>
    <x v="61"/>
    <n v="244"/>
    <n v="432"/>
    <n v="11924"/>
    <n v="39037"/>
    <n v="65103"/>
    <n v="2442335"/>
    <n v="334001"/>
    <n v="620621"/>
    <n v="26145032"/>
    <n v="41051"/>
    <n v="41051"/>
    <x v="62"/>
    <n v="1"/>
    <n v="0"/>
  </r>
  <r>
    <x v="1"/>
    <n v="41"/>
    <s v="Oregon"/>
    <n v="51"/>
    <s v="Multnomah County"/>
    <n v="32"/>
    <x v="20"/>
    <n v="31"/>
    <x v="62"/>
    <n v="80"/>
    <n v="120"/>
    <n v="3260"/>
    <n v="39037"/>
    <n v="65103"/>
    <n v="2442335"/>
    <n v="334001"/>
    <n v="620621"/>
    <n v="26145032"/>
    <n v="41051"/>
    <n v="41051"/>
    <x v="63"/>
    <n v="1"/>
    <n v="0"/>
  </r>
  <r>
    <x v="1"/>
    <n v="41"/>
    <s v="Oregon"/>
    <n v="51"/>
    <s v="Multnomah County"/>
    <n v="34"/>
    <x v="38"/>
    <n v="17"/>
    <x v="150"/>
    <n v="24"/>
    <n v="36"/>
    <n v="1746"/>
    <n v="39037"/>
    <n v="65103"/>
    <n v="2442335"/>
    <n v="334001"/>
    <n v="620621"/>
    <n v="26145032"/>
    <n v="41051"/>
    <n v="41051"/>
    <x v="160"/>
    <n v="1"/>
    <n v="0"/>
  </r>
  <r>
    <x v="1"/>
    <n v="41"/>
    <s v="Oregon"/>
    <n v="51"/>
    <s v="Multnomah County"/>
    <n v="35"/>
    <x v="21"/>
    <n v="1"/>
    <x v="63"/>
    <n v="65"/>
    <n v="99"/>
    <n v="2903"/>
    <n v="39037"/>
    <n v="65103"/>
    <n v="2442335"/>
    <n v="334001"/>
    <n v="620621"/>
    <n v="26145032"/>
    <n v="41051"/>
    <n v="41051"/>
    <x v="64"/>
    <n v="1"/>
    <n v="0"/>
  </r>
  <r>
    <x v="1"/>
    <n v="41"/>
    <s v="Oregon"/>
    <n v="51"/>
    <s v="Multnomah County"/>
    <n v="35"/>
    <x v="21"/>
    <n v="49"/>
    <x v="64"/>
    <n v="50"/>
    <n v="64"/>
    <n v="2423"/>
    <n v="39037"/>
    <n v="65103"/>
    <n v="2442335"/>
    <n v="334001"/>
    <n v="620621"/>
    <n v="26145032"/>
    <n v="41051"/>
    <n v="41051"/>
    <x v="65"/>
    <n v="1"/>
    <n v="0"/>
  </r>
  <r>
    <x v="1"/>
    <n v="41"/>
    <s v="Oregon"/>
    <n v="51"/>
    <s v="Multnomah County"/>
    <n v="36"/>
    <x v="22"/>
    <n v="29"/>
    <x v="151"/>
    <n v="23"/>
    <n v="33"/>
    <n v="800"/>
    <n v="39037"/>
    <n v="65103"/>
    <n v="2442335"/>
    <n v="334001"/>
    <n v="620621"/>
    <n v="26145032"/>
    <n v="41051"/>
    <n v="41051"/>
    <x v="161"/>
    <n v="1"/>
    <n v="0"/>
  </r>
  <r>
    <x v="1"/>
    <n v="41"/>
    <s v="Oregon"/>
    <n v="51"/>
    <s v="Multnomah County"/>
    <n v="36"/>
    <x v="22"/>
    <n v="47"/>
    <x v="65"/>
    <n v="255"/>
    <n v="302"/>
    <n v="14827"/>
    <n v="39037"/>
    <n v="65103"/>
    <n v="2442335"/>
    <n v="334001"/>
    <n v="620621"/>
    <n v="26145032"/>
    <n v="41051"/>
    <n v="41051"/>
    <x v="66"/>
    <n v="1"/>
    <n v="0"/>
  </r>
  <r>
    <x v="1"/>
    <n v="41"/>
    <s v="Oregon"/>
    <n v="51"/>
    <s v="Multnomah County"/>
    <n v="36"/>
    <x v="22"/>
    <n v="55"/>
    <x v="152"/>
    <n v="26"/>
    <n v="50"/>
    <n v="1660"/>
    <n v="39037"/>
    <n v="65103"/>
    <n v="2442335"/>
    <n v="334001"/>
    <n v="620621"/>
    <n v="26145032"/>
    <n v="41051"/>
    <n v="41051"/>
    <x v="162"/>
    <n v="1"/>
    <n v="0"/>
  </r>
  <r>
    <x v="1"/>
    <n v="41"/>
    <s v="Oregon"/>
    <n v="51"/>
    <s v="Multnomah County"/>
    <n v="36"/>
    <x v="22"/>
    <n v="61"/>
    <x v="66"/>
    <n v="124"/>
    <n v="147"/>
    <n v="11004"/>
    <n v="39037"/>
    <n v="65103"/>
    <n v="2442335"/>
    <n v="334001"/>
    <n v="620621"/>
    <n v="26145032"/>
    <n v="41051"/>
    <n v="41051"/>
    <x v="67"/>
    <n v="1"/>
    <n v="0"/>
  </r>
  <r>
    <x v="1"/>
    <n v="41"/>
    <s v="Oregon"/>
    <n v="51"/>
    <s v="Multnomah County"/>
    <n v="36"/>
    <x v="22"/>
    <n v="67"/>
    <x v="153"/>
    <n v="20"/>
    <n v="29"/>
    <n v="1096"/>
    <n v="39037"/>
    <n v="65103"/>
    <n v="2442335"/>
    <n v="334001"/>
    <n v="620621"/>
    <n v="26145032"/>
    <n v="41051"/>
    <n v="41051"/>
    <x v="163"/>
    <n v="1"/>
    <n v="0"/>
  </r>
  <r>
    <x v="1"/>
    <n v="41"/>
    <s v="Oregon"/>
    <n v="51"/>
    <s v="Multnomah County"/>
    <n v="36"/>
    <x v="22"/>
    <n v="81"/>
    <x v="67"/>
    <n v="28"/>
    <n v="30"/>
    <n v="1256"/>
    <n v="39037"/>
    <n v="65103"/>
    <n v="2442335"/>
    <n v="334001"/>
    <n v="620621"/>
    <n v="26145032"/>
    <n v="41051"/>
    <n v="41051"/>
    <x v="68"/>
    <n v="1"/>
    <n v="0"/>
  </r>
  <r>
    <x v="1"/>
    <n v="41"/>
    <s v="Oregon"/>
    <n v="51"/>
    <s v="Multnomah County"/>
    <n v="37"/>
    <x v="23"/>
    <n v="21"/>
    <x v="69"/>
    <n v="38"/>
    <n v="57"/>
    <n v="2265"/>
    <n v="39037"/>
    <n v="65103"/>
    <n v="2442335"/>
    <n v="334001"/>
    <n v="620621"/>
    <n v="26145032"/>
    <n v="41051"/>
    <n v="41051"/>
    <x v="70"/>
    <n v="1"/>
    <n v="0"/>
  </r>
  <r>
    <x v="1"/>
    <n v="41"/>
    <s v="Oregon"/>
    <n v="51"/>
    <s v="Multnomah County"/>
    <n v="37"/>
    <x v="23"/>
    <n v="63"/>
    <x v="154"/>
    <n v="40"/>
    <n v="54"/>
    <n v="2344"/>
    <n v="39037"/>
    <n v="65103"/>
    <n v="2442335"/>
    <n v="334001"/>
    <n v="620621"/>
    <n v="26145032"/>
    <n v="41051"/>
    <n v="41051"/>
    <x v="164"/>
    <n v="1"/>
    <n v="0"/>
  </r>
  <r>
    <x v="1"/>
    <n v="41"/>
    <s v="Oregon"/>
    <n v="51"/>
    <s v="Multnomah County"/>
    <n v="37"/>
    <x v="23"/>
    <n v="119"/>
    <x v="70"/>
    <n v="39"/>
    <n v="61"/>
    <n v="1923"/>
    <n v="39037"/>
    <n v="65103"/>
    <n v="2442335"/>
    <n v="334001"/>
    <n v="620621"/>
    <n v="26145032"/>
    <n v="41051"/>
    <n v="41051"/>
    <x v="71"/>
    <n v="1"/>
    <n v="0"/>
  </r>
  <r>
    <x v="1"/>
    <n v="41"/>
    <s v="Oregon"/>
    <n v="51"/>
    <s v="Multnomah County"/>
    <n v="37"/>
    <x v="23"/>
    <n v="135"/>
    <x v="12"/>
    <n v="25"/>
    <n v="38"/>
    <n v="1367"/>
    <n v="39037"/>
    <n v="65103"/>
    <n v="2442335"/>
    <n v="334001"/>
    <n v="620621"/>
    <n v="26145032"/>
    <n v="41051"/>
    <n v="41051"/>
    <x v="165"/>
    <n v="1"/>
    <n v="0"/>
  </r>
  <r>
    <x v="1"/>
    <n v="41"/>
    <s v="Oregon"/>
    <n v="51"/>
    <s v="Multnomah County"/>
    <n v="37"/>
    <x v="23"/>
    <n v="183"/>
    <x v="155"/>
    <n v="35"/>
    <n v="56"/>
    <n v="2721"/>
    <n v="39037"/>
    <n v="65103"/>
    <n v="2442335"/>
    <n v="334001"/>
    <n v="620621"/>
    <n v="26145032"/>
    <n v="41051"/>
    <n v="41051"/>
    <x v="166"/>
    <n v="1"/>
    <n v="0"/>
  </r>
  <r>
    <x v="1"/>
    <n v="41"/>
    <s v="Oregon"/>
    <n v="51"/>
    <s v="Multnomah County"/>
    <n v="39"/>
    <x v="24"/>
    <n v="35"/>
    <x v="156"/>
    <n v="38"/>
    <n v="66"/>
    <n v="1907"/>
    <n v="39037"/>
    <n v="65103"/>
    <n v="2442335"/>
    <n v="334001"/>
    <n v="620621"/>
    <n v="26145032"/>
    <n v="41051"/>
    <n v="41051"/>
    <x v="167"/>
    <n v="1"/>
    <n v="0"/>
  </r>
  <r>
    <x v="1"/>
    <n v="41"/>
    <s v="Oregon"/>
    <n v="51"/>
    <s v="Multnomah County"/>
    <n v="39"/>
    <x v="24"/>
    <n v="49"/>
    <x v="71"/>
    <n v="62"/>
    <n v="97"/>
    <n v="2765"/>
    <n v="39037"/>
    <n v="65103"/>
    <n v="2442335"/>
    <n v="334001"/>
    <n v="620621"/>
    <n v="26145032"/>
    <n v="41051"/>
    <n v="41051"/>
    <x v="72"/>
    <n v="1"/>
    <n v="0"/>
  </r>
  <r>
    <x v="1"/>
    <n v="41"/>
    <s v="Oregon"/>
    <n v="51"/>
    <s v="Multnomah County"/>
    <n v="39"/>
    <x v="24"/>
    <n v="61"/>
    <x v="157"/>
    <n v="30"/>
    <n v="49"/>
    <n v="1392"/>
    <n v="39037"/>
    <n v="65103"/>
    <n v="2442335"/>
    <n v="334001"/>
    <n v="620621"/>
    <n v="26145032"/>
    <n v="41051"/>
    <n v="41051"/>
    <x v="168"/>
    <n v="1"/>
    <n v="0"/>
  </r>
  <r>
    <x v="1"/>
    <n v="41"/>
    <s v="Oregon"/>
    <n v="51"/>
    <s v="Multnomah County"/>
    <n v="40"/>
    <x v="39"/>
    <n v="109"/>
    <x v="158"/>
    <n v="22"/>
    <n v="35"/>
    <n v="1301"/>
    <n v="39037"/>
    <n v="65103"/>
    <n v="2442335"/>
    <n v="334001"/>
    <n v="620621"/>
    <n v="26145032"/>
    <n v="41051"/>
    <n v="41051"/>
    <x v="169"/>
    <n v="1"/>
    <n v="0"/>
  </r>
  <r>
    <x v="1"/>
    <n v="41"/>
    <s v="Oregon"/>
    <n v="51"/>
    <s v="Multnomah County"/>
    <n v="41"/>
    <x v="25"/>
    <n v="1"/>
    <x v="72"/>
    <n v="25"/>
    <n v="42"/>
    <n v="1442"/>
    <n v="39037"/>
    <n v="65103"/>
    <n v="2442335"/>
    <n v="334001"/>
    <n v="620621"/>
    <n v="26145032"/>
    <n v="41051"/>
    <n v="41051"/>
    <x v="73"/>
    <n v="1"/>
    <n v="0"/>
  </r>
  <r>
    <x v="1"/>
    <n v="41"/>
    <s v="Oregon"/>
    <n v="51"/>
    <s v="Multnomah County"/>
    <n v="41"/>
    <x v="25"/>
    <n v="3"/>
    <x v="73"/>
    <n v="235"/>
    <n v="342"/>
    <n v="10530"/>
    <n v="39037"/>
    <n v="65103"/>
    <n v="2442335"/>
    <n v="334001"/>
    <n v="620621"/>
    <n v="26145032"/>
    <n v="41051"/>
    <n v="41051"/>
    <x v="74"/>
    <n v="1"/>
    <n v="0"/>
  </r>
  <r>
    <x v="1"/>
    <n v="41"/>
    <s v="Oregon"/>
    <n v="51"/>
    <s v="Multnomah County"/>
    <n v="41"/>
    <x v="25"/>
    <n v="5"/>
    <x v="74"/>
    <n v="7499"/>
    <n v="13814"/>
    <n v="520879"/>
    <n v="39037"/>
    <n v="65103"/>
    <n v="2442335"/>
    <n v="334001"/>
    <n v="620621"/>
    <n v="26145032"/>
    <n v="41051"/>
    <n v="41051"/>
    <x v="75"/>
    <n v="1"/>
    <n v="0"/>
  </r>
  <r>
    <x v="1"/>
    <n v="41"/>
    <s v="Oregon"/>
    <n v="51"/>
    <s v="Multnomah County"/>
    <n v="41"/>
    <x v="25"/>
    <n v="7"/>
    <x v="75"/>
    <n v="219"/>
    <n v="346"/>
    <n v="11752"/>
    <n v="39037"/>
    <n v="65103"/>
    <n v="2442335"/>
    <n v="334001"/>
    <n v="620621"/>
    <n v="26145032"/>
    <n v="41051"/>
    <n v="41051"/>
    <x v="76"/>
    <n v="1"/>
    <n v="0"/>
  </r>
  <r>
    <x v="1"/>
    <n v="41"/>
    <s v="Oregon"/>
    <n v="51"/>
    <s v="Multnomah County"/>
    <n v="41"/>
    <x v="25"/>
    <n v="9"/>
    <x v="76"/>
    <n v="508"/>
    <n v="980"/>
    <n v="30573"/>
    <n v="39037"/>
    <n v="65103"/>
    <n v="2442335"/>
    <n v="334001"/>
    <n v="620621"/>
    <n v="26145032"/>
    <n v="41051"/>
    <n v="41051"/>
    <x v="77"/>
    <n v="1"/>
    <n v="0"/>
  </r>
  <r>
    <x v="1"/>
    <n v="41"/>
    <s v="Oregon"/>
    <n v="51"/>
    <s v="Multnomah County"/>
    <n v="41"/>
    <x v="25"/>
    <n v="11"/>
    <x v="77"/>
    <n v="62"/>
    <n v="117"/>
    <n v="2794"/>
    <n v="39037"/>
    <n v="65103"/>
    <n v="2442335"/>
    <n v="334001"/>
    <n v="620621"/>
    <n v="26145032"/>
    <n v="41051"/>
    <n v="41051"/>
    <x v="78"/>
    <n v="1"/>
    <n v="0"/>
  </r>
  <r>
    <x v="1"/>
    <n v="41"/>
    <s v="Oregon"/>
    <n v="51"/>
    <s v="Multnomah County"/>
    <n v="41"/>
    <x v="25"/>
    <n v="13"/>
    <x v="78"/>
    <n v="43"/>
    <n v="75"/>
    <n v="2258"/>
    <n v="39037"/>
    <n v="65103"/>
    <n v="2442335"/>
    <n v="334001"/>
    <n v="620621"/>
    <n v="26145032"/>
    <n v="41051"/>
    <n v="41051"/>
    <x v="79"/>
    <n v="1"/>
    <n v="0"/>
  </r>
  <r>
    <x v="1"/>
    <n v="41"/>
    <s v="Oregon"/>
    <n v="51"/>
    <s v="Multnomah County"/>
    <n v="41"/>
    <x v="25"/>
    <n v="15"/>
    <x v="159"/>
    <n v="26"/>
    <n v="43"/>
    <n v="827"/>
    <n v="39037"/>
    <n v="65103"/>
    <n v="2442335"/>
    <n v="334001"/>
    <n v="620621"/>
    <n v="26145032"/>
    <n v="41051"/>
    <n v="41051"/>
    <x v="170"/>
    <n v="1"/>
    <n v="0"/>
  </r>
  <r>
    <x v="1"/>
    <n v="41"/>
    <s v="Oregon"/>
    <n v="51"/>
    <s v="Multnomah County"/>
    <n v="41"/>
    <x v="25"/>
    <n v="17"/>
    <x v="79"/>
    <n v="697"/>
    <n v="1175"/>
    <n v="57662"/>
    <n v="39037"/>
    <n v="65103"/>
    <n v="2442335"/>
    <n v="334001"/>
    <n v="620621"/>
    <n v="26145032"/>
    <n v="41051"/>
    <n v="41051"/>
    <x v="80"/>
    <n v="1"/>
    <n v="0"/>
  </r>
  <r>
    <x v="1"/>
    <n v="41"/>
    <s v="Oregon"/>
    <n v="51"/>
    <s v="Multnomah County"/>
    <n v="41"/>
    <x v="25"/>
    <n v="19"/>
    <x v="80"/>
    <n v="102"/>
    <n v="168"/>
    <n v="4781"/>
    <n v="39037"/>
    <n v="65103"/>
    <n v="2442335"/>
    <n v="334001"/>
    <n v="620621"/>
    <n v="26145032"/>
    <n v="41051"/>
    <n v="41051"/>
    <x v="81"/>
    <n v="1"/>
    <n v="0"/>
  </r>
  <r>
    <x v="1"/>
    <n v="41"/>
    <s v="Oregon"/>
    <n v="51"/>
    <s v="Multnomah County"/>
    <n v="41"/>
    <x v="25"/>
    <n v="27"/>
    <x v="81"/>
    <n v="178"/>
    <n v="300"/>
    <n v="13095"/>
    <n v="39037"/>
    <n v="65103"/>
    <n v="2442335"/>
    <n v="334001"/>
    <n v="620621"/>
    <n v="26145032"/>
    <n v="41051"/>
    <n v="41051"/>
    <x v="82"/>
    <n v="1"/>
    <n v="0"/>
  </r>
  <r>
    <x v="1"/>
    <n v="41"/>
    <s v="Oregon"/>
    <n v="51"/>
    <s v="Multnomah County"/>
    <n v="41"/>
    <x v="25"/>
    <n v="29"/>
    <x v="82"/>
    <n v="236"/>
    <n v="401"/>
    <n v="12186"/>
    <n v="39037"/>
    <n v="65103"/>
    <n v="2442335"/>
    <n v="334001"/>
    <n v="620621"/>
    <n v="26145032"/>
    <n v="41051"/>
    <n v="41051"/>
    <x v="83"/>
    <n v="1"/>
    <n v="0"/>
  </r>
  <r>
    <x v="1"/>
    <n v="41"/>
    <s v="Oregon"/>
    <n v="51"/>
    <s v="Multnomah County"/>
    <n v="41"/>
    <x v="25"/>
    <n v="31"/>
    <x v="31"/>
    <n v="42"/>
    <n v="78"/>
    <n v="2191"/>
    <n v="39037"/>
    <n v="65103"/>
    <n v="2442335"/>
    <n v="334001"/>
    <n v="620621"/>
    <n v="26145032"/>
    <n v="41051"/>
    <n v="41051"/>
    <x v="84"/>
    <n v="1"/>
    <n v="0"/>
  </r>
  <r>
    <x v="1"/>
    <n v="41"/>
    <s v="Oregon"/>
    <n v="51"/>
    <s v="Multnomah County"/>
    <n v="41"/>
    <x v="25"/>
    <n v="33"/>
    <x v="83"/>
    <n v="87"/>
    <n v="124"/>
    <n v="2984"/>
    <n v="39037"/>
    <n v="65103"/>
    <n v="2442335"/>
    <n v="334001"/>
    <n v="620621"/>
    <n v="26145032"/>
    <n v="41051"/>
    <n v="41051"/>
    <x v="85"/>
    <n v="1"/>
    <n v="0"/>
  </r>
  <r>
    <x v="1"/>
    <n v="41"/>
    <s v="Oregon"/>
    <n v="51"/>
    <s v="Multnomah County"/>
    <n v="41"/>
    <x v="25"/>
    <n v="35"/>
    <x v="84"/>
    <n v="63"/>
    <n v="105"/>
    <n v="2512"/>
    <n v="39037"/>
    <n v="65103"/>
    <n v="2442335"/>
    <n v="334001"/>
    <n v="620621"/>
    <n v="26145032"/>
    <n v="41051"/>
    <n v="41051"/>
    <x v="86"/>
    <n v="1"/>
    <n v="0"/>
  </r>
  <r>
    <x v="1"/>
    <n v="41"/>
    <s v="Oregon"/>
    <n v="51"/>
    <s v="Multnomah County"/>
    <n v="41"/>
    <x v="25"/>
    <n v="39"/>
    <x v="85"/>
    <n v="642"/>
    <n v="918"/>
    <n v="31928"/>
    <n v="39037"/>
    <n v="65103"/>
    <n v="2442335"/>
    <n v="334001"/>
    <n v="620621"/>
    <n v="26145032"/>
    <n v="41051"/>
    <n v="41051"/>
    <x v="87"/>
    <n v="1"/>
    <n v="0"/>
  </r>
  <r>
    <x v="1"/>
    <n v="41"/>
    <s v="Oregon"/>
    <n v="51"/>
    <s v="Multnomah County"/>
    <n v="41"/>
    <x v="25"/>
    <n v="41"/>
    <x v="86"/>
    <n v="191"/>
    <n v="283"/>
    <n v="8749"/>
    <n v="39037"/>
    <n v="65103"/>
    <n v="2442335"/>
    <n v="334001"/>
    <n v="620621"/>
    <n v="26145032"/>
    <n v="41051"/>
    <n v="41051"/>
    <x v="88"/>
    <n v="1"/>
    <n v="0"/>
  </r>
  <r>
    <x v="1"/>
    <n v="41"/>
    <s v="Oregon"/>
    <n v="51"/>
    <s v="Multnomah County"/>
    <n v="41"/>
    <x v="25"/>
    <n v="43"/>
    <x v="87"/>
    <n v="156"/>
    <n v="247"/>
    <n v="6574"/>
    <n v="39037"/>
    <n v="65103"/>
    <n v="2442335"/>
    <n v="334001"/>
    <n v="620621"/>
    <n v="26145032"/>
    <n v="41051"/>
    <n v="41051"/>
    <x v="89"/>
    <n v="1"/>
    <n v="0"/>
  </r>
  <r>
    <x v="1"/>
    <n v="41"/>
    <s v="Oregon"/>
    <n v="51"/>
    <s v="Multnomah County"/>
    <n v="41"/>
    <x v="25"/>
    <n v="47"/>
    <x v="48"/>
    <n v="849"/>
    <n v="1493"/>
    <n v="41700"/>
    <n v="39037"/>
    <n v="65103"/>
    <n v="2442335"/>
    <n v="334001"/>
    <n v="620621"/>
    <n v="26145032"/>
    <n v="41051"/>
    <n v="41051"/>
    <x v="90"/>
    <n v="1"/>
    <n v="0"/>
  </r>
  <r>
    <x v="1"/>
    <n v="41"/>
    <s v="Oregon"/>
    <n v="51"/>
    <s v="Multnomah County"/>
    <n v="41"/>
    <x v="25"/>
    <n v="53"/>
    <x v="49"/>
    <n v="158"/>
    <n v="277"/>
    <n v="7210"/>
    <n v="39037"/>
    <n v="65103"/>
    <n v="2442335"/>
    <n v="334001"/>
    <n v="620621"/>
    <n v="26145032"/>
    <n v="41051"/>
    <n v="41051"/>
    <x v="91"/>
    <n v="1"/>
    <n v="0"/>
  </r>
  <r>
    <x v="1"/>
    <n v="41"/>
    <s v="Oregon"/>
    <n v="51"/>
    <s v="Multnomah County"/>
    <n v="41"/>
    <x v="25"/>
    <n v="57"/>
    <x v="88"/>
    <n v="163"/>
    <n v="248"/>
    <n v="11400"/>
    <n v="39037"/>
    <n v="65103"/>
    <n v="2442335"/>
    <n v="334001"/>
    <n v="620621"/>
    <n v="26145032"/>
    <n v="41051"/>
    <n v="41051"/>
    <x v="92"/>
    <n v="1"/>
    <n v="0"/>
  </r>
  <r>
    <x v="1"/>
    <n v="41"/>
    <s v="Oregon"/>
    <n v="51"/>
    <s v="Multnomah County"/>
    <n v="41"/>
    <x v="25"/>
    <n v="59"/>
    <x v="89"/>
    <n v="83"/>
    <n v="141"/>
    <n v="3006"/>
    <n v="39037"/>
    <n v="65103"/>
    <n v="2442335"/>
    <n v="334001"/>
    <n v="620621"/>
    <n v="26145032"/>
    <n v="41051"/>
    <n v="41051"/>
    <x v="93"/>
    <n v="1"/>
    <n v="0"/>
  </r>
  <r>
    <x v="1"/>
    <n v="41"/>
    <s v="Oregon"/>
    <n v="51"/>
    <s v="Multnomah County"/>
    <n v="41"/>
    <x v="25"/>
    <n v="61"/>
    <x v="90"/>
    <n v="35"/>
    <n v="47"/>
    <n v="1942"/>
    <n v="39037"/>
    <n v="65103"/>
    <n v="2442335"/>
    <n v="334001"/>
    <n v="620621"/>
    <n v="26145032"/>
    <n v="41051"/>
    <n v="41051"/>
    <x v="94"/>
    <n v="1"/>
    <n v="0"/>
  </r>
  <r>
    <x v="1"/>
    <n v="41"/>
    <s v="Oregon"/>
    <n v="51"/>
    <s v="Multnomah County"/>
    <n v="41"/>
    <x v="25"/>
    <n v="63"/>
    <x v="160"/>
    <n v="27"/>
    <n v="42"/>
    <n v="1010"/>
    <n v="39037"/>
    <n v="65103"/>
    <n v="2442335"/>
    <n v="334001"/>
    <n v="620621"/>
    <n v="26145032"/>
    <n v="41051"/>
    <n v="41051"/>
    <x v="171"/>
    <n v="1"/>
    <n v="0"/>
  </r>
  <r>
    <x v="1"/>
    <n v="41"/>
    <s v="Oregon"/>
    <n v="51"/>
    <s v="Multnomah County"/>
    <n v="41"/>
    <x v="25"/>
    <n v="65"/>
    <x v="91"/>
    <n v="119"/>
    <n v="196"/>
    <n v="6199"/>
    <n v="39037"/>
    <n v="65103"/>
    <n v="2442335"/>
    <n v="334001"/>
    <n v="620621"/>
    <n v="26145032"/>
    <n v="41051"/>
    <n v="41051"/>
    <x v="95"/>
    <n v="1"/>
    <n v="0"/>
  </r>
  <r>
    <x v="1"/>
    <n v="41"/>
    <s v="Oregon"/>
    <n v="51"/>
    <s v="Multnomah County"/>
    <n v="41"/>
    <x v="25"/>
    <n v="67"/>
    <x v="92"/>
    <n v="6247"/>
    <n v="9957"/>
    <n v="418787"/>
    <n v="39037"/>
    <n v="65103"/>
    <n v="2442335"/>
    <n v="334001"/>
    <n v="620621"/>
    <n v="26145032"/>
    <n v="41051"/>
    <n v="41051"/>
    <x v="96"/>
    <n v="1"/>
    <n v="0"/>
  </r>
  <r>
    <x v="1"/>
    <n v="41"/>
    <s v="Oregon"/>
    <n v="51"/>
    <s v="Multnomah County"/>
    <n v="41"/>
    <x v="25"/>
    <n v="71"/>
    <x v="93"/>
    <n v="343"/>
    <n v="572"/>
    <n v="21041"/>
    <n v="39037"/>
    <n v="65103"/>
    <n v="2442335"/>
    <n v="334001"/>
    <n v="620621"/>
    <n v="26145032"/>
    <n v="41051"/>
    <n v="41051"/>
    <x v="97"/>
    <n v="1"/>
    <n v="0"/>
  </r>
  <r>
    <x v="1"/>
    <n v="41"/>
    <s v="Oregon"/>
    <n v="51"/>
    <s v="Multnomah County"/>
    <n v="42"/>
    <x v="26"/>
    <n v="3"/>
    <x v="94"/>
    <n v="61"/>
    <n v="88"/>
    <n v="5007"/>
    <n v="39037"/>
    <n v="65103"/>
    <n v="2442335"/>
    <n v="334001"/>
    <n v="620621"/>
    <n v="26145032"/>
    <n v="41051"/>
    <n v="41051"/>
    <x v="98"/>
    <n v="1"/>
    <n v="0"/>
  </r>
  <r>
    <x v="1"/>
    <n v="41"/>
    <s v="Oregon"/>
    <n v="51"/>
    <s v="Multnomah County"/>
    <n v="42"/>
    <x v="26"/>
    <n v="101"/>
    <x v="95"/>
    <n v="94"/>
    <n v="113"/>
    <n v="4445"/>
    <n v="39037"/>
    <n v="65103"/>
    <n v="2442335"/>
    <n v="334001"/>
    <n v="620621"/>
    <n v="26145032"/>
    <n v="41051"/>
    <n v="41051"/>
    <x v="99"/>
    <n v="1"/>
    <n v="0"/>
  </r>
  <r>
    <x v="1"/>
    <n v="41"/>
    <s v="Oregon"/>
    <n v="51"/>
    <s v="Multnomah County"/>
    <n v="44"/>
    <x v="40"/>
    <n v="7"/>
    <x v="161"/>
    <n v="37"/>
    <n v="53"/>
    <n v="2073"/>
    <n v="39037"/>
    <n v="65103"/>
    <n v="2442335"/>
    <n v="334001"/>
    <n v="620621"/>
    <n v="26145032"/>
    <n v="41051"/>
    <n v="41051"/>
    <x v="172"/>
    <n v="1"/>
    <n v="0"/>
  </r>
  <r>
    <x v="1"/>
    <n v="41"/>
    <s v="Oregon"/>
    <n v="51"/>
    <s v="Multnomah County"/>
    <n v="45"/>
    <x v="41"/>
    <n v="19"/>
    <x v="162"/>
    <n v="24"/>
    <n v="30"/>
    <n v="1190"/>
    <n v="39037"/>
    <n v="65103"/>
    <n v="2442335"/>
    <n v="334001"/>
    <n v="620621"/>
    <n v="26145032"/>
    <n v="41051"/>
    <n v="41051"/>
    <x v="173"/>
    <n v="1"/>
    <n v="0"/>
  </r>
  <r>
    <x v="1"/>
    <n v="41"/>
    <s v="Oregon"/>
    <n v="51"/>
    <s v="Multnomah County"/>
    <n v="45"/>
    <x v="41"/>
    <n v="83"/>
    <x v="163"/>
    <n v="22"/>
    <n v="64"/>
    <n v="732"/>
    <n v="39037"/>
    <n v="65103"/>
    <n v="2442335"/>
    <n v="334001"/>
    <n v="620621"/>
    <n v="26145032"/>
    <n v="41051"/>
    <n v="41051"/>
    <x v="174"/>
    <n v="1"/>
    <n v="0"/>
  </r>
  <r>
    <x v="1"/>
    <n v="41"/>
    <s v="Oregon"/>
    <n v="51"/>
    <s v="Multnomah County"/>
    <n v="47"/>
    <x v="27"/>
    <n v="37"/>
    <x v="96"/>
    <n v="55"/>
    <n v="86"/>
    <n v="2780"/>
    <n v="39037"/>
    <n v="65103"/>
    <n v="2442335"/>
    <n v="334001"/>
    <n v="620621"/>
    <n v="26145032"/>
    <n v="41051"/>
    <n v="41051"/>
    <x v="100"/>
    <n v="1"/>
    <n v="0"/>
  </r>
  <r>
    <x v="1"/>
    <n v="41"/>
    <s v="Oregon"/>
    <n v="51"/>
    <s v="Multnomah County"/>
    <n v="47"/>
    <x v="27"/>
    <n v="157"/>
    <x v="164"/>
    <n v="22"/>
    <n v="30"/>
    <n v="1030"/>
    <n v="39037"/>
    <n v="65103"/>
    <n v="2442335"/>
    <n v="334001"/>
    <n v="620621"/>
    <n v="26145032"/>
    <n v="41051"/>
    <n v="41051"/>
    <x v="175"/>
    <n v="1"/>
    <n v="0"/>
  </r>
  <r>
    <x v="1"/>
    <n v="41"/>
    <s v="Oregon"/>
    <n v="51"/>
    <s v="Multnomah County"/>
    <n v="48"/>
    <x v="28"/>
    <n v="29"/>
    <x v="98"/>
    <n v="43"/>
    <n v="66"/>
    <n v="1778"/>
    <n v="39037"/>
    <n v="65103"/>
    <n v="2442335"/>
    <n v="334001"/>
    <n v="620621"/>
    <n v="26145032"/>
    <n v="41051"/>
    <n v="41051"/>
    <x v="102"/>
    <n v="1"/>
    <n v="0"/>
  </r>
  <r>
    <x v="1"/>
    <n v="41"/>
    <s v="Oregon"/>
    <n v="51"/>
    <s v="Multnomah County"/>
    <n v="48"/>
    <x v="28"/>
    <n v="85"/>
    <x v="165"/>
    <n v="26"/>
    <n v="49"/>
    <n v="2937"/>
    <n v="39037"/>
    <n v="65103"/>
    <n v="2442335"/>
    <n v="334001"/>
    <n v="620621"/>
    <n v="26145032"/>
    <n v="41051"/>
    <n v="41051"/>
    <x v="176"/>
    <n v="1"/>
    <n v="0"/>
  </r>
  <r>
    <x v="1"/>
    <n v="41"/>
    <s v="Oregon"/>
    <n v="51"/>
    <s v="Multnomah County"/>
    <n v="48"/>
    <x v="28"/>
    <n v="113"/>
    <x v="99"/>
    <n v="77"/>
    <n v="98"/>
    <n v="4977"/>
    <n v="39037"/>
    <n v="65103"/>
    <n v="2442335"/>
    <n v="334001"/>
    <n v="620621"/>
    <n v="26145032"/>
    <n v="41051"/>
    <n v="41051"/>
    <x v="103"/>
    <n v="1"/>
    <n v="0"/>
  </r>
  <r>
    <x v="1"/>
    <n v="41"/>
    <s v="Oregon"/>
    <n v="51"/>
    <s v="Multnomah County"/>
    <n v="48"/>
    <x v="28"/>
    <n v="201"/>
    <x v="100"/>
    <n v="81"/>
    <n v="156"/>
    <n v="4661"/>
    <n v="39037"/>
    <n v="65103"/>
    <n v="2442335"/>
    <n v="334001"/>
    <n v="620621"/>
    <n v="26145032"/>
    <n v="41051"/>
    <n v="41051"/>
    <x v="104"/>
    <n v="1"/>
    <n v="0"/>
  </r>
  <r>
    <x v="1"/>
    <n v="41"/>
    <s v="Oregon"/>
    <n v="51"/>
    <s v="Multnomah County"/>
    <n v="48"/>
    <x v="28"/>
    <n v="439"/>
    <x v="101"/>
    <n v="50"/>
    <n v="91"/>
    <n v="2315"/>
    <n v="39037"/>
    <n v="65103"/>
    <n v="2442335"/>
    <n v="334001"/>
    <n v="620621"/>
    <n v="26145032"/>
    <n v="41051"/>
    <n v="41051"/>
    <x v="105"/>
    <n v="1"/>
    <n v="0"/>
  </r>
  <r>
    <x v="1"/>
    <n v="41"/>
    <s v="Oregon"/>
    <n v="51"/>
    <s v="Multnomah County"/>
    <n v="48"/>
    <x v="28"/>
    <n v="453"/>
    <x v="102"/>
    <n v="166"/>
    <n v="241"/>
    <n v="11894"/>
    <n v="39037"/>
    <n v="65103"/>
    <n v="2442335"/>
    <n v="334001"/>
    <n v="620621"/>
    <n v="26145032"/>
    <n v="41051"/>
    <n v="41051"/>
    <x v="106"/>
    <n v="1"/>
    <n v="0"/>
  </r>
  <r>
    <x v="1"/>
    <n v="41"/>
    <s v="Oregon"/>
    <n v="51"/>
    <s v="Multnomah County"/>
    <n v="48"/>
    <x v="28"/>
    <n v="491"/>
    <x v="166"/>
    <n v="35"/>
    <n v="59"/>
    <n v="3078"/>
    <n v="39037"/>
    <n v="65103"/>
    <n v="2442335"/>
    <n v="334001"/>
    <n v="620621"/>
    <n v="26145032"/>
    <n v="41051"/>
    <n v="41051"/>
    <x v="177"/>
    <n v="1"/>
    <n v="0"/>
  </r>
  <r>
    <x v="1"/>
    <n v="41"/>
    <s v="Oregon"/>
    <n v="51"/>
    <s v="Multnomah County"/>
    <n v="49"/>
    <x v="29"/>
    <n v="11"/>
    <x v="167"/>
    <n v="20"/>
    <n v="34"/>
    <n v="690"/>
    <n v="39037"/>
    <n v="65103"/>
    <n v="2442335"/>
    <n v="334001"/>
    <n v="620621"/>
    <n v="26145032"/>
    <n v="41051"/>
    <n v="41051"/>
    <x v="178"/>
    <n v="1"/>
    <n v="0"/>
  </r>
  <r>
    <x v="1"/>
    <n v="41"/>
    <s v="Oregon"/>
    <n v="51"/>
    <s v="Multnomah County"/>
    <n v="49"/>
    <x v="29"/>
    <n v="35"/>
    <x v="103"/>
    <n v="149"/>
    <n v="226"/>
    <n v="8312"/>
    <n v="39037"/>
    <n v="65103"/>
    <n v="2442335"/>
    <n v="334001"/>
    <n v="620621"/>
    <n v="26145032"/>
    <n v="41051"/>
    <n v="41051"/>
    <x v="107"/>
    <n v="1"/>
    <n v="0"/>
  </r>
  <r>
    <x v="1"/>
    <n v="41"/>
    <s v="Oregon"/>
    <n v="51"/>
    <s v="Multnomah County"/>
    <n v="49"/>
    <x v="29"/>
    <n v="49"/>
    <x v="168"/>
    <n v="22"/>
    <n v="49"/>
    <n v="1131"/>
    <n v="39037"/>
    <n v="65103"/>
    <n v="2442335"/>
    <n v="334001"/>
    <n v="620621"/>
    <n v="26145032"/>
    <n v="41051"/>
    <n v="41051"/>
    <x v="179"/>
    <n v="1"/>
    <n v="0"/>
  </r>
  <r>
    <x v="1"/>
    <n v="41"/>
    <s v="Oregon"/>
    <n v="51"/>
    <s v="Multnomah County"/>
    <n v="49"/>
    <x v="29"/>
    <n v="57"/>
    <x v="169"/>
    <n v="23"/>
    <n v="45"/>
    <n v="727"/>
    <n v="39037"/>
    <n v="65103"/>
    <n v="2442335"/>
    <n v="334001"/>
    <n v="620621"/>
    <n v="26145032"/>
    <n v="41051"/>
    <n v="41051"/>
    <x v="180"/>
    <n v="1"/>
    <n v="0"/>
  </r>
  <r>
    <x v="1"/>
    <n v="41"/>
    <s v="Oregon"/>
    <n v="51"/>
    <s v="Multnomah County"/>
    <n v="50"/>
    <x v="30"/>
    <n v="7"/>
    <x v="104"/>
    <n v="27"/>
    <n v="48"/>
    <n v="1414"/>
    <n v="39037"/>
    <n v="65103"/>
    <n v="2442335"/>
    <n v="334001"/>
    <n v="620621"/>
    <n v="26145032"/>
    <n v="41051"/>
    <n v="41051"/>
    <x v="108"/>
    <n v="1"/>
    <n v="0"/>
  </r>
  <r>
    <x v="1"/>
    <n v="41"/>
    <s v="Oregon"/>
    <n v="51"/>
    <s v="Multnomah County"/>
    <n v="51"/>
    <x v="31"/>
    <n v="13"/>
    <x v="170"/>
    <n v="26"/>
    <n v="32"/>
    <n v="2204"/>
    <n v="39037"/>
    <n v="65103"/>
    <n v="2442335"/>
    <n v="334001"/>
    <n v="620621"/>
    <n v="26145032"/>
    <n v="41051"/>
    <n v="41051"/>
    <x v="181"/>
    <n v="1"/>
    <n v="0"/>
  </r>
  <r>
    <x v="1"/>
    <n v="41"/>
    <s v="Oregon"/>
    <n v="51"/>
    <s v="Multnomah County"/>
    <n v="51"/>
    <x v="31"/>
    <n v="59"/>
    <x v="105"/>
    <n v="29"/>
    <n v="52"/>
    <n v="2098"/>
    <n v="39037"/>
    <n v="65103"/>
    <n v="2442335"/>
    <n v="334001"/>
    <n v="620621"/>
    <n v="26145032"/>
    <n v="41051"/>
    <n v="41051"/>
    <x v="109"/>
    <n v="1"/>
    <n v="0"/>
  </r>
  <r>
    <x v="1"/>
    <n v="41"/>
    <s v="Oregon"/>
    <n v="51"/>
    <s v="Multnomah County"/>
    <n v="53"/>
    <x v="32"/>
    <n v="5"/>
    <x v="73"/>
    <n v="82"/>
    <n v="153"/>
    <n v="4964"/>
    <n v="39037"/>
    <n v="65103"/>
    <n v="2442335"/>
    <n v="334001"/>
    <n v="620621"/>
    <n v="26145032"/>
    <n v="41051"/>
    <n v="41051"/>
    <x v="110"/>
    <n v="1"/>
    <n v="0"/>
  </r>
  <r>
    <x v="1"/>
    <n v="41"/>
    <s v="Oregon"/>
    <n v="51"/>
    <s v="Multnomah County"/>
    <n v="53"/>
    <x v="32"/>
    <n v="9"/>
    <x v="171"/>
    <n v="25"/>
    <n v="41"/>
    <n v="1414"/>
    <n v="39037"/>
    <n v="65103"/>
    <n v="2442335"/>
    <n v="334001"/>
    <n v="620621"/>
    <n v="26145032"/>
    <n v="41051"/>
    <n v="41051"/>
    <x v="182"/>
    <n v="1"/>
    <n v="0"/>
  </r>
  <r>
    <x v="1"/>
    <n v="41"/>
    <s v="Oregon"/>
    <n v="51"/>
    <s v="Multnomah County"/>
    <n v="53"/>
    <x v="32"/>
    <n v="11"/>
    <x v="61"/>
    <n v="3746"/>
    <n v="7324"/>
    <n v="237491"/>
    <n v="39037"/>
    <n v="65103"/>
    <n v="2442335"/>
    <n v="334001"/>
    <n v="620621"/>
    <n v="26145032"/>
    <n v="41051"/>
    <n v="41051"/>
    <x v="111"/>
    <n v="1"/>
    <n v="0"/>
  </r>
  <r>
    <x v="1"/>
    <n v="41"/>
    <s v="Oregon"/>
    <n v="51"/>
    <s v="Multnomah County"/>
    <n v="53"/>
    <x v="32"/>
    <n v="15"/>
    <x v="106"/>
    <n v="221"/>
    <n v="444"/>
    <n v="10047"/>
    <n v="39037"/>
    <n v="65103"/>
    <n v="2442335"/>
    <n v="334001"/>
    <n v="620621"/>
    <n v="26145032"/>
    <n v="41051"/>
    <n v="41051"/>
    <x v="112"/>
    <n v="1"/>
    <n v="0"/>
  </r>
  <r>
    <x v="1"/>
    <n v="41"/>
    <s v="Oregon"/>
    <n v="51"/>
    <s v="Multnomah County"/>
    <n v="53"/>
    <x v="32"/>
    <n v="21"/>
    <x v="71"/>
    <n v="20"/>
    <n v="35"/>
    <n v="758"/>
    <n v="39037"/>
    <n v="65103"/>
    <n v="2442335"/>
    <n v="334001"/>
    <n v="620621"/>
    <n v="26145032"/>
    <n v="41051"/>
    <n v="41051"/>
    <x v="183"/>
    <n v="1"/>
    <n v="0"/>
  </r>
  <r>
    <x v="1"/>
    <n v="41"/>
    <s v="Oregon"/>
    <n v="51"/>
    <s v="Multnomah County"/>
    <n v="53"/>
    <x v="32"/>
    <n v="27"/>
    <x v="107"/>
    <n v="33"/>
    <n v="56"/>
    <n v="1634"/>
    <n v="39037"/>
    <n v="65103"/>
    <n v="2442335"/>
    <n v="334001"/>
    <n v="620621"/>
    <n v="26145032"/>
    <n v="41051"/>
    <n v="41051"/>
    <x v="113"/>
    <n v="1"/>
    <n v="0"/>
  </r>
  <r>
    <x v="1"/>
    <n v="41"/>
    <s v="Oregon"/>
    <n v="51"/>
    <s v="Multnomah County"/>
    <n v="53"/>
    <x v="32"/>
    <n v="29"/>
    <x v="108"/>
    <n v="31"/>
    <n v="52"/>
    <n v="1120"/>
    <n v="39037"/>
    <n v="65103"/>
    <n v="2442335"/>
    <n v="334001"/>
    <n v="620621"/>
    <n v="26145032"/>
    <n v="41051"/>
    <n v="41051"/>
    <x v="114"/>
    <n v="1"/>
    <n v="0"/>
  </r>
  <r>
    <x v="1"/>
    <n v="41"/>
    <s v="Oregon"/>
    <n v="51"/>
    <s v="Multnomah County"/>
    <n v="53"/>
    <x v="32"/>
    <n v="31"/>
    <x v="31"/>
    <n v="44"/>
    <n v="67"/>
    <n v="2925"/>
    <n v="39037"/>
    <n v="65103"/>
    <n v="2442335"/>
    <n v="334001"/>
    <n v="620621"/>
    <n v="26145032"/>
    <n v="41051"/>
    <n v="41051"/>
    <x v="115"/>
    <n v="1"/>
    <n v="0"/>
  </r>
  <r>
    <x v="1"/>
    <n v="41"/>
    <s v="Oregon"/>
    <n v="51"/>
    <s v="Multnomah County"/>
    <n v="53"/>
    <x v="32"/>
    <n v="33"/>
    <x v="109"/>
    <n v="1113"/>
    <n v="1526"/>
    <n v="78304"/>
    <n v="39037"/>
    <n v="65103"/>
    <n v="2442335"/>
    <n v="334001"/>
    <n v="620621"/>
    <n v="26145032"/>
    <n v="41051"/>
    <n v="41051"/>
    <x v="116"/>
    <n v="1"/>
    <n v="0"/>
  </r>
  <r>
    <x v="1"/>
    <n v="41"/>
    <s v="Oregon"/>
    <n v="51"/>
    <s v="Multnomah County"/>
    <n v="53"/>
    <x v="32"/>
    <n v="35"/>
    <x v="110"/>
    <n v="92"/>
    <n v="149"/>
    <n v="4449"/>
    <n v="39037"/>
    <n v="65103"/>
    <n v="2442335"/>
    <n v="334001"/>
    <n v="620621"/>
    <n v="26145032"/>
    <n v="41051"/>
    <n v="41051"/>
    <x v="117"/>
    <n v="1"/>
    <n v="0"/>
  </r>
  <r>
    <x v="1"/>
    <n v="41"/>
    <s v="Oregon"/>
    <n v="51"/>
    <s v="Multnomah County"/>
    <n v="53"/>
    <x v="32"/>
    <n v="39"/>
    <x v="111"/>
    <n v="69"/>
    <n v="124"/>
    <n v="5017"/>
    <n v="39037"/>
    <n v="65103"/>
    <n v="2442335"/>
    <n v="334001"/>
    <n v="620621"/>
    <n v="26145032"/>
    <n v="41051"/>
    <n v="41051"/>
    <x v="118"/>
    <n v="1"/>
    <n v="0"/>
  </r>
  <r>
    <x v="1"/>
    <n v="41"/>
    <s v="Oregon"/>
    <n v="51"/>
    <s v="Multnomah County"/>
    <n v="53"/>
    <x v="32"/>
    <n v="41"/>
    <x v="112"/>
    <n v="52"/>
    <n v="90"/>
    <n v="2594"/>
    <n v="39037"/>
    <n v="65103"/>
    <n v="2442335"/>
    <n v="334001"/>
    <n v="620621"/>
    <n v="26145032"/>
    <n v="41051"/>
    <n v="41051"/>
    <x v="119"/>
    <n v="1"/>
    <n v="0"/>
  </r>
  <r>
    <x v="1"/>
    <n v="41"/>
    <s v="Oregon"/>
    <n v="51"/>
    <s v="Multnomah County"/>
    <n v="53"/>
    <x v="32"/>
    <n v="49"/>
    <x v="113"/>
    <n v="44"/>
    <n v="76"/>
    <n v="2628"/>
    <n v="39037"/>
    <n v="65103"/>
    <n v="2442335"/>
    <n v="334001"/>
    <n v="620621"/>
    <n v="26145032"/>
    <n v="41051"/>
    <n v="41051"/>
    <x v="120"/>
    <n v="1"/>
    <n v="0"/>
  </r>
  <r>
    <x v="1"/>
    <n v="41"/>
    <s v="Oregon"/>
    <n v="51"/>
    <s v="Multnomah County"/>
    <n v="53"/>
    <x v="32"/>
    <n v="53"/>
    <x v="114"/>
    <n v="227"/>
    <n v="388"/>
    <n v="11780"/>
    <n v="39037"/>
    <n v="65103"/>
    <n v="2442335"/>
    <n v="334001"/>
    <n v="620621"/>
    <n v="26145032"/>
    <n v="41051"/>
    <n v="41051"/>
    <x v="121"/>
    <n v="1"/>
    <n v="0"/>
  </r>
  <r>
    <x v="1"/>
    <n v="41"/>
    <s v="Oregon"/>
    <n v="51"/>
    <s v="Multnomah County"/>
    <n v="53"/>
    <x v="32"/>
    <n v="57"/>
    <x v="172"/>
    <n v="31"/>
    <n v="47"/>
    <n v="1485"/>
    <n v="39037"/>
    <n v="65103"/>
    <n v="2442335"/>
    <n v="334001"/>
    <n v="620621"/>
    <n v="26145032"/>
    <n v="41051"/>
    <n v="41051"/>
    <x v="184"/>
    <n v="1"/>
    <n v="0"/>
  </r>
  <r>
    <x v="1"/>
    <n v="41"/>
    <s v="Oregon"/>
    <n v="51"/>
    <s v="Multnomah County"/>
    <n v="53"/>
    <x v="32"/>
    <n v="59"/>
    <x v="115"/>
    <n v="71"/>
    <n v="123"/>
    <n v="5258"/>
    <n v="39037"/>
    <n v="65103"/>
    <n v="2442335"/>
    <n v="334001"/>
    <n v="620621"/>
    <n v="26145032"/>
    <n v="41051"/>
    <n v="41051"/>
    <x v="122"/>
    <n v="1"/>
    <n v="0"/>
  </r>
  <r>
    <x v="1"/>
    <n v="41"/>
    <s v="Oregon"/>
    <n v="51"/>
    <s v="Multnomah County"/>
    <n v="53"/>
    <x v="32"/>
    <n v="61"/>
    <x v="116"/>
    <n v="137"/>
    <n v="213"/>
    <n v="7261"/>
    <n v="39037"/>
    <n v="65103"/>
    <n v="2442335"/>
    <n v="334001"/>
    <n v="620621"/>
    <n v="26145032"/>
    <n v="41051"/>
    <n v="41051"/>
    <x v="123"/>
    <n v="1"/>
    <n v="0"/>
  </r>
  <r>
    <x v="1"/>
    <n v="41"/>
    <s v="Oregon"/>
    <n v="51"/>
    <s v="Multnomah County"/>
    <n v="53"/>
    <x v="32"/>
    <n v="63"/>
    <x v="117"/>
    <n v="190"/>
    <n v="300"/>
    <n v="9209"/>
    <n v="39037"/>
    <n v="65103"/>
    <n v="2442335"/>
    <n v="334001"/>
    <n v="620621"/>
    <n v="26145032"/>
    <n v="41051"/>
    <n v="41051"/>
    <x v="124"/>
    <n v="1"/>
    <n v="0"/>
  </r>
  <r>
    <x v="1"/>
    <n v="41"/>
    <s v="Oregon"/>
    <n v="51"/>
    <s v="Multnomah County"/>
    <n v="53"/>
    <x v="32"/>
    <n v="67"/>
    <x v="118"/>
    <n v="148"/>
    <n v="208"/>
    <n v="7467"/>
    <n v="39037"/>
    <n v="65103"/>
    <n v="2442335"/>
    <n v="334001"/>
    <n v="620621"/>
    <n v="26145032"/>
    <n v="41051"/>
    <n v="41051"/>
    <x v="125"/>
    <n v="1"/>
    <n v="0"/>
  </r>
  <r>
    <x v="1"/>
    <n v="41"/>
    <s v="Oregon"/>
    <n v="51"/>
    <s v="Multnomah County"/>
    <n v="53"/>
    <x v="32"/>
    <n v="71"/>
    <x v="119"/>
    <n v="34"/>
    <n v="68"/>
    <n v="2019"/>
    <n v="39037"/>
    <n v="65103"/>
    <n v="2442335"/>
    <n v="334001"/>
    <n v="620621"/>
    <n v="26145032"/>
    <n v="41051"/>
    <n v="41051"/>
    <x v="126"/>
    <n v="1"/>
    <n v="0"/>
  </r>
  <r>
    <x v="1"/>
    <n v="41"/>
    <s v="Oregon"/>
    <n v="51"/>
    <s v="Multnomah County"/>
    <n v="53"/>
    <x v="32"/>
    <n v="73"/>
    <x v="120"/>
    <n v="102"/>
    <n v="140"/>
    <n v="4806"/>
    <n v="39037"/>
    <n v="65103"/>
    <n v="2442335"/>
    <n v="334001"/>
    <n v="620621"/>
    <n v="26145032"/>
    <n v="41051"/>
    <n v="41051"/>
    <x v="127"/>
    <n v="1"/>
    <n v="0"/>
  </r>
  <r>
    <x v="1"/>
    <n v="41"/>
    <s v="Oregon"/>
    <n v="51"/>
    <s v="Multnomah County"/>
    <n v="53"/>
    <x v="32"/>
    <n v="77"/>
    <x v="121"/>
    <n v="53"/>
    <n v="82"/>
    <n v="2057"/>
    <n v="39037"/>
    <n v="65103"/>
    <n v="2442335"/>
    <n v="334001"/>
    <n v="620621"/>
    <n v="26145032"/>
    <n v="41051"/>
    <n v="41051"/>
    <x v="128"/>
    <n v="1"/>
    <n v="0"/>
  </r>
  <r>
    <x v="1"/>
    <n v="41"/>
    <s v="Oregon"/>
    <n v="51"/>
    <s v="Multnomah County"/>
    <n v="55"/>
    <x v="33"/>
    <n v="25"/>
    <x v="122"/>
    <n v="62"/>
    <n v="90"/>
    <n v="2883"/>
    <n v="39037"/>
    <n v="65103"/>
    <n v="2442335"/>
    <n v="334001"/>
    <n v="620621"/>
    <n v="26145032"/>
    <n v="41051"/>
    <n v="41051"/>
    <x v="129"/>
    <n v="1"/>
    <n v="0"/>
  </r>
  <r>
    <x v="1"/>
    <n v="41"/>
    <s v="Oregon"/>
    <n v="51"/>
    <s v="Multnomah County"/>
    <n v="55"/>
    <x v="33"/>
    <n v="79"/>
    <x v="123"/>
    <n v="34"/>
    <n v="55"/>
    <n v="1797"/>
    <n v="39037"/>
    <n v="65103"/>
    <n v="2442335"/>
    <n v="334001"/>
    <n v="620621"/>
    <n v="26145032"/>
    <n v="41051"/>
    <n v="41051"/>
    <x v="130"/>
    <n v="1"/>
    <n v="0"/>
  </r>
  <r>
    <x v="2"/>
    <n v="41"/>
    <s v="Oregon"/>
    <n v="51"/>
    <s v="Multnomah County"/>
    <n v="2"/>
    <x v="0"/>
    <n v="20"/>
    <x v="0"/>
    <n v="58"/>
    <n v="82"/>
    <n v="2437"/>
    <n v="29470"/>
    <n v="47084"/>
    <n v="1984456"/>
    <n v="336898"/>
    <n v="618173"/>
    <n v="27842532"/>
    <n v="41051"/>
    <n v="41051"/>
    <x v="0"/>
    <n v="1"/>
    <n v="0"/>
  </r>
  <r>
    <x v="2"/>
    <n v="41"/>
    <s v="Oregon"/>
    <n v="51"/>
    <s v="Multnomah County"/>
    <n v="4"/>
    <x v="1"/>
    <n v="13"/>
    <x v="1"/>
    <n v="339"/>
    <n v="543"/>
    <n v="28015"/>
    <n v="29470"/>
    <n v="47084"/>
    <n v="1984456"/>
    <n v="336898"/>
    <n v="618173"/>
    <n v="27842532"/>
    <n v="41051"/>
    <n v="41051"/>
    <x v="1"/>
    <n v="1"/>
    <n v="0"/>
  </r>
  <r>
    <x v="2"/>
    <n v="41"/>
    <s v="Oregon"/>
    <n v="51"/>
    <s v="Multnomah County"/>
    <n v="4"/>
    <x v="1"/>
    <n v="15"/>
    <x v="173"/>
    <n v="20"/>
    <n v="30"/>
    <n v="706"/>
    <n v="29470"/>
    <n v="47084"/>
    <n v="1984456"/>
    <n v="336898"/>
    <n v="618173"/>
    <n v="27842532"/>
    <n v="41051"/>
    <n v="41051"/>
    <x v="185"/>
    <n v="1"/>
    <n v="0"/>
  </r>
  <r>
    <x v="2"/>
    <n v="41"/>
    <s v="Oregon"/>
    <n v="51"/>
    <s v="Multnomah County"/>
    <n v="4"/>
    <x v="1"/>
    <n v="19"/>
    <x v="2"/>
    <n v="115"/>
    <n v="169"/>
    <n v="6317"/>
    <n v="29470"/>
    <n v="47084"/>
    <n v="1984456"/>
    <n v="336898"/>
    <n v="618173"/>
    <n v="27842532"/>
    <n v="41051"/>
    <n v="41051"/>
    <x v="2"/>
    <n v="1"/>
    <n v="0"/>
  </r>
  <r>
    <x v="2"/>
    <n v="41"/>
    <s v="Oregon"/>
    <n v="51"/>
    <s v="Multnomah County"/>
    <n v="4"/>
    <x v="1"/>
    <n v="21"/>
    <x v="3"/>
    <n v="24"/>
    <n v="43"/>
    <n v="1805"/>
    <n v="29470"/>
    <n v="47084"/>
    <n v="1984456"/>
    <n v="336898"/>
    <n v="618173"/>
    <n v="27842532"/>
    <n v="41051"/>
    <n v="41051"/>
    <x v="3"/>
    <n v="1"/>
    <n v="0"/>
  </r>
  <r>
    <x v="2"/>
    <n v="41"/>
    <s v="Oregon"/>
    <n v="51"/>
    <s v="Multnomah County"/>
    <n v="4"/>
    <x v="1"/>
    <n v="25"/>
    <x v="125"/>
    <n v="24"/>
    <n v="26"/>
    <n v="653"/>
    <n v="29470"/>
    <n v="47084"/>
    <n v="1984456"/>
    <n v="336898"/>
    <n v="618173"/>
    <n v="27842532"/>
    <n v="41051"/>
    <n v="41051"/>
    <x v="132"/>
    <n v="1"/>
    <n v="0"/>
  </r>
  <r>
    <x v="2"/>
    <n v="41"/>
    <s v="Oregon"/>
    <n v="51"/>
    <s v="Multnomah County"/>
    <n v="6"/>
    <x v="2"/>
    <n v="1"/>
    <x v="4"/>
    <n v="210"/>
    <n v="269"/>
    <n v="15484"/>
    <n v="29470"/>
    <n v="47084"/>
    <n v="1984456"/>
    <n v="336898"/>
    <n v="618173"/>
    <n v="27842532"/>
    <n v="41051"/>
    <n v="41051"/>
    <x v="4"/>
    <n v="1"/>
    <n v="0"/>
  </r>
  <r>
    <x v="2"/>
    <n v="41"/>
    <s v="Oregon"/>
    <n v="51"/>
    <s v="Multnomah County"/>
    <n v="6"/>
    <x v="2"/>
    <n v="13"/>
    <x v="5"/>
    <n v="65"/>
    <n v="98"/>
    <n v="5703"/>
    <n v="29470"/>
    <n v="47084"/>
    <n v="1984456"/>
    <n v="336898"/>
    <n v="618173"/>
    <n v="27842532"/>
    <n v="41051"/>
    <n v="41051"/>
    <x v="5"/>
    <n v="1"/>
    <n v="0"/>
  </r>
  <r>
    <x v="2"/>
    <n v="41"/>
    <s v="Oregon"/>
    <n v="51"/>
    <s v="Multnomah County"/>
    <n v="6"/>
    <x v="2"/>
    <n v="19"/>
    <x v="6"/>
    <n v="26"/>
    <n v="46"/>
    <n v="1574"/>
    <n v="29470"/>
    <n v="47084"/>
    <n v="1984456"/>
    <n v="336898"/>
    <n v="618173"/>
    <n v="27842532"/>
    <n v="41051"/>
    <n v="41051"/>
    <x v="6"/>
    <n v="1"/>
    <n v="0"/>
  </r>
  <r>
    <x v="2"/>
    <n v="41"/>
    <s v="Oregon"/>
    <n v="51"/>
    <s v="Multnomah County"/>
    <n v="6"/>
    <x v="2"/>
    <n v="23"/>
    <x v="7"/>
    <n v="24"/>
    <n v="35"/>
    <n v="1124"/>
    <n v="29470"/>
    <n v="47084"/>
    <n v="1984456"/>
    <n v="336898"/>
    <n v="618173"/>
    <n v="27842532"/>
    <n v="41051"/>
    <n v="41051"/>
    <x v="7"/>
    <n v="1"/>
    <n v="0"/>
  </r>
  <r>
    <x v="2"/>
    <n v="41"/>
    <s v="Oregon"/>
    <n v="51"/>
    <s v="Multnomah County"/>
    <n v="6"/>
    <x v="2"/>
    <n v="29"/>
    <x v="8"/>
    <n v="21"/>
    <n v="30"/>
    <n v="636"/>
    <n v="29470"/>
    <n v="47084"/>
    <n v="1984456"/>
    <n v="336898"/>
    <n v="618173"/>
    <n v="27842532"/>
    <n v="41051"/>
    <n v="41051"/>
    <x v="8"/>
    <n v="1"/>
    <n v="0"/>
  </r>
  <r>
    <x v="2"/>
    <n v="41"/>
    <s v="Oregon"/>
    <n v="51"/>
    <s v="Multnomah County"/>
    <n v="6"/>
    <x v="2"/>
    <n v="37"/>
    <x v="9"/>
    <n v="588"/>
    <n v="783"/>
    <n v="36094"/>
    <n v="29470"/>
    <n v="47084"/>
    <n v="1984456"/>
    <n v="336898"/>
    <n v="618173"/>
    <n v="27842532"/>
    <n v="41051"/>
    <n v="41051"/>
    <x v="9"/>
    <n v="1"/>
    <n v="0"/>
  </r>
  <r>
    <x v="2"/>
    <n v="41"/>
    <s v="Oregon"/>
    <n v="51"/>
    <s v="Multnomah County"/>
    <n v="6"/>
    <x v="2"/>
    <n v="41"/>
    <x v="10"/>
    <n v="26"/>
    <n v="29"/>
    <n v="1226"/>
    <n v="29470"/>
    <n v="47084"/>
    <n v="1984456"/>
    <n v="336898"/>
    <n v="618173"/>
    <n v="27842532"/>
    <n v="41051"/>
    <n v="41051"/>
    <x v="10"/>
    <n v="1"/>
    <n v="0"/>
  </r>
  <r>
    <x v="2"/>
    <n v="41"/>
    <s v="Oregon"/>
    <n v="51"/>
    <s v="Multnomah County"/>
    <n v="6"/>
    <x v="2"/>
    <n v="53"/>
    <x v="11"/>
    <n v="20"/>
    <n v="28"/>
    <n v="983"/>
    <n v="29470"/>
    <n v="47084"/>
    <n v="1984456"/>
    <n v="336898"/>
    <n v="618173"/>
    <n v="27842532"/>
    <n v="41051"/>
    <n v="41051"/>
    <x v="11"/>
    <n v="1"/>
    <n v="0"/>
  </r>
  <r>
    <x v="2"/>
    <n v="41"/>
    <s v="Oregon"/>
    <n v="51"/>
    <s v="Multnomah County"/>
    <n v="6"/>
    <x v="2"/>
    <n v="59"/>
    <x v="12"/>
    <n v="151"/>
    <n v="220"/>
    <n v="10426"/>
    <n v="29470"/>
    <n v="47084"/>
    <n v="1984456"/>
    <n v="336898"/>
    <n v="618173"/>
    <n v="27842532"/>
    <n v="41051"/>
    <n v="41051"/>
    <x v="12"/>
    <n v="1"/>
    <n v="0"/>
  </r>
  <r>
    <x v="2"/>
    <n v="41"/>
    <s v="Oregon"/>
    <n v="51"/>
    <s v="Multnomah County"/>
    <n v="6"/>
    <x v="2"/>
    <n v="65"/>
    <x v="14"/>
    <n v="122"/>
    <n v="194"/>
    <n v="9856"/>
    <n v="29470"/>
    <n v="47084"/>
    <n v="1984456"/>
    <n v="336898"/>
    <n v="618173"/>
    <n v="27842532"/>
    <n v="41051"/>
    <n v="41051"/>
    <x v="14"/>
    <n v="1"/>
    <n v="0"/>
  </r>
  <r>
    <x v="2"/>
    <n v="41"/>
    <s v="Oregon"/>
    <n v="51"/>
    <s v="Multnomah County"/>
    <n v="6"/>
    <x v="2"/>
    <n v="67"/>
    <x v="15"/>
    <n v="103"/>
    <n v="170"/>
    <n v="4064"/>
    <n v="29470"/>
    <n v="47084"/>
    <n v="1984456"/>
    <n v="336898"/>
    <n v="618173"/>
    <n v="27842532"/>
    <n v="41051"/>
    <n v="41051"/>
    <x v="15"/>
    <n v="1"/>
    <n v="0"/>
  </r>
  <r>
    <x v="2"/>
    <n v="41"/>
    <s v="Oregon"/>
    <n v="51"/>
    <s v="Multnomah County"/>
    <n v="6"/>
    <x v="2"/>
    <n v="71"/>
    <x v="16"/>
    <n v="71"/>
    <n v="102"/>
    <n v="3186"/>
    <n v="29470"/>
    <n v="47084"/>
    <n v="1984456"/>
    <n v="336898"/>
    <n v="618173"/>
    <n v="27842532"/>
    <n v="41051"/>
    <n v="41051"/>
    <x v="16"/>
    <n v="1"/>
    <n v="0"/>
  </r>
  <r>
    <x v="2"/>
    <n v="41"/>
    <s v="Oregon"/>
    <n v="51"/>
    <s v="Multnomah County"/>
    <n v="6"/>
    <x v="2"/>
    <n v="73"/>
    <x v="17"/>
    <n v="280"/>
    <n v="388"/>
    <n v="17716"/>
    <n v="29470"/>
    <n v="47084"/>
    <n v="1984456"/>
    <n v="336898"/>
    <n v="618173"/>
    <n v="27842532"/>
    <n v="41051"/>
    <n v="41051"/>
    <x v="17"/>
    <n v="1"/>
    <n v="0"/>
  </r>
  <r>
    <x v="2"/>
    <n v="41"/>
    <s v="Oregon"/>
    <n v="51"/>
    <s v="Multnomah County"/>
    <n v="6"/>
    <x v="2"/>
    <n v="75"/>
    <x v="18"/>
    <n v="223"/>
    <n v="274"/>
    <n v="22453"/>
    <n v="29470"/>
    <n v="47084"/>
    <n v="1984456"/>
    <n v="336898"/>
    <n v="618173"/>
    <n v="27842532"/>
    <n v="41051"/>
    <n v="41051"/>
    <x v="18"/>
    <n v="1"/>
    <n v="0"/>
  </r>
  <r>
    <x v="2"/>
    <n v="41"/>
    <s v="Oregon"/>
    <n v="51"/>
    <s v="Multnomah County"/>
    <n v="6"/>
    <x v="2"/>
    <n v="77"/>
    <x v="128"/>
    <n v="26"/>
    <n v="45"/>
    <n v="903"/>
    <n v="29470"/>
    <n v="47084"/>
    <n v="1984456"/>
    <n v="336898"/>
    <n v="618173"/>
    <n v="27842532"/>
    <n v="41051"/>
    <n v="41051"/>
    <x v="135"/>
    <n v="1"/>
    <n v="0"/>
  </r>
  <r>
    <x v="2"/>
    <n v="41"/>
    <s v="Oregon"/>
    <n v="51"/>
    <s v="Multnomah County"/>
    <n v="6"/>
    <x v="2"/>
    <n v="79"/>
    <x v="19"/>
    <n v="35"/>
    <n v="51"/>
    <n v="1650"/>
    <n v="29470"/>
    <n v="47084"/>
    <n v="1984456"/>
    <n v="336898"/>
    <n v="618173"/>
    <n v="27842532"/>
    <n v="41051"/>
    <n v="41051"/>
    <x v="19"/>
    <n v="1"/>
    <n v="0"/>
  </r>
  <r>
    <x v="2"/>
    <n v="41"/>
    <s v="Oregon"/>
    <n v="51"/>
    <s v="Multnomah County"/>
    <n v="6"/>
    <x v="2"/>
    <n v="81"/>
    <x v="20"/>
    <n v="58"/>
    <n v="87"/>
    <n v="8708"/>
    <n v="29470"/>
    <n v="47084"/>
    <n v="1984456"/>
    <n v="336898"/>
    <n v="618173"/>
    <n v="27842532"/>
    <n v="41051"/>
    <n v="41051"/>
    <x v="20"/>
    <n v="1"/>
    <n v="0"/>
  </r>
  <r>
    <x v="2"/>
    <n v="41"/>
    <s v="Oregon"/>
    <n v="51"/>
    <s v="Multnomah County"/>
    <n v="6"/>
    <x v="2"/>
    <n v="83"/>
    <x v="21"/>
    <n v="37"/>
    <n v="49"/>
    <n v="7157"/>
    <n v="29470"/>
    <n v="47084"/>
    <n v="1984456"/>
    <n v="336898"/>
    <n v="618173"/>
    <n v="27842532"/>
    <n v="41051"/>
    <n v="41051"/>
    <x v="21"/>
    <n v="1"/>
    <n v="0"/>
  </r>
  <r>
    <x v="2"/>
    <n v="41"/>
    <s v="Oregon"/>
    <n v="51"/>
    <s v="Multnomah County"/>
    <n v="6"/>
    <x v="2"/>
    <n v="85"/>
    <x v="22"/>
    <n v="162"/>
    <n v="245"/>
    <n v="15599"/>
    <n v="29470"/>
    <n v="47084"/>
    <n v="1984456"/>
    <n v="336898"/>
    <n v="618173"/>
    <n v="27842532"/>
    <n v="41051"/>
    <n v="41051"/>
    <x v="22"/>
    <n v="1"/>
    <n v="0"/>
  </r>
  <r>
    <x v="2"/>
    <n v="41"/>
    <s v="Oregon"/>
    <n v="51"/>
    <s v="Multnomah County"/>
    <n v="6"/>
    <x v="2"/>
    <n v="87"/>
    <x v="23"/>
    <n v="42"/>
    <n v="51"/>
    <n v="2448"/>
    <n v="29470"/>
    <n v="47084"/>
    <n v="1984456"/>
    <n v="336898"/>
    <n v="618173"/>
    <n v="27842532"/>
    <n v="41051"/>
    <n v="41051"/>
    <x v="23"/>
    <n v="1"/>
    <n v="0"/>
  </r>
  <r>
    <x v="2"/>
    <n v="41"/>
    <s v="Oregon"/>
    <n v="51"/>
    <s v="Multnomah County"/>
    <n v="6"/>
    <x v="2"/>
    <n v="97"/>
    <x v="25"/>
    <n v="50"/>
    <n v="71"/>
    <n v="3496"/>
    <n v="29470"/>
    <n v="47084"/>
    <n v="1984456"/>
    <n v="336898"/>
    <n v="618173"/>
    <n v="27842532"/>
    <n v="41051"/>
    <n v="41051"/>
    <x v="25"/>
    <n v="1"/>
    <n v="0"/>
  </r>
  <r>
    <x v="2"/>
    <n v="41"/>
    <s v="Oregon"/>
    <n v="51"/>
    <s v="Multnomah County"/>
    <n v="6"/>
    <x v="2"/>
    <n v="111"/>
    <x v="26"/>
    <n v="61"/>
    <n v="84"/>
    <n v="4243"/>
    <n v="29470"/>
    <n v="47084"/>
    <n v="1984456"/>
    <n v="336898"/>
    <n v="618173"/>
    <n v="27842532"/>
    <n v="41051"/>
    <n v="41051"/>
    <x v="26"/>
    <n v="1"/>
    <n v="0"/>
  </r>
  <r>
    <x v="2"/>
    <n v="41"/>
    <s v="Oregon"/>
    <n v="51"/>
    <s v="Multnomah County"/>
    <n v="8"/>
    <x v="3"/>
    <n v="1"/>
    <x v="174"/>
    <n v="20"/>
    <n v="26"/>
    <n v="947"/>
    <n v="29470"/>
    <n v="47084"/>
    <n v="1984456"/>
    <n v="336898"/>
    <n v="618173"/>
    <n v="27842532"/>
    <n v="41051"/>
    <n v="41051"/>
    <x v="186"/>
    <n v="1"/>
    <n v="0"/>
  </r>
  <r>
    <x v="2"/>
    <n v="41"/>
    <s v="Oregon"/>
    <n v="51"/>
    <s v="Multnomah County"/>
    <n v="8"/>
    <x v="3"/>
    <n v="5"/>
    <x v="27"/>
    <n v="50"/>
    <n v="71"/>
    <n v="2342"/>
    <n v="29470"/>
    <n v="47084"/>
    <n v="1984456"/>
    <n v="336898"/>
    <n v="618173"/>
    <n v="27842532"/>
    <n v="41051"/>
    <n v="41051"/>
    <x v="27"/>
    <n v="1"/>
    <n v="0"/>
  </r>
  <r>
    <x v="2"/>
    <n v="41"/>
    <s v="Oregon"/>
    <n v="51"/>
    <s v="Multnomah County"/>
    <n v="8"/>
    <x v="3"/>
    <n v="13"/>
    <x v="28"/>
    <n v="56"/>
    <n v="69"/>
    <n v="3106"/>
    <n v="29470"/>
    <n v="47084"/>
    <n v="1984456"/>
    <n v="336898"/>
    <n v="618173"/>
    <n v="27842532"/>
    <n v="41051"/>
    <n v="41051"/>
    <x v="28"/>
    <n v="1"/>
    <n v="0"/>
  </r>
  <r>
    <x v="2"/>
    <n v="41"/>
    <s v="Oregon"/>
    <n v="51"/>
    <s v="Multnomah County"/>
    <n v="8"/>
    <x v="3"/>
    <n v="31"/>
    <x v="29"/>
    <n v="163"/>
    <n v="222"/>
    <n v="11158"/>
    <n v="29470"/>
    <n v="47084"/>
    <n v="1984456"/>
    <n v="336898"/>
    <n v="618173"/>
    <n v="27842532"/>
    <n v="41051"/>
    <n v="41051"/>
    <x v="29"/>
    <n v="1"/>
    <n v="0"/>
  </r>
  <r>
    <x v="2"/>
    <n v="41"/>
    <s v="Oregon"/>
    <n v="51"/>
    <s v="Multnomah County"/>
    <n v="8"/>
    <x v="3"/>
    <n v="41"/>
    <x v="30"/>
    <n v="46"/>
    <n v="55"/>
    <n v="1892"/>
    <n v="29470"/>
    <n v="47084"/>
    <n v="1984456"/>
    <n v="336898"/>
    <n v="618173"/>
    <n v="27842532"/>
    <n v="41051"/>
    <n v="41051"/>
    <x v="30"/>
    <n v="1"/>
    <n v="0"/>
  </r>
  <r>
    <x v="2"/>
    <n v="41"/>
    <s v="Oregon"/>
    <n v="51"/>
    <s v="Multnomah County"/>
    <n v="8"/>
    <x v="3"/>
    <n v="59"/>
    <x v="31"/>
    <n v="34"/>
    <n v="50"/>
    <n v="2246"/>
    <n v="29470"/>
    <n v="47084"/>
    <n v="1984456"/>
    <n v="336898"/>
    <n v="618173"/>
    <n v="27842532"/>
    <n v="41051"/>
    <n v="41051"/>
    <x v="31"/>
    <n v="1"/>
    <n v="0"/>
  </r>
  <r>
    <x v="2"/>
    <n v="41"/>
    <s v="Oregon"/>
    <n v="51"/>
    <s v="Multnomah County"/>
    <n v="8"/>
    <x v="3"/>
    <n v="69"/>
    <x v="32"/>
    <n v="26"/>
    <n v="39"/>
    <n v="1956"/>
    <n v="29470"/>
    <n v="47084"/>
    <n v="1984456"/>
    <n v="336898"/>
    <n v="618173"/>
    <n v="27842532"/>
    <n v="41051"/>
    <n v="41051"/>
    <x v="32"/>
    <n v="1"/>
    <n v="0"/>
  </r>
  <r>
    <x v="2"/>
    <n v="41"/>
    <s v="Oregon"/>
    <n v="51"/>
    <s v="Multnomah County"/>
    <n v="11"/>
    <x v="5"/>
    <n v="1"/>
    <x v="34"/>
    <n v="69"/>
    <n v="82"/>
    <n v="4448"/>
    <n v="29470"/>
    <n v="47084"/>
    <n v="1984456"/>
    <n v="336898"/>
    <n v="618173"/>
    <n v="27842532"/>
    <n v="41051"/>
    <n v="41051"/>
    <x v="34"/>
    <n v="1"/>
    <n v="0"/>
  </r>
  <r>
    <x v="2"/>
    <n v="41"/>
    <s v="Oregon"/>
    <n v="51"/>
    <s v="Multnomah County"/>
    <n v="12"/>
    <x v="6"/>
    <n v="11"/>
    <x v="132"/>
    <n v="28"/>
    <n v="48"/>
    <n v="1547"/>
    <n v="29470"/>
    <n v="47084"/>
    <n v="1984456"/>
    <n v="336898"/>
    <n v="618173"/>
    <n v="27842532"/>
    <n v="41051"/>
    <n v="41051"/>
    <x v="139"/>
    <n v="1"/>
    <n v="0"/>
  </r>
  <r>
    <x v="2"/>
    <n v="41"/>
    <s v="Oregon"/>
    <n v="51"/>
    <s v="Multnomah County"/>
    <n v="12"/>
    <x v="6"/>
    <n v="57"/>
    <x v="35"/>
    <n v="40"/>
    <n v="66"/>
    <n v="1746"/>
    <n v="29470"/>
    <n v="47084"/>
    <n v="1984456"/>
    <n v="336898"/>
    <n v="618173"/>
    <n v="27842532"/>
    <n v="41051"/>
    <n v="41051"/>
    <x v="35"/>
    <n v="1"/>
    <n v="0"/>
  </r>
  <r>
    <x v="2"/>
    <n v="41"/>
    <s v="Oregon"/>
    <n v="51"/>
    <s v="Multnomah County"/>
    <n v="12"/>
    <x v="6"/>
    <n v="86"/>
    <x v="36"/>
    <n v="44"/>
    <n v="57"/>
    <n v="2383"/>
    <n v="29470"/>
    <n v="47084"/>
    <n v="1984456"/>
    <n v="336898"/>
    <n v="618173"/>
    <n v="27842532"/>
    <n v="41051"/>
    <n v="41051"/>
    <x v="36"/>
    <n v="1"/>
    <n v="0"/>
  </r>
  <r>
    <x v="2"/>
    <n v="41"/>
    <s v="Oregon"/>
    <n v="51"/>
    <s v="Multnomah County"/>
    <n v="12"/>
    <x v="6"/>
    <n v="95"/>
    <x v="12"/>
    <n v="30"/>
    <n v="45"/>
    <n v="1750"/>
    <n v="29470"/>
    <n v="47084"/>
    <n v="1984456"/>
    <n v="336898"/>
    <n v="618173"/>
    <n v="27842532"/>
    <n v="41051"/>
    <n v="41051"/>
    <x v="37"/>
    <n v="1"/>
    <n v="0"/>
  </r>
  <r>
    <x v="2"/>
    <n v="41"/>
    <s v="Oregon"/>
    <n v="51"/>
    <s v="Multnomah County"/>
    <n v="12"/>
    <x v="6"/>
    <n v="99"/>
    <x v="37"/>
    <n v="26"/>
    <n v="37"/>
    <n v="1439"/>
    <n v="29470"/>
    <n v="47084"/>
    <n v="1984456"/>
    <n v="336898"/>
    <n v="618173"/>
    <n v="27842532"/>
    <n v="41051"/>
    <n v="41051"/>
    <x v="38"/>
    <n v="1"/>
    <n v="0"/>
  </r>
  <r>
    <x v="2"/>
    <n v="41"/>
    <s v="Oregon"/>
    <n v="51"/>
    <s v="Multnomah County"/>
    <n v="12"/>
    <x v="6"/>
    <n v="103"/>
    <x v="38"/>
    <n v="51"/>
    <n v="77"/>
    <n v="2405"/>
    <n v="29470"/>
    <n v="47084"/>
    <n v="1984456"/>
    <n v="336898"/>
    <n v="618173"/>
    <n v="27842532"/>
    <n v="41051"/>
    <n v="41051"/>
    <x v="39"/>
    <n v="1"/>
    <n v="0"/>
  </r>
  <r>
    <x v="2"/>
    <n v="41"/>
    <s v="Oregon"/>
    <n v="51"/>
    <s v="Multnomah County"/>
    <n v="13"/>
    <x v="7"/>
    <n v="89"/>
    <x v="39"/>
    <n v="22"/>
    <n v="36"/>
    <n v="1455"/>
    <n v="29470"/>
    <n v="47084"/>
    <n v="1984456"/>
    <n v="336898"/>
    <n v="618173"/>
    <n v="27842532"/>
    <n v="41051"/>
    <n v="41051"/>
    <x v="40"/>
    <n v="1"/>
    <n v="0"/>
  </r>
  <r>
    <x v="2"/>
    <n v="41"/>
    <s v="Oregon"/>
    <n v="51"/>
    <s v="Multnomah County"/>
    <n v="13"/>
    <x v="7"/>
    <n v="121"/>
    <x v="40"/>
    <n v="39"/>
    <n v="54"/>
    <n v="2415"/>
    <n v="29470"/>
    <n v="47084"/>
    <n v="1984456"/>
    <n v="336898"/>
    <n v="618173"/>
    <n v="27842532"/>
    <n v="41051"/>
    <n v="41051"/>
    <x v="41"/>
    <n v="1"/>
    <n v="0"/>
  </r>
  <r>
    <x v="2"/>
    <n v="41"/>
    <s v="Oregon"/>
    <n v="51"/>
    <s v="Multnomah County"/>
    <n v="15"/>
    <x v="8"/>
    <n v="1"/>
    <x v="41"/>
    <n v="56"/>
    <n v="86"/>
    <n v="3092"/>
    <n v="29470"/>
    <n v="47084"/>
    <n v="1984456"/>
    <n v="336898"/>
    <n v="618173"/>
    <n v="27842532"/>
    <n v="41051"/>
    <n v="41051"/>
    <x v="42"/>
    <n v="1"/>
    <n v="0"/>
  </r>
  <r>
    <x v="2"/>
    <n v="41"/>
    <s v="Oregon"/>
    <n v="51"/>
    <s v="Multnomah County"/>
    <n v="15"/>
    <x v="8"/>
    <n v="3"/>
    <x v="42"/>
    <n v="88"/>
    <n v="128"/>
    <n v="3508"/>
    <n v="29470"/>
    <n v="47084"/>
    <n v="1984456"/>
    <n v="336898"/>
    <n v="618173"/>
    <n v="27842532"/>
    <n v="41051"/>
    <n v="41051"/>
    <x v="43"/>
    <n v="1"/>
    <n v="0"/>
  </r>
  <r>
    <x v="2"/>
    <n v="41"/>
    <s v="Oregon"/>
    <n v="51"/>
    <s v="Multnomah County"/>
    <n v="15"/>
    <x v="8"/>
    <n v="9"/>
    <x v="43"/>
    <n v="43"/>
    <n v="70"/>
    <n v="2931"/>
    <n v="29470"/>
    <n v="47084"/>
    <n v="1984456"/>
    <n v="336898"/>
    <n v="618173"/>
    <n v="27842532"/>
    <n v="41051"/>
    <n v="41051"/>
    <x v="44"/>
    <n v="1"/>
    <n v="0"/>
  </r>
  <r>
    <x v="2"/>
    <n v="41"/>
    <s v="Oregon"/>
    <n v="51"/>
    <s v="Multnomah County"/>
    <n v="16"/>
    <x v="9"/>
    <n v="1"/>
    <x v="44"/>
    <n v="159"/>
    <n v="273"/>
    <n v="11054"/>
    <n v="29470"/>
    <n v="47084"/>
    <n v="1984456"/>
    <n v="336898"/>
    <n v="618173"/>
    <n v="27842532"/>
    <n v="41051"/>
    <n v="41051"/>
    <x v="45"/>
    <n v="1"/>
    <n v="0"/>
  </r>
  <r>
    <x v="2"/>
    <n v="41"/>
    <s v="Oregon"/>
    <n v="51"/>
    <s v="Multnomah County"/>
    <n v="16"/>
    <x v="9"/>
    <n v="27"/>
    <x v="45"/>
    <n v="47"/>
    <n v="97"/>
    <n v="2620"/>
    <n v="29470"/>
    <n v="47084"/>
    <n v="1984456"/>
    <n v="336898"/>
    <n v="618173"/>
    <n v="27842532"/>
    <n v="41051"/>
    <n v="41051"/>
    <x v="46"/>
    <n v="1"/>
    <n v="0"/>
  </r>
  <r>
    <x v="2"/>
    <n v="41"/>
    <s v="Oregon"/>
    <n v="51"/>
    <s v="Multnomah County"/>
    <n v="16"/>
    <x v="9"/>
    <n v="55"/>
    <x v="46"/>
    <n v="25"/>
    <n v="40"/>
    <n v="1562"/>
    <n v="29470"/>
    <n v="47084"/>
    <n v="1984456"/>
    <n v="336898"/>
    <n v="618173"/>
    <n v="27842532"/>
    <n v="41051"/>
    <n v="41051"/>
    <x v="47"/>
    <n v="1"/>
    <n v="0"/>
  </r>
  <r>
    <x v="2"/>
    <n v="41"/>
    <s v="Oregon"/>
    <n v="51"/>
    <s v="Multnomah County"/>
    <n v="17"/>
    <x v="10"/>
    <n v="31"/>
    <x v="47"/>
    <n v="197"/>
    <n v="252"/>
    <n v="12770"/>
    <n v="29470"/>
    <n v="47084"/>
    <n v="1984456"/>
    <n v="336898"/>
    <n v="618173"/>
    <n v="27842532"/>
    <n v="41051"/>
    <n v="41051"/>
    <x v="48"/>
    <n v="1"/>
    <n v="0"/>
  </r>
  <r>
    <x v="2"/>
    <n v="41"/>
    <s v="Oregon"/>
    <n v="51"/>
    <s v="Multnomah County"/>
    <n v="17"/>
    <x v="10"/>
    <n v="43"/>
    <x v="136"/>
    <n v="25"/>
    <n v="37"/>
    <n v="1357"/>
    <n v="29470"/>
    <n v="47084"/>
    <n v="1984456"/>
    <n v="336898"/>
    <n v="618173"/>
    <n v="27842532"/>
    <n v="41051"/>
    <n v="41051"/>
    <x v="143"/>
    <n v="1"/>
    <n v="0"/>
  </r>
  <r>
    <x v="2"/>
    <n v="41"/>
    <s v="Oregon"/>
    <n v="51"/>
    <s v="Multnomah County"/>
    <n v="18"/>
    <x v="11"/>
    <n v="97"/>
    <x v="48"/>
    <n v="25"/>
    <n v="41"/>
    <n v="1253"/>
    <n v="29470"/>
    <n v="47084"/>
    <n v="1984456"/>
    <n v="336898"/>
    <n v="618173"/>
    <n v="27842532"/>
    <n v="41051"/>
    <n v="41051"/>
    <x v="49"/>
    <n v="1"/>
    <n v="0"/>
  </r>
  <r>
    <x v="2"/>
    <n v="41"/>
    <s v="Oregon"/>
    <n v="51"/>
    <s v="Multnomah County"/>
    <n v="19"/>
    <x v="12"/>
    <n v="153"/>
    <x v="49"/>
    <n v="22"/>
    <n v="47"/>
    <n v="861"/>
    <n v="29470"/>
    <n v="47084"/>
    <n v="1984456"/>
    <n v="336898"/>
    <n v="618173"/>
    <n v="27842532"/>
    <n v="41051"/>
    <n v="41051"/>
    <x v="50"/>
    <n v="1"/>
    <n v="0"/>
  </r>
  <r>
    <x v="2"/>
    <n v="41"/>
    <s v="Oregon"/>
    <n v="51"/>
    <s v="Multnomah County"/>
    <n v="22"/>
    <x v="13"/>
    <n v="71"/>
    <x v="50"/>
    <n v="36"/>
    <n v="38"/>
    <n v="1312"/>
    <n v="29470"/>
    <n v="47084"/>
    <n v="1984456"/>
    <n v="336898"/>
    <n v="618173"/>
    <n v="27842532"/>
    <n v="41051"/>
    <n v="41051"/>
    <x v="51"/>
    <n v="1"/>
    <n v="0"/>
  </r>
  <r>
    <x v="2"/>
    <n v="41"/>
    <s v="Oregon"/>
    <n v="51"/>
    <s v="Multnomah County"/>
    <n v="23"/>
    <x v="14"/>
    <n v="5"/>
    <x v="51"/>
    <n v="25"/>
    <n v="40"/>
    <n v="2010"/>
    <n v="29470"/>
    <n v="47084"/>
    <n v="1984456"/>
    <n v="336898"/>
    <n v="618173"/>
    <n v="27842532"/>
    <n v="41051"/>
    <n v="41051"/>
    <x v="52"/>
    <n v="1"/>
    <n v="0"/>
  </r>
  <r>
    <x v="2"/>
    <n v="41"/>
    <s v="Oregon"/>
    <n v="51"/>
    <s v="Multnomah County"/>
    <n v="24"/>
    <x v="15"/>
    <n v="510"/>
    <x v="139"/>
    <n v="32"/>
    <n v="43"/>
    <n v="2084"/>
    <n v="29470"/>
    <n v="47084"/>
    <n v="1984456"/>
    <n v="336898"/>
    <n v="618173"/>
    <n v="27842532"/>
    <n v="41051"/>
    <n v="41051"/>
    <x v="147"/>
    <n v="1"/>
    <n v="0"/>
  </r>
  <r>
    <x v="2"/>
    <n v="41"/>
    <s v="Oregon"/>
    <n v="51"/>
    <s v="Multnomah County"/>
    <n v="25"/>
    <x v="16"/>
    <n v="17"/>
    <x v="53"/>
    <n v="80"/>
    <n v="109"/>
    <n v="5389"/>
    <n v="29470"/>
    <n v="47084"/>
    <n v="1984456"/>
    <n v="336898"/>
    <n v="618173"/>
    <n v="27842532"/>
    <n v="41051"/>
    <n v="41051"/>
    <x v="54"/>
    <n v="1"/>
    <n v="0"/>
  </r>
  <r>
    <x v="2"/>
    <n v="41"/>
    <s v="Oregon"/>
    <n v="51"/>
    <s v="Multnomah County"/>
    <n v="25"/>
    <x v="16"/>
    <n v="25"/>
    <x v="54"/>
    <n v="54"/>
    <n v="65"/>
    <n v="3147"/>
    <n v="29470"/>
    <n v="47084"/>
    <n v="1984456"/>
    <n v="336898"/>
    <n v="618173"/>
    <n v="27842532"/>
    <n v="41051"/>
    <n v="41051"/>
    <x v="55"/>
    <n v="1"/>
    <n v="0"/>
  </r>
  <r>
    <x v="2"/>
    <n v="41"/>
    <s v="Oregon"/>
    <n v="51"/>
    <s v="Multnomah County"/>
    <n v="26"/>
    <x v="17"/>
    <n v="81"/>
    <x v="142"/>
    <n v="29"/>
    <n v="45"/>
    <n v="1945"/>
    <n v="29470"/>
    <n v="47084"/>
    <n v="1984456"/>
    <n v="336898"/>
    <n v="618173"/>
    <n v="27842532"/>
    <n v="41051"/>
    <n v="41051"/>
    <x v="150"/>
    <n v="1"/>
    <n v="0"/>
  </r>
  <r>
    <x v="2"/>
    <n v="41"/>
    <s v="Oregon"/>
    <n v="51"/>
    <s v="Multnomah County"/>
    <n v="26"/>
    <x v="17"/>
    <n v="125"/>
    <x v="143"/>
    <n v="29"/>
    <n v="39"/>
    <n v="1309"/>
    <n v="29470"/>
    <n v="47084"/>
    <n v="1984456"/>
    <n v="336898"/>
    <n v="618173"/>
    <n v="27842532"/>
    <n v="41051"/>
    <n v="41051"/>
    <x v="151"/>
    <n v="1"/>
    <n v="0"/>
  </r>
  <r>
    <x v="2"/>
    <n v="41"/>
    <s v="Oregon"/>
    <n v="51"/>
    <s v="Multnomah County"/>
    <n v="26"/>
    <x v="17"/>
    <n v="161"/>
    <x v="55"/>
    <n v="30"/>
    <n v="44"/>
    <n v="2630"/>
    <n v="29470"/>
    <n v="47084"/>
    <n v="1984456"/>
    <n v="336898"/>
    <n v="618173"/>
    <n v="27842532"/>
    <n v="41051"/>
    <n v="41051"/>
    <x v="56"/>
    <n v="1"/>
    <n v="0"/>
  </r>
  <r>
    <x v="2"/>
    <n v="41"/>
    <s v="Oregon"/>
    <n v="51"/>
    <s v="Multnomah County"/>
    <n v="26"/>
    <x v="17"/>
    <n v="163"/>
    <x v="144"/>
    <n v="28"/>
    <n v="42"/>
    <n v="1485"/>
    <n v="29470"/>
    <n v="47084"/>
    <n v="1984456"/>
    <n v="336898"/>
    <n v="618173"/>
    <n v="27842532"/>
    <n v="41051"/>
    <n v="41051"/>
    <x v="152"/>
    <n v="1"/>
    <n v="0"/>
  </r>
  <r>
    <x v="2"/>
    <n v="41"/>
    <s v="Oregon"/>
    <n v="51"/>
    <s v="Multnomah County"/>
    <n v="27"/>
    <x v="18"/>
    <n v="53"/>
    <x v="56"/>
    <n v="101"/>
    <n v="158"/>
    <n v="5706"/>
    <n v="29470"/>
    <n v="47084"/>
    <n v="1984456"/>
    <n v="336898"/>
    <n v="618173"/>
    <n v="27842532"/>
    <n v="41051"/>
    <n v="41051"/>
    <x v="57"/>
    <n v="1"/>
    <n v="0"/>
  </r>
  <r>
    <x v="2"/>
    <n v="41"/>
    <s v="Oregon"/>
    <n v="51"/>
    <s v="Multnomah County"/>
    <n v="27"/>
    <x v="18"/>
    <n v="123"/>
    <x v="57"/>
    <n v="25"/>
    <n v="40"/>
    <n v="1159"/>
    <n v="29470"/>
    <n v="47084"/>
    <n v="1984456"/>
    <n v="336898"/>
    <n v="618173"/>
    <n v="27842532"/>
    <n v="41051"/>
    <n v="41051"/>
    <x v="58"/>
    <n v="1"/>
    <n v="0"/>
  </r>
  <r>
    <x v="2"/>
    <n v="41"/>
    <s v="Oregon"/>
    <n v="51"/>
    <s v="Multnomah County"/>
    <n v="29"/>
    <x v="36"/>
    <n v="95"/>
    <x v="82"/>
    <n v="21"/>
    <n v="33"/>
    <n v="1591"/>
    <n v="29470"/>
    <n v="47084"/>
    <n v="1984456"/>
    <n v="336898"/>
    <n v="618173"/>
    <n v="27842532"/>
    <n v="41051"/>
    <n v="41051"/>
    <x v="154"/>
    <n v="1"/>
    <n v="0"/>
  </r>
  <r>
    <x v="2"/>
    <n v="41"/>
    <s v="Oregon"/>
    <n v="51"/>
    <s v="Multnomah County"/>
    <n v="30"/>
    <x v="19"/>
    <n v="29"/>
    <x v="148"/>
    <n v="21"/>
    <n v="32"/>
    <n v="1007"/>
    <n v="29470"/>
    <n v="47084"/>
    <n v="1984456"/>
    <n v="336898"/>
    <n v="618173"/>
    <n v="27842532"/>
    <n v="41051"/>
    <n v="41051"/>
    <x v="157"/>
    <n v="1"/>
    <n v="0"/>
  </r>
  <r>
    <x v="2"/>
    <n v="41"/>
    <s v="Oregon"/>
    <n v="51"/>
    <s v="Multnomah County"/>
    <n v="30"/>
    <x v="19"/>
    <n v="31"/>
    <x v="58"/>
    <n v="36"/>
    <n v="47"/>
    <n v="1369"/>
    <n v="29470"/>
    <n v="47084"/>
    <n v="1984456"/>
    <n v="336898"/>
    <n v="618173"/>
    <n v="27842532"/>
    <n v="41051"/>
    <n v="41051"/>
    <x v="59"/>
    <n v="1"/>
    <n v="0"/>
  </r>
  <r>
    <x v="2"/>
    <n v="41"/>
    <s v="Oregon"/>
    <n v="51"/>
    <s v="Multnomah County"/>
    <n v="30"/>
    <x v="19"/>
    <n v="63"/>
    <x v="59"/>
    <n v="39"/>
    <n v="52"/>
    <n v="1749"/>
    <n v="29470"/>
    <n v="47084"/>
    <n v="1984456"/>
    <n v="336898"/>
    <n v="618173"/>
    <n v="27842532"/>
    <n v="41051"/>
    <n v="41051"/>
    <x v="60"/>
    <n v="1"/>
    <n v="0"/>
  </r>
  <r>
    <x v="2"/>
    <n v="41"/>
    <s v="Oregon"/>
    <n v="51"/>
    <s v="Multnomah County"/>
    <n v="31"/>
    <x v="37"/>
    <n v="55"/>
    <x v="80"/>
    <n v="25"/>
    <n v="43"/>
    <n v="1705"/>
    <n v="29470"/>
    <n v="47084"/>
    <n v="1984456"/>
    <n v="336898"/>
    <n v="618173"/>
    <n v="27842532"/>
    <n v="41051"/>
    <n v="41051"/>
    <x v="159"/>
    <n v="1"/>
    <n v="0"/>
  </r>
  <r>
    <x v="2"/>
    <n v="41"/>
    <s v="Oregon"/>
    <n v="51"/>
    <s v="Multnomah County"/>
    <n v="32"/>
    <x v="20"/>
    <n v="3"/>
    <x v="61"/>
    <n v="215"/>
    <n v="369"/>
    <n v="13737"/>
    <n v="29470"/>
    <n v="47084"/>
    <n v="1984456"/>
    <n v="336898"/>
    <n v="618173"/>
    <n v="27842532"/>
    <n v="41051"/>
    <n v="41051"/>
    <x v="62"/>
    <n v="1"/>
    <n v="0"/>
  </r>
  <r>
    <x v="2"/>
    <n v="41"/>
    <s v="Oregon"/>
    <n v="51"/>
    <s v="Multnomah County"/>
    <n v="32"/>
    <x v="20"/>
    <n v="31"/>
    <x v="62"/>
    <n v="56"/>
    <n v="73"/>
    <n v="2909"/>
    <n v="29470"/>
    <n v="47084"/>
    <n v="1984456"/>
    <n v="336898"/>
    <n v="618173"/>
    <n v="27842532"/>
    <n v="41051"/>
    <n v="41051"/>
    <x v="63"/>
    <n v="1"/>
    <n v="0"/>
  </r>
  <r>
    <x v="2"/>
    <n v="41"/>
    <s v="Oregon"/>
    <n v="51"/>
    <s v="Multnomah County"/>
    <n v="35"/>
    <x v="21"/>
    <n v="1"/>
    <x v="63"/>
    <n v="79"/>
    <n v="114"/>
    <n v="4373"/>
    <n v="29470"/>
    <n v="47084"/>
    <n v="1984456"/>
    <n v="336898"/>
    <n v="618173"/>
    <n v="27842532"/>
    <n v="41051"/>
    <n v="41051"/>
    <x v="64"/>
    <n v="1"/>
    <n v="0"/>
  </r>
  <r>
    <x v="2"/>
    <n v="41"/>
    <s v="Oregon"/>
    <n v="51"/>
    <s v="Multnomah County"/>
    <n v="35"/>
    <x v="21"/>
    <n v="49"/>
    <x v="64"/>
    <n v="46"/>
    <n v="60"/>
    <n v="3089"/>
    <n v="29470"/>
    <n v="47084"/>
    <n v="1984456"/>
    <n v="336898"/>
    <n v="618173"/>
    <n v="27842532"/>
    <n v="41051"/>
    <n v="41051"/>
    <x v="65"/>
    <n v="1"/>
    <n v="0"/>
  </r>
  <r>
    <x v="2"/>
    <n v="41"/>
    <s v="Oregon"/>
    <n v="51"/>
    <s v="Multnomah County"/>
    <n v="36"/>
    <x v="22"/>
    <n v="29"/>
    <x v="151"/>
    <n v="23"/>
    <n v="44"/>
    <n v="1908"/>
    <n v="29470"/>
    <n v="47084"/>
    <n v="1984456"/>
    <n v="336898"/>
    <n v="618173"/>
    <n v="27842532"/>
    <n v="41051"/>
    <n v="41051"/>
    <x v="161"/>
    <n v="1"/>
    <n v="0"/>
  </r>
  <r>
    <x v="2"/>
    <n v="41"/>
    <s v="Oregon"/>
    <n v="51"/>
    <s v="Multnomah County"/>
    <n v="36"/>
    <x v="22"/>
    <n v="47"/>
    <x v="65"/>
    <n v="176"/>
    <n v="214"/>
    <n v="14328"/>
    <n v="29470"/>
    <n v="47084"/>
    <n v="1984456"/>
    <n v="336898"/>
    <n v="618173"/>
    <n v="27842532"/>
    <n v="41051"/>
    <n v="41051"/>
    <x v="66"/>
    <n v="1"/>
    <n v="0"/>
  </r>
  <r>
    <x v="2"/>
    <n v="41"/>
    <s v="Oregon"/>
    <n v="51"/>
    <s v="Multnomah County"/>
    <n v="36"/>
    <x v="22"/>
    <n v="61"/>
    <x v="66"/>
    <n v="136"/>
    <n v="170"/>
    <n v="13753"/>
    <n v="29470"/>
    <n v="47084"/>
    <n v="1984456"/>
    <n v="336898"/>
    <n v="618173"/>
    <n v="27842532"/>
    <n v="41051"/>
    <n v="41051"/>
    <x v="67"/>
    <n v="1"/>
    <n v="0"/>
  </r>
  <r>
    <x v="2"/>
    <n v="41"/>
    <s v="Oregon"/>
    <n v="51"/>
    <s v="Multnomah County"/>
    <n v="36"/>
    <x v="22"/>
    <n v="81"/>
    <x v="67"/>
    <n v="59"/>
    <n v="86"/>
    <n v="3413"/>
    <n v="29470"/>
    <n v="47084"/>
    <n v="1984456"/>
    <n v="336898"/>
    <n v="618173"/>
    <n v="27842532"/>
    <n v="41051"/>
    <n v="41051"/>
    <x v="68"/>
    <n v="1"/>
    <n v="0"/>
  </r>
  <r>
    <x v="2"/>
    <n v="41"/>
    <s v="Oregon"/>
    <n v="51"/>
    <s v="Multnomah County"/>
    <n v="37"/>
    <x v="23"/>
    <n v="119"/>
    <x v="70"/>
    <n v="32"/>
    <n v="63"/>
    <n v="3595"/>
    <n v="29470"/>
    <n v="47084"/>
    <n v="1984456"/>
    <n v="336898"/>
    <n v="618173"/>
    <n v="27842532"/>
    <n v="41051"/>
    <n v="41051"/>
    <x v="71"/>
    <n v="1"/>
    <n v="0"/>
  </r>
  <r>
    <x v="2"/>
    <n v="41"/>
    <s v="Oregon"/>
    <n v="51"/>
    <s v="Multnomah County"/>
    <n v="37"/>
    <x v="23"/>
    <n v="183"/>
    <x v="155"/>
    <n v="22"/>
    <n v="32"/>
    <n v="1068"/>
    <n v="29470"/>
    <n v="47084"/>
    <n v="1984456"/>
    <n v="336898"/>
    <n v="618173"/>
    <n v="27842532"/>
    <n v="41051"/>
    <n v="41051"/>
    <x v="166"/>
    <n v="1"/>
    <n v="0"/>
  </r>
  <r>
    <x v="2"/>
    <n v="41"/>
    <s v="Oregon"/>
    <n v="51"/>
    <s v="Multnomah County"/>
    <n v="39"/>
    <x v="24"/>
    <n v="35"/>
    <x v="156"/>
    <n v="35"/>
    <n v="55"/>
    <n v="2097"/>
    <n v="29470"/>
    <n v="47084"/>
    <n v="1984456"/>
    <n v="336898"/>
    <n v="618173"/>
    <n v="27842532"/>
    <n v="41051"/>
    <n v="41051"/>
    <x v="167"/>
    <n v="1"/>
    <n v="0"/>
  </r>
  <r>
    <x v="2"/>
    <n v="41"/>
    <s v="Oregon"/>
    <n v="51"/>
    <s v="Multnomah County"/>
    <n v="39"/>
    <x v="24"/>
    <n v="49"/>
    <x v="71"/>
    <n v="51"/>
    <n v="93"/>
    <n v="3285"/>
    <n v="29470"/>
    <n v="47084"/>
    <n v="1984456"/>
    <n v="336898"/>
    <n v="618173"/>
    <n v="27842532"/>
    <n v="41051"/>
    <n v="41051"/>
    <x v="72"/>
    <n v="1"/>
    <n v="0"/>
  </r>
  <r>
    <x v="2"/>
    <n v="41"/>
    <s v="Oregon"/>
    <n v="51"/>
    <s v="Multnomah County"/>
    <n v="39"/>
    <x v="24"/>
    <n v="61"/>
    <x v="157"/>
    <n v="22"/>
    <n v="36"/>
    <n v="2838"/>
    <n v="29470"/>
    <n v="47084"/>
    <n v="1984456"/>
    <n v="336898"/>
    <n v="618173"/>
    <n v="27842532"/>
    <n v="41051"/>
    <n v="41051"/>
    <x v="168"/>
    <n v="1"/>
    <n v="0"/>
  </r>
  <r>
    <x v="2"/>
    <n v="41"/>
    <s v="Oregon"/>
    <n v="51"/>
    <s v="Multnomah County"/>
    <n v="41"/>
    <x v="25"/>
    <n v="3"/>
    <x v="73"/>
    <n v="182"/>
    <n v="256"/>
    <n v="7928"/>
    <n v="29470"/>
    <n v="47084"/>
    <n v="1984456"/>
    <n v="336898"/>
    <n v="618173"/>
    <n v="27842532"/>
    <n v="41051"/>
    <n v="41051"/>
    <x v="74"/>
    <n v="1"/>
    <n v="0"/>
  </r>
  <r>
    <x v="2"/>
    <n v="41"/>
    <s v="Oregon"/>
    <n v="51"/>
    <s v="Multnomah County"/>
    <n v="41"/>
    <x v="25"/>
    <n v="5"/>
    <x v="74"/>
    <n v="5468"/>
    <n v="9734"/>
    <n v="351923"/>
    <n v="29470"/>
    <n v="47084"/>
    <n v="1984456"/>
    <n v="336898"/>
    <n v="618173"/>
    <n v="27842532"/>
    <n v="41051"/>
    <n v="41051"/>
    <x v="75"/>
    <n v="1"/>
    <n v="0"/>
  </r>
  <r>
    <x v="2"/>
    <n v="41"/>
    <s v="Oregon"/>
    <n v="51"/>
    <s v="Multnomah County"/>
    <n v="41"/>
    <x v="25"/>
    <n v="7"/>
    <x v="75"/>
    <n v="175"/>
    <n v="270"/>
    <n v="9223"/>
    <n v="29470"/>
    <n v="47084"/>
    <n v="1984456"/>
    <n v="336898"/>
    <n v="618173"/>
    <n v="27842532"/>
    <n v="41051"/>
    <n v="41051"/>
    <x v="76"/>
    <n v="1"/>
    <n v="0"/>
  </r>
  <r>
    <x v="2"/>
    <n v="41"/>
    <s v="Oregon"/>
    <n v="51"/>
    <s v="Multnomah County"/>
    <n v="41"/>
    <x v="25"/>
    <n v="9"/>
    <x v="76"/>
    <n v="353"/>
    <n v="638"/>
    <n v="21080"/>
    <n v="29470"/>
    <n v="47084"/>
    <n v="1984456"/>
    <n v="336898"/>
    <n v="618173"/>
    <n v="27842532"/>
    <n v="41051"/>
    <n v="41051"/>
    <x v="77"/>
    <n v="1"/>
    <n v="0"/>
  </r>
  <r>
    <x v="2"/>
    <n v="41"/>
    <s v="Oregon"/>
    <n v="51"/>
    <s v="Multnomah County"/>
    <n v="41"/>
    <x v="25"/>
    <n v="11"/>
    <x v="77"/>
    <n v="55"/>
    <n v="83"/>
    <n v="2570"/>
    <n v="29470"/>
    <n v="47084"/>
    <n v="1984456"/>
    <n v="336898"/>
    <n v="618173"/>
    <n v="27842532"/>
    <n v="41051"/>
    <n v="41051"/>
    <x v="78"/>
    <n v="1"/>
    <n v="0"/>
  </r>
  <r>
    <x v="2"/>
    <n v="41"/>
    <s v="Oregon"/>
    <n v="51"/>
    <s v="Multnomah County"/>
    <n v="41"/>
    <x v="25"/>
    <n v="13"/>
    <x v="78"/>
    <n v="37"/>
    <n v="51"/>
    <n v="2213"/>
    <n v="29470"/>
    <n v="47084"/>
    <n v="1984456"/>
    <n v="336898"/>
    <n v="618173"/>
    <n v="27842532"/>
    <n v="41051"/>
    <n v="41051"/>
    <x v="79"/>
    <n v="1"/>
    <n v="0"/>
  </r>
  <r>
    <x v="2"/>
    <n v="41"/>
    <s v="Oregon"/>
    <n v="51"/>
    <s v="Multnomah County"/>
    <n v="41"/>
    <x v="25"/>
    <n v="17"/>
    <x v="79"/>
    <n v="452"/>
    <n v="732"/>
    <n v="39799"/>
    <n v="29470"/>
    <n v="47084"/>
    <n v="1984456"/>
    <n v="336898"/>
    <n v="618173"/>
    <n v="27842532"/>
    <n v="41051"/>
    <n v="41051"/>
    <x v="80"/>
    <n v="1"/>
    <n v="0"/>
  </r>
  <r>
    <x v="2"/>
    <n v="41"/>
    <s v="Oregon"/>
    <n v="51"/>
    <s v="Multnomah County"/>
    <n v="41"/>
    <x v="25"/>
    <n v="19"/>
    <x v="80"/>
    <n v="77"/>
    <n v="109"/>
    <n v="3220"/>
    <n v="29470"/>
    <n v="47084"/>
    <n v="1984456"/>
    <n v="336898"/>
    <n v="618173"/>
    <n v="27842532"/>
    <n v="41051"/>
    <n v="41051"/>
    <x v="81"/>
    <n v="1"/>
    <n v="0"/>
  </r>
  <r>
    <x v="2"/>
    <n v="41"/>
    <s v="Oregon"/>
    <n v="51"/>
    <s v="Multnomah County"/>
    <n v="41"/>
    <x v="25"/>
    <n v="27"/>
    <x v="81"/>
    <n v="131"/>
    <n v="222"/>
    <n v="9140"/>
    <n v="29470"/>
    <n v="47084"/>
    <n v="1984456"/>
    <n v="336898"/>
    <n v="618173"/>
    <n v="27842532"/>
    <n v="41051"/>
    <n v="41051"/>
    <x v="82"/>
    <n v="1"/>
    <n v="0"/>
  </r>
  <r>
    <x v="2"/>
    <n v="41"/>
    <s v="Oregon"/>
    <n v="51"/>
    <s v="Multnomah County"/>
    <n v="41"/>
    <x v="25"/>
    <n v="29"/>
    <x v="82"/>
    <n v="189"/>
    <n v="258"/>
    <n v="9694"/>
    <n v="29470"/>
    <n v="47084"/>
    <n v="1984456"/>
    <n v="336898"/>
    <n v="618173"/>
    <n v="27842532"/>
    <n v="41051"/>
    <n v="41051"/>
    <x v="83"/>
    <n v="1"/>
    <n v="0"/>
  </r>
  <r>
    <x v="2"/>
    <n v="41"/>
    <s v="Oregon"/>
    <n v="51"/>
    <s v="Multnomah County"/>
    <n v="41"/>
    <x v="25"/>
    <n v="31"/>
    <x v="31"/>
    <n v="39"/>
    <n v="76"/>
    <n v="2307"/>
    <n v="29470"/>
    <n v="47084"/>
    <n v="1984456"/>
    <n v="336898"/>
    <n v="618173"/>
    <n v="27842532"/>
    <n v="41051"/>
    <n v="41051"/>
    <x v="84"/>
    <n v="1"/>
    <n v="0"/>
  </r>
  <r>
    <x v="2"/>
    <n v="41"/>
    <s v="Oregon"/>
    <n v="51"/>
    <s v="Multnomah County"/>
    <n v="41"/>
    <x v="25"/>
    <n v="33"/>
    <x v="83"/>
    <n v="44"/>
    <n v="57"/>
    <n v="1310"/>
    <n v="29470"/>
    <n v="47084"/>
    <n v="1984456"/>
    <n v="336898"/>
    <n v="618173"/>
    <n v="27842532"/>
    <n v="41051"/>
    <n v="41051"/>
    <x v="85"/>
    <n v="1"/>
    <n v="0"/>
  </r>
  <r>
    <x v="2"/>
    <n v="41"/>
    <s v="Oregon"/>
    <n v="51"/>
    <s v="Multnomah County"/>
    <n v="41"/>
    <x v="25"/>
    <n v="35"/>
    <x v="84"/>
    <n v="38"/>
    <n v="73"/>
    <n v="1255"/>
    <n v="29470"/>
    <n v="47084"/>
    <n v="1984456"/>
    <n v="336898"/>
    <n v="618173"/>
    <n v="27842532"/>
    <n v="41051"/>
    <n v="41051"/>
    <x v="86"/>
    <n v="1"/>
    <n v="0"/>
  </r>
  <r>
    <x v="2"/>
    <n v="41"/>
    <s v="Oregon"/>
    <n v="51"/>
    <s v="Multnomah County"/>
    <n v="41"/>
    <x v="25"/>
    <n v="39"/>
    <x v="85"/>
    <n v="487"/>
    <n v="684"/>
    <n v="21619"/>
    <n v="29470"/>
    <n v="47084"/>
    <n v="1984456"/>
    <n v="336898"/>
    <n v="618173"/>
    <n v="27842532"/>
    <n v="41051"/>
    <n v="41051"/>
    <x v="87"/>
    <n v="1"/>
    <n v="0"/>
  </r>
  <r>
    <x v="2"/>
    <n v="41"/>
    <s v="Oregon"/>
    <n v="51"/>
    <s v="Multnomah County"/>
    <n v="41"/>
    <x v="25"/>
    <n v="41"/>
    <x v="86"/>
    <n v="125"/>
    <n v="192"/>
    <n v="6710"/>
    <n v="29470"/>
    <n v="47084"/>
    <n v="1984456"/>
    <n v="336898"/>
    <n v="618173"/>
    <n v="27842532"/>
    <n v="41051"/>
    <n v="41051"/>
    <x v="88"/>
    <n v="1"/>
    <n v="0"/>
  </r>
  <r>
    <x v="2"/>
    <n v="41"/>
    <s v="Oregon"/>
    <n v="51"/>
    <s v="Multnomah County"/>
    <n v="41"/>
    <x v="25"/>
    <n v="43"/>
    <x v="87"/>
    <n v="130"/>
    <n v="208"/>
    <n v="5919"/>
    <n v="29470"/>
    <n v="47084"/>
    <n v="1984456"/>
    <n v="336898"/>
    <n v="618173"/>
    <n v="27842532"/>
    <n v="41051"/>
    <n v="41051"/>
    <x v="89"/>
    <n v="1"/>
    <n v="0"/>
  </r>
  <r>
    <x v="2"/>
    <n v="41"/>
    <s v="Oregon"/>
    <n v="51"/>
    <s v="Multnomah County"/>
    <n v="41"/>
    <x v="25"/>
    <n v="47"/>
    <x v="48"/>
    <n v="577"/>
    <n v="974"/>
    <n v="28470"/>
    <n v="29470"/>
    <n v="47084"/>
    <n v="1984456"/>
    <n v="336898"/>
    <n v="618173"/>
    <n v="27842532"/>
    <n v="41051"/>
    <n v="41051"/>
    <x v="90"/>
    <n v="1"/>
    <n v="0"/>
  </r>
  <r>
    <x v="2"/>
    <n v="41"/>
    <s v="Oregon"/>
    <n v="51"/>
    <s v="Multnomah County"/>
    <n v="41"/>
    <x v="25"/>
    <n v="53"/>
    <x v="49"/>
    <n v="105"/>
    <n v="174"/>
    <n v="4327"/>
    <n v="29470"/>
    <n v="47084"/>
    <n v="1984456"/>
    <n v="336898"/>
    <n v="618173"/>
    <n v="27842532"/>
    <n v="41051"/>
    <n v="41051"/>
    <x v="91"/>
    <n v="1"/>
    <n v="0"/>
  </r>
  <r>
    <x v="2"/>
    <n v="41"/>
    <s v="Oregon"/>
    <n v="51"/>
    <s v="Multnomah County"/>
    <n v="41"/>
    <x v="25"/>
    <n v="57"/>
    <x v="88"/>
    <n v="122"/>
    <n v="189"/>
    <n v="6535"/>
    <n v="29470"/>
    <n v="47084"/>
    <n v="1984456"/>
    <n v="336898"/>
    <n v="618173"/>
    <n v="27842532"/>
    <n v="41051"/>
    <n v="41051"/>
    <x v="92"/>
    <n v="1"/>
    <n v="0"/>
  </r>
  <r>
    <x v="2"/>
    <n v="41"/>
    <s v="Oregon"/>
    <n v="51"/>
    <s v="Multnomah County"/>
    <n v="41"/>
    <x v="25"/>
    <n v="59"/>
    <x v="89"/>
    <n v="52"/>
    <n v="86"/>
    <n v="1783"/>
    <n v="29470"/>
    <n v="47084"/>
    <n v="1984456"/>
    <n v="336898"/>
    <n v="618173"/>
    <n v="27842532"/>
    <n v="41051"/>
    <n v="41051"/>
    <x v="93"/>
    <n v="1"/>
    <n v="0"/>
  </r>
  <r>
    <x v="2"/>
    <n v="41"/>
    <s v="Oregon"/>
    <n v="51"/>
    <s v="Multnomah County"/>
    <n v="41"/>
    <x v="25"/>
    <n v="61"/>
    <x v="90"/>
    <n v="20"/>
    <n v="33"/>
    <n v="988"/>
    <n v="29470"/>
    <n v="47084"/>
    <n v="1984456"/>
    <n v="336898"/>
    <n v="618173"/>
    <n v="27842532"/>
    <n v="41051"/>
    <n v="41051"/>
    <x v="94"/>
    <n v="1"/>
    <n v="0"/>
  </r>
  <r>
    <x v="2"/>
    <n v="41"/>
    <s v="Oregon"/>
    <n v="51"/>
    <s v="Multnomah County"/>
    <n v="41"/>
    <x v="25"/>
    <n v="65"/>
    <x v="91"/>
    <n v="84"/>
    <n v="127"/>
    <n v="4038"/>
    <n v="29470"/>
    <n v="47084"/>
    <n v="1984456"/>
    <n v="336898"/>
    <n v="618173"/>
    <n v="27842532"/>
    <n v="41051"/>
    <n v="41051"/>
    <x v="95"/>
    <n v="1"/>
    <n v="0"/>
  </r>
  <r>
    <x v="2"/>
    <n v="41"/>
    <s v="Oregon"/>
    <n v="51"/>
    <s v="Multnomah County"/>
    <n v="41"/>
    <x v="25"/>
    <n v="67"/>
    <x v="92"/>
    <n v="4649"/>
    <n v="7216"/>
    <n v="374794"/>
    <n v="29470"/>
    <n v="47084"/>
    <n v="1984456"/>
    <n v="336898"/>
    <n v="618173"/>
    <n v="27842532"/>
    <n v="41051"/>
    <n v="41051"/>
    <x v="96"/>
    <n v="1"/>
    <n v="0"/>
  </r>
  <r>
    <x v="2"/>
    <n v="41"/>
    <s v="Oregon"/>
    <n v="51"/>
    <s v="Multnomah County"/>
    <n v="41"/>
    <x v="25"/>
    <n v="71"/>
    <x v="93"/>
    <n v="219"/>
    <n v="344"/>
    <n v="15157"/>
    <n v="29470"/>
    <n v="47084"/>
    <n v="1984456"/>
    <n v="336898"/>
    <n v="618173"/>
    <n v="27842532"/>
    <n v="41051"/>
    <n v="41051"/>
    <x v="97"/>
    <n v="1"/>
    <n v="0"/>
  </r>
  <r>
    <x v="2"/>
    <n v="41"/>
    <s v="Oregon"/>
    <n v="51"/>
    <s v="Multnomah County"/>
    <n v="42"/>
    <x v="26"/>
    <n v="3"/>
    <x v="94"/>
    <n v="44"/>
    <n v="57"/>
    <n v="2281"/>
    <n v="29470"/>
    <n v="47084"/>
    <n v="1984456"/>
    <n v="336898"/>
    <n v="618173"/>
    <n v="27842532"/>
    <n v="41051"/>
    <n v="41051"/>
    <x v="98"/>
    <n v="1"/>
    <n v="0"/>
  </r>
  <r>
    <x v="2"/>
    <n v="41"/>
    <s v="Oregon"/>
    <n v="51"/>
    <s v="Multnomah County"/>
    <n v="42"/>
    <x v="26"/>
    <n v="101"/>
    <x v="95"/>
    <n v="60"/>
    <n v="72"/>
    <n v="3211"/>
    <n v="29470"/>
    <n v="47084"/>
    <n v="1984456"/>
    <n v="336898"/>
    <n v="618173"/>
    <n v="27842532"/>
    <n v="41051"/>
    <n v="41051"/>
    <x v="99"/>
    <n v="1"/>
    <n v="0"/>
  </r>
  <r>
    <x v="2"/>
    <n v="41"/>
    <s v="Oregon"/>
    <n v="51"/>
    <s v="Multnomah County"/>
    <n v="45"/>
    <x v="41"/>
    <n v="83"/>
    <x v="163"/>
    <n v="28"/>
    <n v="88"/>
    <n v="1006"/>
    <n v="29470"/>
    <n v="47084"/>
    <n v="1984456"/>
    <n v="336898"/>
    <n v="618173"/>
    <n v="27842532"/>
    <n v="41051"/>
    <n v="41051"/>
    <x v="174"/>
    <n v="1"/>
    <n v="0"/>
  </r>
  <r>
    <x v="2"/>
    <n v="41"/>
    <s v="Oregon"/>
    <n v="51"/>
    <s v="Multnomah County"/>
    <n v="47"/>
    <x v="27"/>
    <n v="37"/>
    <x v="96"/>
    <n v="45"/>
    <n v="61"/>
    <n v="2133"/>
    <n v="29470"/>
    <n v="47084"/>
    <n v="1984456"/>
    <n v="336898"/>
    <n v="618173"/>
    <n v="27842532"/>
    <n v="41051"/>
    <n v="41051"/>
    <x v="100"/>
    <n v="1"/>
    <n v="0"/>
  </r>
  <r>
    <x v="2"/>
    <n v="41"/>
    <s v="Oregon"/>
    <n v="51"/>
    <s v="Multnomah County"/>
    <n v="48"/>
    <x v="28"/>
    <n v="29"/>
    <x v="98"/>
    <n v="46"/>
    <n v="78"/>
    <n v="3186"/>
    <n v="29470"/>
    <n v="47084"/>
    <n v="1984456"/>
    <n v="336898"/>
    <n v="618173"/>
    <n v="27842532"/>
    <n v="41051"/>
    <n v="41051"/>
    <x v="102"/>
    <n v="1"/>
    <n v="0"/>
  </r>
  <r>
    <x v="2"/>
    <n v="41"/>
    <s v="Oregon"/>
    <n v="51"/>
    <s v="Multnomah County"/>
    <n v="48"/>
    <x v="28"/>
    <n v="85"/>
    <x v="165"/>
    <n v="20"/>
    <n v="35"/>
    <n v="1329"/>
    <n v="29470"/>
    <n v="47084"/>
    <n v="1984456"/>
    <n v="336898"/>
    <n v="618173"/>
    <n v="27842532"/>
    <n v="41051"/>
    <n v="41051"/>
    <x v="176"/>
    <n v="1"/>
    <n v="0"/>
  </r>
  <r>
    <x v="2"/>
    <n v="41"/>
    <s v="Oregon"/>
    <n v="51"/>
    <s v="Multnomah County"/>
    <n v="48"/>
    <x v="28"/>
    <n v="113"/>
    <x v="99"/>
    <n v="58"/>
    <n v="101"/>
    <n v="3112"/>
    <n v="29470"/>
    <n v="47084"/>
    <n v="1984456"/>
    <n v="336898"/>
    <n v="618173"/>
    <n v="27842532"/>
    <n v="41051"/>
    <n v="41051"/>
    <x v="103"/>
    <n v="1"/>
    <n v="0"/>
  </r>
  <r>
    <x v="2"/>
    <n v="41"/>
    <s v="Oregon"/>
    <n v="51"/>
    <s v="Multnomah County"/>
    <n v="48"/>
    <x v="28"/>
    <n v="201"/>
    <x v="100"/>
    <n v="98"/>
    <n v="138"/>
    <n v="5140"/>
    <n v="29470"/>
    <n v="47084"/>
    <n v="1984456"/>
    <n v="336898"/>
    <n v="618173"/>
    <n v="27842532"/>
    <n v="41051"/>
    <n v="41051"/>
    <x v="104"/>
    <n v="1"/>
    <n v="0"/>
  </r>
  <r>
    <x v="2"/>
    <n v="41"/>
    <s v="Oregon"/>
    <n v="51"/>
    <s v="Multnomah County"/>
    <n v="48"/>
    <x v="28"/>
    <n v="439"/>
    <x v="101"/>
    <n v="44"/>
    <n v="73"/>
    <n v="2372"/>
    <n v="29470"/>
    <n v="47084"/>
    <n v="1984456"/>
    <n v="336898"/>
    <n v="618173"/>
    <n v="27842532"/>
    <n v="41051"/>
    <n v="41051"/>
    <x v="105"/>
    <n v="1"/>
    <n v="0"/>
  </r>
  <r>
    <x v="2"/>
    <n v="41"/>
    <s v="Oregon"/>
    <n v="51"/>
    <s v="Multnomah County"/>
    <n v="48"/>
    <x v="28"/>
    <n v="453"/>
    <x v="102"/>
    <n v="130"/>
    <n v="185"/>
    <n v="7990"/>
    <n v="29470"/>
    <n v="47084"/>
    <n v="1984456"/>
    <n v="336898"/>
    <n v="618173"/>
    <n v="27842532"/>
    <n v="41051"/>
    <n v="41051"/>
    <x v="106"/>
    <n v="1"/>
    <n v="0"/>
  </r>
  <r>
    <x v="2"/>
    <n v="41"/>
    <s v="Oregon"/>
    <n v="51"/>
    <s v="Multnomah County"/>
    <n v="48"/>
    <x v="28"/>
    <n v="491"/>
    <x v="166"/>
    <n v="29"/>
    <n v="53"/>
    <n v="2208"/>
    <n v="29470"/>
    <n v="47084"/>
    <n v="1984456"/>
    <n v="336898"/>
    <n v="618173"/>
    <n v="27842532"/>
    <n v="41051"/>
    <n v="41051"/>
    <x v="177"/>
    <n v="1"/>
    <n v="0"/>
  </r>
  <r>
    <x v="2"/>
    <n v="41"/>
    <s v="Oregon"/>
    <n v="51"/>
    <s v="Multnomah County"/>
    <n v="49"/>
    <x v="29"/>
    <n v="35"/>
    <x v="103"/>
    <n v="114"/>
    <n v="158"/>
    <n v="8006"/>
    <n v="29470"/>
    <n v="47084"/>
    <n v="1984456"/>
    <n v="336898"/>
    <n v="618173"/>
    <n v="27842532"/>
    <n v="41051"/>
    <n v="41051"/>
    <x v="107"/>
    <n v="1"/>
    <n v="0"/>
  </r>
  <r>
    <x v="2"/>
    <n v="41"/>
    <s v="Oregon"/>
    <n v="51"/>
    <s v="Multnomah County"/>
    <n v="49"/>
    <x v="29"/>
    <n v="49"/>
    <x v="168"/>
    <n v="21"/>
    <n v="48"/>
    <n v="933"/>
    <n v="29470"/>
    <n v="47084"/>
    <n v="1984456"/>
    <n v="336898"/>
    <n v="618173"/>
    <n v="27842532"/>
    <n v="41051"/>
    <n v="41051"/>
    <x v="179"/>
    <n v="1"/>
    <n v="0"/>
  </r>
  <r>
    <x v="2"/>
    <n v="41"/>
    <s v="Oregon"/>
    <n v="51"/>
    <s v="Multnomah County"/>
    <n v="50"/>
    <x v="30"/>
    <n v="7"/>
    <x v="104"/>
    <n v="20"/>
    <n v="32"/>
    <n v="885"/>
    <n v="29470"/>
    <n v="47084"/>
    <n v="1984456"/>
    <n v="336898"/>
    <n v="618173"/>
    <n v="27842532"/>
    <n v="41051"/>
    <n v="41051"/>
    <x v="108"/>
    <n v="1"/>
    <n v="0"/>
  </r>
  <r>
    <x v="2"/>
    <n v="41"/>
    <s v="Oregon"/>
    <n v="51"/>
    <s v="Multnomah County"/>
    <n v="51"/>
    <x v="31"/>
    <n v="59"/>
    <x v="105"/>
    <n v="24"/>
    <n v="26"/>
    <n v="1008"/>
    <n v="29470"/>
    <n v="47084"/>
    <n v="1984456"/>
    <n v="336898"/>
    <n v="618173"/>
    <n v="27842532"/>
    <n v="41051"/>
    <n v="41051"/>
    <x v="109"/>
    <n v="1"/>
    <n v="0"/>
  </r>
  <r>
    <x v="2"/>
    <n v="41"/>
    <s v="Oregon"/>
    <n v="51"/>
    <s v="Multnomah County"/>
    <n v="53"/>
    <x v="32"/>
    <n v="5"/>
    <x v="73"/>
    <n v="50"/>
    <n v="79"/>
    <n v="2104"/>
    <n v="29470"/>
    <n v="47084"/>
    <n v="1984456"/>
    <n v="336898"/>
    <n v="618173"/>
    <n v="27842532"/>
    <n v="41051"/>
    <n v="41051"/>
    <x v="110"/>
    <n v="1"/>
    <n v="0"/>
  </r>
  <r>
    <x v="2"/>
    <n v="41"/>
    <s v="Oregon"/>
    <n v="51"/>
    <s v="Multnomah County"/>
    <n v="53"/>
    <x v="32"/>
    <n v="9"/>
    <x v="171"/>
    <n v="41"/>
    <n v="59"/>
    <n v="2378"/>
    <n v="29470"/>
    <n v="47084"/>
    <n v="1984456"/>
    <n v="336898"/>
    <n v="618173"/>
    <n v="27842532"/>
    <n v="41051"/>
    <n v="41051"/>
    <x v="182"/>
    <n v="1"/>
    <n v="0"/>
  </r>
  <r>
    <x v="2"/>
    <n v="41"/>
    <s v="Oregon"/>
    <n v="51"/>
    <s v="Multnomah County"/>
    <n v="53"/>
    <x v="32"/>
    <n v="11"/>
    <x v="61"/>
    <n v="2811"/>
    <n v="5041"/>
    <n v="177868"/>
    <n v="29470"/>
    <n v="47084"/>
    <n v="1984456"/>
    <n v="336898"/>
    <n v="618173"/>
    <n v="27842532"/>
    <n v="41051"/>
    <n v="41051"/>
    <x v="111"/>
    <n v="1"/>
    <n v="0"/>
  </r>
  <r>
    <x v="2"/>
    <n v="41"/>
    <s v="Oregon"/>
    <n v="51"/>
    <s v="Multnomah County"/>
    <n v="53"/>
    <x v="32"/>
    <n v="15"/>
    <x v="106"/>
    <n v="191"/>
    <n v="349"/>
    <n v="9883"/>
    <n v="29470"/>
    <n v="47084"/>
    <n v="1984456"/>
    <n v="336898"/>
    <n v="618173"/>
    <n v="27842532"/>
    <n v="41051"/>
    <n v="41051"/>
    <x v="112"/>
    <n v="1"/>
    <n v="0"/>
  </r>
  <r>
    <x v="2"/>
    <n v="41"/>
    <s v="Oregon"/>
    <n v="51"/>
    <s v="Multnomah County"/>
    <n v="53"/>
    <x v="32"/>
    <n v="31"/>
    <x v="31"/>
    <n v="26"/>
    <n v="34"/>
    <n v="1911"/>
    <n v="29470"/>
    <n v="47084"/>
    <n v="1984456"/>
    <n v="336898"/>
    <n v="618173"/>
    <n v="27842532"/>
    <n v="41051"/>
    <n v="41051"/>
    <x v="115"/>
    <n v="1"/>
    <n v="0"/>
  </r>
  <r>
    <x v="2"/>
    <n v="41"/>
    <s v="Oregon"/>
    <n v="51"/>
    <s v="Multnomah County"/>
    <n v="53"/>
    <x v="32"/>
    <n v="33"/>
    <x v="109"/>
    <n v="847"/>
    <n v="1139"/>
    <n v="65892"/>
    <n v="29470"/>
    <n v="47084"/>
    <n v="1984456"/>
    <n v="336898"/>
    <n v="618173"/>
    <n v="27842532"/>
    <n v="41051"/>
    <n v="41051"/>
    <x v="116"/>
    <n v="1"/>
    <n v="0"/>
  </r>
  <r>
    <x v="2"/>
    <n v="41"/>
    <s v="Oregon"/>
    <n v="51"/>
    <s v="Multnomah County"/>
    <n v="53"/>
    <x v="32"/>
    <n v="35"/>
    <x v="110"/>
    <n v="50"/>
    <n v="90"/>
    <n v="4641"/>
    <n v="29470"/>
    <n v="47084"/>
    <n v="1984456"/>
    <n v="336898"/>
    <n v="618173"/>
    <n v="27842532"/>
    <n v="41051"/>
    <n v="41051"/>
    <x v="117"/>
    <n v="1"/>
    <n v="0"/>
  </r>
  <r>
    <x v="2"/>
    <n v="41"/>
    <s v="Oregon"/>
    <n v="51"/>
    <s v="Multnomah County"/>
    <n v="53"/>
    <x v="32"/>
    <n v="39"/>
    <x v="111"/>
    <n v="63"/>
    <n v="109"/>
    <n v="6596"/>
    <n v="29470"/>
    <n v="47084"/>
    <n v="1984456"/>
    <n v="336898"/>
    <n v="618173"/>
    <n v="27842532"/>
    <n v="41051"/>
    <n v="41051"/>
    <x v="118"/>
    <n v="1"/>
    <n v="0"/>
  </r>
  <r>
    <x v="2"/>
    <n v="41"/>
    <s v="Oregon"/>
    <n v="51"/>
    <s v="Multnomah County"/>
    <n v="53"/>
    <x v="32"/>
    <n v="41"/>
    <x v="112"/>
    <n v="28"/>
    <n v="45"/>
    <n v="1408"/>
    <n v="29470"/>
    <n v="47084"/>
    <n v="1984456"/>
    <n v="336898"/>
    <n v="618173"/>
    <n v="27842532"/>
    <n v="41051"/>
    <n v="41051"/>
    <x v="119"/>
    <n v="1"/>
    <n v="0"/>
  </r>
  <r>
    <x v="2"/>
    <n v="41"/>
    <s v="Oregon"/>
    <n v="51"/>
    <s v="Multnomah County"/>
    <n v="53"/>
    <x v="32"/>
    <n v="49"/>
    <x v="113"/>
    <n v="35"/>
    <n v="61"/>
    <n v="1940"/>
    <n v="29470"/>
    <n v="47084"/>
    <n v="1984456"/>
    <n v="336898"/>
    <n v="618173"/>
    <n v="27842532"/>
    <n v="41051"/>
    <n v="41051"/>
    <x v="120"/>
    <n v="1"/>
    <n v="0"/>
  </r>
  <r>
    <x v="2"/>
    <n v="41"/>
    <s v="Oregon"/>
    <n v="51"/>
    <s v="Multnomah County"/>
    <n v="53"/>
    <x v="32"/>
    <n v="53"/>
    <x v="114"/>
    <n v="182"/>
    <n v="295"/>
    <n v="12314"/>
    <n v="29470"/>
    <n v="47084"/>
    <n v="1984456"/>
    <n v="336898"/>
    <n v="618173"/>
    <n v="27842532"/>
    <n v="41051"/>
    <n v="41051"/>
    <x v="121"/>
    <n v="1"/>
    <n v="0"/>
  </r>
  <r>
    <x v="2"/>
    <n v="41"/>
    <s v="Oregon"/>
    <n v="51"/>
    <s v="Multnomah County"/>
    <n v="53"/>
    <x v="32"/>
    <n v="59"/>
    <x v="115"/>
    <n v="43"/>
    <n v="61"/>
    <n v="3815"/>
    <n v="29470"/>
    <n v="47084"/>
    <n v="1984456"/>
    <n v="336898"/>
    <n v="618173"/>
    <n v="27842532"/>
    <n v="41051"/>
    <n v="41051"/>
    <x v="122"/>
    <n v="1"/>
    <n v="0"/>
  </r>
  <r>
    <x v="2"/>
    <n v="41"/>
    <s v="Oregon"/>
    <n v="51"/>
    <s v="Multnomah County"/>
    <n v="53"/>
    <x v="32"/>
    <n v="61"/>
    <x v="116"/>
    <n v="85"/>
    <n v="133"/>
    <n v="4475"/>
    <n v="29470"/>
    <n v="47084"/>
    <n v="1984456"/>
    <n v="336898"/>
    <n v="618173"/>
    <n v="27842532"/>
    <n v="41051"/>
    <n v="41051"/>
    <x v="123"/>
    <n v="1"/>
    <n v="0"/>
  </r>
  <r>
    <x v="2"/>
    <n v="41"/>
    <s v="Oregon"/>
    <n v="51"/>
    <s v="Multnomah County"/>
    <n v="53"/>
    <x v="32"/>
    <n v="63"/>
    <x v="117"/>
    <n v="165"/>
    <n v="275"/>
    <n v="9452"/>
    <n v="29470"/>
    <n v="47084"/>
    <n v="1984456"/>
    <n v="336898"/>
    <n v="618173"/>
    <n v="27842532"/>
    <n v="41051"/>
    <n v="41051"/>
    <x v="124"/>
    <n v="1"/>
    <n v="0"/>
  </r>
  <r>
    <x v="2"/>
    <n v="41"/>
    <s v="Oregon"/>
    <n v="51"/>
    <s v="Multnomah County"/>
    <n v="53"/>
    <x v="32"/>
    <n v="67"/>
    <x v="118"/>
    <n v="105"/>
    <n v="150"/>
    <n v="5046"/>
    <n v="29470"/>
    <n v="47084"/>
    <n v="1984456"/>
    <n v="336898"/>
    <n v="618173"/>
    <n v="27842532"/>
    <n v="41051"/>
    <n v="41051"/>
    <x v="125"/>
    <n v="1"/>
    <n v="0"/>
  </r>
  <r>
    <x v="2"/>
    <n v="41"/>
    <s v="Oregon"/>
    <n v="51"/>
    <s v="Multnomah County"/>
    <n v="53"/>
    <x v="32"/>
    <n v="71"/>
    <x v="119"/>
    <n v="31"/>
    <n v="40"/>
    <n v="1784"/>
    <n v="29470"/>
    <n v="47084"/>
    <n v="1984456"/>
    <n v="336898"/>
    <n v="618173"/>
    <n v="27842532"/>
    <n v="41051"/>
    <n v="41051"/>
    <x v="126"/>
    <n v="1"/>
    <n v="0"/>
  </r>
  <r>
    <x v="2"/>
    <n v="41"/>
    <s v="Oregon"/>
    <n v="51"/>
    <s v="Multnomah County"/>
    <n v="53"/>
    <x v="32"/>
    <n v="73"/>
    <x v="120"/>
    <n v="78"/>
    <n v="103"/>
    <n v="4383"/>
    <n v="29470"/>
    <n v="47084"/>
    <n v="1984456"/>
    <n v="336898"/>
    <n v="618173"/>
    <n v="27842532"/>
    <n v="41051"/>
    <n v="41051"/>
    <x v="127"/>
    <n v="1"/>
    <n v="0"/>
  </r>
  <r>
    <x v="2"/>
    <n v="41"/>
    <s v="Oregon"/>
    <n v="51"/>
    <s v="Multnomah County"/>
    <n v="53"/>
    <x v="32"/>
    <n v="77"/>
    <x v="121"/>
    <n v="30"/>
    <n v="52"/>
    <n v="1445"/>
    <n v="29470"/>
    <n v="47084"/>
    <n v="1984456"/>
    <n v="336898"/>
    <n v="618173"/>
    <n v="27842532"/>
    <n v="41051"/>
    <n v="41051"/>
    <x v="128"/>
    <n v="1"/>
    <n v="0"/>
  </r>
  <r>
    <x v="2"/>
    <n v="41"/>
    <s v="Oregon"/>
    <n v="51"/>
    <s v="Multnomah County"/>
    <n v="55"/>
    <x v="33"/>
    <n v="25"/>
    <x v="122"/>
    <n v="40"/>
    <n v="61"/>
    <n v="2451"/>
    <n v="29470"/>
    <n v="47084"/>
    <n v="1984456"/>
    <n v="336898"/>
    <n v="618173"/>
    <n v="27842532"/>
    <n v="41051"/>
    <n v="41051"/>
    <x v="129"/>
    <n v="1"/>
    <n v="0"/>
  </r>
  <r>
    <x v="2"/>
    <n v="41"/>
    <s v="Oregon"/>
    <n v="51"/>
    <s v="Multnomah County"/>
    <n v="55"/>
    <x v="33"/>
    <n v="79"/>
    <x v="123"/>
    <n v="29"/>
    <n v="42"/>
    <n v="1282"/>
    <n v="29470"/>
    <n v="47084"/>
    <n v="1984456"/>
    <n v="336898"/>
    <n v="618173"/>
    <n v="27842532"/>
    <n v="41051"/>
    <n v="41051"/>
    <x v="130"/>
    <n v="1"/>
    <n v="0"/>
  </r>
  <r>
    <x v="3"/>
    <n v="41"/>
    <s v="Oregon"/>
    <n v="51"/>
    <s v="Multnomah County"/>
    <n v="2"/>
    <x v="0"/>
    <n v="20"/>
    <x v="0"/>
    <n v="46"/>
    <n v="64"/>
    <n v="2668"/>
    <n v="28310"/>
    <n v="44411"/>
    <n v="2058578"/>
    <n v="342710"/>
    <n v="621678"/>
    <n v="29861204"/>
    <n v="41051"/>
    <n v="41051"/>
    <x v="0"/>
    <n v="1"/>
    <n v="0"/>
  </r>
  <r>
    <x v="3"/>
    <n v="41"/>
    <s v="Oregon"/>
    <n v="51"/>
    <s v="Multnomah County"/>
    <n v="4"/>
    <x v="1"/>
    <n v="13"/>
    <x v="1"/>
    <n v="374"/>
    <n v="573"/>
    <n v="32566"/>
    <n v="28310"/>
    <n v="44411"/>
    <n v="2058578"/>
    <n v="342710"/>
    <n v="621678"/>
    <n v="29861204"/>
    <n v="41051"/>
    <n v="41051"/>
    <x v="1"/>
    <n v="1"/>
    <n v="0"/>
  </r>
  <r>
    <x v="3"/>
    <n v="41"/>
    <s v="Oregon"/>
    <n v="51"/>
    <s v="Multnomah County"/>
    <n v="4"/>
    <x v="1"/>
    <n v="19"/>
    <x v="2"/>
    <n v="119"/>
    <n v="173"/>
    <n v="6808"/>
    <n v="28310"/>
    <n v="44411"/>
    <n v="2058578"/>
    <n v="342710"/>
    <n v="621678"/>
    <n v="29861204"/>
    <n v="41051"/>
    <n v="41051"/>
    <x v="2"/>
    <n v="1"/>
    <n v="0"/>
  </r>
  <r>
    <x v="3"/>
    <n v="41"/>
    <s v="Oregon"/>
    <n v="51"/>
    <s v="Multnomah County"/>
    <n v="4"/>
    <x v="1"/>
    <n v="21"/>
    <x v="3"/>
    <n v="35"/>
    <n v="65"/>
    <n v="2619"/>
    <n v="28310"/>
    <n v="44411"/>
    <n v="2058578"/>
    <n v="342710"/>
    <n v="621678"/>
    <n v="29861204"/>
    <n v="41051"/>
    <n v="41051"/>
    <x v="3"/>
    <n v="1"/>
    <n v="0"/>
  </r>
  <r>
    <x v="3"/>
    <n v="41"/>
    <s v="Oregon"/>
    <n v="51"/>
    <s v="Multnomah County"/>
    <n v="4"/>
    <x v="1"/>
    <n v="25"/>
    <x v="125"/>
    <n v="20"/>
    <n v="29"/>
    <n v="1002"/>
    <n v="28310"/>
    <n v="44411"/>
    <n v="2058578"/>
    <n v="342710"/>
    <n v="621678"/>
    <n v="29861204"/>
    <n v="41051"/>
    <n v="41051"/>
    <x v="132"/>
    <n v="1"/>
    <n v="0"/>
  </r>
  <r>
    <x v="3"/>
    <n v="41"/>
    <s v="Oregon"/>
    <n v="51"/>
    <s v="Multnomah County"/>
    <n v="6"/>
    <x v="2"/>
    <n v="1"/>
    <x v="4"/>
    <n v="185"/>
    <n v="244"/>
    <n v="13354"/>
    <n v="28310"/>
    <n v="44411"/>
    <n v="2058578"/>
    <n v="342710"/>
    <n v="621678"/>
    <n v="29861204"/>
    <n v="41051"/>
    <n v="41051"/>
    <x v="4"/>
    <n v="1"/>
    <n v="0"/>
  </r>
  <r>
    <x v="3"/>
    <n v="41"/>
    <s v="Oregon"/>
    <n v="51"/>
    <s v="Multnomah County"/>
    <n v="6"/>
    <x v="2"/>
    <n v="13"/>
    <x v="5"/>
    <n v="57"/>
    <n v="85"/>
    <n v="3150"/>
    <n v="28310"/>
    <n v="44411"/>
    <n v="2058578"/>
    <n v="342710"/>
    <n v="621678"/>
    <n v="29861204"/>
    <n v="41051"/>
    <n v="41051"/>
    <x v="5"/>
    <n v="1"/>
    <n v="0"/>
  </r>
  <r>
    <x v="3"/>
    <n v="41"/>
    <s v="Oregon"/>
    <n v="51"/>
    <s v="Multnomah County"/>
    <n v="6"/>
    <x v="2"/>
    <n v="19"/>
    <x v="6"/>
    <n v="29"/>
    <n v="52"/>
    <n v="1351"/>
    <n v="28310"/>
    <n v="44411"/>
    <n v="2058578"/>
    <n v="342710"/>
    <n v="621678"/>
    <n v="29861204"/>
    <n v="41051"/>
    <n v="41051"/>
    <x v="6"/>
    <n v="1"/>
    <n v="0"/>
  </r>
  <r>
    <x v="3"/>
    <n v="41"/>
    <s v="Oregon"/>
    <n v="51"/>
    <s v="Multnomah County"/>
    <n v="6"/>
    <x v="2"/>
    <n v="23"/>
    <x v="7"/>
    <n v="25"/>
    <n v="28"/>
    <n v="757"/>
    <n v="28310"/>
    <n v="44411"/>
    <n v="2058578"/>
    <n v="342710"/>
    <n v="621678"/>
    <n v="29861204"/>
    <n v="41051"/>
    <n v="41051"/>
    <x v="7"/>
    <n v="1"/>
    <n v="0"/>
  </r>
  <r>
    <x v="3"/>
    <n v="41"/>
    <s v="Oregon"/>
    <n v="51"/>
    <s v="Multnomah County"/>
    <n v="6"/>
    <x v="2"/>
    <n v="37"/>
    <x v="9"/>
    <n v="600"/>
    <n v="801"/>
    <n v="37831"/>
    <n v="28310"/>
    <n v="44411"/>
    <n v="2058578"/>
    <n v="342710"/>
    <n v="621678"/>
    <n v="29861204"/>
    <n v="41051"/>
    <n v="41051"/>
    <x v="9"/>
    <n v="1"/>
    <n v="0"/>
  </r>
  <r>
    <x v="3"/>
    <n v="41"/>
    <s v="Oregon"/>
    <n v="51"/>
    <s v="Multnomah County"/>
    <n v="6"/>
    <x v="2"/>
    <n v="41"/>
    <x v="10"/>
    <n v="42"/>
    <n v="59"/>
    <n v="6386"/>
    <n v="28310"/>
    <n v="44411"/>
    <n v="2058578"/>
    <n v="342710"/>
    <n v="621678"/>
    <n v="29861204"/>
    <n v="41051"/>
    <n v="41051"/>
    <x v="10"/>
    <n v="1"/>
    <n v="0"/>
  </r>
  <r>
    <x v="3"/>
    <n v="41"/>
    <s v="Oregon"/>
    <n v="51"/>
    <s v="Multnomah County"/>
    <n v="6"/>
    <x v="2"/>
    <n v="53"/>
    <x v="11"/>
    <n v="32"/>
    <n v="43"/>
    <n v="1122"/>
    <n v="28310"/>
    <n v="44411"/>
    <n v="2058578"/>
    <n v="342710"/>
    <n v="621678"/>
    <n v="29861204"/>
    <n v="41051"/>
    <n v="41051"/>
    <x v="11"/>
    <n v="1"/>
    <n v="0"/>
  </r>
  <r>
    <x v="3"/>
    <n v="41"/>
    <s v="Oregon"/>
    <n v="51"/>
    <s v="Multnomah County"/>
    <n v="6"/>
    <x v="2"/>
    <n v="59"/>
    <x v="12"/>
    <n v="183"/>
    <n v="263"/>
    <n v="21523"/>
    <n v="28310"/>
    <n v="44411"/>
    <n v="2058578"/>
    <n v="342710"/>
    <n v="621678"/>
    <n v="29861204"/>
    <n v="41051"/>
    <n v="41051"/>
    <x v="12"/>
    <n v="1"/>
    <n v="0"/>
  </r>
  <r>
    <x v="3"/>
    <n v="41"/>
    <s v="Oregon"/>
    <n v="51"/>
    <s v="Multnomah County"/>
    <n v="6"/>
    <x v="2"/>
    <n v="61"/>
    <x v="13"/>
    <n v="26"/>
    <n v="32"/>
    <n v="2741"/>
    <n v="28310"/>
    <n v="44411"/>
    <n v="2058578"/>
    <n v="342710"/>
    <n v="621678"/>
    <n v="29861204"/>
    <n v="41051"/>
    <n v="41051"/>
    <x v="13"/>
    <n v="1"/>
    <n v="0"/>
  </r>
  <r>
    <x v="3"/>
    <n v="41"/>
    <s v="Oregon"/>
    <n v="51"/>
    <s v="Multnomah County"/>
    <n v="6"/>
    <x v="2"/>
    <n v="65"/>
    <x v="14"/>
    <n v="106"/>
    <n v="174"/>
    <n v="14449"/>
    <n v="28310"/>
    <n v="44411"/>
    <n v="2058578"/>
    <n v="342710"/>
    <n v="621678"/>
    <n v="29861204"/>
    <n v="41051"/>
    <n v="41051"/>
    <x v="14"/>
    <n v="1"/>
    <n v="0"/>
  </r>
  <r>
    <x v="3"/>
    <n v="41"/>
    <s v="Oregon"/>
    <n v="51"/>
    <s v="Multnomah County"/>
    <n v="6"/>
    <x v="2"/>
    <n v="67"/>
    <x v="15"/>
    <n v="131"/>
    <n v="183"/>
    <n v="7616"/>
    <n v="28310"/>
    <n v="44411"/>
    <n v="2058578"/>
    <n v="342710"/>
    <n v="621678"/>
    <n v="29861204"/>
    <n v="41051"/>
    <n v="41051"/>
    <x v="15"/>
    <n v="1"/>
    <n v="0"/>
  </r>
  <r>
    <x v="3"/>
    <n v="41"/>
    <s v="Oregon"/>
    <n v="51"/>
    <s v="Multnomah County"/>
    <n v="6"/>
    <x v="2"/>
    <n v="71"/>
    <x v="16"/>
    <n v="74"/>
    <n v="101"/>
    <n v="3053"/>
    <n v="28310"/>
    <n v="44411"/>
    <n v="2058578"/>
    <n v="342710"/>
    <n v="621678"/>
    <n v="29861204"/>
    <n v="41051"/>
    <n v="41051"/>
    <x v="16"/>
    <n v="1"/>
    <n v="0"/>
  </r>
  <r>
    <x v="3"/>
    <n v="41"/>
    <s v="Oregon"/>
    <n v="51"/>
    <s v="Multnomah County"/>
    <n v="6"/>
    <x v="2"/>
    <n v="73"/>
    <x v="17"/>
    <n v="273"/>
    <n v="410"/>
    <n v="17995"/>
    <n v="28310"/>
    <n v="44411"/>
    <n v="2058578"/>
    <n v="342710"/>
    <n v="621678"/>
    <n v="29861204"/>
    <n v="41051"/>
    <n v="41051"/>
    <x v="17"/>
    <n v="1"/>
    <n v="0"/>
  </r>
  <r>
    <x v="3"/>
    <n v="41"/>
    <s v="Oregon"/>
    <n v="51"/>
    <s v="Multnomah County"/>
    <n v="6"/>
    <x v="2"/>
    <n v="75"/>
    <x v="18"/>
    <n v="200"/>
    <n v="231"/>
    <n v="31516"/>
    <n v="28310"/>
    <n v="44411"/>
    <n v="2058578"/>
    <n v="342710"/>
    <n v="621678"/>
    <n v="29861204"/>
    <n v="41051"/>
    <n v="41051"/>
    <x v="18"/>
    <n v="1"/>
    <n v="0"/>
  </r>
  <r>
    <x v="3"/>
    <n v="41"/>
    <s v="Oregon"/>
    <n v="51"/>
    <s v="Multnomah County"/>
    <n v="6"/>
    <x v="2"/>
    <n v="79"/>
    <x v="19"/>
    <n v="26"/>
    <n v="36"/>
    <n v="1446"/>
    <n v="28310"/>
    <n v="44411"/>
    <n v="2058578"/>
    <n v="342710"/>
    <n v="621678"/>
    <n v="29861204"/>
    <n v="41051"/>
    <n v="41051"/>
    <x v="19"/>
    <n v="1"/>
    <n v="0"/>
  </r>
  <r>
    <x v="3"/>
    <n v="41"/>
    <s v="Oregon"/>
    <n v="51"/>
    <s v="Multnomah County"/>
    <n v="6"/>
    <x v="2"/>
    <n v="81"/>
    <x v="20"/>
    <n v="54"/>
    <n v="86"/>
    <n v="8907"/>
    <n v="28310"/>
    <n v="44411"/>
    <n v="2058578"/>
    <n v="342710"/>
    <n v="621678"/>
    <n v="29861204"/>
    <n v="41051"/>
    <n v="41051"/>
    <x v="20"/>
    <n v="1"/>
    <n v="0"/>
  </r>
  <r>
    <x v="3"/>
    <n v="41"/>
    <s v="Oregon"/>
    <n v="51"/>
    <s v="Multnomah County"/>
    <n v="6"/>
    <x v="2"/>
    <n v="83"/>
    <x v="21"/>
    <n v="39"/>
    <n v="51"/>
    <n v="3910"/>
    <n v="28310"/>
    <n v="44411"/>
    <n v="2058578"/>
    <n v="342710"/>
    <n v="621678"/>
    <n v="29861204"/>
    <n v="41051"/>
    <n v="41051"/>
    <x v="21"/>
    <n v="1"/>
    <n v="0"/>
  </r>
  <r>
    <x v="3"/>
    <n v="41"/>
    <s v="Oregon"/>
    <n v="51"/>
    <s v="Multnomah County"/>
    <n v="6"/>
    <x v="2"/>
    <n v="85"/>
    <x v="22"/>
    <n v="174"/>
    <n v="234"/>
    <n v="17424"/>
    <n v="28310"/>
    <n v="44411"/>
    <n v="2058578"/>
    <n v="342710"/>
    <n v="621678"/>
    <n v="29861204"/>
    <n v="41051"/>
    <n v="41051"/>
    <x v="22"/>
    <n v="1"/>
    <n v="0"/>
  </r>
  <r>
    <x v="3"/>
    <n v="41"/>
    <s v="Oregon"/>
    <n v="51"/>
    <s v="Multnomah County"/>
    <n v="6"/>
    <x v="2"/>
    <n v="87"/>
    <x v="23"/>
    <n v="40"/>
    <n v="55"/>
    <n v="2628"/>
    <n v="28310"/>
    <n v="44411"/>
    <n v="2058578"/>
    <n v="342710"/>
    <n v="621678"/>
    <n v="29861204"/>
    <n v="41051"/>
    <n v="41051"/>
    <x v="23"/>
    <n v="1"/>
    <n v="0"/>
  </r>
  <r>
    <x v="3"/>
    <n v="41"/>
    <s v="Oregon"/>
    <n v="51"/>
    <s v="Multnomah County"/>
    <n v="6"/>
    <x v="2"/>
    <n v="97"/>
    <x v="25"/>
    <n v="43"/>
    <n v="58"/>
    <n v="2119"/>
    <n v="28310"/>
    <n v="44411"/>
    <n v="2058578"/>
    <n v="342710"/>
    <n v="621678"/>
    <n v="29861204"/>
    <n v="41051"/>
    <n v="41051"/>
    <x v="25"/>
    <n v="1"/>
    <n v="0"/>
  </r>
  <r>
    <x v="3"/>
    <n v="41"/>
    <s v="Oregon"/>
    <n v="51"/>
    <s v="Multnomah County"/>
    <n v="6"/>
    <x v="2"/>
    <n v="111"/>
    <x v="26"/>
    <n v="46"/>
    <n v="72"/>
    <n v="2631"/>
    <n v="28310"/>
    <n v="44411"/>
    <n v="2058578"/>
    <n v="342710"/>
    <n v="621678"/>
    <n v="29861204"/>
    <n v="41051"/>
    <n v="41051"/>
    <x v="26"/>
    <n v="1"/>
    <n v="0"/>
  </r>
  <r>
    <x v="3"/>
    <n v="41"/>
    <s v="Oregon"/>
    <n v="51"/>
    <s v="Multnomah County"/>
    <n v="8"/>
    <x v="3"/>
    <n v="5"/>
    <x v="27"/>
    <n v="45"/>
    <n v="71"/>
    <n v="2537"/>
    <n v="28310"/>
    <n v="44411"/>
    <n v="2058578"/>
    <n v="342710"/>
    <n v="621678"/>
    <n v="29861204"/>
    <n v="41051"/>
    <n v="41051"/>
    <x v="27"/>
    <n v="1"/>
    <n v="0"/>
  </r>
  <r>
    <x v="3"/>
    <n v="41"/>
    <s v="Oregon"/>
    <n v="51"/>
    <s v="Multnomah County"/>
    <n v="8"/>
    <x v="3"/>
    <n v="13"/>
    <x v="28"/>
    <n v="69"/>
    <n v="90"/>
    <n v="4944"/>
    <n v="28310"/>
    <n v="44411"/>
    <n v="2058578"/>
    <n v="342710"/>
    <n v="621678"/>
    <n v="29861204"/>
    <n v="41051"/>
    <n v="41051"/>
    <x v="28"/>
    <n v="1"/>
    <n v="0"/>
  </r>
  <r>
    <x v="3"/>
    <n v="41"/>
    <s v="Oregon"/>
    <n v="51"/>
    <s v="Multnomah County"/>
    <n v="8"/>
    <x v="3"/>
    <n v="31"/>
    <x v="29"/>
    <n v="155"/>
    <n v="198"/>
    <n v="12624"/>
    <n v="28310"/>
    <n v="44411"/>
    <n v="2058578"/>
    <n v="342710"/>
    <n v="621678"/>
    <n v="29861204"/>
    <n v="41051"/>
    <n v="41051"/>
    <x v="29"/>
    <n v="1"/>
    <n v="0"/>
  </r>
  <r>
    <x v="3"/>
    <n v="41"/>
    <s v="Oregon"/>
    <n v="51"/>
    <s v="Multnomah County"/>
    <n v="8"/>
    <x v="3"/>
    <n v="41"/>
    <x v="30"/>
    <n v="33"/>
    <n v="55"/>
    <n v="1832"/>
    <n v="28310"/>
    <n v="44411"/>
    <n v="2058578"/>
    <n v="342710"/>
    <n v="621678"/>
    <n v="29861204"/>
    <n v="41051"/>
    <n v="41051"/>
    <x v="30"/>
    <n v="1"/>
    <n v="0"/>
  </r>
  <r>
    <x v="3"/>
    <n v="41"/>
    <s v="Oregon"/>
    <n v="51"/>
    <s v="Multnomah County"/>
    <n v="8"/>
    <x v="3"/>
    <n v="59"/>
    <x v="31"/>
    <n v="33"/>
    <n v="44"/>
    <n v="2042"/>
    <n v="28310"/>
    <n v="44411"/>
    <n v="2058578"/>
    <n v="342710"/>
    <n v="621678"/>
    <n v="29861204"/>
    <n v="41051"/>
    <n v="41051"/>
    <x v="31"/>
    <n v="1"/>
    <n v="0"/>
  </r>
  <r>
    <x v="3"/>
    <n v="41"/>
    <s v="Oregon"/>
    <n v="51"/>
    <s v="Multnomah County"/>
    <n v="8"/>
    <x v="3"/>
    <n v="69"/>
    <x v="32"/>
    <n v="38"/>
    <n v="59"/>
    <n v="2325"/>
    <n v="28310"/>
    <n v="44411"/>
    <n v="2058578"/>
    <n v="342710"/>
    <n v="621678"/>
    <n v="29861204"/>
    <n v="41051"/>
    <n v="41051"/>
    <x v="32"/>
    <n v="1"/>
    <n v="0"/>
  </r>
  <r>
    <x v="3"/>
    <n v="41"/>
    <s v="Oregon"/>
    <n v="51"/>
    <s v="Multnomah County"/>
    <n v="9"/>
    <x v="4"/>
    <n v="9"/>
    <x v="33"/>
    <n v="21"/>
    <n v="28"/>
    <n v="1549"/>
    <n v="28310"/>
    <n v="44411"/>
    <n v="2058578"/>
    <n v="342710"/>
    <n v="621678"/>
    <n v="29861204"/>
    <n v="41051"/>
    <n v="41051"/>
    <x v="33"/>
    <n v="1"/>
    <n v="0"/>
  </r>
  <r>
    <x v="3"/>
    <n v="41"/>
    <s v="Oregon"/>
    <n v="51"/>
    <s v="Multnomah County"/>
    <n v="11"/>
    <x v="5"/>
    <n v="1"/>
    <x v="34"/>
    <n v="52"/>
    <n v="64"/>
    <n v="3554"/>
    <n v="28310"/>
    <n v="44411"/>
    <n v="2058578"/>
    <n v="342710"/>
    <n v="621678"/>
    <n v="29861204"/>
    <n v="41051"/>
    <n v="41051"/>
    <x v="34"/>
    <n v="1"/>
    <n v="0"/>
  </r>
  <r>
    <x v="3"/>
    <n v="41"/>
    <s v="Oregon"/>
    <n v="51"/>
    <s v="Multnomah County"/>
    <n v="12"/>
    <x v="6"/>
    <n v="11"/>
    <x v="132"/>
    <n v="33"/>
    <n v="47"/>
    <n v="2913"/>
    <n v="28310"/>
    <n v="44411"/>
    <n v="2058578"/>
    <n v="342710"/>
    <n v="621678"/>
    <n v="29861204"/>
    <n v="41051"/>
    <n v="41051"/>
    <x v="139"/>
    <n v="1"/>
    <n v="0"/>
  </r>
  <r>
    <x v="3"/>
    <n v="41"/>
    <s v="Oregon"/>
    <n v="51"/>
    <s v="Multnomah County"/>
    <n v="12"/>
    <x v="6"/>
    <n v="31"/>
    <x v="133"/>
    <n v="29"/>
    <n v="46"/>
    <n v="2136"/>
    <n v="28310"/>
    <n v="44411"/>
    <n v="2058578"/>
    <n v="342710"/>
    <n v="621678"/>
    <n v="29861204"/>
    <n v="41051"/>
    <n v="41051"/>
    <x v="140"/>
    <n v="1"/>
    <n v="0"/>
  </r>
  <r>
    <x v="3"/>
    <n v="41"/>
    <s v="Oregon"/>
    <n v="51"/>
    <s v="Multnomah County"/>
    <n v="12"/>
    <x v="6"/>
    <n v="57"/>
    <x v="35"/>
    <n v="37"/>
    <n v="65"/>
    <n v="1986"/>
    <n v="28310"/>
    <n v="44411"/>
    <n v="2058578"/>
    <n v="342710"/>
    <n v="621678"/>
    <n v="29861204"/>
    <n v="41051"/>
    <n v="41051"/>
    <x v="35"/>
    <n v="1"/>
    <n v="0"/>
  </r>
  <r>
    <x v="3"/>
    <n v="41"/>
    <s v="Oregon"/>
    <n v="51"/>
    <s v="Multnomah County"/>
    <n v="12"/>
    <x v="6"/>
    <n v="71"/>
    <x v="175"/>
    <n v="22"/>
    <n v="31"/>
    <n v="1020"/>
    <n v="28310"/>
    <n v="44411"/>
    <n v="2058578"/>
    <n v="342710"/>
    <n v="621678"/>
    <n v="29861204"/>
    <n v="41051"/>
    <n v="41051"/>
    <x v="187"/>
    <n v="1"/>
    <n v="0"/>
  </r>
  <r>
    <x v="3"/>
    <n v="41"/>
    <s v="Oregon"/>
    <n v="51"/>
    <s v="Multnomah County"/>
    <n v="12"/>
    <x v="6"/>
    <n v="86"/>
    <x v="36"/>
    <n v="45"/>
    <n v="71"/>
    <n v="2642"/>
    <n v="28310"/>
    <n v="44411"/>
    <n v="2058578"/>
    <n v="342710"/>
    <n v="621678"/>
    <n v="29861204"/>
    <n v="41051"/>
    <n v="41051"/>
    <x v="36"/>
    <n v="1"/>
    <n v="0"/>
  </r>
  <r>
    <x v="3"/>
    <n v="41"/>
    <s v="Oregon"/>
    <n v="51"/>
    <s v="Multnomah County"/>
    <n v="12"/>
    <x v="6"/>
    <n v="95"/>
    <x v="12"/>
    <n v="42"/>
    <n v="63"/>
    <n v="5280"/>
    <n v="28310"/>
    <n v="44411"/>
    <n v="2058578"/>
    <n v="342710"/>
    <n v="621678"/>
    <n v="29861204"/>
    <n v="41051"/>
    <n v="41051"/>
    <x v="37"/>
    <n v="1"/>
    <n v="0"/>
  </r>
  <r>
    <x v="3"/>
    <n v="41"/>
    <s v="Oregon"/>
    <n v="51"/>
    <s v="Multnomah County"/>
    <n v="12"/>
    <x v="6"/>
    <n v="99"/>
    <x v="37"/>
    <n v="26"/>
    <n v="44"/>
    <n v="1451"/>
    <n v="28310"/>
    <n v="44411"/>
    <n v="2058578"/>
    <n v="342710"/>
    <n v="621678"/>
    <n v="29861204"/>
    <n v="41051"/>
    <n v="41051"/>
    <x v="38"/>
    <n v="1"/>
    <n v="0"/>
  </r>
  <r>
    <x v="3"/>
    <n v="41"/>
    <s v="Oregon"/>
    <n v="51"/>
    <s v="Multnomah County"/>
    <n v="12"/>
    <x v="6"/>
    <n v="103"/>
    <x v="38"/>
    <n v="39"/>
    <n v="54"/>
    <n v="2821"/>
    <n v="28310"/>
    <n v="44411"/>
    <n v="2058578"/>
    <n v="342710"/>
    <n v="621678"/>
    <n v="29861204"/>
    <n v="41051"/>
    <n v="41051"/>
    <x v="39"/>
    <n v="1"/>
    <n v="0"/>
  </r>
  <r>
    <x v="3"/>
    <n v="41"/>
    <s v="Oregon"/>
    <n v="51"/>
    <s v="Multnomah County"/>
    <n v="13"/>
    <x v="7"/>
    <n v="89"/>
    <x v="39"/>
    <n v="27"/>
    <n v="37"/>
    <n v="1135"/>
    <n v="28310"/>
    <n v="44411"/>
    <n v="2058578"/>
    <n v="342710"/>
    <n v="621678"/>
    <n v="29861204"/>
    <n v="41051"/>
    <n v="41051"/>
    <x v="40"/>
    <n v="1"/>
    <n v="0"/>
  </r>
  <r>
    <x v="3"/>
    <n v="41"/>
    <s v="Oregon"/>
    <n v="51"/>
    <s v="Multnomah County"/>
    <n v="13"/>
    <x v="7"/>
    <n v="121"/>
    <x v="40"/>
    <n v="60"/>
    <n v="82"/>
    <n v="4094"/>
    <n v="28310"/>
    <n v="44411"/>
    <n v="2058578"/>
    <n v="342710"/>
    <n v="621678"/>
    <n v="29861204"/>
    <n v="41051"/>
    <n v="41051"/>
    <x v="41"/>
    <n v="1"/>
    <n v="0"/>
  </r>
  <r>
    <x v="3"/>
    <n v="41"/>
    <s v="Oregon"/>
    <n v="51"/>
    <s v="Multnomah County"/>
    <n v="15"/>
    <x v="8"/>
    <n v="1"/>
    <x v="41"/>
    <n v="37"/>
    <n v="52"/>
    <n v="1916"/>
    <n v="28310"/>
    <n v="44411"/>
    <n v="2058578"/>
    <n v="342710"/>
    <n v="621678"/>
    <n v="29861204"/>
    <n v="41051"/>
    <n v="41051"/>
    <x v="42"/>
    <n v="1"/>
    <n v="0"/>
  </r>
  <r>
    <x v="3"/>
    <n v="41"/>
    <s v="Oregon"/>
    <n v="51"/>
    <s v="Multnomah County"/>
    <n v="15"/>
    <x v="8"/>
    <n v="3"/>
    <x v="42"/>
    <n v="104"/>
    <n v="198"/>
    <n v="8671"/>
    <n v="28310"/>
    <n v="44411"/>
    <n v="2058578"/>
    <n v="342710"/>
    <n v="621678"/>
    <n v="29861204"/>
    <n v="41051"/>
    <n v="41051"/>
    <x v="43"/>
    <n v="1"/>
    <n v="0"/>
  </r>
  <r>
    <x v="3"/>
    <n v="41"/>
    <s v="Oregon"/>
    <n v="51"/>
    <s v="Multnomah County"/>
    <n v="15"/>
    <x v="8"/>
    <n v="9"/>
    <x v="43"/>
    <n v="35"/>
    <n v="62"/>
    <n v="1682"/>
    <n v="28310"/>
    <n v="44411"/>
    <n v="2058578"/>
    <n v="342710"/>
    <n v="621678"/>
    <n v="29861204"/>
    <n v="41051"/>
    <n v="41051"/>
    <x v="44"/>
    <n v="1"/>
    <n v="0"/>
  </r>
  <r>
    <x v="3"/>
    <n v="41"/>
    <s v="Oregon"/>
    <n v="51"/>
    <s v="Multnomah County"/>
    <n v="16"/>
    <x v="9"/>
    <n v="1"/>
    <x v="44"/>
    <n v="145"/>
    <n v="235"/>
    <n v="9068"/>
    <n v="28310"/>
    <n v="44411"/>
    <n v="2058578"/>
    <n v="342710"/>
    <n v="621678"/>
    <n v="29861204"/>
    <n v="41051"/>
    <n v="41051"/>
    <x v="45"/>
    <n v="1"/>
    <n v="0"/>
  </r>
  <r>
    <x v="3"/>
    <n v="41"/>
    <s v="Oregon"/>
    <n v="51"/>
    <s v="Multnomah County"/>
    <n v="16"/>
    <x v="9"/>
    <n v="27"/>
    <x v="45"/>
    <n v="32"/>
    <n v="82"/>
    <n v="1780"/>
    <n v="28310"/>
    <n v="44411"/>
    <n v="2058578"/>
    <n v="342710"/>
    <n v="621678"/>
    <n v="29861204"/>
    <n v="41051"/>
    <n v="41051"/>
    <x v="46"/>
    <n v="1"/>
    <n v="0"/>
  </r>
  <r>
    <x v="3"/>
    <n v="41"/>
    <s v="Oregon"/>
    <n v="51"/>
    <s v="Multnomah County"/>
    <n v="16"/>
    <x v="9"/>
    <n v="55"/>
    <x v="46"/>
    <n v="39"/>
    <n v="62"/>
    <n v="1316"/>
    <n v="28310"/>
    <n v="44411"/>
    <n v="2058578"/>
    <n v="342710"/>
    <n v="621678"/>
    <n v="29861204"/>
    <n v="41051"/>
    <n v="41051"/>
    <x v="47"/>
    <n v="1"/>
    <n v="0"/>
  </r>
  <r>
    <x v="3"/>
    <n v="41"/>
    <s v="Oregon"/>
    <n v="51"/>
    <s v="Multnomah County"/>
    <n v="17"/>
    <x v="10"/>
    <n v="31"/>
    <x v="47"/>
    <n v="177"/>
    <n v="211"/>
    <n v="10302"/>
    <n v="28310"/>
    <n v="44411"/>
    <n v="2058578"/>
    <n v="342710"/>
    <n v="621678"/>
    <n v="29861204"/>
    <n v="41051"/>
    <n v="41051"/>
    <x v="48"/>
    <n v="1"/>
    <n v="0"/>
  </r>
  <r>
    <x v="3"/>
    <n v="41"/>
    <s v="Oregon"/>
    <n v="51"/>
    <s v="Multnomah County"/>
    <n v="18"/>
    <x v="11"/>
    <n v="97"/>
    <x v="48"/>
    <n v="22"/>
    <n v="28"/>
    <n v="1302"/>
    <n v="28310"/>
    <n v="44411"/>
    <n v="2058578"/>
    <n v="342710"/>
    <n v="621678"/>
    <n v="29861204"/>
    <n v="41051"/>
    <n v="41051"/>
    <x v="49"/>
    <n v="1"/>
    <n v="0"/>
  </r>
  <r>
    <x v="3"/>
    <n v="41"/>
    <s v="Oregon"/>
    <n v="51"/>
    <s v="Multnomah County"/>
    <n v="21"/>
    <x v="35"/>
    <n v="111"/>
    <x v="31"/>
    <n v="26"/>
    <n v="46"/>
    <n v="1573"/>
    <n v="28310"/>
    <n v="44411"/>
    <n v="2058578"/>
    <n v="342710"/>
    <n v="621678"/>
    <n v="29861204"/>
    <n v="41051"/>
    <n v="41051"/>
    <x v="145"/>
    <n v="1"/>
    <n v="0"/>
  </r>
  <r>
    <x v="3"/>
    <n v="41"/>
    <s v="Oregon"/>
    <n v="51"/>
    <s v="Multnomah County"/>
    <n v="22"/>
    <x v="13"/>
    <n v="71"/>
    <x v="50"/>
    <n v="29"/>
    <n v="33"/>
    <n v="1264"/>
    <n v="28310"/>
    <n v="44411"/>
    <n v="2058578"/>
    <n v="342710"/>
    <n v="621678"/>
    <n v="29861204"/>
    <n v="41051"/>
    <n v="41051"/>
    <x v="51"/>
    <n v="1"/>
    <n v="0"/>
  </r>
  <r>
    <x v="3"/>
    <n v="41"/>
    <s v="Oregon"/>
    <n v="51"/>
    <s v="Multnomah County"/>
    <n v="23"/>
    <x v="14"/>
    <n v="5"/>
    <x v="51"/>
    <n v="26"/>
    <n v="36"/>
    <n v="1535"/>
    <n v="28310"/>
    <n v="44411"/>
    <n v="2058578"/>
    <n v="342710"/>
    <n v="621678"/>
    <n v="29861204"/>
    <n v="41051"/>
    <n v="41051"/>
    <x v="52"/>
    <n v="1"/>
    <n v="0"/>
  </r>
  <r>
    <x v="3"/>
    <n v="41"/>
    <s v="Oregon"/>
    <n v="51"/>
    <s v="Multnomah County"/>
    <n v="24"/>
    <x v="15"/>
    <n v="31"/>
    <x v="52"/>
    <n v="22"/>
    <n v="35"/>
    <n v="1292"/>
    <n v="28310"/>
    <n v="44411"/>
    <n v="2058578"/>
    <n v="342710"/>
    <n v="621678"/>
    <n v="29861204"/>
    <n v="41051"/>
    <n v="41051"/>
    <x v="53"/>
    <n v="1"/>
    <n v="0"/>
  </r>
  <r>
    <x v="3"/>
    <n v="41"/>
    <s v="Oregon"/>
    <n v="51"/>
    <s v="Multnomah County"/>
    <n v="24"/>
    <x v="15"/>
    <n v="510"/>
    <x v="139"/>
    <n v="20"/>
    <n v="26"/>
    <n v="1252"/>
    <n v="28310"/>
    <n v="44411"/>
    <n v="2058578"/>
    <n v="342710"/>
    <n v="621678"/>
    <n v="29861204"/>
    <n v="41051"/>
    <n v="41051"/>
    <x v="147"/>
    <n v="1"/>
    <n v="0"/>
  </r>
  <r>
    <x v="3"/>
    <n v="41"/>
    <s v="Oregon"/>
    <n v="51"/>
    <s v="Multnomah County"/>
    <n v="25"/>
    <x v="16"/>
    <n v="17"/>
    <x v="53"/>
    <n v="69"/>
    <n v="92"/>
    <n v="10533"/>
    <n v="28310"/>
    <n v="44411"/>
    <n v="2058578"/>
    <n v="342710"/>
    <n v="621678"/>
    <n v="29861204"/>
    <n v="41051"/>
    <n v="41051"/>
    <x v="54"/>
    <n v="1"/>
    <n v="0"/>
  </r>
  <r>
    <x v="3"/>
    <n v="41"/>
    <s v="Oregon"/>
    <n v="51"/>
    <s v="Multnomah County"/>
    <n v="25"/>
    <x v="16"/>
    <n v="21"/>
    <x v="141"/>
    <n v="20"/>
    <n v="26"/>
    <n v="1251"/>
    <n v="28310"/>
    <n v="44411"/>
    <n v="2058578"/>
    <n v="342710"/>
    <n v="621678"/>
    <n v="29861204"/>
    <n v="41051"/>
    <n v="41051"/>
    <x v="149"/>
    <n v="1"/>
    <n v="0"/>
  </r>
  <r>
    <x v="3"/>
    <n v="41"/>
    <s v="Oregon"/>
    <n v="51"/>
    <s v="Multnomah County"/>
    <n v="25"/>
    <x v="16"/>
    <n v="25"/>
    <x v="54"/>
    <n v="51"/>
    <n v="58"/>
    <n v="4428"/>
    <n v="28310"/>
    <n v="44411"/>
    <n v="2058578"/>
    <n v="342710"/>
    <n v="621678"/>
    <n v="29861204"/>
    <n v="41051"/>
    <n v="41051"/>
    <x v="55"/>
    <n v="1"/>
    <n v="0"/>
  </r>
  <r>
    <x v="3"/>
    <n v="41"/>
    <s v="Oregon"/>
    <n v="51"/>
    <s v="Multnomah County"/>
    <n v="26"/>
    <x v="17"/>
    <n v="81"/>
    <x v="142"/>
    <n v="26"/>
    <n v="41"/>
    <n v="1488"/>
    <n v="28310"/>
    <n v="44411"/>
    <n v="2058578"/>
    <n v="342710"/>
    <n v="621678"/>
    <n v="29861204"/>
    <n v="41051"/>
    <n v="41051"/>
    <x v="150"/>
    <n v="1"/>
    <n v="0"/>
  </r>
  <r>
    <x v="3"/>
    <n v="41"/>
    <s v="Oregon"/>
    <n v="51"/>
    <s v="Multnomah County"/>
    <n v="26"/>
    <x v="17"/>
    <n v="125"/>
    <x v="143"/>
    <n v="29"/>
    <n v="45"/>
    <n v="2231"/>
    <n v="28310"/>
    <n v="44411"/>
    <n v="2058578"/>
    <n v="342710"/>
    <n v="621678"/>
    <n v="29861204"/>
    <n v="41051"/>
    <n v="41051"/>
    <x v="151"/>
    <n v="1"/>
    <n v="0"/>
  </r>
  <r>
    <x v="3"/>
    <n v="41"/>
    <s v="Oregon"/>
    <n v="51"/>
    <s v="Multnomah County"/>
    <n v="26"/>
    <x v="17"/>
    <n v="161"/>
    <x v="55"/>
    <n v="24"/>
    <n v="44"/>
    <n v="1906"/>
    <n v="28310"/>
    <n v="44411"/>
    <n v="2058578"/>
    <n v="342710"/>
    <n v="621678"/>
    <n v="29861204"/>
    <n v="41051"/>
    <n v="41051"/>
    <x v="56"/>
    <n v="1"/>
    <n v="0"/>
  </r>
  <r>
    <x v="3"/>
    <n v="41"/>
    <s v="Oregon"/>
    <n v="51"/>
    <s v="Multnomah County"/>
    <n v="26"/>
    <x v="17"/>
    <n v="163"/>
    <x v="144"/>
    <n v="22"/>
    <n v="34"/>
    <n v="1442"/>
    <n v="28310"/>
    <n v="44411"/>
    <n v="2058578"/>
    <n v="342710"/>
    <n v="621678"/>
    <n v="29861204"/>
    <n v="41051"/>
    <n v="41051"/>
    <x v="152"/>
    <n v="1"/>
    <n v="0"/>
  </r>
  <r>
    <x v="3"/>
    <n v="41"/>
    <s v="Oregon"/>
    <n v="51"/>
    <s v="Multnomah County"/>
    <n v="27"/>
    <x v="18"/>
    <n v="53"/>
    <x v="56"/>
    <n v="93"/>
    <n v="143"/>
    <n v="10804"/>
    <n v="28310"/>
    <n v="44411"/>
    <n v="2058578"/>
    <n v="342710"/>
    <n v="621678"/>
    <n v="29861204"/>
    <n v="41051"/>
    <n v="41051"/>
    <x v="57"/>
    <n v="1"/>
    <n v="0"/>
  </r>
  <r>
    <x v="3"/>
    <n v="41"/>
    <s v="Oregon"/>
    <n v="51"/>
    <s v="Multnomah County"/>
    <n v="27"/>
    <x v="18"/>
    <n v="123"/>
    <x v="57"/>
    <n v="33"/>
    <n v="49"/>
    <n v="1793"/>
    <n v="28310"/>
    <n v="44411"/>
    <n v="2058578"/>
    <n v="342710"/>
    <n v="621678"/>
    <n v="29861204"/>
    <n v="41051"/>
    <n v="41051"/>
    <x v="58"/>
    <n v="1"/>
    <n v="0"/>
  </r>
  <r>
    <x v="3"/>
    <n v="41"/>
    <s v="Oregon"/>
    <n v="51"/>
    <s v="Multnomah County"/>
    <n v="29"/>
    <x v="36"/>
    <n v="95"/>
    <x v="82"/>
    <n v="30"/>
    <n v="53"/>
    <n v="1612"/>
    <n v="28310"/>
    <n v="44411"/>
    <n v="2058578"/>
    <n v="342710"/>
    <n v="621678"/>
    <n v="29861204"/>
    <n v="41051"/>
    <n v="41051"/>
    <x v="154"/>
    <n v="1"/>
    <n v="0"/>
  </r>
  <r>
    <x v="3"/>
    <n v="41"/>
    <s v="Oregon"/>
    <n v="51"/>
    <s v="Multnomah County"/>
    <n v="30"/>
    <x v="19"/>
    <n v="29"/>
    <x v="148"/>
    <n v="31"/>
    <n v="51"/>
    <n v="2080"/>
    <n v="28310"/>
    <n v="44411"/>
    <n v="2058578"/>
    <n v="342710"/>
    <n v="621678"/>
    <n v="29861204"/>
    <n v="41051"/>
    <n v="41051"/>
    <x v="157"/>
    <n v="1"/>
    <n v="0"/>
  </r>
  <r>
    <x v="3"/>
    <n v="41"/>
    <s v="Oregon"/>
    <n v="51"/>
    <s v="Multnomah County"/>
    <n v="30"/>
    <x v="19"/>
    <n v="31"/>
    <x v="58"/>
    <n v="31"/>
    <n v="40"/>
    <n v="1817"/>
    <n v="28310"/>
    <n v="44411"/>
    <n v="2058578"/>
    <n v="342710"/>
    <n v="621678"/>
    <n v="29861204"/>
    <n v="41051"/>
    <n v="41051"/>
    <x v="59"/>
    <n v="1"/>
    <n v="0"/>
  </r>
  <r>
    <x v="3"/>
    <n v="41"/>
    <s v="Oregon"/>
    <n v="51"/>
    <s v="Multnomah County"/>
    <n v="30"/>
    <x v="19"/>
    <n v="63"/>
    <x v="59"/>
    <n v="51"/>
    <n v="80"/>
    <n v="3062"/>
    <n v="28310"/>
    <n v="44411"/>
    <n v="2058578"/>
    <n v="342710"/>
    <n v="621678"/>
    <n v="29861204"/>
    <n v="41051"/>
    <n v="41051"/>
    <x v="60"/>
    <n v="1"/>
    <n v="0"/>
  </r>
  <r>
    <x v="3"/>
    <n v="41"/>
    <s v="Oregon"/>
    <n v="51"/>
    <s v="Multnomah County"/>
    <n v="31"/>
    <x v="37"/>
    <n v="55"/>
    <x v="80"/>
    <n v="26"/>
    <n v="41"/>
    <n v="1545"/>
    <n v="28310"/>
    <n v="44411"/>
    <n v="2058578"/>
    <n v="342710"/>
    <n v="621678"/>
    <n v="29861204"/>
    <n v="41051"/>
    <n v="41051"/>
    <x v="159"/>
    <n v="1"/>
    <n v="0"/>
  </r>
  <r>
    <x v="3"/>
    <n v="41"/>
    <s v="Oregon"/>
    <n v="51"/>
    <s v="Multnomah County"/>
    <n v="32"/>
    <x v="20"/>
    <n v="3"/>
    <x v="61"/>
    <n v="242"/>
    <n v="355"/>
    <n v="33608"/>
    <n v="28310"/>
    <n v="44411"/>
    <n v="2058578"/>
    <n v="342710"/>
    <n v="621678"/>
    <n v="29861204"/>
    <n v="41051"/>
    <n v="41051"/>
    <x v="62"/>
    <n v="1"/>
    <n v="0"/>
  </r>
  <r>
    <x v="3"/>
    <n v="41"/>
    <s v="Oregon"/>
    <n v="51"/>
    <s v="Multnomah County"/>
    <n v="32"/>
    <x v="20"/>
    <n v="31"/>
    <x v="62"/>
    <n v="71"/>
    <n v="99"/>
    <n v="2965"/>
    <n v="28310"/>
    <n v="44411"/>
    <n v="2058578"/>
    <n v="342710"/>
    <n v="621678"/>
    <n v="29861204"/>
    <n v="41051"/>
    <n v="41051"/>
    <x v="63"/>
    <n v="1"/>
    <n v="0"/>
  </r>
  <r>
    <x v="3"/>
    <n v="41"/>
    <s v="Oregon"/>
    <n v="51"/>
    <s v="Multnomah County"/>
    <n v="35"/>
    <x v="21"/>
    <n v="1"/>
    <x v="63"/>
    <n v="58"/>
    <n v="73"/>
    <n v="2718"/>
    <n v="28310"/>
    <n v="44411"/>
    <n v="2058578"/>
    <n v="342710"/>
    <n v="621678"/>
    <n v="29861204"/>
    <n v="41051"/>
    <n v="41051"/>
    <x v="64"/>
    <n v="1"/>
    <n v="0"/>
  </r>
  <r>
    <x v="3"/>
    <n v="41"/>
    <s v="Oregon"/>
    <n v="51"/>
    <s v="Multnomah County"/>
    <n v="35"/>
    <x v="21"/>
    <n v="49"/>
    <x v="64"/>
    <n v="32"/>
    <n v="37"/>
    <n v="1676"/>
    <n v="28310"/>
    <n v="44411"/>
    <n v="2058578"/>
    <n v="342710"/>
    <n v="621678"/>
    <n v="29861204"/>
    <n v="41051"/>
    <n v="41051"/>
    <x v="65"/>
    <n v="1"/>
    <n v="0"/>
  </r>
  <r>
    <x v="3"/>
    <n v="41"/>
    <s v="Oregon"/>
    <n v="51"/>
    <s v="Multnomah County"/>
    <n v="36"/>
    <x v="22"/>
    <n v="29"/>
    <x v="151"/>
    <n v="24"/>
    <n v="40"/>
    <n v="1526"/>
    <n v="28310"/>
    <n v="44411"/>
    <n v="2058578"/>
    <n v="342710"/>
    <n v="621678"/>
    <n v="29861204"/>
    <n v="41051"/>
    <n v="41051"/>
    <x v="161"/>
    <n v="1"/>
    <n v="0"/>
  </r>
  <r>
    <x v="3"/>
    <n v="41"/>
    <s v="Oregon"/>
    <n v="51"/>
    <s v="Multnomah County"/>
    <n v="36"/>
    <x v="22"/>
    <n v="47"/>
    <x v="65"/>
    <n v="180"/>
    <n v="207"/>
    <n v="11050"/>
    <n v="28310"/>
    <n v="44411"/>
    <n v="2058578"/>
    <n v="342710"/>
    <n v="621678"/>
    <n v="29861204"/>
    <n v="41051"/>
    <n v="41051"/>
    <x v="66"/>
    <n v="1"/>
    <n v="0"/>
  </r>
  <r>
    <x v="3"/>
    <n v="41"/>
    <s v="Oregon"/>
    <n v="51"/>
    <s v="Multnomah County"/>
    <n v="36"/>
    <x v="22"/>
    <n v="61"/>
    <x v="66"/>
    <n v="130"/>
    <n v="156"/>
    <n v="12801"/>
    <n v="28310"/>
    <n v="44411"/>
    <n v="2058578"/>
    <n v="342710"/>
    <n v="621678"/>
    <n v="29861204"/>
    <n v="41051"/>
    <n v="41051"/>
    <x v="67"/>
    <n v="1"/>
    <n v="0"/>
  </r>
  <r>
    <x v="3"/>
    <n v="41"/>
    <s v="Oregon"/>
    <n v="51"/>
    <s v="Multnomah County"/>
    <n v="36"/>
    <x v="22"/>
    <n v="81"/>
    <x v="67"/>
    <n v="38"/>
    <n v="50"/>
    <n v="2239"/>
    <n v="28310"/>
    <n v="44411"/>
    <n v="2058578"/>
    <n v="342710"/>
    <n v="621678"/>
    <n v="29861204"/>
    <n v="41051"/>
    <n v="41051"/>
    <x v="68"/>
    <n v="1"/>
    <n v="0"/>
  </r>
  <r>
    <x v="3"/>
    <n v="41"/>
    <s v="Oregon"/>
    <n v="51"/>
    <s v="Multnomah County"/>
    <n v="37"/>
    <x v="23"/>
    <n v="21"/>
    <x v="69"/>
    <n v="35"/>
    <n v="45"/>
    <n v="1808"/>
    <n v="28310"/>
    <n v="44411"/>
    <n v="2058578"/>
    <n v="342710"/>
    <n v="621678"/>
    <n v="29861204"/>
    <n v="41051"/>
    <n v="41051"/>
    <x v="70"/>
    <n v="1"/>
    <n v="0"/>
  </r>
  <r>
    <x v="3"/>
    <n v="41"/>
    <s v="Oregon"/>
    <n v="51"/>
    <s v="Multnomah County"/>
    <n v="37"/>
    <x v="23"/>
    <n v="63"/>
    <x v="154"/>
    <n v="27"/>
    <n v="36"/>
    <n v="3192"/>
    <n v="28310"/>
    <n v="44411"/>
    <n v="2058578"/>
    <n v="342710"/>
    <n v="621678"/>
    <n v="29861204"/>
    <n v="41051"/>
    <n v="41051"/>
    <x v="164"/>
    <n v="1"/>
    <n v="0"/>
  </r>
  <r>
    <x v="3"/>
    <n v="41"/>
    <s v="Oregon"/>
    <n v="51"/>
    <s v="Multnomah County"/>
    <n v="37"/>
    <x v="23"/>
    <n v="119"/>
    <x v="70"/>
    <n v="45"/>
    <n v="74"/>
    <n v="2839"/>
    <n v="28310"/>
    <n v="44411"/>
    <n v="2058578"/>
    <n v="342710"/>
    <n v="621678"/>
    <n v="29861204"/>
    <n v="41051"/>
    <n v="41051"/>
    <x v="71"/>
    <n v="1"/>
    <n v="0"/>
  </r>
  <r>
    <x v="3"/>
    <n v="41"/>
    <s v="Oregon"/>
    <n v="51"/>
    <s v="Multnomah County"/>
    <n v="37"/>
    <x v="23"/>
    <n v="183"/>
    <x v="155"/>
    <n v="31"/>
    <n v="50"/>
    <n v="3462"/>
    <n v="28310"/>
    <n v="44411"/>
    <n v="2058578"/>
    <n v="342710"/>
    <n v="621678"/>
    <n v="29861204"/>
    <n v="41051"/>
    <n v="41051"/>
    <x v="166"/>
    <n v="1"/>
    <n v="0"/>
  </r>
  <r>
    <x v="3"/>
    <n v="41"/>
    <s v="Oregon"/>
    <n v="51"/>
    <s v="Multnomah County"/>
    <n v="39"/>
    <x v="24"/>
    <n v="35"/>
    <x v="156"/>
    <n v="35"/>
    <n v="43"/>
    <n v="1581"/>
    <n v="28310"/>
    <n v="44411"/>
    <n v="2058578"/>
    <n v="342710"/>
    <n v="621678"/>
    <n v="29861204"/>
    <n v="41051"/>
    <n v="41051"/>
    <x v="167"/>
    <n v="1"/>
    <n v="0"/>
  </r>
  <r>
    <x v="3"/>
    <n v="41"/>
    <s v="Oregon"/>
    <n v="51"/>
    <s v="Multnomah County"/>
    <n v="39"/>
    <x v="24"/>
    <n v="49"/>
    <x v="71"/>
    <n v="37"/>
    <n v="67"/>
    <n v="1696"/>
    <n v="28310"/>
    <n v="44411"/>
    <n v="2058578"/>
    <n v="342710"/>
    <n v="621678"/>
    <n v="29861204"/>
    <n v="41051"/>
    <n v="41051"/>
    <x v="72"/>
    <n v="1"/>
    <n v="0"/>
  </r>
  <r>
    <x v="3"/>
    <n v="41"/>
    <s v="Oregon"/>
    <n v="51"/>
    <s v="Multnomah County"/>
    <n v="41"/>
    <x v="25"/>
    <n v="3"/>
    <x v="73"/>
    <n v="169"/>
    <n v="224"/>
    <n v="10017"/>
    <n v="28310"/>
    <n v="44411"/>
    <n v="2058578"/>
    <n v="342710"/>
    <n v="621678"/>
    <n v="29861204"/>
    <n v="41051"/>
    <n v="41051"/>
    <x v="74"/>
    <n v="1"/>
    <n v="0"/>
  </r>
  <r>
    <x v="3"/>
    <n v="41"/>
    <s v="Oregon"/>
    <n v="51"/>
    <s v="Multnomah County"/>
    <n v="41"/>
    <x v="25"/>
    <n v="5"/>
    <x v="74"/>
    <n v="5111"/>
    <n v="8956"/>
    <n v="375923"/>
    <n v="28310"/>
    <n v="44411"/>
    <n v="2058578"/>
    <n v="342710"/>
    <n v="621678"/>
    <n v="29861204"/>
    <n v="41051"/>
    <n v="41051"/>
    <x v="75"/>
    <n v="1"/>
    <n v="0"/>
  </r>
  <r>
    <x v="3"/>
    <n v="41"/>
    <s v="Oregon"/>
    <n v="51"/>
    <s v="Multnomah County"/>
    <n v="41"/>
    <x v="25"/>
    <n v="7"/>
    <x v="75"/>
    <n v="161"/>
    <n v="239"/>
    <n v="21468"/>
    <n v="28310"/>
    <n v="44411"/>
    <n v="2058578"/>
    <n v="342710"/>
    <n v="621678"/>
    <n v="29861204"/>
    <n v="41051"/>
    <n v="41051"/>
    <x v="76"/>
    <n v="1"/>
    <n v="0"/>
  </r>
  <r>
    <x v="3"/>
    <n v="41"/>
    <s v="Oregon"/>
    <n v="51"/>
    <s v="Multnomah County"/>
    <n v="41"/>
    <x v="25"/>
    <n v="9"/>
    <x v="76"/>
    <n v="315"/>
    <n v="550"/>
    <n v="20298"/>
    <n v="28310"/>
    <n v="44411"/>
    <n v="2058578"/>
    <n v="342710"/>
    <n v="621678"/>
    <n v="29861204"/>
    <n v="41051"/>
    <n v="41051"/>
    <x v="77"/>
    <n v="1"/>
    <n v="0"/>
  </r>
  <r>
    <x v="3"/>
    <n v="41"/>
    <s v="Oregon"/>
    <n v="51"/>
    <s v="Multnomah County"/>
    <n v="41"/>
    <x v="25"/>
    <n v="11"/>
    <x v="77"/>
    <n v="55"/>
    <n v="74"/>
    <n v="2160"/>
    <n v="28310"/>
    <n v="44411"/>
    <n v="2058578"/>
    <n v="342710"/>
    <n v="621678"/>
    <n v="29861204"/>
    <n v="41051"/>
    <n v="41051"/>
    <x v="78"/>
    <n v="1"/>
    <n v="0"/>
  </r>
  <r>
    <x v="3"/>
    <n v="41"/>
    <s v="Oregon"/>
    <n v="51"/>
    <s v="Multnomah County"/>
    <n v="41"/>
    <x v="25"/>
    <n v="13"/>
    <x v="78"/>
    <n v="42"/>
    <n v="64"/>
    <n v="3246"/>
    <n v="28310"/>
    <n v="44411"/>
    <n v="2058578"/>
    <n v="342710"/>
    <n v="621678"/>
    <n v="29861204"/>
    <n v="41051"/>
    <n v="41051"/>
    <x v="79"/>
    <n v="1"/>
    <n v="0"/>
  </r>
  <r>
    <x v="3"/>
    <n v="41"/>
    <s v="Oregon"/>
    <n v="51"/>
    <s v="Multnomah County"/>
    <n v="41"/>
    <x v="25"/>
    <n v="17"/>
    <x v="79"/>
    <n v="487"/>
    <n v="738"/>
    <n v="53218"/>
    <n v="28310"/>
    <n v="44411"/>
    <n v="2058578"/>
    <n v="342710"/>
    <n v="621678"/>
    <n v="29861204"/>
    <n v="41051"/>
    <n v="41051"/>
    <x v="80"/>
    <n v="1"/>
    <n v="0"/>
  </r>
  <r>
    <x v="3"/>
    <n v="41"/>
    <s v="Oregon"/>
    <n v="51"/>
    <s v="Multnomah County"/>
    <n v="41"/>
    <x v="25"/>
    <n v="19"/>
    <x v="80"/>
    <n v="56"/>
    <n v="80"/>
    <n v="2407"/>
    <n v="28310"/>
    <n v="44411"/>
    <n v="2058578"/>
    <n v="342710"/>
    <n v="621678"/>
    <n v="29861204"/>
    <n v="41051"/>
    <n v="41051"/>
    <x v="81"/>
    <n v="1"/>
    <n v="0"/>
  </r>
  <r>
    <x v="3"/>
    <n v="41"/>
    <s v="Oregon"/>
    <n v="51"/>
    <s v="Multnomah County"/>
    <n v="41"/>
    <x v="25"/>
    <n v="27"/>
    <x v="81"/>
    <n v="111"/>
    <n v="194"/>
    <n v="11299"/>
    <n v="28310"/>
    <n v="44411"/>
    <n v="2058578"/>
    <n v="342710"/>
    <n v="621678"/>
    <n v="29861204"/>
    <n v="41051"/>
    <n v="41051"/>
    <x v="82"/>
    <n v="1"/>
    <n v="0"/>
  </r>
  <r>
    <x v="3"/>
    <n v="41"/>
    <s v="Oregon"/>
    <n v="51"/>
    <s v="Multnomah County"/>
    <n v="41"/>
    <x v="25"/>
    <n v="29"/>
    <x v="82"/>
    <n v="174"/>
    <n v="265"/>
    <n v="8686"/>
    <n v="28310"/>
    <n v="44411"/>
    <n v="2058578"/>
    <n v="342710"/>
    <n v="621678"/>
    <n v="29861204"/>
    <n v="41051"/>
    <n v="41051"/>
    <x v="83"/>
    <n v="1"/>
    <n v="0"/>
  </r>
  <r>
    <x v="3"/>
    <n v="41"/>
    <s v="Oregon"/>
    <n v="51"/>
    <s v="Multnomah County"/>
    <n v="41"/>
    <x v="25"/>
    <n v="31"/>
    <x v="31"/>
    <n v="39"/>
    <n v="62"/>
    <n v="4606"/>
    <n v="28310"/>
    <n v="44411"/>
    <n v="2058578"/>
    <n v="342710"/>
    <n v="621678"/>
    <n v="29861204"/>
    <n v="41051"/>
    <n v="41051"/>
    <x v="84"/>
    <n v="1"/>
    <n v="0"/>
  </r>
  <r>
    <x v="3"/>
    <n v="41"/>
    <s v="Oregon"/>
    <n v="51"/>
    <s v="Multnomah County"/>
    <n v="41"/>
    <x v="25"/>
    <n v="33"/>
    <x v="83"/>
    <n v="38"/>
    <n v="67"/>
    <n v="2423"/>
    <n v="28310"/>
    <n v="44411"/>
    <n v="2058578"/>
    <n v="342710"/>
    <n v="621678"/>
    <n v="29861204"/>
    <n v="41051"/>
    <n v="41051"/>
    <x v="85"/>
    <n v="1"/>
    <n v="0"/>
  </r>
  <r>
    <x v="3"/>
    <n v="41"/>
    <s v="Oregon"/>
    <n v="51"/>
    <s v="Multnomah County"/>
    <n v="41"/>
    <x v="25"/>
    <n v="35"/>
    <x v="84"/>
    <n v="39"/>
    <n v="65"/>
    <n v="1837"/>
    <n v="28310"/>
    <n v="44411"/>
    <n v="2058578"/>
    <n v="342710"/>
    <n v="621678"/>
    <n v="29861204"/>
    <n v="41051"/>
    <n v="41051"/>
    <x v="86"/>
    <n v="1"/>
    <n v="0"/>
  </r>
  <r>
    <x v="3"/>
    <n v="41"/>
    <s v="Oregon"/>
    <n v="51"/>
    <s v="Multnomah County"/>
    <n v="41"/>
    <x v="25"/>
    <n v="39"/>
    <x v="85"/>
    <n v="413"/>
    <n v="563"/>
    <n v="18722"/>
    <n v="28310"/>
    <n v="44411"/>
    <n v="2058578"/>
    <n v="342710"/>
    <n v="621678"/>
    <n v="29861204"/>
    <n v="41051"/>
    <n v="41051"/>
    <x v="87"/>
    <n v="1"/>
    <n v="0"/>
  </r>
  <r>
    <x v="3"/>
    <n v="41"/>
    <s v="Oregon"/>
    <n v="51"/>
    <s v="Multnomah County"/>
    <n v="41"/>
    <x v="25"/>
    <n v="41"/>
    <x v="86"/>
    <n v="106"/>
    <n v="158"/>
    <n v="5722"/>
    <n v="28310"/>
    <n v="44411"/>
    <n v="2058578"/>
    <n v="342710"/>
    <n v="621678"/>
    <n v="29861204"/>
    <n v="41051"/>
    <n v="41051"/>
    <x v="88"/>
    <n v="1"/>
    <n v="0"/>
  </r>
  <r>
    <x v="3"/>
    <n v="41"/>
    <s v="Oregon"/>
    <n v="51"/>
    <s v="Multnomah County"/>
    <n v="41"/>
    <x v="25"/>
    <n v="43"/>
    <x v="87"/>
    <n v="97"/>
    <n v="139"/>
    <n v="4131"/>
    <n v="28310"/>
    <n v="44411"/>
    <n v="2058578"/>
    <n v="342710"/>
    <n v="621678"/>
    <n v="29861204"/>
    <n v="41051"/>
    <n v="41051"/>
    <x v="89"/>
    <n v="1"/>
    <n v="0"/>
  </r>
  <r>
    <x v="3"/>
    <n v="41"/>
    <s v="Oregon"/>
    <n v="51"/>
    <s v="Multnomah County"/>
    <n v="41"/>
    <x v="25"/>
    <n v="47"/>
    <x v="48"/>
    <n v="527"/>
    <n v="881"/>
    <n v="24045"/>
    <n v="28310"/>
    <n v="44411"/>
    <n v="2058578"/>
    <n v="342710"/>
    <n v="621678"/>
    <n v="29861204"/>
    <n v="41051"/>
    <n v="41051"/>
    <x v="90"/>
    <n v="1"/>
    <n v="0"/>
  </r>
  <r>
    <x v="3"/>
    <n v="41"/>
    <s v="Oregon"/>
    <n v="51"/>
    <s v="Multnomah County"/>
    <n v="41"/>
    <x v="25"/>
    <n v="53"/>
    <x v="49"/>
    <n v="92"/>
    <n v="150"/>
    <n v="4198"/>
    <n v="28310"/>
    <n v="44411"/>
    <n v="2058578"/>
    <n v="342710"/>
    <n v="621678"/>
    <n v="29861204"/>
    <n v="41051"/>
    <n v="41051"/>
    <x v="91"/>
    <n v="1"/>
    <n v="0"/>
  </r>
  <r>
    <x v="3"/>
    <n v="41"/>
    <s v="Oregon"/>
    <n v="51"/>
    <s v="Multnomah County"/>
    <n v="41"/>
    <x v="25"/>
    <n v="57"/>
    <x v="88"/>
    <n v="101"/>
    <n v="158"/>
    <n v="8521"/>
    <n v="28310"/>
    <n v="44411"/>
    <n v="2058578"/>
    <n v="342710"/>
    <n v="621678"/>
    <n v="29861204"/>
    <n v="41051"/>
    <n v="41051"/>
    <x v="92"/>
    <n v="1"/>
    <n v="0"/>
  </r>
  <r>
    <x v="3"/>
    <n v="41"/>
    <s v="Oregon"/>
    <n v="51"/>
    <s v="Multnomah County"/>
    <n v="41"/>
    <x v="25"/>
    <n v="59"/>
    <x v="89"/>
    <n v="41"/>
    <n v="63"/>
    <n v="2259"/>
    <n v="28310"/>
    <n v="44411"/>
    <n v="2058578"/>
    <n v="342710"/>
    <n v="621678"/>
    <n v="29861204"/>
    <n v="41051"/>
    <n v="41051"/>
    <x v="93"/>
    <n v="1"/>
    <n v="0"/>
  </r>
  <r>
    <x v="3"/>
    <n v="41"/>
    <s v="Oregon"/>
    <n v="51"/>
    <s v="Multnomah County"/>
    <n v="41"/>
    <x v="25"/>
    <n v="61"/>
    <x v="90"/>
    <n v="20"/>
    <n v="28"/>
    <n v="556"/>
    <n v="28310"/>
    <n v="44411"/>
    <n v="2058578"/>
    <n v="342710"/>
    <n v="621678"/>
    <n v="29861204"/>
    <n v="41051"/>
    <n v="41051"/>
    <x v="94"/>
    <n v="1"/>
    <n v="0"/>
  </r>
  <r>
    <x v="3"/>
    <n v="41"/>
    <s v="Oregon"/>
    <n v="51"/>
    <s v="Multnomah County"/>
    <n v="41"/>
    <x v="25"/>
    <n v="65"/>
    <x v="91"/>
    <n v="92"/>
    <n v="129"/>
    <n v="4830"/>
    <n v="28310"/>
    <n v="44411"/>
    <n v="2058578"/>
    <n v="342710"/>
    <n v="621678"/>
    <n v="29861204"/>
    <n v="41051"/>
    <n v="41051"/>
    <x v="95"/>
    <n v="1"/>
    <n v="0"/>
  </r>
  <r>
    <x v="3"/>
    <n v="41"/>
    <s v="Oregon"/>
    <n v="51"/>
    <s v="Multnomah County"/>
    <n v="41"/>
    <x v="25"/>
    <n v="67"/>
    <x v="92"/>
    <n v="4639"/>
    <n v="7018"/>
    <n v="342959"/>
    <n v="28310"/>
    <n v="44411"/>
    <n v="2058578"/>
    <n v="342710"/>
    <n v="621678"/>
    <n v="29861204"/>
    <n v="41051"/>
    <n v="41051"/>
    <x v="96"/>
    <n v="1"/>
    <n v="0"/>
  </r>
  <r>
    <x v="3"/>
    <n v="41"/>
    <s v="Oregon"/>
    <n v="51"/>
    <s v="Multnomah County"/>
    <n v="41"/>
    <x v="25"/>
    <n v="71"/>
    <x v="93"/>
    <n v="196"/>
    <n v="295"/>
    <n v="13284"/>
    <n v="28310"/>
    <n v="44411"/>
    <n v="2058578"/>
    <n v="342710"/>
    <n v="621678"/>
    <n v="29861204"/>
    <n v="41051"/>
    <n v="41051"/>
    <x v="97"/>
    <n v="1"/>
    <n v="0"/>
  </r>
  <r>
    <x v="3"/>
    <n v="41"/>
    <s v="Oregon"/>
    <n v="51"/>
    <s v="Multnomah County"/>
    <n v="42"/>
    <x v="26"/>
    <n v="3"/>
    <x v="94"/>
    <n v="56"/>
    <n v="77"/>
    <n v="4314"/>
    <n v="28310"/>
    <n v="44411"/>
    <n v="2058578"/>
    <n v="342710"/>
    <n v="621678"/>
    <n v="29861204"/>
    <n v="41051"/>
    <n v="41051"/>
    <x v="98"/>
    <n v="1"/>
    <n v="0"/>
  </r>
  <r>
    <x v="3"/>
    <n v="41"/>
    <s v="Oregon"/>
    <n v="51"/>
    <s v="Multnomah County"/>
    <n v="42"/>
    <x v="26"/>
    <n v="101"/>
    <x v="95"/>
    <n v="85"/>
    <n v="103"/>
    <n v="4623"/>
    <n v="28310"/>
    <n v="44411"/>
    <n v="2058578"/>
    <n v="342710"/>
    <n v="621678"/>
    <n v="29861204"/>
    <n v="41051"/>
    <n v="41051"/>
    <x v="99"/>
    <n v="1"/>
    <n v="0"/>
  </r>
  <r>
    <x v="3"/>
    <n v="41"/>
    <s v="Oregon"/>
    <n v="51"/>
    <s v="Multnomah County"/>
    <n v="47"/>
    <x v="27"/>
    <n v="37"/>
    <x v="96"/>
    <n v="47"/>
    <n v="66"/>
    <n v="3239"/>
    <n v="28310"/>
    <n v="44411"/>
    <n v="2058578"/>
    <n v="342710"/>
    <n v="621678"/>
    <n v="29861204"/>
    <n v="41051"/>
    <n v="41051"/>
    <x v="100"/>
    <n v="1"/>
    <n v="0"/>
  </r>
  <r>
    <x v="3"/>
    <n v="41"/>
    <s v="Oregon"/>
    <n v="51"/>
    <s v="Multnomah County"/>
    <n v="47"/>
    <x v="27"/>
    <n v="157"/>
    <x v="164"/>
    <n v="23"/>
    <n v="42"/>
    <n v="1993"/>
    <n v="28310"/>
    <n v="44411"/>
    <n v="2058578"/>
    <n v="342710"/>
    <n v="621678"/>
    <n v="29861204"/>
    <n v="41051"/>
    <n v="41051"/>
    <x v="175"/>
    <n v="1"/>
    <n v="0"/>
  </r>
  <r>
    <x v="3"/>
    <n v="41"/>
    <s v="Oregon"/>
    <n v="51"/>
    <s v="Multnomah County"/>
    <n v="48"/>
    <x v="28"/>
    <n v="29"/>
    <x v="98"/>
    <n v="38"/>
    <n v="55"/>
    <n v="3120"/>
    <n v="28310"/>
    <n v="44411"/>
    <n v="2058578"/>
    <n v="342710"/>
    <n v="621678"/>
    <n v="29861204"/>
    <n v="41051"/>
    <n v="41051"/>
    <x v="102"/>
    <n v="1"/>
    <n v="0"/>
  </r>
  <r>
    <x v="3"/>
    <n v="41"/>
    <s v="Oregon"/>
    <n v="51"/>
    <s v="Multnomah County"/>
    <n v="48"/>
    <x v="28"/>
    <n v="113"/>
    <x v="99"/>
    <n v="58"/>
    <n v="77"/>
    <n v="4932"/>
    <n v="28310"/>
    <n v="44411"/>
    <n v="2058578"/>
    <n v="342710"/>
    <n v="621678"/>
    <n v="29861204"/>
    <n v="41051"/>
    <n v="41051"/>
    <x v="103"/>
    <n v="1"/>
    <n v="0"/>
  </r>
  <r>
    <x v="3"/>
    <n v="41"/>
    <s v="Oregon"/>
    <n v="51"/>
    <s v="Multnomah County"/>
    <n v="48"/>
    <x v="28"/>
    <n v="201"/>
    <x v="100"/>
    <n v="78"/>
    <n v="130"/>
    <n v="4429"/>
    <n v="28310"/>
    <n v="44411"/>
    <n v="2058578"/>
    <n v="342710"/>
    <n v="621678"/>
    <n v="29861204"/>
    <n v="41051"/>
    <n v="41051"/>
    <x v="104"/>
    <n v="1"/>
    <n v="0"/>
  </r>
  <r>
    <x v="3"/>
    <n v="41"/>
    <s v="Oregon"/>
    <n v="51"/>
    <s v="Multnomah County"/>
    <n v="48"/>
    <x v="28"/>
    <n v="439"/>
    <x v="101"/>
    <n v="45"/>
    <n v="83"/>
    <n v="2272"/>
    <n v="28310"/>
    <n v="44411"/>
    <n v="2058578"/>
    <n v="342710"/>
    <n v="621678"/>
    <n v="29861204"/>
    <n v="41051"/>
    <n v="41051"/>
    <x v="105"/>
    <n v="1"/>
    <n v="0"/>
  </r>
  <r>
    <x v="3"/>
    <n v="41"/>
    <s v="Oregon"/>
    <n v="51"/>
    <s v="Multnomah County"/>
    <n v="48"/>
    <x v="28"/>
    <n v="453"/>
    <x v="102"/>
    <n v="137"/>
    <n v="207"/>
    <n v="10562"/>
    <n v="28310"/>
    <n v="44411"/>
    <n v="2058578"/>
    <n v="342710"/>
    <n v="621678"/>
    <n v="29861204"/>
    <n v="41051"/>
    <n v="41051"/>
    <x v="106"/>
    <n v="1"/>
    <n v="0"/>
  </r>
  <r>
    <x v="3"/>
    <n v="41"/>
    <s v="Oregon"/>
    <n v="51"/>
    <s v="Multnomah County"/>
    <n v="48"/>
    <x v="28"/>
    <n v="491"/>
    <x v="166"/>
    <n v="24"/>
    <n v="42"/>
    <n v="1318"/>
    <n v="28310"/>
    <n v="44411"/>
    <n v="2058578"/>
    <n v="342710"/>
    <n v="621678"/>
    <n v="29861204"/>
    <n v="41051"/>
    <n v="41051"/>
    <x v="177"/>
    <n v="1"/>
    <n v="0"/>
  </r>
  <r>
    <x v="3"/>
    <n v="41"/>
    <s v="Oregon"/>
    <n v="51"/>
    <s v="Multnomah County"/>
    <n v="49"/>
    <x v="29"/>
    <n v="35"/>
    <x v="103"/>
    <n v="100"/>
    <n v="141"/>
    <n v="5877"/>
    <n v="28310"/>
    <n v="44411"/>
    <n v="2058578"/>
    <n v="342710"/>
    <n v="621678"/>
    <n v="29861204"/>
    <n v="41051"/>
    <n v="41051"/>
    <x v="107"/>
    <n v="1"/>
    <n v="0"/>
  </r>
  <r>
    <x v="3"/>
    <n v="41"/>
    <s v="Oregon"/>
    <n v="51"/>
    <s v="Multnomah County"/>
    <n v="49"/>
    <x v="29"/>
    <n v="49"/>
    <x v="168"/>
    <n v="22"/>
    <n v="43"/>
    <n v="1414"/>
    <n v="28310"/>
    <n v="44411"/>
    <n v="2058578"/>
    <n v="342710"/>
    <n v="621678"/>
    <n v="29861204"/>
    <n v="41051"/>
    <n v="41051"/>
    <x v="179"/>
    <n v="1"/>
    <n v="0"/>
  </r>
  <r>
    <x v="3"/>
    <n v="41"/>
    <s v="Oregon"/>
    <n v="51"/>
    <s v="Multnomah County"/>
    <n v="50"/>
    <x v="30"/>
    <n v="7"/>
    <x v="104"/>
    <n v="22"/>
    <n v="35"/>
    <n v="1395"/>
    <n v="28310"/>
    <n v="44411"/>
    <n v="2058578"/>
    <n v="342710"/>
    <n v="621678"/>
    <n v="29861204"/>
    <n v="41051"/>
    <n v="41051"/>
    <x v="108"/>
    <n v="1"/>
    <n v="0"/>
  </r>
  <r>
    <x v="3"/>
    <n v="41"/>
    <s v="Oregon"/>
    <n v="51"/>
    <s v="Multnomah County"/>
    <n v="51"/>
    <x v="31"/>
    <n v="760"/>
    <x v="176"/>
    <n v="21"/>
    <n v="29"/>
    <n v="958"/>
    <n v="28310"/>
    <n v="44411"/>
    <n v="2058578"/>
    <n v="342710"/>
    <n v="621678"/>
    <n v="29861204"/>
    <n v="41051"/>
    <n v="41051"/>
    <x v="188"/>
    <n v="1"/>
    <n v="0"/>
  </r>
  <r>
    <x v="3"/>
    <n v="41"/>
    <s v="Oregon"/>
    <n v="51"/>
    <s v="Multnomah County"/>
    <n v="53"/>
    <x v="32"/>
    <n v="5"/>
    <x v="73"/>
    <n v="47"/>
    <n v="70"/>
    <n v="2380"/>
    <n v="28310"/>
    <n v="44411"/>
    <n v="2058578"/>
    <n v="342710"/>
    <n v="621678"/>
    <n v="29861204"/>
    <n v="41051"/>
    <n v="41051"/>
    <x v="110"/>
    <n v="1"/>
    <n v="0"/>
  </r>
  <r>
    <x v="3"/>
    <n v="41"/>
    <s v="Oregon"/>
    <n v="51"/>
    <s v="Multnomah County"/>
    <n v="53"/>
    <x v="32"/>
    <n v="11"/>
    <x v="61"/>
    <n v="2712"/>
    <n v="4782"/>
    <n v="183091"/>
    <n v="28310"/>
    <n v="44411"/>
    <n v="2058578"/>
    <n v="342710"/>
    <n v="621678"/>
    <n v="29861204"/>
    <n v="41051"/>
    <n v="41051"/>
    <x v="111"/>
    <n v="1"/>
    <n v="0"/>
  </r>
  <r>
    <x v="3"/>
    <n v="41"/>
    <s v="Oregon"/>
    <n v="51"/>
    <s v="Multnomah County"/>
    <n v="53"/>
    <x v="32"/>
    <n v="15"/>
    <x v="106"/>
    <n v="181"/>
    <n v="337"/>
    <n v="9628"/>
    <n v="28310"/>
    <n v="44411"/>
    <n v="2058578"/>
    <n v="342710"/>
    <n v="621678"/>
    <n v="29861204"/>
    <n v="41051"/>
    <n v="41051"/>
    <x v="112"/>
    <n v="1"/>
    <n v="0"/>
  </r>
  <r>
    <x v="3"/>
    <n v="41"/>
    <s v="Oregon"/>
    <n v="51"/>
    <s v="Multnomah County"/>
    <n v="53"/>
    <x v="32"/>
    <n v="29"/>
    <x v="108"/>
    <n v="25"/>
    <n v="39"/>
    <n v="980"/>
    <n v="28310"/>
    <n v="44411"/>
    <n v="2058578"/>
    <n v="342710"/>
    <n v="621678"/>
    <n v="29861204"/>
    <n v="41051"/>
    <n v="41051"/>
    <x v="114"/>
    <n v="1"/>
    <n v="0"/>
  </r>
  <r>
    <x v="3"/>
    <n v="41"/>
    <s v="Oregon"/>
    <n v="51"/>
    <s v="Multnomah County"/>
    <n v="53"/>
    <x v="32"/>
    <n v="31"/>
    <x v="31"/>
    <n v="27"/>
    <n v="47"/>
    <n v="2364"/>
    <n v="28310"/>
    <n v="44411"/>
    <n v="2058578"/>
    <n v="342710"/>
    <n v="621678"/>
    <n v="29861204"/>
    <n v="41051"/>
    <n v="41051"/>
    <x v="115"/>
    <n v="1"/>
    <n v="0"/>
  </r>
  <r>
    <x v="3"/>
    <n v="41"/>
    <s v="Oregon"/>
    <n v="51"/>
    <s v="Multnomah County"/>
    <n v="53"/>
    <x v="32"/>
    <n v="33"/>
    <x v="109"/>
    <n v="895"/>
    <n v="1212"/>
    <n v="73644"/>
    <n v="28310"/>
    <n v="44411"/>
    <n v="2058578"/>
    <n v="342710"/>
    <n v="621678"/>
    <n v="29861204"/>
    <n v="41051"/>
    <n v="41051"/>
    <x v="116"/>
    <n v="1"/>
    <n v="0"/>
  </r>
  <r>
    <x v="3"/>
    <n v="41"/>
    <s v="Oregon"/>
    <n v="51"/>
    <s v="Multnomah County"/>
    <n v="53"/>
    <x v="32"/>
    <n v="35"/>
    <x v="110"/>
    <n v="63"/>
    <n v="100"/>
    <n v="7600"/>
    <n v="28310"/>
    <n v="44411"/>
    <n v="2058578"/>
    <n v="342710"/>
    <n v="621678"/>
    <n v="29861204"/>
    <n v="41051"/>
    <n v="41051"/>
    <x v="117"/>
    <n v="1"/>
    <n v="0"/>
  </r>
  <r>
    <x v="3"/>
    <n v="41"/>
    <s v="Oregon"/>
    <n v="51"/>
    <s v="Multnomah County"/>
    <n v="53"/>
    <x v="32"/>
    <n v="39"/>
    <x v="111"/>
    <n v="66"/>
    <n v="97"/>
    <n v="8889"/>
    <n v="28310"/>
    <n v="44411"/>
    <n v="2058578"/>
    <n v="342710"/>
    <n v="621678"/>
    <n v="29861204"/>
    <n v="41051"/>
    <n v="41051"/>
    <x v="118"/>
    <n v="1"/>
    <n v="0"/>
  </r>
  <r>
    <x v="3"/>
    <n v="41"/>
    <s v="Oregon"/>
    <n v="51"/>
    <s v="Multnomah County"/>
    <n v="53"/>
    <x v="32"/>
    <n v="41"/>
    <x v="112"/>
    <n v="25"/>
    <n v="56"/>
    <n v="1259"/>
    <n v="28310"/>
    <n v="44411"/>
    <n v="2058578"/>
    <n v="342710"/>
    <n v="621678"/>
    <n v="29861204"/>
    <n v="41051"/>
    <n v="41051"/>
    <x v="119"/>
    <n v="1"/>
    <n v="0"/>
  </r>
  <r>
    <x v="3"/>
    <n v="41"/>
    <s v="Oregon"/>
    <n v="51"/>
    <s v="Multnomah County"/>
    <n v="53"/>
    <x v="32"/>
    <n v="49"/>
    <x v="113"/>
    <n v="38"/>
    <n v="60"/>
    <n v="4372"/>
    <n v="28310"/>
    <n v="44411"/>
    <n v="2058578"/>
    <n v="342710"/>
    <n v="621678"/>
    <n v="29861204"/>
    <n v="41051"/>
    <n v="41051"/>
    <x v="120"/>
    <n v="1"/>
    <n v="0"/>
  </r>
  <r>
    <x v="3"/>
    <n v="41"/>
    <s v="Oregon"/>
    <n v="51"/>
    <s v="Multnomah County"/>
    <n v="53"/>
    <x v="32"/>
    <n v="53"/>
    <x v="114"/>
    <n v="161"/>
    <n v="252"/>
    <n v="11074"/>
    <n v="28310"/>
    <n v="44411"/>
    <n v="2058578"/>
    <n v="342710"/>
    <n v="621678"/>
    <n v="29861204"/>
    <n v="41051"/>
    <n v="41051"/>
    <x v="121"/>
    <n v="1"/>
    <n v="0"/>
  </r>
  <r>
    <x v="3"/>
    <n v="41"/>
    <s v="Oregon"/>
    <n v="51"/>
    <s v="Multnomah County"/>
    <n v="53"/>
    <x v="32"/>
    <n v="57"/>
    <x v="172"/>
    <n v="24"/>
    <n v="30"/>
    <n v="1936"/>
    <n v="28310"/>
    <n v="44411"/>
    <n v="2058578"/>
    <n v="342710"/>
    <n v="621678"/>
    <n v="29861204"/>
    <n v="41051"/>
    <n v="41051"/>
    <x v="184"/>
    <n v="1"/>
    <n v="0"/>
  </r>
  <r>
    <x v="3"/>
    <n v="41"/>
    <s v="Oregon"/>
    <n v="51"/>
    <s v="Multnomah County"/>
    <n v="53"/>
    <x v="32"/>
    <n v="59"/>
    <x v="115"/>
    <n v="43"/>
    <n v="81"/>
    <n v="4411"/>
    <n v="28310"/>
    <n v="44411"/>
    <n v="2058578"/>
    <n v="342710"/>
    <n v="621678"/>
    <n v="29861204"/>
    <n v="41051"/>
    <n v="41051"/>
    <x v="122"/>
    <n v="1"/>
    <n v="0"/>
  </r>
  <r>
    <x v="3"/>
    <n v="41"/>
    <s v="Oregon"/>
    <n v="51"/>
    <s v="Multnomah County"/>
    <n v="53"/>
    <x v="32"/>
    <n v="61"/>
    <x v="116"/>
    <n v="129"/>
    <n v="179"/>
    <n v="7516"/>
    <n v="28310"/>
    <n v="44411"/>
    <n v="2058578"/>
    <n v="342710"/>
    <n v="621678"/>
    <n v="29861204"/>
    <n v="41051"/>
    <n v="41051"/>
    <x v="123"/>
    <n v="1"/>
    <n v="0"/>
  </r>
  <r>
    <x v="3"/>
    <n v="41"/>
    <s v="Oregon"/>
    <n v="51"/>
    <s v="Multnomah County"/>
    <n v="53"/>
    <x v="32"/>
    <n v="63"/>
    <x v="117"/>
    <n v="152"/>
    <n v="227"/>
    <n v="8182"/>
    <n v="28310"/>
    <n v="44411"/>
    <n v="2058578"/>
    <n v="342710"/>
    <n v="621678"/>
    <n v="29861204"/>
    <n v="41051"/>
    <n v="41051"/>
    <x v="124"/>
    <n v="1"/>
    <n v="0"/>
  </r>
  <r>
    <x v="3"/>
    <n v="41"/>
    <s v="Oregon"/>
    <n v="51"/>
    <s v="Multnomah County"/>
    <n v="53"/>
    <x v="32"/>
    <n v="67"/>
    <x v="118"/>
    <n v="93"/>
    <n v="145"/>
    <n v="5734"/>
    <n v="28310"/>
    <n v="44411"/>
    <n v="2058578"/>
    <n v="342710"/>
    <n v="621678"/>
    <n v="29861204"/>
    <n v="41051"/>
    <n v="41051"/>
    <x v="125"/>
    <n v="1"/>
    <n v="0"/>
  </r>
  <r>
    <x v="3"/>
    <n v="41"/>
    <s v="Oregon"/>
    <n v="51"/>
    <s v="Multnomah County"/>
    <n v="53"/>
    <x v="32"/>
    <n v="71"/>
    <x v="119"/>
    <n v="23"/>
    <n v="36"/>
    <n v="1119"/>
    <n v="28310"/>
    <n v="44411"/>
    <n v="2058578"/>
    <n v="342710"/>
    <n v="621678"/>
    <n v="29861204"/>
    <n v="41051"/>
    <n v="41051"/>
    <x v="126"/>
    <n v="1"/>
    <n v="0"/>
  </r>
  <r>
    <x v="3"/>
    <n v="41"/>
    <s v="Oregon"/>
    <n v="51"/>
    <s v="Multnomah County"/>
    <n v="53"/>
    <x v="32"/>
    <n v="73"/>
    <x v="120"/>
    <n v="65"/>
    <n v="99"/>
    <n v="4211"/>
    <n v="28310"/>
    <n v="44411"/>
    <n v="2058578"/>
    <n v="342710"/>
    <n v="621678"/>
    <n v="29861204"/>
    <n v="41051"/>
    <n v="41051"/>
    <x v="127"/>
    <n v="1"/>
    <n v="0"/>
  </r>
  <r>
    <x v="3"/>
    <n v="41"/>
    <s v="Oregon"/>
    <n v="51"/>
    <s v="Multnomah County"/>
    <n v="53"/>
    <x v="32"/>
    <n v="75"/>
    <x v="177"/>
    <n v="21"/>
    <n v="33"/>
    <n v="1126"/>
    <n v="28310"/>
    <n v="44411"/>
    <n v="2058578"/>
    <n v="342710"/>
    <n v="621678"/>
    <n v="29861204"/>
    <n v="41051"/>
    <n v="41051"/>
    <x v="189"/>
    <n v="1"/>
    <n v="0"/>
  </r>
  <r>
    <x v="3"/>
    <n v="41"/>
    <s v="Oregon"/>
    <n v="51"/>
    <s v="Multnomah County"/>
    <n v="53"/>
    <x v="32"/>
    <n v="77"/>
    <x v="121"/>
    <n v="31"/>
    <n v="48"/>
    <n v="1185"/>
    <n v="28310"/>
    <n v="44411"/>
    <n v="2058578"/>
    <n v="342710"/>
    <n v="621678"/>
    <n v="29861204"/>
    <n v="41051"/>
    <n v="41051"/>
    <x v="128"/>
    <n v="1"/>
    <n v="0"/>
  </r>
  <r>
    <x v="3"/>
    <n v="41"/>
    <s v="Oregon"/>
    <n v="51"/>
    <s v="Multnomah County"/>
    <n v="55"/>
    <x v="33"/>
    <n v="25"/>
    <x v="122"/>
    <n v="40"/>
    <n v="51"/>
    <n v="2501"/>
    <n v="28310"/>
    <n v="44411"/>
    <n v="2058578"/>
    <n v="342710"/>
    <n v="621678"/>
    <n v="29861204"/>
    <n v="41051"/>
    <n v="41051"/>
    <x v="129"/>
    <n v="1"/>
    <n v="0"/>
  </r>
  <r>
    <x v="3"/>
    <n v="41"/>
    <s v="Oregon"/>
    <n v="51"/>
    <s v="Multnomah County"/>
    <n v="55"/>
    <x v="33"/>
    <n v="79"/>
    <x v="123"/>
    <n v="25"/>
    <n v="34"/>
    <n v="1897"/>
    <n v="28310"/>
    <n v="44411"/>
    <n v="2058578"/>
    <n v="342710"/>
    <n v="621678"/>
    <n v="29861204"/>
    <n v="41051"/>
    <n v="41051"/>
    <x v="130"/>
    <n v="1"/>
    <n v="0"/>
  </r>
  <r>
    <x v="4"/>
    <n v="41"/>
    <s v="Oregon"/>
    <n v="51"/>
    <s v="Multnomah County"/>
    <n v="2"/>
    <x v="0"/>
    <n v="20"/>
    <x v="0"/>
    <n v="48"/>
    <n v="72"/>
    <n v="3038"/>
    <n v="32214"/>
    <n v="51593"/>
    <n v="2469717"/>
    <n v="348477"/>
    <n v="638004"/>
    <n v="31134364"/>
    <n v="41051"/>
    <n v="41051"/>
    <x v="0"/>
    <n v="1"/>
    <n v="0"/>
  </r>
  <r>
    <x v="4"/>
    <n v="41"/>
    <s v="Oregon"/>
    <n v="51"/>
    <s v="Multnomah County"/>
    <n v="4"/>
    <x v="1"/>
    <n v="5"/>
    <x v="124"/>
    <n v="20"/>
    <n v="31"/>
    <n v="1529"/>
    <n v="32214"/>
    <n v="51593"/>
    <n v="2469717"/>
    <n v="348477"/>
    <n v="638004"/>
    <n v="31134364"/>
    <n v="41051"/>
    <n v="41051"/>
    <x v="131"/>
    <n v="1"/>
    <n v="0"/>
  </r>
  <r>
    <x v="4"/>
    <n v="41"/>
    <s v="Oregon"/>
    <n v="51"/>
    <s v="Multnomah County"/>
    <n v="4"/>
    <x v="1"/>
    <n v="13"/>
    <x v="1"/>
    <n v="422"/>
    <n v="669"/>
    <n v="30018"/>
    <n v="32214"/>
    <n v="51593"/>
    <n v="2469717"/>
    <n v="348477"/>
    <n v="638004"/>
    <n v="31134364"/>
    <n v="41051"/>
    <n v="41051"/>
    <x v="1"/>
    <n v="1"/>
    <n v="0"/>
  </r>
  <r>
    <x v="4"/>
    <n v="41"/>
    <s v="Oregon"/>
    <n v="51"/>
    <s v="Multnomah County"/>
    <n v="4"/>
    <x v="1"/>
    <n v="15"/>
    <x v="173"/>
    <n v="20"/>
    <n v="40"/>
    <n v="1092"/>
    <n v="32214"/>
    <n v="51593"/>
    <n v="2469717"/>
    <n v="348477"/>
    <n v="638004"/>
    <n v="31134364"/>
    <n v="41051"/>
    <n v="41051"/>
    <x v="185"/>
    <n v="1"/>
    <n v="0"/>
  </r>
  <r>
    <x v="4"/>
    <n v="41"/>
    <s v="Oregon"/>
    <n v="51"/>
    <s v="Multnomah County"/>
    <n v="4"/>
    <x v="1"/>
    <n v="19"/>
    <x v="2"/>
    <n v="109"/>
    <n v="157"/>
    <n v="6498"/>
    <n v="32214"/>
    <n v="51593"/>
    <n v="2469717"/>
    <n v="348477"/>
    <n v="638004"/>
    <n v="31134364"/>
    <n v="41051"/>
    <n v="41051"/>
    <x v="2"/>
    <n v="1"/>
    <n v="0"/>
  </r>
  <r>
    <x v="4"/>
    <n v="41"/>
    <s v="Oregon"/>
    <n v="51"/>
    <s v="Multnomah County"/>
    <n v="4"/>
    <x v="1"/>
    <n v="21"/>
    <x v="3"/>
    <n v="30"/>
    <n v="58"/>
    <n v="2283"/>
    <n v="32214"/>
    <n v="51593"/>
    <n v="2469717"/>
    <n v="348477"/>
    <n v="638004"/>
    <n v="31134364"/>
    <n v="41051"/>
    <n v="41051"/>
    <x v="3"/>
    <n v="1"/>
    <n v="0"/>
  </r>
  <r>
    <x v="4"/>
    <n v="41"/>
    <s v="Oregon"/>
    <n v="51"/>
    <s v="Multnomah County"/>
    <n v="4"/>
    <x v="1"/>
    <n v="25"/>
    <x v="125"/>
    <n v="29"/>
    <n v="47"/>
    <n v="1919"/>
    <n v="32214"/>
    <n v="51593"/>
    <n v="2469717"/>
    <n v="348477"/>
    <n v="638004"/>
    <n v="31134364"/>
    <n v="41051"/>
    <n v="41051"/>
    <x v="132"/>
    <n v="1"/>
    <n v="0"/>
  </r>
  <r>
    <x v="4"/>
    <n v="41"/>
    <s v="Oregon"/>
    <n v="51"/>
    <s v="Multnomah County"/>
    <n v="6"/>
    <x v="2"/>
    <n v="1"/>
    <x v="4"/>
    <n v="151"/>
    <n v="183"/>
    <n v="13922"/>
    <n v="32214"/>
    <n v="51593"/>
    <n v="2469717"/>
    <n v="348477"/>
    <n v="638004"/>
    <n v="31134364"/>
    <n v="41051"/>
    <n v="41051"/>
    <x v="4"/>
    <n v="1"/>
    <n v="0"/>
  </r>
  <r>
    <x v="4"/>
    <n v="41"/>
    <s v="Oregon"/>
    <n v="51"/>
    <s v="Multnomah County"/>
    <n v="6"/>
    <x v="2"/>
    <n v="13"/>
    <x v="5"/>
    <n v="65"/>
    <n v="97"/>
    <n v="4477"/>
    <n v="32214"/>
    <n v="51593"/>
    <n v="2469717"/>
    <n v="348477"/>
    <n v="638004"/>
    <n v="31134364"/>
    <n v="41051"/>
    <n v="41051"/>
    <x v="5"/>
    <n v="1"/>
    <n v="0"/>
  </r>
  <r>
    <x v="4"/>
    <n v="41"/>
    <s v="Oregon"/>
    <n v="51"/>
    <s v="Multnomah County"/>
    <n v="6"/>
    <x v="2"/>
    <n v="17"/>
    <x v="178"/>
    <n v="20"/>
    <n v="22"/>
    <n v="830"/>
    <n v="32214"/>
    <n v="51593"/>
    <n v="2469717"/>
    <n v="348477"/>
    <n v="638004"/>
    <n v="31134364"/>
    <n v="41051"/>
    <n v="41051"/>
    <x v="190"/>
    <n v="1"/>
    <n v="0"/>
  </r>
  <r>
    <x v="4"/>
    <n v="41"/>
    <s v="Oregon"/>
    <n v="51"/>
    <s v="Multnomah County"/>
    <n v="6"/>
    <x v="2"/>
    <n v="19"/>
    <x v="6"/>
    <n v="30"/>
    <n v="45"/>
    <n v="1220"/>
    <n v="32214"/>
    <n v="51593"/>
    <n v="2469717"/>
    <n v="348477"/>
    <n v="638004"/>
    <n v="31134364"/>
    <n v="41051"/>
    <n v="41051"/>
    <x v="6"/>
    <n v="1"/>
    <n v="0"/>
  </r>
  <r>
    <x v="4"/>
    <n v="41"/>
    <s v="Oregon"/>
    <n v="51"/>
    <s v="Multnomah County"/>
    <n v="6"/>
    <x v="2"/>
    <n v="23"/>
    <x v="7"/>
    <n v="39"/>
    <n v="51"/>
    <n v="1635"/>
    <n v="32214"/>
    <n v="51593"/>
    <n v="2469717"/>
    <n v="348477"/>
    <n v="638004"/>
    <n v="31134364"/>
    <n v="41051"/>
    <n v="41051"/>
    <x v="7"/>
    <n v="1"/>
    <n v="0"/>
  </r>
  <r>
    <x v="4"/>
    <n v="41"/>
    <s v="Oregon"/>
    <n v="51"/>
    <s v="Multnomah County"/>
    <n v="6"/>
    <x v="2"/>
    <n v="29"/>
    <x v="8"/>
    <n v="24"/>
    <n v="37"/>
    <n v="1002"/>
    <n v="32214"/>
    <n v="51593"/>
    <n v="2469717"/>
    <n v="348477"/>
    <n v="638004"/>
    <n v="31134364"/>
    <n v="41051"/>
    <n v="41051"/>
    <x v="8"/>
    <n v="1"/>
    <n v="0"/>
  </r>
  <r>
    <x v="4"/>
    <n v="41"/>
    <s v="Oregon"/>
    <n v="51"/>
    <s v="Multnomah County"/>
    <n v="6"/>
    <x v="2"/>
    <n v="37"/>
    <x v="9"/>
    <n v="577"/>
    <n v="747"/>
    <n v="37547"/>
    <n v="32214"/>
    <n v="51593"/>
    <n v="2469717"/>
    <n v="348477"/>
    <n v="638004"/>
    <n v="31134364"/>
    <n v="41051"/>
    <n v="41051"/>
    <x v="9"/>
    <n v="1"/>
    <n v="0"/>
  </r>
  <r>
    <x v="4"/>
    <n v="41"/>
    <s v="Oregon"/>
    <n v="51"/>
    <s v="Multnomah County"/>
    <n v="6"/>
    <x v="2"/>
    <n v="41"/>
    <x v="10"/>
    <n v="31"/>
    <n v="44"/>
    <n v="4751"/>
    <n v="32214"/>
    <n v="51593"/>
    <n v="2469717"/>
    <n v="348477"/>
    <n v="638004"/>
    <n v="31134364"/>
    <n v="41051"/>
    <n v="41051"/>
    <x v="10"/>
    <n v="1"/>
    <n v="0"/>
  </r>
  <r>
    <x v="4"/>
    <n v="41"/>
    <s v="Oregon"/>
    <n v="51"/>
    <s v="Multnomah County"/>
    <n v="6"/>
    <x v="2"/>
    <n v="57"/>
    <x v="179"/>
    <n v="24"/>
    <n v="36"/>
    <n v="1945"/>
    <n v="32214"/>
    <n v="51593"/>
    <n v="2469717"/>
    <n v="348477"/>
    <n v="638004"/>
    <n v="31134364"/>
    <n v="41051"/>
    <n v="41051"/>
    <x v="191"/>
    <n v="1"/>
    <n v="0"/>
  </r>
  <r>
    <x v="4"/>
    <n v="41"/>
    <s v="Oregon"/>
    <n v="51"/>
    <s v="Multnomah County"/>
    <n v="6"/>
    <x v="2"/>
    <n v="59"/>
    <x v="12"/>
    <n v="186"/>
    <n v="274"/>
    <n v="20261"/>
    <n v="32214"/>
    <n v="51593"/>
    <n v="2469717"/>
    <n v="348477"/>
    <n v="638004"/>
    <n v="31134364"/>
    <n v="41051"/>
    <n v="41051"/>
    <x v="12"/>
    <n v="1"/>
    <n v="0"/>
  </r>
  <r>
    <x v="4"/>
    <n v="41"/>
    <s v="Oregon"/>
    <n v="51"/>
    <s v="Multnomah County"/>
    <n v="6"/>
    <x v="2"/>
    <n v="61"/>
    <x v="13"/>
    <n v="32"/>
    <n v="51"/>
    <n v="1710"/>
    <n v="32214"/>
    <n v="51593"/>
    <n v="2469717"/>
    <n v="348477"/>
    <n v="638004"/>
    <n v="31134364"/>
    <n v="41051"/>
    <n v="41051"/>
    <x v="13"/>
    <n v="1"/>
    <n v="0"/>
  </r>
  <r>
    <x v="4"/>
    <n v="41"/>
    <s v="Oregon"/>
    <n v="51"/>
    <s v="Multnomah County"/>
    <n v="6"/>
    <x v="2"/>
    <n v="65"/>
    <x v="14"/>
    <n v="142"/>
    <n v="213"/>
    <n v="16229"/>
    <n v="32214"/>
    <n v="51593"/>
    <n v="2469717"/>
    <n v="348477"/>
    <n v="638004"/>
    <n v="31134364"/>
    <n v="41051"/>
    <n v="41051"/>
    <x v="14"/>
    <n v="1"/>
    <n v="0"/>
  </r>
  <r>
    <x v="4"/>
    <n v="41"/>
    <s v="Oregon"/>
    <n v="51"/>
    <s v="Multnomah County"/>
    <n v="6"/>
    <x v="2"/>
    <n v="67"/>
    <x v="15"/>
    <n v="161"/>
    <n v="229"/>
    <n v="9344"/>
    <n v="32214"/>
    <n v="51593"/>
    <n v="2469717"/>
    <n v="348477"/>
    <n v="638004"/>
    <n v="31134364"/>
    <n v="41051"/>
    <n v="41051"/>
    <x v="15"/>
    <n v="1"/>
    <n v="0"/>
  </r>
  <r>
    <x v="4"/>
    <n v="41"/>
    <s v="Oregon"/>
    <n v="51"/>
    <s v="Multnomah County"/>
    <n v="6"/>
    <x v="2"/>
    <n v="71"/>
    <x v="16"/>
    <n v="71"/>
    <n v="109"/>
    <n v="2615"/>
    <n v="32214"/>
    <n v="51593"/>
    <n v="2469717"/>
    <n v="348477"/>
    <n v="638004"/>
    <n v="31134364"/>
    <n v="41051"/>
    <n v="41051"/>
    <x v="16"/>
    <n v="1"/>
    <n v="0"/>
  </r>
  <r>
    <x v="4"/>
    <n v="41"/>
    <s v="Oregon"/>
    <n v="51"/>
    <s v="Multnomah County"/>
    <n v="6"/>
    <x v="2"/>
    <n v="73"/>
    <x v="17"/>
    <n v="287"/>
    <n v="403"/>
    <n v="19247"/>
    <n v="32214"/>
    <n v="51593"/>
    <n v="2469717"/>
    <n v="348477"/>
    <n v="638004"/>
    <n v="31134364"/>
    <n v="41051"/>
    <n v="41051"/>
    <x v="17"/>
    <n v="1"/>
    <n v="0"/>
  </r>
  <r>
    <x v="4"/>
    <n v="41"/>
    <s v="Oregon"/>
    <n v="51"/>
    <s v="Multnomah County"/>
    <n v="6"/>
    <x v="2"/>
    <n v="75"/>
    <x v="18"/>
    <n v="171"/>
    <n v="216"/>
    <n v="19833"/>
    <n v="32214"/>
    <n v="51593"/>
    <n v="2469717"/>
    <n v="348477"/>
    <n v="638004"/>
    <n v="31134364"/>
    <n v="41051"/>
    <n v="41051"/>
    <x v="18"/>
    <n v="1"/>
    <n v="0"/>
  </r>
  <r>
    <x v="4"/>
    <n v="41"/>
    <s v="Oregon"/>
    <n v="51"/>
    <s v="Multnomah County"/>
    <n v="6"/>
    <x v="2"/>
    <n v="77"/>
    <x v="128"/>
    <n v="29"/>
    <n v="47"/>
    <n v="1197"/>
    <n v="32214"/>
    <n v="51593"/>
    <n v="2469717"/>
    <n v="348477"/>
    <n v="638004"/>
    <n v="31134364"/>
    <n v="41051"/>
    <n v="41051"/>
    <x v="135"/>
    <n v="1"/>
    <n v="0"/>
  </r>
  <r>
    <x v="4"/>
    <n v="41"/>
    <s v="Oregon"/>
    <n v="51"/>
    <s v="Multnomah County"/>
    <n v="6"/>
    <x v="2"/>
    <n v="79"/>
    <x v="19"/>
    <n v="32"/>
    <n v="54"/>
    <n v="1843"/>
    <n v="32214"/>
    <n v="51593"/>
    <n v="2469717"/>
    <n v="348477"/>
    <n v="638004"/>
    <n v="31134364"/>
    <n v="41051"/>
    <n v="41051"/>
    <x v="19"/>
    <n v="1"/>
    <n v="0"/>
  </r>
  <r>
    <x v="4"/>
    <n v="41"/>
    <s v="Oregon"/>
    <n v="51"/>
    <s v="Multnomah County"/>
    <n v="6"/>
    <x v="2"/>
    <n v="81"/>
    <x v="20"/>
    <n v="52"/>
    <n v="77"/>
    <n v="5004"/>
    <n v="32214"/>
    <n v="51593"/>
    <n v="2469717"/>
    <n v="348477"/>
    <n v="638004"/>
    <n v="31134364"/>
    <n v="41051"/>
    <n v="41051"/>
    <x v="20"/>
    <n v="1"/>
    <n v="0"/>
  </r>
  <r>
    <x v="4"/>
    <n v="41"/>
    <s v="Oregon"/>
    <n v="51"/>
    <s v="Multnomah County"/>
    <n v="6"/>
    <x v="2"/>
    <n v="83"/>
    <x v="21"/>
    <n v="50"/>
    <n v="67"/>
    <n v="3188"/>
    <n v="32214"/>
    <n v="51593"/>
    <n v="2469717"/>
    <n v="348477"/>
    <n v="638004"/>
    <n v="31134364"/>
    <n v="41051"/>
    <n v="41051"/>
    <x v="21"/>
    <n v="1"/>
    <n v="0"/>
  </r>
  <r>
    <x v="4"/>
    <n v="41"/>
    <s v="Oregon"/>
    <n v="51"/>
    <s v="Multnomah County"/>
    <n v="6"/>
    <x v="2"/>
    <n v="85"/>
    <x v="22"/>
    <n v="151"/>
    <n v="195"/>
    <n v="14126"/>
    <n v="32214"/>
    <n v="51593"/>
    <n v="2469717"/>
    <n v="348477"/>
    <n v="638004"/>
    <n v="31134364"/>
    <n v="41051"/>
    <n v="41051"/>
    <x v="22"/>
    <n v="1"/>
    <n v="0"/>
  </r>
  <r>
    <x v="4"/>
    <n v="41"/>
    <s v="Oregon"/>
    <n v="51"/>
    <s v="Multnomah County"/>
    <n v="6"/>
    <x v="2"/>
    <n v="87"/>
    <x v="23"/>
    <n v="43"/>
    <n v="65"/>
    <n v="3050"/>
    <n v="32214"/>
    <n v="51593"/>
    <n v="2469717"/>
    <n v="348477"/>
    <n v="638004"/>
    <n v="31134364"/>
    <n v="41051"/>
    <n v="41051"/>
    <x v="23"/>
    <n v="1"/>
    <n v="0"/>
  </r>
  <r>
    <x v="4"/>
    <n v="41"/>
    <s v="Oregon"/>
    <n v="51"/>
    <s v="Multnomah County"/>
    <n v="6"/>
    <x v="2"/>
    <n v="89"/>
    <x v="24"/>
    <n v="24"/>
    <n v="27"/>
    <n v="846"/>
    <n v="32214"/>
    <n v="51593"/>
    <n v="2469717"/>
    <n v="348477"/>
    <n v="638004"/>
    <n v="31134364"/>
    <n v="41051"/>
    <n v="41051"/>
    <x v="24"/>
    <n v="1"/>
    <n v="0"/>
  </r>
  <r>
    <x v="4"/>
    <n v="41"/>
    <s v="Oregon"/>
    <n v="51"/>
    <s v="Multnomah County"/>
    <n v="6"/>
    <x v="2"/>
    <n v="95"/>
    <x v="129"/>
    <n v="29"/>
    <n v="46"/>
    <n v="1900"/>
    <n v="32214"/>
    <n v="51593"/>
    <n v="2469717"/>
    <n v="348477"/>
    <n v="638004"/>
    <n v="31134364"/>
    <n v="41051"/>
    <n v="41051"/>
    <x v="136"/>
    <n v="1"/>
    <n v="0"/>
  </r>
  <r>
    <x v="4"/>
    <n v="41"/>
    <s v="Oregon"/>
    <n v="51"/>
    <s v="Multnomah County"/>
    <n v="6"/>
    <x v="2"/>
    <n v="97"/>
    <x v="25"/>
    <n v="51"/>
    <n v="63"/>
    <n v="2841"/>
    <n v="32214"/>
    <n v="51593"/>
    <n v="2469717"/>
    <n v="348477"/>
    <n v="638004"/>
    <n v="31134364"/>
    <n v="41051"/>
    <n v="41051"/>
    <x v="25"/>
    <n v="1"/>
    <n v="0"/>
  </r>
  <r>
    <x v="4"/>
    <n v="41"/>
    <s v="Oregon"/>
    <n v="51"/>
    <s v="Multnomah County"/>
    <n v="6"/>
    <x v="2"/>
    <n v="111"/>
    <x v="26"/>
    <n v="45"/>
    <n v="72"/>
    <n v="3265"/>
    <n v="32214"/>
    <n v="51593"/>
    <n v="2469717"/>
    <n v="348477"/>
    <n v="638004"/>
    <n v="31134364"/>
    <n v="41051"/>
    <n v="41051"/>
    <x v="26"/>
    <n v="1"/>
    <n v="0"/>
  </r>
  <r>
    <x v="4"/>
    <n v="41"/>
    <s v="Oregon"/>
    <n v="51"/>
    <s v="Multnomah County"/>
    <n v="8"/>
    <x v="3"/>
    <n v="1"/>
    <x v="174"/>
    <n v="30"/>
    <n v="43"/>
    <n v="2417"/>
    <n v="32214"/>
    <n v="51593"/>
    <n v="2469717"/>
    <n v="348477"/>
    <n v="638004"/>
    <n v="31134364"/>
    <n v="41051"/>
    <n v="41051"/>
    <x v="186"/>
    <n v="1"/>
    <n v="0"/>
  </r>
  <r>
    <x v="4"/>
    <n v="41"/>
    <s v="Oregon"/>
    <n v="51"/>
    <s v="Multnomah County"/>
    <n v="8"/>
    <x v="3"/>
    <n v="5"/>
    <x v="27"/>
    <n v="56"/>
    <n v="86"/>
    <n v="2904"/>
    <n v="32214"/>
    <n v="51593"/>
    <n v="2469717"/>
    <n v="348477"/>
    <n v="638004"/>
    <n v="31134364"/>
    <n v="41051"/>
    <n v="41051"/>
    <x v="27"/>
    <n v="1"/>
    <n v="0"/>
  </r>
  <r>
    <x v="4"/>
    <n v="41"/>
    <s v="Oregon"/>
    <n v="51"/>
    <s v="Multnomah County"/>
    <n v="8"/>
    <x v="3"/>
    <n v="13"/>
    <x v="28"/>
    <n v="53"/>
    <n v="75"/>
    <n v="4052"/>
    <n v="32214"/>
    <n v="51593"/>
    <n v="2469717"/>
    <n v="348477"/>
    <n v="638004"/>
    <n v="31134364"/>
    <n v="41051"/>
    <n v="41051"/>
    <x v="28"/>
    <n v="1"/>
    <n v="0"/>
  </r>
  <r>
    <x v="4"/>
    <n v="41"/>
    <s v="Oregon"/>
    <n v="51"/>
    <s v="Multnomah County"/>
    <n v="8"/>
    <x v="3"/>
    <n v="31"/>
    <x v="29"/>
    <n v="161"/>
    <n v="195"/>
    <n v="11134"/>
    <n v="32214"/>
    <n v="51593"/>
    <n v="2469717"/>
    <n v="348477"/>
    <n v="638004"/>
    <n v="31134364"/>
    <n v="41051"/>
    <n v="41051"/>
    <x v="29"/>
    <n v="1"/>
    <n v="0"/>
  </r>
  <r>
    <x v="4"/>
    <n v="41"/>
    <s v="Oregon"/>
    <n v="51"/>
    <s v="Multnomah County"/>
    <n v="8"/>
    <x v="3"/>
    <n v="35"/>
    <x v="80"/>
    <n v="20"/>
    <n v="24"/>
    <n v="1182"/>
    <n v="32214"/>
    <n v="51593"/>
    <n v="2469717"/>
    <n v="348477"/>
    <n v="638004"/>
    <n v="31134364"/>
    <n v="41051"/>
    <n v="41051"/>
    <x v="192"/>
    <n v="1"/>
    <n v="0"/>
  </r>
  <r>
    <x v="4"/>
    <n v="41"/>
    <s v="Oregon"/>
    <n v="51"/>
    <s v="Multnomah County"/>
    <n v="8"/>
    <x v="3"/>
    <n v="41"/>
    <x v="30"/>
    <n v="45"/>
    <n v="76"/>
    <n v="2400"/>
    <n v="32214"/>
    <n v="51593"/>
    <n v="2469717"/>
    <n v="348477"/>
    <n v="638004"/>
    <n v="31134364"/>
    <n v="41051"/>
    <n v="41051"/>
    <x v="30"/>
    <n v="1"/>
    <n v="0"/>
  </r>
  <r>
    <x v="4"/>
    <n v="41"/>
    <s v="Oregon"/>
    <n v="51"/>
    <s v="Multnomah County"/>
    <n v="8"/>
    <x v="3"/>
    <n v="59"/>
    <x v="31"/>
    <n v="46"/>
    <n v="64"/>
    <n v="4555"/>
    <n v="32214"/>
    <n v="51593"/>
    <n v="2469717"/>
    <n v="348477"/>
    <n v="638004"/>
    <n v="31134364"/>
    <n v="41051"/>
    <n v="41051"/>
    <x v="31"/>
    <n v="1"/>
    <n v="0"/>
  </r>
  <r>
    <x v="4"/>
    <n v="41"/>
    <s v="Oregon"/>
    <n v="51"/>
    <s v="Multnomah County"/>
    <n v="8"/>
    <x v="3"/>
    <n v="69"/>
    <x v="32"/>
    <n v="41"/>
    <n v="68"/>
    <n v="3034"/>
    <n v="32214"/>
    <n v="51593"/>
    <n v="2469717"/>
    <n v="348477"/>
    <n v="638004"/>
    <n v="31134364"/>
    <n v="41051"/>
    <n v="41051"/>
    <x v="32"/>
    <n v="1"/>
    <n v="0"/>
  </r>
  <r>
    <x v="4"/>
    <n v="41"/>
    <s v="Oregon"/>
    <n v="51"/>
    <s v="Multnomah County"/>
    <n v="11"/>
    <x v="5"/>
    <n v="1"/>
    <x v="34"/>
    <n v="56"/>
    <n v="69"/>
    <n v="3424"/>
    <n v="32214"/>
    <n v="51593"/>
    <n v="2469717"/>
    <n v="348477"/>
    <n v="638004"/>
    <n v="31134364"/>
    <n v="41051"/>
    <n v="41051"/>
    <x v="34"/>
    <n v="1"/>
    <n v="0"/>
  </r>
  <r>
    <x v="4"/>
    <n v="41"/>
    <s v="Oregon"/>
    <n v="51"/>
    <s v="Multnomah County"/>
    <n v="12"/>
    <x v="6"/>
    <n v="11"/>
    <x v="132"/>
    <n v="27"/>
    <n v="32"/>
    <n v="1688"/>
    <n v="32214"/>
    <n v="51593"/>
    <n v="2469717"/>
    <n v="348477"/>
    <n v="638004"/>
    <n v="31134364"/>
    <n v="41051"/>
    <n v="41051"/>
    <x v="139"/>
    <n v="1"/>
    <n v="0"/>
  </r>
  <r>
    <x v="4"/>
    <n v="41"/>
    <s v="Oregon"/>
    <n v="51"/>
    <s v="Multnomah County"/>
    <n v="12"/>
    <x v="6"/>
    <n v="31"/>
    <x v="133"/>
    <n v="20"/>
    <n v="34"/>
    <n v="1175"/>
    <n v="32214"/>
    <n v="51593"/>
    <n v="2469717"/>
    <n v="348477"/>
    <n v="638004"/>
    <n v="31134364"/>
    <n v="41051"/>
    <n v="41051"/>
    <x v="140"/>
    <n v="1"/>
    <n v="0"/>
  </r>
  <r>
    <x v="4"/>
    <n v="41"/>
    <s v="Oregon"/>
    <n v="51"/>
    <s v="Multnomah County"/>
    <n v="12"/>
    <x v="6"/>
    <n v="57"/>
    <x v="35"/>
    <n v="61"/>
    <n v="85"/>
    <n v="2601"/>
    <n v="32214"/>
    <n v="51593"/>
    <n v="2469717"/>
    <n v="348477"/>
    <n v="638004"/>
    <n v="31134364"/>
    <n v="41051"/>
    <n v="41051"/>
    <x v="35"/>
    <n v="1"/>
    <n v="0"/>
  </r>
  <r>
    <x v="4"/>
    <n v="41"/>
    <s v="Oregon"/>
    <n v="51"/>
    <s v="Multnomah County"/>
    <n v="12"/>
    <x v="6"/>
    <n v="71"/>
    <x v="175"/>
    <n v="22"/>
    <n v="43"/>
    <n v="933"/>
    <n v="32214"/>
    <n v="51593"/>
    <n v="2469717"/>
    <n v="348477"/>
    <n v="638004"/>
    <n v="31134364"/>
    <n v="41051"/>
    <n v="41051"/>
    <x v="187"/>
    <n v="1"/>
    <n v="0"/>
  </r>
  <r>
    <x v="4"/>
    <n v="41"/>
    <s v="Oregon"/>
    <n v="51"/>
    <s v="Multnomah County"/>
    <n v="12"/>
    <x v="6"/>
    <n v="86"/>
    <x v="36"/>
    <n v="50"/>
    <n v="77"/>
    <n v="3813"/>
    <n v="32214"/>
    <n v="51593"/>
    <n v="2469717"/>
    <n v="348477"/>
    <n v="638004"/>
    <n v="31134364"/>
    <n v="41051"/>
    <n v="41051"/>
    <x v="36"/>
    <n v="1"/>
    <n v="0"/>
  </r>
  <r>
    <x v="4"/>
    <n v="41"/>
    <s v="Oregon"/>
    <n v="51"/>
    <s v="Multnomah County"/>
    <n v="12"/>
    <x v="6"/>
    <n v="95"/>
    <x v="12"/>
    <n v="35"/>
    <n v="60"/>
    <n v="2259"/>
    <n v="32214"/>
    <n v="51593"/>
    <n v="2469717"/>
    <n v="348477"/>
    <n v="638004"/>
    <n v="31134364"/>
    <n v="41051"/>
    <n v="41051"/>
    <x v="37"/>
    <n v="1"/>
    <n v="0"/>
  </r>
  <r>
    <x v="4"/>
    <n v="41"/>
    <s v="Oregon"/>
    <n v="51"/>
    <s v="Multnomah County"/>
    <n v="12"/>
    <x v="6"/>
    <n v="99"/>
    <x v="37"/>
    <n v="26"/>
    <n v="37"/>
    <n v="1749"/>
    <n v="32214"/>
    <n v="51593"/>
    <n v="2469717"/>
    <n v="348477"/>
    <n v="638004"/>
    <n v="31134364"/>
    <n v="41051"/>
    <n v="41051"/>
    <x v="38"/>
    <n v="1"/>
    <n v="0"/>
  </r>
  <r>
    <x v="4"/>
    <n v="41"/>
    <s v="Oregon"/>
    <n v="51"/>
    <s v="Multnomah County"/>
    <n v="12"/>
    <x v="6"/>
    <n v="103"/>
    <x v="38"/>
    <n v="32"/>
    <n v="46"/>
    <n v="2117"/>
    <n v="32214"/>
    <n v="51593"/>
    <n v="2469717"/>
    <n v="348477"/>
    <n v="638004"/>
    <n v="31134364"/>
    <n v="41051"/>
    <n v="41051"/>
    <x v="39"/>
    <n v="1"/>
    <n v="0"/>
  </r>
  <r>
    <x v="4"/>
    <n v="41"/>
    <s v="Oregon"/>
    <n v="51"/>
    <s v="Multnomah County"/>
    <n v="12"/>
    <x v="6"/>
    <n v="115"/>
    <x v="180"/>
    <n v="22"/>
    <n v="37"/>
    <n v="2228"/>
    <n v="32214"/>
    <n v="51593"/>
    <n v="2469717"/>
    <n v="348477"/>
    <n v="638004"/>
    <n v="31134364"/>
    <n v="41051"/>
    <n v="41051"/>
    <x v="193"/>
    <n v="1"/>
    <n v="0"/>
  </r>
  <r>
    <x v="4"/>
    <n v="41"/>
    <s v="Oregon"/>
    <n v="51"/>
    <s v="Multnomah County"/>
    <n v="13"/>
    <x v="7"/>
    <n v="89"/>
    <x v="39"/>
    <n v="29"/>
    <n v="44"/>
    <n v="1271"/>
    <n v="32214"/>
    <n v="51593"/>
    <n v="2469717"/>
    <n v="348477"/>
    <n v="638004"/>
    <n v="31134364"/>
    <n v="41051"/>
    <n v="41051"/>
    <x v="40"/>
    <n v="1"/>
    <n v="0"/>
  </r>
  <r>
    <x v="4"/>
    <n v="41"/>
    <s v="Oregon"/>
    <n v="51"/>
    <s v="Multnomah County"/>
    <n v="13"/>
    <x v="7"/>
    <n v="121"/>
    <x v="40"/>
    <n v="43"/>
    <n v="55"/>
    <n v="4561"/>
    <n v="32214"/>
    <n v="51593"/>
    <n v="2469717"/>
    <n v="348477"/>
    <n v="638004"/>
    <n v="31134364"/>
    <n v="41051"/>
    <n v="41051"/>
    <x v="41"/>
    <n v="1"/>
    <n v="0"/>
  </r>
  <r>
    <x v="4"/>
    <n v="41"/>
    <s v="Oregon"/>
    <n v="51"/>
    <s v="Multnomah County"/>
    <n v="15"/>
    <x v="8"/>
    <n v="1"/>
    <x v="41"/>
    <n v="59"/>
    <n v="92"/>
    <n v="3084"/>
    <n v="32214"/>
    <n v="51593"/>
    <n v="2469717"/>
    <n v="348477"/>
    <n v="638004"/>
    <n v="31134364"/>
    <n v="41051"/>
    <n v="41051"/>
    <x v="42"/>
    <n v="1"/>
    <n v="0"/>
  </r>
  <r>
    <x v="4"/>
    <n v="41"/>
    <s v="Oregon"/>
    <n v="51"/>
    <s v="Multnomah County"/>
    <n v="15"/>
    <x v="8"/>
    <n v="3"/>
    <x v="42"/>
    <n v="103"/>
    <n v="168"/>
    <n v="6627"/>
    <n v="32214"/>
    <n v="51593"/>
    <n v="2469717"/>
    <n v="348477"/>
    <n v="638004"/>
    <n v="31134364"/>
    <n v="41051"/>
    <n v="41051"/>
    <x v="43"/>
    <n v="1"/>
    <n v="0"/>
  </r>
  <r>
    <x v="4"/>
    <n v="41"/>
    <s v="Oregon"/>
    <n v="51"/>
    <s v="Multnomah County"/>
    <n v="15"/>
    <x v="8"/>
    <n v="7"/>
    <x v="134"/>
    <n v="26"/>
    <n v="40"/>
    <n v="808"/>
    <n v="32214"/>
    <n v="51593"/>
    <n v="2469717"/>
    <n v="348477"/>
    <n v="638004"/>
    <n v="31134364"/>
    <n v="41051"/>
    <n v="41051"/>
    <x v="141"/>
    <n v="1"/>
    <n v="0"/>
  </r>
  <r>
    <x v="4"/>
    <n v="41"/>
    <s v="Oregon"/>
    <n v="51"/>
    <s v="Multnomah County"/>
    <n v="15"/>
    <x v="8"/>
    <n v="9"/>
    <x v="43"/>
    <n v="38"/>
    <n v="62"/>
    <n v="2264"/>
    <n v="32214"/>
    <n v="51593"/>
    <n v="2469717"/>
    <n v="348477"/>
    <n v="638004"/>
    <n v="31134364"/>
    <n v="41051"/>
    <n v="41051"/>
    <x v="44"/>
    <n v="1"/>
    <n v="0"/>
  </r>
  <r>
    <x v="4"/>
    <n v="41"/>
    <s v="Oregon"/>
    <n v="51"/>
    <s v="Multnomah County"/>
    <n v="16"/>
    <x v="9"/>
    <n v="1"/>
    <x v="44"/>
    <n v="171"/>
    <n v="257"/>
    <n v="11235"/>
    <n v="32214"/>
    <n v="51593"/>
    <n v="2469717"/>
    <n v="348477"/>
    <n v="638004"/>
    <n v="31134364"/>
    <n v="41051"/>
    <n v="41051"/>
    <x v="45"/>
    <n v="1"/>
    <n v="0"/>
  </r>
  <r>
    <x v="4"/>
    <n v="41"/>
    <s v="Oregon"/>
    <n v="51"/>
    <s v="Multnomah County"/>
    <n v="16"/>
    <x v="9"/>
    <n v="27"/>
    <x v="45"/>
    <n v="62"/>
    <n v="141"/>
    <n v="3239"/>
    <n v="32214"/>
    <n v="51593"/>
    <n v="2469717"/>
    <n v="348477"/>
    <n v="638004"/>
    <n v="31134364"/>
    <n v="41051"/>
    <n v="41051"/>
    <x v="46"/>
    <n v="1"/>
    <n v="0"/>
  </r>
  <r>
    <x v="4"/>
    <n v="41"/>
    <s v="Oregon"/>
    <n v="51"/>
    <s v="Multnomah County"/>
    <n v="16"/>
    <x v="9"/>
    <n v="55"/>
    <x v="46"/>
    <n v="62"/>
    <n v="131"/>
    <n v="3558"/>
    <n v="32214"/>
    <n v="51593"/>
    <n v="2469717"/>
    <n v="348477"/>
    <n v="638004"/>
    <n v="31134364"/>
    <n v="41051"/>
    <n v="41051"/>
    <x v="47"/>
    <n v="1"/>
    <n v="0"/>
  </r>
  <r>
    <x v="4"/>
    <n v="41"/>
    <s v="Oregon"/>
    <n v="51"/>
    <s v="Multnomah County"/>
    <n v="17"/>
    <x v="10"/>
    <n v="31"/>
    <x v="47"/>
    <n v="203"/>
    <n v="287"/>
    <n v="15019"/>
    <n v="32214"/>
    <n v="51593"/>
    <n v="2469717"/>
    <n v="348477"/>
    <n v="638004"/>
    <n v="31134364"/>
    <n v="41051"/>
    <n v="41051"/>
    <x v="48"/>
    <n v="1"/>
    <n v="0"/>
  </r>
  <r>
    <x v="4"/>
    <n v="41"/>
    <s v="Oregon"/>
    <n v="51"/>
    <s v="Multnomah County"/>
    <n v="17"/>
    <x v="10"/>
    <n v="43"/>
    <x v="136"/>
    <n v="21"/>
    <n v="27"/>
    <n v="1409"/>
    <n v="32214"/>
    <n v="51593"/>
    <n v="2469717"/>
    <n v="348477"/>
    <n v="638004"/>
    <n v="31134364"/>
    <n v="41051"/>
    <n v="41051"/>
    <x v="143"/>
    <n v="1"/>
    <n v="0"/>
  </r>
  <r>
    <x v="4"/>
    <n v="41"/>
    <s v="Oregon"/>
    <n v="51"/>
    <s v="Multnomah County"/>
    <n v="17"/>
    <x v="10"/>
    <n v="97"/>
    <x v="181"/>
    <n v="20"/>
    <n v="24"/>
    <n v="1520"/>
    <n v="32214"/>
    <n v="51593"/>
    <n v="2469717"/>
    <n v="348477"/>
    <n v="638004"/>
    <n v="31134364"/>
    <n v="41051"/>
    <n v="41051"/>
    <x v="194"/>
    <n v="1"/>
    <n v="0"/>
  </r>
  <r>
    <x v="4"/>
    <n v="41"/>
    <s v="Oregon"/>
    <n v="51"/>
    <s v="Multnomah County"/>
    <n v="18"/>
    <x v="11"/>
    <n v="97"/>
    <x v="48"/>
    <n v="25"/>
    <n v="35"/>
    <n v="1326"/>
    <n v="32214"/>
    <n v="51593"/>
    <n v="2469717"/>
    <n v="348477"/>
    <n v="638004"/>
    <n v="31134364"/>
    <n v="41051"/>
    <n v="41051"/>
    <x v="49"/>
    <n v="1"/>
    <n v="0"/>
  </r>
  <r>
    <x v="4"/>
    <n v="41"/>
    <s v="Oregon"/>
    <n v="51"/>
    <s v="Multnomah County"/>
    <n v="19"/>
    <x v="12"/>
    <n v="153"/>
    <x v="49"/>
    <n v="28"/>
    <n v="46"/>
    <n v="1459"/>
    <n v="32214"/>
    <n v="51593"/>
    <n v="2469717"/>
    <n v="348477"/>
    <n v="638004"/>
    <n v="31134364"/>
    <n v="41051"/>
    <n v="41051"/>
    <x v="50"/>
    <n v="1"/>
    <n v="0"/>
  </r>
  <r>
    <x v="4"/>
    <n v="41"/>
    <s v="Oregon"/>
    <n v="51"/>
    <s v="Multnomah County"/>
    <n v="21"/>
    <x v="35"/>
    <n v="111"/>
    <x v="31"/>
    <n v="22"/>
    <n v="31"/>
    <n v="1736"/>
    <n v="32214"/>
    <n v="51593"/>
    <n v="2469717"/>
    <n v="348477"/>
    <n v="638004"/>
    <n v="31134364"/>
    <n v="41051"/>
    <n v="41051"/>
    <x v="145"/>
    <n v="1"/>
    <n v="0"/>
  </r>
  <r>
    <x v="4"/>
    <n v="41"/>
    <s v="Oregon"/>
    <n v="51"/>
    <s v="Multnomah County"/>
    <n v="22"/>
    <x v="13"/>
    <n v="71"/>
    <x v="50"/>
    <n v="36"/>
    <n v="46"/>
    <n v="1681"/>
    <n v="32214"/>
    <n v="51593"/>
    <n v="2469717"/>
    <n v="348477"/>
    <n v="638004"/>
    <n v="31134364"/>
    <n v="41051"/>
    <n v="41051"/>
    <x v="51"/>
    <n v="1"/>
    <n v="0"/>
  </r>
  <r>
    <x v="4"/>
    <n v="41"/>
    <s v="Oregon"/>
    <n v="51"/>
    <s v="Multnomah County"/>
    <n v="23"/>
    <x v="14"/>
    <n v="5"/>
    <x v="51"/>
    <n v="39"/>
    <n v="55"/>
    <n v="3603"/>
    <n v="32214"/>
    <n v="51593"/>
    <n v="2469717"/>
    <n v="348477"/>
    <n v="638004"/>
    <n v="31134364"/>
    <n v="41051"/>
    <n v="41051"/>
    <x v="52"/>
    <n v="1"/>
    <n v="0"/>
  </r>
  <r>
    <x v="4"/>
    <n v="41"/>
    <s v="Oregon"/>
    <n v="51"/>
    <s v="Multnomah County"/>
    <n v="24"/>
    <x v="15"/>
    <n v="31"/>
    <x v="52"/>
    <n v="27"/>
    <n v="35"/>
    <n v="2536"/>
    <n v="32214"/>
    <n v="51593"/>
    <n v="2469717"/>
    <n v="348477"/>
    <n v="638004"/>
    <n v="31134364"/>
    <n v="41051"/>
    <n v="41051"/>
    <x v="53"/>
    <n v="1"/>
    <n v="0"/>
  </r>
  <r>
    <x v="4"/>
    <n v="41"/>
    <s v="Oregon"/>
    <n v="51"/>
    <s v="Multnomah County"/>
    <n v="24"/>
    <x v="15"/>
    <n v="510"/>
    <x v="139"/>
    <n v="21"/>
    <n v="30"/>
    <n v="1026"/>
    <n v="32214"/>
    <n v="51593"/>
    <n v="2469717"/>
    <n v="348477"/>
    <n v="638004"/>
    <n v="31134364"/>
    <n v="41051"/>
    <n v="41051"/>
    <x v="147"/>
    <n v="1"/>
    <n v="0"/>
  </r>
  <r>
    <x v="4"/>
    <n v="41"/>
    <s v="Oregon"/>
    <n v="51"/>
    <s v="Multnomah County"/>
    <n v="25"/>
    <x v="16"/>
    <n v="17"/>
    <x v="53"/>
    <n v="48"/>
    <n v="67"/>
    <n v="4669"/>
    <n v="32214"/>
    <n v="51593"/>
    <n v="2469717"/>
    <n v="348477"/>
    <n v="638004"/>
    <n v="31134364"/>
    <n v="41051"/>
    <n v="41051"/>
    <x v="54"/>
    <n v="1"/>
    <n v="0"/>
  </r>
  <r>
    <x v="4"/>
    <n v="41"/>
    <s v="Oregon"/>
    <n v="51"/>
    <s v="Multnomah County"/>
    <n v="25"/>
    <x v="16"/>
    <n v="25"/>
    <x v="54"/>
    <n v="55"/>
    <n v="73"/>
    <n v="5885"/>
    <n v="32214"/>
    <n v="51593"/>
    <n v="2469717"/>
    <n v="348477"/>
    <n v="638004"/>
    <n v="31134364"/>
    <n v="41051"/>
    <n v="41051"/>
    <x v="55"/>
    <n v="1"/>
    <n v="0"/>
  </r>
  <r>
    <x v="4"/>
    <n v="41"/>
    <s v="Oregon"/>
    <n v="51"/>
    <s v="Multnomah County"/>
    <n v="26"/>
    <x v="17"/>
    <n v="81"/>
    <x v="142"/>
    <n v="21"/>
    <n v="40"/>
    <n v="1625"/>
    <n v="32214"/>
    <n v="51593"/>
    <n v="2469717"/>
    <n v="348477"/>
    <n v="638004"/>
    <n v="31134364"/>
    <n v="41051"/>
    <n v="41051"/>
    <x v="150"/>
    <n v="1"/>
    <n v="0"/>
  </r>
  <r>
    <x v="4"/>
    <n v="41"/>
    <s v="Oregon"/>
    <n v="51"/>
    <s v="Multnomah County"/>
    <n v="26"/>
    <x v="17"/>
    <n v="125"/>
    <x v="143"/>
    <n v="29"/>
    <n v="45"/>
    <n v="2473"/>
    <n v="32214"/>
    <n v="51593"/>
    <n v="2469717"/>
    <n v="348477"/>
    <n v="638004"/>
    <n v="31134364"/>
    <n v="41051"/>
    <n v="41051"/>
    <x v="151"/>
    <n v="1"/>
    <n v="0"/>
  </r>
  <r>
    <x v="4"/>
    <n v="41"/>
    <s v="Oregon"/>
    <n v="51"/>
    <s v="Multnomah County"/>
    <n v="26"/>
    <x v="17"/>
    <n v="161"/>
    <x v="55"/>
    <n v="22"/>
    <n v="27"/>
    <n v="1186"/>
    <n v="32214"/>
    <n v="51593"/>
    <n v="2469717"/>
    <n v="348477"/>
    <n v="638004"/>
    <n v="31134364"/>
    <n v="41051"/>
    <n v="41051"/>
    <x v="56"/>
    <n v="1"/>
    <n v="0"/>
  </r>
  <r>
    <x v="4"/>
    <n v="41"/>
    <s v="Oregon"/>
    <n v="51"/>
    <s v="Multnomah County"/>
    <n v="26"/>
    <x v="17"/>
    <n v="163"/>
    <x v="144"/>
    <n v="33"/>
    <n v="47"/>
    <n v="1511"/>
    <n v="32214"/>
    <n v="51593"/>
    <n v="2469717"/>
    <n v="348477"/>
    <n v="638004"/>
    <n v="31134364"/>
    <n v="41051"/>
    <n v="41051"/>
    <x v="152"/>
    <n v="1"/>
    <n v="0"/>
  </r>
  <r>
    <x v="4"/>
    <n v="41"/>
    <s v="Oregon"/>
    <n v="51"/>
    <s v="Multnomah County"/>
    <n v="27"/>
    <x v="18"/>
    <n v="53"/>
    <x v="56"/>
    <n v="107"/>
    <n v="153"/>
    <n v="6839"/>
    <n v="32214"/>
    <n v="51593"/>
    <n v="2469717"/>
    <n v="348477"/>
    <n v="638004"/>
    <n v="31134364"/>
    <n v="41051"/>
    <n v="41051"/>
    <x v="57"/>
    <n v="1"/>
    <n v="0"/>
  </r>
  <r>
    <x v="4"/>
    <n v="41"/>
    <s v="Oregon"/>
    <n v="51"/>
    <s v="Multnomah County"/>
    <n v="27"/>
    <x v="18"/>
    <n v="123"/>
    <x v="57"/>
    <n v="30"/>
    <n v="42"/>
    <n v="1867"/>
    <n v="32214"/>
    <n v="51593"/>
    <n v="2469717"/>
    <n v="348477"/>
    <n v="638004"/>
    <n v="31134364"/>
    <n v="41051"/>
    <n v="41051"/>
    <x v="58"/>
    <n v="1"/>
    <n v="0"/>
  </r>
  <r>
    <x v="4"/>
    <n v="41"/>
    <s v="Oregon"/>
    <n v="51"/>
    <s v="Multnomah County"/>
    <n v="29"/>
    <x v="36"/>
    <n v="77"/>
    <x v="145"/>
    <n v="20"/>
    <n v="111"/>
    <n v="678"/>
    <n v="32214"/>
    <n v="51593"/>
    <n v="2469717"/>
    <n v="348477"/>
    <n v="638004"/>
    <n v="31134364"/>
    <n v="41051"/>
    <n v="41051"/>
    <x v="153"/>
    <n v="1"/>
    <n v="0"/>
  </r>
  <r>
    <x v="4"/>
    <n v="41"/>
    <s v="Oregon"/>
    <n v="51"/>
    <s v="Multnomah County"/>
    <n v="29"/>
    <x v="36"/>
    <n v="95"/>
    <x v="82"/>
    <n v="31"/>
    <n v="55"/>
    <n v="1676"/>
    <n v="32214"/>
    <n v="51593"/>
    <n v="2469717"/>
    <n v="348477"/>
    <n v="638004"/>
    <n v="31134364"/>
    <n v="41051"/>
    <n v="41051"/>
    <x v="154"/>
    <n v="1"/>
    <n v="0"/>
  </r>
  <r>
    <x v="4"/>
    <n v="41"/>
    <s v="Oregon"/>
    <n v="51"/>
    <s v="Multnomah County"/>
    <n v="29"/>
    <x v="36"/>
    <n v="189"/>
    <x v="146"/>
    <n v="25"/>
    <n v="36"/>
    <n v="1299"/>
    <n v="32214"/>
    <n v="51593"/>
    <n v="2469717"/>
    <n v="348477"/>
    <n v="638004"/>
    <n v="31134364"/>
    <n v="41051"/>
    <n v="41051"/>
    <x v="155"/>
    <n v="1"/>
    <n v="0"/>
  </r>
  <r>
    <x v="4"/>
    <n v="41"/>
    <s v="Oregon"/>
    <n v="51"/>
    <s v="Multnomah County"/>
    <n v="29"/>
    <x v="36"/>
    <n v="510"/>
    <x v="147"/>
    <n v="22"/>
    <n v="27"/>
    <n v="1236"/>
    <n v="32214"/>
    <n v="51593"/>
    <n v="2469717"/>
    <n v="348477"/>
    <n v="638004"/>
    <n v="31134364"/>
    <n v="41051"/>
    <n v="41051"/>
    <x v="156"/>
    <n v="1"/>
    <n v="0"/>
  </r>
  <r>
    <x v="4"/>
    <n v="41"/>
    <s v="Oregon"/>
    <n v="51"/>
    <s v="Multnomah County"/>
    <n v="30"/>
    <x v="19"/>
    <n v="29"/>
    <x v="148"/>
    <n v="23"/>
    <n v="49"/>
    <n v="2847"/>
    <n v="32214"/>
    <n v="51593"/>
    <n v="2469717"/>
    <n v="348477"/>
    <n v="638004"/>
    <n v="31134364"/>
    <n v="41051"/>
    <n v="41051"/>
    <x v="157"/>
    <n v="1"/>
    <n v="0"/>
  </r>
  <r>
    <x v="4"/>
    <n v="41"/>
    <s v="Oregon"/>
    <n v="51"/>
    <s v="Multnomah County"/>
    <n v="30"/>
    <x v="19"/>
    <n v="31"/>
    <x v="58"/>
    <n v="34"/>
    <n v="45"/>
    <n v="2358"/>
    <n v="32214"/>
    <n v="51593"/>
    <n v="2469717"/>
    <n v="348477"/>
    <n v="638004"/>
    <n v="31134364"/>
    <n v="41051"/>
    <n v="41051"/>
    <x v="59"/>
    <n v="1"/>
    <n v="0"/>
  </r>
  <r>
    <x v="4"/>
    <n v="41"/>
    <s v="Oregon"/>
    <n v="51"/>
    <s v="Multnomah County"/>
    <n v="30"/>
    <x v="19"/>
    <n v="49"/>
    <x v="149"/>
    <n v="22"/>
    <n v="30"/>
    <n v="1045"/>
    <n v="32214"/>
    <n v="51593"/>
    <n v="2469717"/>
    <n v="348477"/>
    <n v="638004"/>
    <n v="31134364"/>
    <n v="41051"/>
    <n v="41051"/>
    <x v="158"/>
    <n v="1"/>
    <n v="0"/>
  </r>
  <r>
    <x v="4"/>
    <n v="41"/>
    <s v="Oregon"/>
    <n v="51"/>
    <s v="Multnomah County"/>
    <n v="30"/>
    <x v="19"/>
    <n v="63"/>
    <x v="59"/>
    <n v="51"/>
    <n v="66"/>
    <n v="2724"/>
    <n v="32214"/>
    <n v="51593"/>
    <n v="2469717"/>
    <n v="348477"/>
    <n v="638004"/>
    <n v="31134364"/>
    <n v="41051"/>
    <n v="41051"/>
    <x v="60"/>
    <n v="1"/>
    <n v="0"/>
  </r>
  <r>
    <x v="4"/>
    <n v="41"/>
    <s v="Oregon"/>
    <n v="51"/>
    <s v="Multnomah County"/>
    <n v="30"/>
    <x v="19"/>
    <n v="111"/>
    <x v="60"/>
    <n v="21"/>
    <n v="71"/>
    <n v="1343"/>
    <n v="32214"/>
    <n v="51593"/>
    <n v="2469717"/>
    <n v="348477"/>
    <n v="638004"/>
    <n v="31134364"/>
    <n v="41051"/>
    <n v="41051"/>
    <x v="61"/>
    <n v="1"/>
    <n v="0"/>
  </r>
  <r>
    <x v="4"/>
    <n v="41"/>
    <s v="Oregon"/>
    <n v="51"/>
    <s v="Multnomah County"/>
    <n v="32"/>
    <x v="20"/>
    <n v="3"/>
    <x v="61"/>
    <n v="235"/>
    <n v="398"/>
    <n v="12304"/>
    <n v="32214"/>
    <n v="51593"/>
    <n v="2469717"/>
    <n v="348477"/>
    <n v="638004"/>
    <n v="31134364"/>
    <n v="41051"/>
    <n v="41051"/>
    <x v="62"/>
    <n v="1"/>
    <n v="0"/>
  </r>
  <r>
    <x v="4"/>
    <n v="41"/>
    <s v="Oregon"/>
    <n v="51"/>
    <s v="Multnomah County"/>
    <n v="32"/>
    <x v="20"/>
    <n v="31"/>
    <x v="62"/>
    <n v="46"/>
    <n v="75"/>
    <n v="3569"/>
    <n v="32214"/>
    <n v="51593"/>
    <n v="2469717"/>
    <n v="348477"/>
    <n v="638004"/>
    <n v="31134364"/>
    <n v="41051"/>
    <n v="41051"/>
    <x v="63"/>
    <n v="1"/>
    <n v="0"/>
  </r>
  <r>
    <x v="4"/>
    <n v="41"/>
    <s v="Oregon"/>
    <n v="51"/>
    <s v="Multnomah County"/>
    <n v="35"/>
    <x v="21"/>
    <n v="1"/>
    <x v="63"/>
    <n v="57"/>
    <n v="84"/>
    <n v="3094"/>
    <n v="32214"/>
    <n v="51593"/>
    <n v="2469717"/>
    <n v="348477"/>
    <n v="638004"/>
    <n v="31134364"/>
    <n v="41051"/>
    <n v="41051"/>
    <x v="64"/>
    <n v="1"/>
    <n v="0"/>
  </r>
  <r>
    <x v="4"/>
    <n v="41"/>
    <s v="Oregon"/>
    <n v="51"/>
    <s v="Multnomah County"/>
    <n v="35"/>
    <x v="21"/>
    <n v="49"/>
    <x v="64"/>
    <n v="43"/>
    <n v="58"/>
    <n v="2567"/>
    <n v="32214"/>
    <n v="51593"/>
    <n v="2469717"/>
    <n v="348477"/>
    <n v="638004"/>
    <n v="31134364"/>
    <n v="41051"/>
    <n v="41051"/>
    <x v="65"/>
    <n v="1"/>
    <n v="0"/>
  </r>
  <r>
    <x v="4"/>
    <n v="41"/>
    <s v="Oregon"/>
    <n v="51"/>
    <s v="Multnomah County"/>
    <n v="36"/>
    <x v="22"/>
    <n v="29"/>
    <x v="151"/>
    <n v="22"/>
    <n v="29"/>
    <n v="1573"/>
    <n v="32214"/>
    <n v="51593"/>
    <n v="2469717"/>
    <n v="348477"/>
    <n v="638004"/>
    <n v="31134364"/>
    <n v="41051"/>
    <n v="41051"/>
    <x v="161"/>
    <n v="1"/>
    <n v="0"/>
  </r>
  <r>
    <x v="4"/>
    <n v="41"/>
    <s v="Oregon"/>
    <n v="51"/>
    <s v="Multnomah County"/>
    <n v="36"/>
    <x v="22"/>
    <n v="47"/>
    <x v="65"/>
    <n v="133"/>
    <n v="143"/>
    <n v="6775"/>
    <n v="32214"/>
    <n v="51593"/>
    <n v="2469717"/>
    <n v="348477"/>
    <n v="638004"/>
    <n v="31134364"/>
    <n v="41051"/>
    <n v="41051"/>
    <x v="66"/>
    <n v="1"/>
    <n v="0"/>
  </r>
  <r>
    <x v="4"/>
    <n v="41"/>
    <s v="Oregon"/>
    <n v="51"/>
    <s v="Multnomah County"/>
    <n v="36"/>
    <x v="22"/>
    <n v="55"/>
    <x v="152"/>
    <n v="28"/>
    <n v="43"/>
    <n v="2008"/>
    <n v="32214"/>
    <n v="51593"/>
    <n v="2469717"/>
    <n v="348477"/>
    <n v="638004"/>
    <n v="31134364"/>
    <n v="41051"/>
    <n v="41051"/>
    <x v="162"/>
    <n v="1"/>
    <n v="0"/>
  </r>
  <r>
    <x v="4"/>
    <n v="41"/>
    <s v="Oregon"/>
    <n v="51"/>
    <s v="Multnomah County"/>
    <n v="36"/>
    <x v="22"/>
    <n v="61"/>
    <x v="66"/>
    <n v="95"/>
    <n v="110"/>
    <n v="7461"/>
    <n v="32214"/>
    <n v="51593"/>
    <n v="2469717"/>
    <n v="348477"/>
    <n v="638004"/>
    <n v="31134364"/>
    <n v="41051"/>
    <n v="41051"/>
    <x v="67"/>
    <n v="1"/>
    <n v="0"/>
  </r>
  <r>
    <x v="4"/>
    <n v="41"/>
    <s v="Oregon"/>
    <n v="51"/>
    <s v="Multnomah County"/>
    <n v="36"/>
    <x v="22"/>
    <n v="81"/>
    <x v="67"/>
    <n v="36"/>
    <n v="44"/>
    <n v="1880"/>
    <n v="32214"/>
    <n v="51593"/>
    <n v="2469717"/>
    <n v="348477"/>
    <n v="638004"/>
    <n v="31134364"/>
    <n v="41051"/>
    <n v="41051"/>
    <x v="68"/>
    <n v="1"/>
    <n v="0"/>
  </r>
  <r>
    <x v="4"/>
    <n v="41"/>
    <s v="Oregon"/>
    <n v="51"/>
    <s v="Multnomah County"/>
    <n v="37"/>
    <x v="23"/>
    <n v="21"/>
    <x v="69"/>
    <n v="22"/>
    <n v="31"/>
    <n v="1270"/>
    <n v="32214"/>
    <n v="51593"/>
    <n v="2469717"/>
    <n v="348477"/>
    <n v="638004"/>
    <n v="31134364"/>
    <n v="41051"/>
    <n v="41051"/>
    <x v="70"/>
    <n v="1"/>
    <n v="0"/>
  </r>
  <r>
    <x v="4"/>
    <n v="41"/>
    <s v="Oregon"/>
    <n v="51"/>
    <s v="Multnomah County"/>
    <n v="37"/>
    <x v="23"/>
    <n v="119"/>
    <x v="70"/>
    <n v="38"/>
    <n v="71"/>
    <n v="3095"/>
    <n v="32214"/>
    <n v="51593"/>
    <n v="2469717"/>
    <n v="348477"/>
    <n v="638004"/>
    <n v="31134364"/>
    <n v="41051"/>
    <n v="41051"/>
    <x v="71"/>
    <n v="1"/>
    <n v="0"/>
  </r>
  <r>
    <x v="4"/>
    <n v="41"/>
    <s v="Oregon"/>
    <n v="51"/>
    <s v="Multnomah County"/>
    <n v="37"/>
    <x v="23"/>
    <n v="183"/>
    <x v="155"/>
    <n v="35"/>
    <n v="55"/>
    <n v="2188"/>
    <n v="32214"/>
    <n v="51593"/>
    <n v="2469717"/>
    <n v="348477"/>
    <n v="638004"/>
    <n v="31134364"/>
    <n v="41051"/>
    <n v="41051"/>
    <x v="166"/>
    <n v="1"/>
    <n v="0"/>
  </r>
  <r>
    <x v="4"/>
    <n v="41"/>
    <s v="Oregon"/>
    <n v="51"/>
    <s v="Multnomah County"/>
    <n v="39"/>
    <x v="24"/>
    <n v="35"/>
    <x v="156"/>
    <n v="32"/>
    <n v="52"/>
    <n v="2205"/>
    <n v="32214"/>
    <n v="51593"/>
    <n v="2469717"/>
    <n v="348477"/>
    <n v="638004"/>
    <n v="31134364"/>
    <n v="41051"/>
    <n v="41051"/>
    <x v="167"/>
    <n v="1"/>
    <n v="0"/>
  </r>
  <r>
    <x v="4"/>
    <n v="41"/>
    <s v="Oregon"/>
    <n v="51"/>
    <s v="Multnomah County"/>
    <n v="39"/>
    <x v="24"/>
    <n v="49"/>
    <x v="71"/>
    <n v="51"/>
    <n v="101"/>
    <n v="3379"/>
    <n v="32214"/>
    <n v="51593"/>
    <n v="2469717"/>
    <n v="348477"/>
    <n v="638004"/>
    <n v="31134364"/>
    <n v="41051"/>
    <n v="41051"/>
    <x v="72"/>
    <n v="1"/>
    <n v="0"/>
  </r>
  <r>
    <x v="4"/>
    <n v="41"/>
    <s v="Oregon"/>
    <n v="51"/>
    <s v="Multnomah County"/>
    <n v="39"/>
    <x v="24"/>
    <n v="61"/>
    <x v="157"/>
    <n v="22"/>
    <n v="34"/>
    <n v="1501"/>
    <n v="32214"/>
    <n v="51593"/>
    <n v="2469717"/>
    <n v="348477"/>
    <n v="638004"/>
    <n v="31134364"/>
    <n v="41051"/>
    <n v="41051"/>
    <x v="168"/>
    <n v="1"/>
    <n v="0"/>
  </r>
  <r>
    <x v="4"/>
    <n v="41"/>
    <s v="Oregon"/>
    <n v="51"/>
    <s v="Multnomah County"/>
    <n v="40"/>
    <x v="39"/>
    <n v="109"/>
    <x v="158"/>
    <n v="30"/>
    <n v="48"/>
    <n v="1649"/>
    <n v="32214"/>
    <n v="51593"/>
    <n v="2469717"/>
    <n v="348477"/>
    <n v="638004"/>
    <n v="31134364"/>
    <n v="41051"/>
    <n v="41051"/>
    <x v="169"/>
    <n v="1"/>
    <n v="0"/>
  </r>
  <r>
    <x v="4"/>
    <n v="41"/>
    <s v="Oregon"/>
    <n v="51"/>
    <s v="Multnomah County"/>
    <n v="40"/>
    <x v="39"/>
    <n v="143"/>
    <x v="182"/>
    <n v="37"/>
    <n v="54"/>
    <n v="2135"/>
    <n v="32214"/>
    <n v="51593"/>
    <n v="2469717"/>
    <n v="348477"/>
    <n v="638004"/>
    <n v="31134364"/>
    <n v="41051"/>
    <n v="41051"/>
    <x v="195"/>
    <n v="1"/>
    <n v="0"/>
  </r>
  <r>
    <x v="4"/>
    <n v="41"/>
    <s v="Oregon"/>
    <n v="51"/>
    <s v="Multnomah County"/>
    <n v="41"/>
    <x v="25"/>
    <n v="3"/>
    <x v="73"/>
    <n v="189"/>
    <n v="267"/>
    <n v="10562"/>
    <n v="32214"/>
    <n v="51593"/>
    <n v="2469717"/>
    <n v="348477"/>
    <n v="638004"/>
    <n v="31134364"/>
    <n v="41051"/>
    <n v="41051"/>
    <x v="74"/>
    <n v="1"/>
    <n v="0"/>
  </r>
  <r>
    <x v="4"/>
    <n v="41"/>
    <s v="Oregon"/>
    <n v="51"/>
    <s v="Multnomah County"/>
    <n v="41"/>
    <x v="25"/>
    <n v="5"/>
    <x v="74"/>
    <n v="5956"/>
    <n v="10731"/>
    <n v="462807"/>
    <n v="32214"/>
    <n v="51593"/>
    <n v="2469717"/>
    <n v="348477"/>
    <n v="638004"/>
    <n v="31134364"/>
    <n v="41051"/>
    <n v="41051"/>
    <x v="75"/>
    <n v="1"/>
    <n v="0"/>
  </r>
  <r>
    <x v="4"/>
    <n v="41"/>
    <s v="Oregon"/>
    <n v="51"/>
    <s v="Multnomah County"/>
    <n v="41"/>
    <x v="25"/>
    <n v="7"/>
    <x v="75"/>
    <n v="209"/>
    <n v="334"/>
    <n v="18713"/>
    <n v="32214"/>
    <n v="51593"/>
    <n v="2469717"/>
    <n v="348477"/>
    <n v="638004"/>
    <n v="31134364"/>
    <n v="41051"/>
    <n v="41051"/>
    <x v="76"/>
    <n v="1"/>
    <n v="0"/>
  </r>
  <r>
    <x v="4"/>
    <n v="41"/>
    <s v="Oregon"/>
    <n v="51"/>
    <s v="Multnomah County"/>
    <n v="41"/>
    <x v="25"/>
    <n v="9"/>
    <x v="76"/>
    <n v="364"/>
    <n v="627"/>
    <n v="22801"/>
    <n v="32214"/>
    <n v="51593"/>
    <n v="2469717"/>
    <n v="348477"/>
    <n v="638004"/>
    <n v="31134364"/>
    <n v="41051"/>
    <n v="41051"/>
    <x v="77"/>
    <n v="1"/>
    <n v="0"/>
  </r>
  <r>
    <x v="4"/>
    <n v="41"/>
    <s v="Oregon"/>
    <n v="51"/>
    <s v="Multnomah County"/>
    <n v="41"/>
    <x v="25"/>
    <n v="11"/>
    <x v="77"/>
    <n v="55"/>
    <n v="81"/>
    <n v="2998"/>
    <n v="32214"/>
    <n v="51593"/>
    <n v="2469717"/>
    <n v="348477"/>
    <n v="638004"/>
    <n v="31134364"/>
    <n v="41051"/>
    <n v="41051"/>
    <x v="78"/>
    <n v="1"/>
    <n v="0"/>
  </r>
  <r>
    <x v="4"/>
    <n v="41"/>
    <s v="Oregon"/>
    <n v="51"/>
    <s v="Multnomah County"/>
    <n v="41"/>
    <x v="25"/>
    <n v="13"/>
    <x v="78"/>
    <n v="45"/>
    <n v="76"/>
    <n v="7023"/>
    <n v="32214"/>
    <n v="51593"/>
    <n v="2469717"/>
    <n v="348477"/>
    <n v="638004"/>
    <n v="31134364"/>
    <n v="41051"/>
    <n v="41051"/>
    <x v="79"/>
    <n v="1"/>
    <n v="0"/>
  </r>
  <r>
    <x v="4"/>
    <n v="41"/>
    <s v="Oregon"/>
    <n v="51"/>
    <s v="Multnomah County"/>
    <n v="41"/>
    <x v="25"/>
    <n v="15"/>
    <x v="159"/>
    <n v="35"/>
    <n v="48"/>
    <n v="2044"/>
    <n v="32214"/>
    <n v="51593"/>
    <n v="2469717"/>
    <n v="348477"/>
    <n v="638004"/>
    <n v="31134364"/>
    <n v="41051"/>
    <n v="41051"/>
    <x v="170"/>
    <n v="1"/>
    <n v="0"/>
  </r>
  <r>
    <x v="4"/>
    <n v="41"/>
    <s v="Oregon"/>
    <n v="51"/>
    <s v="Multnomah County"/>
    <n v="41"/>
    <x v="25"/>
    <n v="17"/>
    <x v="79"/>
    <n v="706"/>
    <n v="1181"/>
    <n v="138328"/>
    <n v="32214"/>
    <n v="51593"/>
    <n v="2469717"/>
    <n v="348477"/>
    <n v="638004"/>
    <n v="31134364"/>
    <n v="41051"/>
    <n v="41051"/>
    <x v="80"/>
    <n v="1"/>
    <n v="0"/>
  </r>
  <r>
    <x v="4"/>
    <n v="41"/>
    <s v="Oregon"/>
    <n v="51"/>
    <s v="Multnomah County"/>
    <n v="41"/>
    <x v="25"/>
    <n v="19"/>
    <x v="80"/>
    <n v="82"/>
    <n v="134"/>
    <n v="3469"/>
    <n v="32214"/>
    <n v="51593"/>
    <n v="2469717"/>
    <n v="348477"/>
    <n v="638004"/>
    <n v="31134364"/>
    <n v="41051"/>
    <n v="41051"/>
    <x v="81"/>
    <n v="1"/>
    <n v="0"/>
  </r>
  <r>
    <x v="4"/>
    <n v="41"/>
    <s v="Oregon"/>
    <n v="51"/>
    <s v="Multnomah County"/>
    <n v="41"/>
    <x v="25"/>
    <n v="27"/>
    <x v="81"/>
    <n v="162"/>
    <n v="277"/>
    <n v="17575"/>
    <n v="32214"/>
    <n v="51593"/>
    <n v="2469717"/>
    <n v="348477"/>
    <n v="638004"/>
    <n v="31134364"/>
    <n v="41051"/>
    <n v="41051"/>
    <x v="82"/>
    <n v="1"/>
    <n v="0"/>
  </r>
  <r>
    <x v="4"/>
    <n v="41"/>
    <s v="Oregon"/>
    <n v="51"/>
    <s v="Multnomah County"/>
    <n v="41"/>
    <x v="25"/>
    <n v="29"/>
    <x v="82"/>
    <n v="185"/>
    <n v="263"/>
    <n v="9285"/>
    <n v="32214"/>
    <n v="51593"/>
    <n v="2469717"/>
    <n v="348477"/>
    <n v="638004"/>
    <n v="31134364"/>
    <n v="41051"/>
    <n v="41051"/>
    <x v="83"/>
    <n v="1"/>
    <n v="0"/>
  </r>
  <r>
    <x v="4"/>
    <n v="41"/>
    <s v="Oregon"/>
    <n v="51"/>
    <s v="Multnomah County"/>
    <n v="41"/>
    <x v="25"/>
    <n v="31"/>
    <x v="31"/>
    <n v="41"/>
    <n v="64"/>
    <n v="3577"/>
    <n v="32214"/>
    <n v="51593"/>
    <n v="2469717"/>
    <n v="348477"/>
    <n v="638004"/>
    <n v="31134364"/>
    <n v="41051"/>
    <n v="41051"/>
    <x v="84"/>
    <n v="1"/>
    <n v="0"/>
  </r>
  <r>
    <x v="4"/>
    <n v="41"/>
    <s v="Oregon"/>
    <n v="51"/>
    <s v="Multnomah County"/>
    <n v="41"/>
    <x v="25"/>
    <n v="33"/>
    <x v="83"/>
    <n v="72"/>
    <n v="120"/>
    <n v="3253"/>
    <n v="32214"/>
    <n v="51593"/>
    <n v="2469717"/>
    <n v="348477"/>
    <n v="638004"/>
    <n v="31134364"/>
    <n v="41051"/>
    <n v="41051"/>
    <x v="85"/>
    <n v="1"/>
    <n v="0"/>
  </r>
  <r>
    <x v="4"/>
    <n v="41"/>
    <s v="Oregon"/>
    <n v="51"/>
    <s v="Multnomah County"/>
    <n v="41"/>
    <x v="25"/>
    <n v="35"/>
    <x v="84"/>
    <n v="55"/>
    <n v="98"/>
    <n v="2586"/>
    <n v="32214"/>
    <n v="51593"/>
    <n v="2469717"/>
    <n v="348477"/>
    <n v="638004"/>
    <n v="31134364"/>
    <n v="41051"/>
    <n v="41051"/>
    <x v="86"/>
    <n v="1"/>
    <n v="0"/>
  </r>
  <r>
    <x v="4"/>
    <n v="41"/>
    <s v="Oregon"/>
    <n v="51"/>
    <s v="Multnomah County"/>
    <n v="41"/>
    <x v="25"/>
    <n v="39"/>
    <x v="85"/>
    <n v="482"/>
    <n v="677"/>
    <n v="26466"/>
    <n v="32214"/>
    <n v="51593"/>
    <n v="2469717"/>
    <n v="348477"/>
    <n v="638004"/>
    <n v="31134364"/>
    <n v="41051"/>
    <n v="41051"/>
    <x v="87"/>
    <n v="1"/>
    <n v="0"/>
  </r>
  <r>
    <x v="4"/>
    <n v="41"/>
    <s v="Oregon"/>
    <n v="51"/>
    <s v="Multnomah County"/>
    <n v="41"/>
    <x v="25"/>
    <n v="41"/>
    <x v="86"/>
    <n v="135"/>
    <n v="196"/>
    <n v="11890"/>
    <n v="32214"/>
    <n v="51593"/>
    <n v="2469717"/>
    <n v="348477"/>
    <n v="638004"/>
    <n v="31134364"/>
    <n v="41051"/>
    <n v="41051"/>
    <x v="88"/>
    <n v="1"/>
    <n v="0"/>
  </r>
  <r>
    <x v="4"/>
    <n v="41"/>
    <s v="Oregon"/>
    <n v="51"/>
    <s v="Multnomah County"/>
    <n v="41"/>
    <x v="25"/>
    <n v="43"/>
    <x v="87"/>
    <n v="116"/>
    <n v="178"/>
    <n v="6012"/>
    <n v="32214"/>
    <n v="51593"/>
    <n v="2469717"/>
    <n v="348477"/>
    <n v="638004"/>
    <n v="31134364"/>
    <n v="41051"/>
    <n v="41051"/>
    <x v="89"/>
    <n v="1"/>
    <n v="0"/>
  </r>
  <r>
    <x v="4"/>
    <n v="41"/>
    <s v="Oregon"/>
    <n v="51"/>
    <s v="Multnomah County"/>
    <n v="41"/>
    <x v="25"/>
    <n v="47"/>
    <x v="48"/>
    <n v="574"/>
    <n v="945"/>
    <n v="29828"/>
    <n v="32214"/>
    <n v="51593"/>
    <n v="2469717"/>
    <n v="348477"/>
    <n v="638004"/>
    <n v="31134364"/>
    <n v="41051"/>
    <n v="41051"/>
    <x v="90"/>
    <n v="1"/>
    <n v="0"/>
  </r>
  <r>
    <x v="4"/>
    <n v="41"/>
    <s v="Oregon"/>
    <n v="51"/>
    <s v="Multnomah County"/>
    <n v="41"/>
    <x v="25"/>
    <n v="53"/>
    <x v="49"/>
    <n v="149"/>
    <n v="239"/>
    <n v="8940"/>
    <n v="32214"/>
    <n v="51593"/>
    <n v="2469717"/>
    <n v="348477"/>
    <n v="638004"/>
    <n v="31134364"/>
    <n v="41051"/>
    <n v="41051"/>
    <x v="91"/>
    <n v="1"/>
    <n v="0"/>
  </r>
  <r>
    <x v="4"/>
    <n v="41"/>
    <s v="Oregon"/>
    <n v="51"/>
    <s v="Multnomah County"/>
    <n v="41"/>
    <x v="25"/>
    <n v="57"/>
    <x v="88"/>
    <n v="147"/>
    <n v="255"/>
    <n v="14922"/>
    <n v="32214"/>
    <n v="51593"/>
    <n v="2469717"/>
    <n v="348477"/>
    <n v="638004"/>
    <n v="31134364"/>
    <n v="41051"/>
    <n v="41051"/>
    <x v="92"/>
    <n v="1"/>
    <n v="0"/>
  </r>
  <r>
    <x v="4"/>
    <n v="41"/>
    <s v="Oregon"/>
    <n v="51"/>
    <s v="Multnomah County"/>
    <n v="41"/>
    <x v="25"/>
    <n v="59"/>
    <x v="89"/>
    <n v="52"/>
    <n v="81"/>
    <n v="2590"/>
    <n v="32214"/>
    <n v="51593"/>
    <n v="2469717"/>
    <n v="348477"/>
    <n v="638004"/>
    <n v="31134364"/>
    <n v="41051"/>
    <n v="41051"/>
    <x v="93"/>
    <n v="1"/>
    <n v="0"/>
  </r>
  <r>
    <x v="4"/>
    <n v="41"/>
    <s v="Oregon"/>
    <n v="51"/>
    <s v="Multnomah County"/>
    <n v="41"/>
    <x v="25"/>
    <n v="61"/>
    <x v="90"/>
    <n v="27"/>
    <n v="47"/>
    <n v="1195"/>
    <n v="32214"/>
    <n v="51593"/>
    <n v="2469717"/>
    <n v="348477"/>
    <n v="638004"/>
    <n v="31134364"/>
    <n v="41051"/>
    <n v="41051"/>
    <x v="94"/>
    <n v="1"/>
    <n v="0"/>
  </r>
  <r>
    <x v="4"/>
    <n v="41"/>
    <s v="Oregon"/>
    <n v="51"/>
    <s v="Multnomah County"/>
    <n v="41"/>
    <x v="25"/>
    <n v="65"/>
    <x v="91"/>
    <n v="77"/>
    <n v="122"/>
    <n v="6393"/>
    <n v="32214"/>
    <n v="51593"/>
    <n v="2469717"/>
    <n v="348477"/>
    <n v="638004"/>
    <n v="31134364"/>
    <n v="41051"/>
    <n v="41051"/>
    <x v="95"/>
    <n v="1"/>
    <n v="0"/>
  </r>
  <r>
    <x v="4"/>
    <n v="41"/>
    <s v="Oregon"/>
    <n v="51"/>
    <s v="Multnomah County"/>
    <n v="41"/>
    <x v="25"/>
    <n v="67"/>
    <x v="92"/>
    <n v="5212"/>
    <n v="7922"/>
    <n v="377836"/>
    <n v="32214"/>
    <n v="51593"/>
    <n v="2469717"/>
    <n v="348477"/>
    <n v="638004"/>
    <n v="31134364"/>
    <n v="41051"/>
    <n v="41051"/>
    <x v="96"/>
    <n v="1"/>
    <n v="0"/>
  </r>
  <r>
    <x v="4"/>
    <n v="41"/>
    <s v="Oregon"/>
    <n v="51"/>
    <s v="Multnomah County"/>
    <n v="41"/>
    <x v="25"/>
    <n v="71"/>
    <x v="93"/>
    <n v="288"/>
    <n v="465"/>
    <n v="27297"/>
    <n v="32214"/>
    <n v="51593"/>
    <n v="2469717"/>
    <n v="348477"/>
    <n v="638004"/>
    <n v="31134364"/>
    <n v="41051"/>
    <n v="41051"/>
    <x v="97"/>
    <n v="1"/>
    <n v="0"/>
  </r>
  <r>
    <x v="4"/>
    <n v="41"/>
    <s v="Oregon"/>
    <n v="51"/>
    <s v="Multnomah County"/>
    <n v="42"/>
    <x v="26"/>
    <n v="3"/>
    <x v="94"/>
    <n v="52"/>
    <n v="70"/>
    <n v="5047"/>
    <n v="32214"/>
    <n v="51593"/>
    <n v="2469717"/>
    <n v="348477"/>
    <n v="638004"/>
    <n v="31134364"/>
    <n v="41051"/>
    <n v="41051"/>
    <x v="98"/>
    <n v="1"/>
    <n v="0"/>
  </r>
  <r>
    <x v="4"/>
    <n v="41"/>
    <s v="Oregon"/>
    <n v="51"/>
    <s v="Multnomah County"/>
    <n v="42"/>
    <x v="26"/>
    <n v="101"/>
    <x v="95"/>
    <n v="75"/>
    <n v="95"/>
    <n v="7140"/>
    <n v="32214"/>
    <n v="51593"/>
    <n v="2469717"/>
    <n v="348477"/>
    <n v="638004"/>
    <n v="31134364"/>
    <n v="41051"/>
    <n v="41051"/>
    <x v="99"/>
    <n v="1"/>
    <n v="0"/>
  </r>
  <r>
    <x v="4"/>
    <n v="41"/>
    <s v="Oregon"/>
    <n v="51"/>
    <s v="Multnomah County"/>
    <n v="47"/>
    <x v="27"/>
    <n v="37"/>
    <x v="96"/>
    <n v="55"/>
    <n v="63"/>
    <n v="3764"/>
    <n v="32214"/>
    <n v="51593"/>
    <n v="2469717"/>
    <n v="348477"/>
    <n v="638004"/>
    <n v="31134364"/>
    <n v="41051"/>
    <n v="41051"/>
    <x v="100"/>
    <n v="1"/>
    <n v="0"/>
  </r>
  <r>
    <x v="4"/>
    <n v="41"/>
    <s v="Oregon"/>
    <n v="51"/>
    <s v="Multnomah County"/>
    <n v="47"/>
    <x v="27"/>
    <n v="157"/>
    <x v="164"/>
    <n v="25"/>
    <n v="36"/>
    <n v="1145"/>
    <n v="32214"/>
    <n v="51593"/>
    <n v="2469717"/>
    <n v="348477"/>
    <n v="638004"/>
    <n v="31134364"/>
    <n v="41051"/>
    <n v="41051"/>
    <x v="175"/>
    <n v="1"/>
    <n v="0"/>
  </r>
  <r>
    <x v="4"/>
    <n v="41"/>
    <s v="Oregon"/>
    <n v="51"/>
    <s v="Multnomah County"/>
    <n v="48"/>
    <x v="28"/>
    <n v="29"/>
    <x v="98"/>
    <n v="57"/>
    <n v="85"/>
    <n v="3393"/>
    <n v="32214"/>
    <n v="51593"/>
    <n v="2469717"/>
    <n v="348477"/>
    <n v="638004"/>
    <n v="31134364"/>
    <n v="41051"/>
    <n v="41051"/>
    <x v="102"/>
    <n v="1"/>
    <n v="0"/>
  </r>
  <r>
    <x v="4"/>
    <n v="41"/>
    <s v="Oregon"/>
    <n v="51"/>
    <s v="Multnomah County"/>
    <n v="48"/>
    <x v="28"/>
    <n v="85"/>
    <x v="165"/>
    <n v="27"/>
    <n v="44"/>
    <n v="2395"/>
    <n v="32214"/>
    <n v="51593"/>
    <n v="2469717"/>
    <n v="348477"/>
    <n v="638004"/>
    <n v="31134364"/>
    <n v="41051"/>
    <n v="41051"/>
    <x v="176"/>
    <n v="1"/>
    <n v="0"/>
  </r>
  <r>
    <x v="4"/>
    <n v="41"/>
    <s v="Oregon"/>
    <n v="51"/>
    <s v="Multnomah County"/>
    <n v="48"/>
    <x v="28"/>
    <n v="113"/>
    <x v="99"/>
    <n v="78"/>
    <n v="118"/>
    <n v="6352"/>
    <n v="32214"/>
    <n v="51593"/>
    <n v="2469717"/>
    <n v="348477"/>
    <n v="638004"/>
    <n v="31134364"/>
    <n v="41051"/>
    <n v="41051"/>
    <x v="103"/>
    <n v="1"/>
    <n v="0"/>
  </r>
  <r>
    <x v="4"/>
    <n v="41"/>
    <s v="Oregon"/>
    <n v="51"/>
    <s v="Multnomah County"/>
    <n v="48"/>
    <x v="28"/>
    <n v="121"/>
    <x v="183"/>
    <n v="27"/>
    <n v="44"/>
    <n v="2728"/>
    <n v="32214"/>
    <n v="51593"/>
    <n v="2469717"/>
    <n v="348477"/>
    <n v="638004"/>
    <n v="31134364"/>
    <n v="41051"/>
    <n v="41051"/>
    <x v="196"/>
    <n v="1"/>
    <n v="0"/>
  </r>
  <r>
    <x v="4"/>
    <n v="41"/>
    <s v="Oregon"/>
    <n v="51"/>
    <s v="Multnomah County"/>
    <n v="48"/>
    <x v="28"/>
    <n v="201"/>
    <x v="100"/>
    <n v="89"/>
    <n v="158"/>
    <n v="6319"/>
    <n v="32214"/>
    <n v="51593"/>
    <n v="2469717"/>
    <n v="348477"/>
    <n v="638004"/>
    <n v="31134364"/>
    <n v="41051"/>
    <n v="41051"/>
    <x v="104"/>
    <n v="1"/>
    <n v="0"/>
  </r>
  <r>
    <x v="4"/>
    <n v="41"/>
    <s v="Oregon"/>
    <n v="51"/>
    <s v="Multnomah County"/>
    <n v="48"/>
    <x v="28"/>
    <n v="209"/>
    <x v="184"/>
    <n v="20"/>
    <n v="44"/>
    <n v="1933"/>
    <n v="32214"/>
    <n v="51593"/>
    <n v="2469717"/>
    <n v="348477"/>
    <n v="638004"/>
    <n v="31134364"/>
    <n v="41051"/>
    <n v="41051"/>
    <x v="197"/>
    <n v="1"/>
    <n v="0"/>
  </r>
  <r>
    <x v="4"/>
    <n v="41"/>
    <s v="Oregon"/>
    <n v="51"/>
    <s v="Multnomah County"/>
    <n v="48"/>
    <x v="28"/>
    <n v="439"/>
    <x v="101"/>
    <n v="58"/>
    <n v="90"/>
    <n v="5060"/>
    <n v="32214"/>
    <n v="51593"/>
    <n v="2469717"/>
    <n v="348477"/>
    <n v="638004"/>
    <n v="31134364"/>
    <n v="41051"/>
    <n v="41051"/>
    <x v="105"/>
    <n v="1"/>
    <n v="0"/>
  </r>
  <r>
    <x v="4"/>
    <n v="41"/>
    <s v="Oregon"/>
    <n v="51"/>
    <s v="Multnomah County"/>
    <n v="48"/>
    <x v="28"/>
    <n v="453"/>
    <x v="102"/>
    <n v="147"/>
    <n v="201"/>
    <n v="24842"/>
    <n v="32214"/>
    <n v="51593"/>
    <n v="2469717"/>
    <n v="348477"/>
    <n v="638004"/>
    <n v="31134364"/>
    <n v="41051"/>
    <n v="41051"/>
    <x v="106"/>
    <n v="1"/>
    <n v="0"/>
  </r>
  <r>
    <x v="4"/>
    <n v="41"/>
    <s v="Oregon"/>
    <n v="51"/>
    <s v="Multnomah County"/>
    <n v="48"/>
    <x v="28"/>
    <n v="491"/>
    <x v="166"/>
    <n v="43"/>
    <n v="87"/>
    <n v="3190"/>
    <n v="32214"/>
    <n v="51593"/>
    <n v="2469717"/>
    <n v="348477"/>
    <n v="638004"/>
    <n v="31134364"/>
    <n v="41051"/>
    <n v="41051"/>
    <x v="177"/>
    <n v="1"/>
    <n v="0"/>
  </r>
  <r>
    <x v="4"/>
    <n v="41"/>
    <s v="Oregon"/>
    <n v="51"/>
    <s v="Multnomah County"/>
    <n v="49"/>
    <x v="29"/>
    <n v="35"/>
    <x v="103"/>
    <n v="122"/>
    <n v="162"/>
    <n v="6551"/>
    <n v="32214"/>
    <n v="51593"/>
    <n v="2469717"/>
    <n v="348477"/>
    <n v="638004"/>
    <n v="31134364"/>
    <n v="41051"/>
    <n v="41051"/>
    <x v="107"/>
    <n v="1"/>
    <n v="0"/>
  </r>
  <r>
    <x v="4"/>
    <n v="41"/>
    <s v="Oregon"/>
    <n v="51"/>
    <s v="Multnomah County"/>
    <n v="49"/>
    <x v="29"/>
    <n v="49"/>
    <x v="168"/>
    <n v="32"/>
    <n v="56"/>
    <n v="1469"/>
    <n v="32214"/>
    <n v="51593"/>
    <n v="2469717"/>
    <n v="348477"/>
    <n v="638004"/>
    <n v="31134364"/>
    <n v="41051"/>
    <n v="41051"/>
    <x v="179"/>
    <n v="1"/>
    <n v="0"/>
  </r>
  <r>
    <x v="4"/>
    <n v="41"/>
    <s v="Oregon"/>
    <n v="51"/>
    <s v="Multnomah County"/>
    <n v="49"/>
    <x v="29"/>
    <n v="53"/>
    <x v="92"/>
    <n v="22"/>
    <n v="36"/>
    <n v="1226"/>
    <n v="32214"/>
    <n v="51593"/>
    <n v="2469717"/>
    <n v="348477"/>
    <n v="638004"/>
    <n v="31134364"/>
    <n v="41051"/>
    <n v="41051"/>
    <x v="198"/>
    <n v="1"/>
    <n v="0"/>
  </r>
  <r>
    <x v="4"/>
    <n v="41"/>
    <s v="Oregon"/>
    <n v="51"/>
    <s v="Multnomah County"/>
    <n v="51"/>
    <x v="31"/>
    <n v="13"/>
    <x v="170"/>
    <n v="23"/>
    <n v="31"/>
    <n v="1902"/>
    <n v="32214"/>
    <n v="51593"/>
    <n v="2469717"/>
    <n v="348477"/>
    <n v="638004"/>
    <n v="31134364"/>
    <n v="41051"/>
    <n v="41051"/>
    <x v="181"/>
    <n v="1"/>
    <n v="0"/>
  </r>
  <r>
    <x v="4"/>
    <n v="41"/>
    <s v="Oregon"/>
    <n v="51"/>
    <s v="Multnomah County"/>
    <n v="53"/>
    <x v="32"/>
    <n v="5"/>
    <x v="73"/>
    <n v="59"/>
    <n v="92"/>
    <n v="4128"/>
    <n v="32214"/>
    <n v="51593"/>
    <n v="2469717"/>
    <n v="348477"/>
    <n v="638004"/>
    <n v="31134364"/>
    <n v="41051"/>
    <n v="41051"/>
    <x v="110"/>
    <n v="1"/>
    <n v="0"/>
  </r>
  <r>
    <x v="4"/>
    <n v="41"/>
    <s v="Oregon"/>
    <n v="51"/>
    <s v="Multnomah County"/>
    <n v="53"/>
    <x v="32"/>
    <n v="7"/>
    <x v="185"/>
    <n v="27"/>
    <n v="36"/>
    <n v="1705"/>
    <n v="32214"/>
    <n v="51593"/>
    <n v="2469717"/>
    <n v="348477"/>
    <n v="638004"/>
    <n v="31134364"/>
    <n v="41051"/>
    <n v="41051"/>
    <x v="199"/>
    <n v="1"/>
    <n v="0"/>
  </r>
  <r>
    <x v="4"/>
    <n v="41"/>
    <s v="Oregon"/>
    <n v="51"/>
    <s v="Multnomah County"/>
    <n v="53"/>
    <x v="32"/>
    <n v="9"/>
    <x v="171"/>
    <n v="20"/>
    <n v="31"/>
    <n v="1310"/>
    <n v="32214"/>
    <n v="51593"/>
    <n v="2469717"/>
    <n v="348477"/>
    <n v="638004"/>
    <n v="31134364"/>
    <n v="41051"/>
    <n v="41051"/>
    <x v="182"/>
    <n v="1"/>
    <n v="0"/>
  </r>
  <r>
    <x v="4"/>
    <n v="41"/>
    <s v="Oregon"/>
    <n v="51"/>
    <s v="Multnomah County"/>
    <n v="53"/>
    <x v="32"/>
    <n v="11"/>
    <x v="61"/>
    <n v="3137"/>
    <n v="5447"/>
    <n v="235189"/>
    <n v="32214"/>
    <n v="51593"/>
    <n v="2469717"/>
    <n v="348477"/>
    <n v="638004"/>
    <n v="31134364"/>
    <n v="41051"/>
    <n v="41051"/>
    <x v="111"/>
    <n v="1"/>
    <n v="0"/>
  </r>
  <r>
    <x v="4"/>
    <n v="41"/>
    <s v="Oregon"/>
    <n v="51"/>
    <s v="Multnomah County"/>
    <n v="53"/>
    <x v="32"/>
    <n v="15"/>
    <x v="106"/>
    <n v="167"/>
    <n v="310"/>
    <n v="10885"/>
    <n v="32214"/>
    <n v="51593"/>
    <n v="2469717"/>
    <n v="348477"/>
    <n v="638004"/>
    <n v="31134364"/>
    <n v="41051"/>
    <n v="41051"/>
    <x v="112"/>
    <n v="1"/>
    <n v="0"/>
  </r>
  <r>
    <x v="4"/>
    <n v="41"/>
    <s v="Oregon"/>
    <n v="51"/>
    <s v="Multnomah County"/>
    <n v="53"/>
    <x v="32"/>
    <n v="29"/>
    <x v="108"/>
    <n v="20"/>
    <n v="30"/>
    <n v="951"/>
    <n v="32214"/>
    <n v="51593"/>
    <n v="2469717"/>
    <n v="348477"/>
    <n v="638004"/>
    <n v="31134364"/>
    <n v="41051"/>
    <n v="41051"/>
    <x v="114"/>
    <n v="1"/>
    <n v="0"/>
  </r>
  <r>
    <x v="4"/>
    <n v="41"/>
    <s v="Oregon"/>
    <n v="51"/>
    <s v="Multnomah County"/>
    <n v="53"/>
    <x v="32"/>
    <n v="31"/>
    <x v="31"/>
    <n v="31"/>
    <n v="50"/>
    <n v="2551"/>
    <n v="32214"/>
    <n v="51593"/>
    <n v="2469717"/>
    <n v="348477"/>
    <n v="638004"/>
    <n v="31134364"/>
    <n v="41051"/>
    <n v="41051"/>
    <x v="115"/>
    <n v="1"/>
    <n v="0"/>
  </r>
  <r>
    <x v="4"/>
    <n v="41"/>
    <s v="Oregon"/>
    <n v="51"/>
    <s v="Multnomah County"/>
    <n v="53"/>
    <x v="32"/>
    <n v="33"/>
    <x v="109"/>
    <n v="766"/>
    <n v="1027"/>
    <n v="61943"/>
    <n v="32214"/>
    <n v="51593"/>
    <n v="2469717"/>
    <n v="348477"/>
    <n v="638004"/>
    <n v="31134364"/>
    <n v="41051"/>
    <n v="41051"/>
    <x v="116"/>
    <n v="1"/>
    <n v="0"/>
  </r>
  <r>
    <x v="4"/>
    <n v="41"/>
    <s v="Oregon"/>
    <n v="51"/>
    <s v="Multnomah County"/>
    <n v="53"/>
    <x v="32"/>
    <n v="35"/>
    <x v="110"/>
    <n v="70"/>
    <n v="120"/>
    <n v="5610"/>
    <n v="32214"/>
    <n v="51593"/>
    <n v="2469717"/>
    <n v="348477"/>
    <n v="638004"/>
    <n v="31134364"/>
    <n v="41051"/>
    <n v="41051"/>
    <x v="117"/>
    <n v="1"/>
    <n v="0"/>
  </r>
  <r>
    <x v="4"/>
    <n v="41"/>
    <s v="Oregon"/>
    <n v="51"/>
    <s v="Multnomah County"/>
    <n v="53"/>
    <x v="32"/>
    <n v="39"/>
    <x v="111"/>
    <n v="82"/>
    <n v="134"/>
    <n v="10684"/>
    <n v="32214"/>
    <n v="51593"/>
    <n v="2469717"/>
    <n v="348477"/>
    <n v="638004"/>
    <n v="31134364"/>
    <n v="41051"/>
    <n v="41051"/>
    <x v="118"/>
    <n v="1"/>
    <n v="0"/>
  </r>
  <r>
    <x v="4"/>
    <n v="41"/>
    <s v="Oregon"/>
    <n v="51"/>
    <s v="Multnomah County"/>
    <n v="53"/>
    <x v="32"/>
    <n v="41"/>
    <x v="112"/>
    <n v="26"/>
    <n v="44"/>
    <n v="1601"/>
    <n v="32214"/>
    <n v="51593"/>
    <n v="2469717"/>
    <n v="348477"/>
    <n v="638004"/>
    <n v="31134364"/>
    <n v="41051"/>
    <n v="41051"/>
    <x v="119"/>
    <n v="1"/>
    <n v="0"/>
  </r>
  <r>
    <x v="4"/>
    <n v="41"/>
    <s v="Oregon"/>
    <n v="51"/>
    <s v="Multnomah County"/>
    <n v="53"/>
    <x v="32"/>
    <n v="45"/>
    <x v="186"/>
    <n v="29"/>
    <n v="46"/>
    <n v="3232"/>
    <n v="32214"/>
    <n v="51593"/>
    <n v="2469717"/>
    <n v="348477"/>
    <n v="638004"/>
    <n v="31134364"/>
    <n v="41051"/>
    <n v="41051"/>
    <x v="200"/>
    <n v="1"/>
    <n v="0"/>
  </r>
  <r>
    <x v="4"/>
    <n v="41"/>
    <s v="Oregon"/>
    <n v="51"/>
    <s v="Multnomah County"/>
    <n v="53"/>
    <x v="32"/>
    <n v="49"/>
    <x v="113"/>
    <n v="39"/>
    <n v="59"/>
    <n v="4402"/>
    <n v="32214"/>
    <n v="51593"/>
    <n v="2469717"/>
    <n v="348477"/>
    <n v="638004"/>
    <n v="31134364"/>
    <n v="41051"/>
    <n v="41051"/>
    <x v="120"/>
    <n v="1"/>
    <n v="0"/>
  </r>
  <r>
    <x v="4"/>
    <n v="41"/>
    <s v="Oregon"/>
    <n v="51"/>
    <s v="Multnomah County"/>
    <n v="53"/>
    <x v="32"/>
    <n v="53"/>
    <x v="114"/>
    <n v="207"/>
    <n v="344"/>
    <n v="11010"/>
    <n v="32214"/>
    <n v="51593"/>
    <n v="2469717"/>
    <n v="348477"/>
    <n v="638004"/>
    <n v="31134364"/>
    <n v="41051"/>
    <n v="41051"/>
    <x v="121"/>
    <n v="1"/>
    <n v="0"/>
  </r>
  <r>
    <x v="4"/>
    <n v="41"/>
    <s v="Oregon"/>
    <n v="51"/>
    <s v="Multnomah County"/>
    <n v="53"/>
    <x v="32"/>
    <n v="55"/>
    <x v="187"/>
    <n v="22"/>
    <n v="31"/>
    <n v="1775"/>
    <n v="32214"/>
    <n v="51593"/>
    <n v="2469717"/>
    <n v="348477"/>
    <n v="638004"/>
    <n v="31134364"/>
    <n v="41051"/>
    <n v="41051"/>
    <x v="201"/>
    <n v="1"/>
    <n v="0"/>
  </r>
  <r>
    <x v="4"/>
    <n v="41"/>
    <s v="Oregon"/>
    <n v="51"/>
    <s v="Multnomah County"/>
    <n v="53"/>
    <x v="32"/>
    <n v="57"/>
    <x v="172"/>
    <n v="29"/>
    <n v="42"/>
    <n v="2556"/>
    <n v="32214"/>
    <n v="51593"/>
    <n v="2469717"/>
    <n v="348477"/>
    <n v="638004"/>
    <n v="31134364"/>
    <n v="41051"/>
    <n v="41051"/>
    <x v="184"/>
    <n v="1"/>
    <n v="0"/>
  </r>
  <r>
    <x v="4"/>
    <n v="41"/>
    <s v="Oregon"/>
    <n v="51"/>
    <s v="Multnomah County"/>
    <n v="53"/>
    <x v="32"/>
    <n v="59"/>
    <x v="115"/>
    <n v="61"/>
    <n v="105"/>
    <n v="25750"/>
    <n v="32214"/>
    <n v="51593"/>
    <n v="2469717"/>
    <n v="348477"/>
    <n v="638004"/>
    <n v="31134364"/>
    <n v="41051"/>
    <n v="41051"/>
    <x v="122"/>
    <n v="1"/>
    <n v="0"/>
  </r>
  <r>
    <x v="4"/>
    <n v="41"/>
    <s v="Oregon"/>
    <n v="51"/>
    <s v="Multnomah County"/>
    <n v="53"/>
    <x v="32"/>
    <n v="61"/>
    <x v="116"/>
    <n v="113"/>
    <n v="162"/>
    <n v="6822"/>
    <n v="32214"/>
    <n v="51593"/>
    <n v="2469717"/>
    <n v="348477"/>
    <n v="638004"/>
    <n v="31134364"/>
    <n v="41051"/>
    <n v="41051"/>
    <x v="123"/>
    <n v="1"/>
    <n v="0"/>
  </r>
  <r>
    <x v="4"/>
    <n v="41"/>
    <s v="Oregon"/>
    <n v="51"/>
    <s v="Multnomah County"/>
    <n v="53"/>
    <x v="32"/>
    <n v="63"/>
    <x v="117"/>
    <n v="188"/>
    <n v="290"/>
    <n v="10505"/>
    <n v="32214"/>
    <n v="51593"/>
    <n v="2469717"/>
    <n v="348477"/>
    <n v="638004"/>
    <n v="31134364"/>
    <n v="41051"/>
    <n v="41051"/>
    <x v="124"/>
    <n v="1"/>
    <n v="0"/>
  </r>
  <r>
    <x v="4"/>
    <n v="41"/>
    <s v="Oregon"/>
    <n v="51"/>
    <s v="Multnomah County"/>
    <n v="53"/>
    <x v="32"/>
    <n v="65"/>
    <x v="188"/>
    <n v="21"/>
    <n v="32"/>
    <n v="1232"/>
    <n v="32214"/>
    <n v="51593"/>
    <n v="2469717"/>
    <n v="348477"/>
    <n v="638004"/>
    <n v="31134364"/>
    <n v="41051"/>
    <n v="41051"/>
    <x v="202"/>
    <n v="1"/>
    <n v="0"/>
  </r>
  <r>
    <x v="4"/>
    <n v="41"/>
    <s v="Oregon"/>
    <n v="51"/>
    <s v="Multnomah County"/>
    <n v="53"/>
    <x v="32"/>
    <n v="67"/>
    <x v="118"/>
    <n v="97"/>
    <n v="145"/>
    <n v="6245"/>
    <n v="32214"/>
    <n v="51593"/>
    <n v="2469717"/>
    <n v="348477"/>
    <n v="638004"/>
    <n v="31134364"/>
    <n v="41051"/>
    <n v="41051"/>
    <x v="125"/>
    <n v="1"/>
    <n v="0"/>
  </r>
  <r>
    <x v="4"/>
    <n v="41"/>
    <s v="Oregon"/>
    <n v="51"/>
    <s v="Multnomah County"/>
    <n v="53"/>
    <x v="32"/>
    <n v="71"/>
    <x v="119"/>
    <n v="29"/>
    <n v="42"/>
    <n v="1769"/>
    <n v="32214"/>
    <n v="51593"/>
    <n v="2469717"/>
    <n v="348477"/>
    <n v="638004"/>
    <n v="31134364"/>
    <n v="41051"/>
    <n v="41051"/>
    <x v="126"/>
    <n v="1"/>
    <n v="0"/>
  </r>
  <r>
    <x v="4"/>
    <n v="41"/>
    <s v="Oregon"/>
    <n v="51"/>
    <s v="Multnomah County"/>
    <n v="53"/>
    <x v="32"/>
    <n v="73"/>
    <x v="120"/>
    <n v="100"/>
    <n v="155"/>
    <n v="6970"/>
    <n v="32214"/>
    <n v="51593"/>
    <n v="2469717"/>
    <n v="348477"/>
    <n v="638004"/>
    <n v="31134364"/>
    <n v="41051"/>
    <n v="41051"/>
    <x v="127"/>
    <n v="1"/>
    <n v="0"/>
  </r>
  <r>
    <x v="4"/>
    <n v="41"/>
    <s v="Oregon"/>
    <n v="51"/>
    <s v="Multnomah County"/>
    <n v="53"/>
    <x v="32"/>
    <n v="77"/>
    <x v="121"/>
    <n v="39"/>
    <n v="59"/>
    <n v="1626"/>
    <n v="32214"/>
    <n v="51593"/>
    <n v="2469717"/>
    <n v="348477"/>
    <n v="638004"/>
    <n v="31134364"/>
    <n v="41051"/>
    <n v="41051"/>
    <x v="128"/>
    <n v="1"/>
    <n v="0"/>
  </r>
  <r>
    <x v="4"/>
    <n v="41"/>
    <s v="Oregon"/>
    <n v="51"/>
    <s v="Multnomah County"/>
    <n v="55"/>
    <x v="33"/>
    <n v="25"/>
    <x v="122"/>
    <n v="32"/>
    <n v="48"/>
    <n v="2225"/>
    <n v="32214"/>
    <n v="51593"/>
    <n v="2469717"/>
    <n v="348477"/>
    <n v="638004"/>
    <n v="31134364"/>
    <n v="41051"/>
    <n v="41051"/>
    <x v="129"/>
    <n v="1"/>
    <n v="0"/>
  </r>
  <r>
    <x v="4"/>
    <n v="41"/>
    <s v="Oregon"/>
    <n v="51"/>
    <s v="Multnomah County"/>
    <n v="55"/>
    <x v="33"/>
    <n v="79"/>
    <x v="123"/>
    <n v="35"/>
    <n v="62"/>
    <n v="1975"/>
    <n v="32214"/>
    <n v="51593"/>
    <n v="2469717"/>
    <n v="348477"/>
    <n v="638004"/>
    <n v="31134364"/>
    <n v="41051"/>
    <n v="41051"/>
    <x v="130"/>
    <n v="1"/>
    <n v="0"/>
  </r>
  <r>
    <x v="5"/>
    <n v="41"/>
    <s v="Oregon"/>
    <n v="51"/>
    <s v="Multnomah County"/>
    <n v="2"/>
    <x v="0"/>
    <n v="20"/>
    <x v="0"/>
    <n v="60"/>
    <n v="93"/>
    <n v="3870"/>
    <n v="35329"/>
    <n v="55311"/>
    <n v="3098215"/>
    <n v="351693"/>
    <n v="611447"/>
    <n v="31328148"/>
    <n v="41051"/>
    <n v="41051"/>
    <x v="0"/>
    <n v="1"/>
    <n v="0"/>
  </r>
  <r>
    <x v="5"/>
    <n v="41"/>
    <s v="Oregon"/>
    <n v="51"/>
    <s v="Multnomah County"/>
    <n v="4"/>
    <x v="1"/>
    <n v="5"/>
    <x v="124"/>
    <n v="21"/>
    <n v="28"/>
    <n v="1061"/>
    <n v="35329"/>
    <n v="55311"/>
    <n v="3098215"/>
    <n v="351693"/>
    <n v="611447"/>
    <n v="31328148"/>
    <n v="41051"/>
    <n v="41051"/>
    <x v="131"/>
    <n v="1"/>
    <n v="0"/>
  </r>
  <r>
    <x v="5"/>
    <n v="41"/>
    <s v="Oregon"/>
    <n v="51"/>
    <s v="Multnomah County"/>
    <n v="4"/>
    <x v="1"/>
    <n v="13"/>
    <x v="1"/>
    <n v="500"/>
    <n v="798"/>
    <n v="52506"/>
    <n v="35329"/>
    <n v="55311"/>
    <n v="3098215"/>
    <n v="351693"/>
    <n v="611447"/>
    <n v="31328148"/>
    <n v="41051"/>
    <n v="41051"/>
    <x v="1"/>
    <n v="1"/>
    <n v="0"/>
  </r>
  <r>
    <x v="5"/>
    <n v="41"/>
    <s v="Oregon"/>
    <n v="51"/>
    <s v="Multnomah County"/>
    <n v="4"/>
    <x v="1"/>
    <n v="15"/>
    <x v="173"/>
    <n v="31"/>
    <n v="48"/>
    <n v="1350"/>
    <n v="35329"/>
    <n v="55311"/>
    <n v="3098215"/>
    <n v="351693"/>
    <n v="611447"/>
    <n v="31328148"/>
    <n v="41051"/>
    <n v="41051"/>
    <x v="185"/>
    <n v="1"/>
    <n v="0"/>
  </r>
  <r>
    <x v="5"/>
    <n v="41"/>
    <s v="Oregon"/>
    <n v="51"/>
    <s v="Multnomah County"/>
    <n v="4"/>
    <x v="1"/>
    <n v="19"/>
    <x v="2"/>
    <n v="150"/>
    <n v="212"/>
    <n v="12121"/>
    <n v="35329"/>
    <n v="55311"/>
    <n v="3098215"/>
    <n v="351693"/>
    <n v="611447"/>
    <n v="31328148"/>
    <n v="41051"/>
    <n v="41051"/>
    <x v="2"/>
    <n v="1"/>
    <n v="0"/>
  </r>
  <r>
    <x v="5"/>
    <n v="41"/>
    <s v="Oregon"/>
    <n v="51"/>
    <s v="Multnomah County"/>
    <n v="4"/>
    <x v="1"/>
    <n v="21"/>
    <x v="3"/>
    <n v="48"/>
    <n v="86"/>
    <n v="3203"/>
    <n v="35329"/>
    <n v="55311"/>
    <n v="3098215"/>
    <n v="351693"/>
    <n v="611447"/>
    <n v="31328148"/>
    <n v="41051"/>
    <n v="41051"/>
    <x v="3"/>
    <n v="1"/>
    <n v="0"/>
  </r>
  <r>
    <x v="5"/>
    <n v="41"/>
    <s v="Oregon"/>
    <n v="51"/>
    <s v="Multnomah County"/>
    <n v="4"/>
    <x v="1"/>
    <n v="27"/>
    <x v="189"/>
    <n v="23"/>
    <n v="35"/>
    <n v="827"/>
    <n v="35329"/>
    <n v="55311"/>
    <n v="3098215"/>
    <n v="351693"/>
    <n v="611447"/>
    <n v="31328148"/>
    <n v="41051"/>
    <n v="41051"/>
    <x v="203"/>
    <n v="1"/>
    <n v="0"/>
  </r>
  <r>
    <x v="5"/>
    <n v="41"/>
    <s v="Oregon"/>
    <n v="51"/>
    <s v="Multnomah County"/>
    <n v="6"/>
    <x v="2"/>
    <n v="1"/>
    <x v="4"/>
    <n v="165"/>
    <n v="198"/>
    <n v="12681"/>
    <n v="35329"/>
    <n v="55311"/>
    <n v="3098215"/>
    <n v="351693"/>
    <n v="611447"/>
    <n v="31328148"/>
    <n v="41051"/>
    <n v="41051"/>
    <x v="4"/>
    <n v="1"/>
    <n v="0"/>
  </r>
  <r>
    <x v="5"/>
    <n v="41"/>
    <s v="Oregon"/>
    <n v="51"/>
    <s v="Multnomah County"/>
    <n v="6"/>
    <x v="2"/>
    <n v="13"/>
    <x v="5"/>
    <n v="72"/>
    <n v="91"/>
    <n v="5758"/>
    <n v="35329"/>
    <n v="55311"/>
    <n v="3098215"/>
    <n v="351693"/>
    <n v="611447"/>
    <n v="31328148"/>
    <n v="41051"/>
    <n v="41051"/>
    <x v="5"/>
    <n v="1"/>
    <n v="0"/>
  </r>
  <r>
    <x v="5"/>
    <n v="41"/>
    <s v="Oregon"/>
    <n v="51"/>
    <s v="Multnomah County"/>
    <n v="6"/>
    <x v="2"/>
    <n v="17"/>
    <x v="178"/>
    <n v="21"/>
    <n v="31"/>
    <n v="1836"/>
    <n v="35329"/>
    <n v="55311"/>
    <n v="3098215"/>
    <n v="351693"/>
    <n v="611447"/>
    <n v="31328148"/>
    <n v="41051"/>
    <n v="41051"/>
    <x v="190"/>
    <n v="1"/>
    <n v="0"/>
  </r>
  <r>
    <x v="5"/>
    <n v="41"/>
    <s v="Oregon"/>
    <n v="51"/>
    <s v="Multnomah County"/>
    <n v="6"/>
    <x v="2"/>
    <n v="19"/>
    <x v="6"/>
    <n v="26"/>
    <n v="47"/>
    <n v="1395"/>
    <n v="35329"/>
    <n v="55311"/>
    <n v="3098215"/>
    <n v="351693"/>
    <n v="611447"/>
    <n v="31328148"/>
    <n v="41051"/>
    <n v="41051"/>
    <x v="6"/>
    <n v="1"/>
    <n v="0"/>
  </r>
  <r>
    <x v="5"/>
    <n v="41"/>
    <s v="Oregon"/>
    <n v="51"/>
    <s v="Multnomah County"/>
    <n v="6"/>
    <x v="2"/>
    <n v="23"/>
    <x v="7"/>
    <n v="29"/>
    <n v="39"/>
    <n v="1262"/>
    <n v="35329"/>
    <n v="55311"/>
    <n v="3098215"/>
    <n v="351693"/>
    <n v="611447"/>
    <n v="31328148"/>
    <n v="41051"/>
    <n v="41051"/>
    <x v="7"/>
    <n v="1"/>
    <n v="0"/>
  </r>
  <r>
    <x v="5"/>
    <n v="41"/>
    <s v="Oregon"/>
    <n v="51"/>
    <s v="Multnomah County"/>
    <n v="6"/>
    <x v="2"/>
    <n v="29"/>
    <x v="8"/>
    <n v="20"/>
    <n v="36"/>
    <n v="813"/>
    <n v="35329"/>
    <n v="55311"/>
    <n v="3098215"/>
    <n v="351693"/>
    <n v="611447"/>
    <n v="31328148"/>
    <n v="41051"/>
    <n v="41051"/>
    <x v="8"/>
    <n v="1"/>
    <n v="0"/>
  </r>
  <r>
    <x v="5"/>
    <n v="41"/>
    <s v="Oregon"/>
    <n v="51"/>
    <s v="Multnomah County"/>
    <n v="6"/>
    <x v="2"/>
    <n v="37"/>
    <x v="9"/>
    <n v="620"/>
    <n v="764"/>
    <n v="45570"/>
    <n v="35329"/>
    <n v="55311"/>
    <n v="3098215"/>
    <n v="351693"/>
    <n v="611447"/>
    <n v="31328148"/>
    <n v="41051"/>
    <n v="41051"/>
    <x v="9"/>
    <n v="1"/>
    <n v="0"/>
  </r>
  <r>
    <x v="5"/>
    <n v="41"/>
    <s v="Oregon"/>
    <n v="51"/>
    <s v="Multnomah County"/>
    <n v="6"/>
    <x v="2"/>
    <n v="41"/>
    <x v="10"/>
    <n v="28"/>
    <n v="34"/>
    <n v="1968"/>
    <n v="35329"/>
    <n v="55311"/>
    <n v="3098215"/>
    <n v="351693"/>
    <n v="611447"/>
    <n v="31328148"/>
    <n v="41051"/>
    <n v="41051"/>
    <x v="10"/>
    <n v="1"/>
    <n v="0"/>
  </r>
  <r>
    <x v="5"/>
    <n v="41"/>
    <s v="Oregon"/>
    <n v="51"/>
    <s v="Multnomah County"/>
    <n v="6"/>
    <x v="2"/>
    <n v="53"/>
    <x v="11"/>
    <n v="20"/>
    <n v="24"/>
    <n v="1046"/>
    <n v="35329"/>
    <n v="55311"/>
    <n v="3098215"/>
    <n v="351693"/>
    <n v="611447"/>
    <n v="31328148"/>
    <n v="41051"/>
    <n v="41051"/>
    <x v="11"/>
    <n v="1"/>
    <n v="0"/>
  </r>
  <r>
    <x v="5"/>
    <n v="41"/>
    <s v="Oregon"/>
    <n v="51"/>
    <s v="Multnomah County"/>
    <n v="6"/>
    <x v="2"/>
    <n v="57"/>
    <x v="179"/>
    <n v="26"/>
    <n v="35"/>
    <n v="1558"/>
    <n v="35329"/>
    <n v="55311"/>
    <n v="3098215"/>
    <n v="351693"/>
    <n v="611447"/>
    <n v="31328148"/>
    <n v="41051"/>
    <n v="41051"/>
    <x v="191"/>
    <n v="1"/>
    <n v="0"/>
  </r>
  <r>
    <x v="5"/>
    <n v="41"/>
    <s v="Oregon"/>
    <n v="51"/>
    <s v="Multnomah County"/>
    <n v="6"/>
    <x v="2"/>
    <n v="59"/>
    <x v="12"/>
    <n v="192"/>
    <n v="267"/>
    <n v="15460"/>
    <n v="35329"/>
    <n v="55311"/>
    <n v="3098215"/>
    <n v="351693"/>
    <n v="611447"/>
    <n v="31328148"/>
    <n v="41051"/>
    <n v="41051"/>
    <x v="12"/>
    <n v="1"/>
    <n v="0"/>
  </r>
  <r>
    <x v="5"/>
    <n v="41"/>
    <s v="Oregon"/>
    <n v="51"/>
    <s v="Multnomah County"/>
    <n v="6"/>
    <x v="2"/>
    <n v="61"/>
    <x v="13"/>
    <n v="46"/>
    <n v="63"/>
    <n v="2615"/>
    <n v="35329"/>
    <n v="55311"/>
    <n v="3098215"/>
    <n v="351693"/>
    <n v="611447"/>
    <n v="31328148"/>
    <n v="41051"/>
    <n v="41051"/>
    <x v="13"/>
    <n v="1"/>
    <n v="0"/>
  </r>
  <r>
    <x v="5"/>
    <n v="41"/>
    <s v="Oregon"/>
    <n v="51"/>
    <s v="Multnomah County"/>
    <n v="6"/>
    <x v="2"/>
    <n v="65"/>
    <x v="14"/>
    <n v="150"/>
    <n v="215"/>
    <n v="22181"/>
    <n v="35329"/>
    <n v="55311"/>
    <n v="3098215"/>
    <n v="351693"/>
    <n v="611447"/>
    <n v="31328148"/>
    <n v="41051"/>
    <n v="41051"/>
    <x v="14"/>
    <n v="1"/>
    <n v="0"/>
  </r>
  <r>
    <x v="5"/>
    <n v="41"/>
    <s v="Oregon"/>
    <n v="51"/>
    <s v="Multnomah County"/>
    <n v="6"/>
    <x v="2"/>
    <n v="67"/>
    <x v="15"/>
    <n v="122"/>
    <n v="193"/>
    <n v="8407"/>
    <n v="35329"/>
    <n v="55311"/>
    <n v="3098215"/>
    <n v="351693"/>
    <n v="611447"/>
    <n v="31328148"/>
    <n v="41051"/>
    <n v="41051"/>
    <x v="15"/>
    <n v="1"/>
    <n v="0"/>
  </r>
  <r>
    <x v="5"/>
    <n v="41"/>
    <s v="Oregon"/>
    <n v="51"/>
    <s v="Multnomah County"/>
    <n v="6"/>
    <x v="2"/>
    <n v="71"/>
    <x v="16"/>
    <n v="68"/>
    <n v="86"/>
    <n v="3427"/>
    <n v="35329"/>
    <n v="55311"/>
    <n v="3098215"/>
    <n v="351693"/>
    <n v="611447"/>
    <n v="31328148"/>
    <n v="41051"/>
    <n v="41051"/>
    <x v="16"/>
    <n v="1"/>
    <n v="0"/>
  </r>
  <r>
    <x v="5"/>
    <n v="41"/>
    <s v="Oregon"/>
    <n v="51"/>
    <s v="Multnomah County"/>
    <n v="6"/>
    <x v="2"/>
    <n v="73"/>
    <x v="17"/>
    <n v="364"/>
    <n v="479"/>
    <n v="24109"/>
    <n v="35329"/>
    <n v="55311"/>
    <n v="3098215"/>
    <n v="351693"/>
    <n v="611447"/>
    <n v="31328148"/>
    <n v="41051"/>
    <n v="41051"/>
    <x v="17"/>
    <n v="1"/>
    <n v="0"/>
  </r>
  <r>
    <x v="5"/>
    <n v="41"/>
    <s v="Oregon"/>
    <n v="51"/>
    <s v="Multnomah County"/>
    <n v="6"/>
    <x v="2"/>
    <n v="75"/>
    <x v="18"/>
    <n v="184"/>
    <n v="222"/>
    <n v="21421"/>
    <n v="35329"/>
    <n v="55311"/>
    <n v="3098215"/>
    <n v="351693"/>
    <n v="611447"/>
    <n v="31328148"/>
    <n v="41051"/>
    <n v="41051"/>
    <x v="18"/>
    <n v="1"/>
    <n v="0"/>
  </r>
  <r>
    <x v="5"/>
    <n v="41"/>
    <s v="Oregon"/>
    <n v="51"/>
    <s v="Multnomah County"/>
    <n v="6"/>
    <x v="2"/>
    <n v="77"/>
    <x v="128"/>
    <n v="21"/>
    <n v="28"/>
    <n v="1144"/>
    <n v="35329"/>
    <n v="55311"/>
    <n v="3098215"/>
    <n v="351693"/>
    <n v="611447"/>
    <n v="31328148"/>
    <n v="41051"/>
    <n v="41051"/>
    <x v="135"/>
    <n v="1"/>
    <n v="0"/>
  </r>
  <r>
    <x v="5"/>
    <n v="41"/>
    <s v="Oregon"/>
    <n v="51"/>
    <s v="Multnomah County"/>
    <n v="6"/>
    <x v="2"/>
    <n v="79"/>
    <x v="19"/>
    <n v="48"/>
    <n v="78"/>
    <n v="3929"/>
    <n v="35329"/>
    <n v="55311"/>
    <n v="3098215"/>
    <n v="351693"/>
    <n v="611447"/>
    <n v="31328148"/>
    <n v="41051"/>
    <n v="41051"/>
    <x v="19"/>
    <n v="1"/>
    <n v="0"/>
  </r>
  <r>
    <x v="5"/>
    <n v="41"/>
    <s v="Oregon"/>
    <n v="51"/>
    <s v="Multnomah County"/>
    <n v="6"/>
    <x v="2"/>
    <n v="81"/>
    <x v="20"/>
    <n v="55"/>
    <n v="68"/>
    <n v="5481"/>
    <n v="35329"/>
    <n v="55311"/>
    <n v="3098215"/>
    <n v="351693"/>
    <n v="611447"/>
    <n v="31328148"/>
    <n v="41051"/>
    <n v="41051"/>
    <x v="20"/>
    <n v="1"/>
    <n v="0"/>
  </r>
  <r>
    <x v="5"/>
    <n v="41"/>
    <s v="Oregon"/>
    <n v="51"/>
    <s v="Multnomah County"/>
    <n v="6"/>
    <x v="2"/>
    <n v="83"/>
    <x v="21"/>
    <n v="53"/>
    <n v="71"/>
    <n v="4340"/>
    <n v="35329"/>
    <n v="55311"/>
    <n v="3098215"/>
    <n v="351693"/>
    <n v="611447"/>
    <n v="31328148"/>
    <n v="41051"/>
    <n v="41051"/>
    <x v="21"/>
    <n v="1"/>
    <n v="0"/>
  </r>
  <r>
    <x v="5"/>
    <n v="41"/>
    <s v="Oregon"/>
    <n v="51"/>
    <s v="Multnomah County"/>
    <n v="6"/>
    <x v="2"/>
    <n v="85"/>
    <x v="22"/>
    <n v="161"/>
    <n v="205"/>
    <n v="16844"/>
    <n v="35329"/>
    <n v="55311"/>
    <n v="3098215"/>
    <n v="351693"/>
    <n v="611447"/>
    <n v="31328148"/>
    <n v="41051"/>
    <n v="41051"/>
    <x v="22"/>
    <n v="1"/>
    <n v="0"/>
  </r>
  <r>
    <x v="5"/>
    <n v="41"/>
    <s v="Oregon"/>
    <n v="51"/>
    <s v="Multnomah County"/>
    <n v="6"/>
    <x v="2"/>
    <n v="87"/>
    <x v="23"/>
    <n v="36"/>
    <n v="48"/>
    <n v="2437"/>
    <n v="35329"/>
    <n v="55311"/>
    <n v="3098215"/>
    <n v="351693"/>
    <n v="611447"/>
    <n v="31328148"/>
    <n v="41051"/>
    <n v="41051"/>
    <x v="23"/>
    <n v="1"/>
    <n v="0"/>
  </r>
  <r>
    <x v="5"/>
    <n v="41"/>
    <s v="Oregon"/>
    <n v="51"/>
    <s v="Multnomah County"/>
    <n v="6"/>
    <x v="2"/>
    <n v="89"/>
    <x v="24"/>
    <n v="32"/>
    <n v="38"/>
    <n v="1703"/>
    <n v="35329"/>
    <n v="55311"/>
    <n v="3098215"/>
    <n v="351693"/>
    <n v="611447"/>
    <n v="31328148"/>
    <n v="41051"/>
    <n v="41051"/>
    <x v="24"/>
    <n v="1"/>
    <n v="0"/>
  </r>
  <r>
    <x v="5"/>
    <n v="41"/>
    <s v="Oregon"/>
    <n v="51"/>
    <s v="Multnomah County"/>
    <n v="6"/>
    <x v="2"/>
    <n v="95"/>
    <x v="129"/>
    <n v="24"/>
    <n v="40"/>
    <n v="1317"/>
    <n v="35329"/>
    <n v="55311"/>
    <n v="3098215"/>
    <n v="351693"/>
    <n v="611447"/>
    <n v="31328148"/>
    <n v="41051"/>
    <n v="41051"/>
    <x v="136"/>
    <n v="1"/>
    <n v="0"/>
  </r>
  <r>
    <x v="5"/>
    <n v="41"/>
    <s v="Oregon"/>
    <n v="51"/>
    <s v="Multnomah County"/>
    <n v="6"/>
    <x v="2"/>
    <n v="97"/>
    <x v="25"/>
    <n v="58"/>
    <n v="84"/>
    <n v="4646"/>
    <n v="35329"/>
    <n v="55311"/>
    <n v="3098215"/>
    <n v="351693"/>
    <n v="611447"/>
    <n v="31328148"/>
    <n v="41051"/>
    <n v="41051"/>
    <x v="25"/>
    <n v="1"/>
    <n v="0"/>
  </r>
  <r>
    <x v="5"/>
    <n v="41"/>
    <s v="Oregon"/>
    <n v="51"/>
    <s v="Multnomah County"/>
    <n v="6"/>
    <x v="2"/>
    <n v="111"/>
    <x v="26"/>
    <n v="57"/>
    <n v="72"/>
    <n v="4293"/>
    <n v="35329"/>
    <n v="55311"/>
    <n v="3098215"/>
    <n v="351693"/>
    <n v="611447"/>
    <n v="31328148"/>
    <n v="41051"/>
    <n v="41051"/>
    <x v="26"/>
    <n v="1"/>
    <n v="0"/>
  </r>
  <r>
    <x v="5"/>
    <n v="41"/>
    <s v="Oregon"/>
    <n v="51"/>
    <s v="Multnomah County"/>
    <n v="6"/>
    <x v="2"/>
    <n v="113"/>
    <x v="130"/>
    <n v="22"/>
    <n v="29"/>
    <n v="1520"/>
    <n v="35329"/>
    <n v="55311"/>
    <n v="3098215"/>
    <n v="351693"/>
    <n v="611447"/>
    <n v="31328148"/>
    <n v="41051"/>
    <n v="41051"/>
    <x v="137"/>
    <n v="1"/>
    <n v="0"/>
  </r>
  <r>
    <x v="5"/>
    <n v="41"/>
    <s v="Oregon"/>
    <n v="51"/>
    <s v="Multnomah County"/>
    <n v="8"/>
    <x v="3"/>
    <n v="5"/>
    <x v="27"/>
    <n v="58"/>
    <n v="87"/>
    <n v="4114"/>
    <n v="35329"/>
    <n v="55311"/>
    <n v="3098215"/>
    <n v="351693"/>
    <n v="611447"/>
    <n v="31328148"/>
    <n v="41051"/>
    <n v="41051"/>
    <x v="27"/>
    <n v="1"/>
    <n v="0"/>
  </r>
  <r>
    <x v="5"/>
    <n v="41"/>
    <s v="Oregon"/>
    <n v="51"/>
    <s v="Multnomah County"/>
    <n v="8"/>
    <x v="3"/>
    <n v="13"/>
    <x v="28"/>
    <n v="100"/>
    <n v="128"/>
    <n v="6915"/>
    <n v="35329"/>
    <n v="55311"/>
    <n v="3098215"/>
    <n v="351693"/>
    <n v="611447"/>
    <n v="31328148"/>
    <n v="41051"/>
    <n v="41051"/>
    <x v="28"/>
    <n v="1"/>
    <n v="0"/>
  </r>
  <r>
    <x v="5"/>
    <n v="41"/>
    <s v="Oregon"/>
    <n v="51"/>
    <s v="Multnomah County"/>
    <n v="8"/>
    <x v="3"/>
    <n v="31"/>
    <x v="29"/>
    <n v="175"/>
    <n v="217"/>
    <n v="11372"/>
    <n v="35329"/>
    <n v="55311"/>
    <n v="3098215"/>
    <n v="351693"/>
    <n v="611447"/>
    <n v="31328148"/>
    <n v="41051"/>
    <n v="41051"/>
    <x v="29"/>
    <n v="1"/>
    <n v="0"/>
  </r>
  <r>
    <x v="5"/>
    <n v="41"/>
    <s v="Oregon"/>
    <n v="51"/>
    <s v="Multnomah County"/>
    <n v="8"/>
    <x v="3"/>
    <n v="41"/>
    <x v="30"/>
    <n v="49"/>
    <n v="71"/>
    <n v="2278"/>
    <n v="35329"/>
    <n v="55311"/>
    <n v="3098215"/>
    <n v="351693"/>
    <n v="611447"/>
    <n v="31328148"/>
    <n v="41051"/>
    <n v="41051"/>
    <x v="30"/>
    <n v="1"/>
    <n v="0"/>
  </r>
  <r>
    <x v="5"/>
    <n v="41"/>
    <s v="Oregon"/>
    <n v="51"/>
    <s v="Multnomah County"/>
    <n v="8"/>
    <x v="3"/>
    <n v="59"/>
    <x v="31"/>
    <n v="50"/>
    <n v="68"/>
    <n v="4470"/>
    <n v="35329"/>
    <n v="55311"/>
    <n v="3098215"/>
    <n v="351693"/>
    <n v="611447"/>
    <n v="31328148"/>
    <n v="41051"/>
    <n v="41051"/>
    <x v="31"/>
    <n v="1"/>
    <n v="0"/>
  </r>
  <r>
    <x v="5"/>
    <n v="41"/>
    <s v="Oregon"/>
    <n v="51"/>
    <s v="Multnomah County"/>
    <n v="8"/>
    <x v="3"/>
    <n v="69"/>
    <x v="32"/>
    <n v="35"/>
    <n v="47"/>
    <n v="1521"/>
    <n v="35329"/>
    <n v="55311"/>
    <n v="3098215"/>
    <n v="351693"/>
    <n v="611447"/>
    <n v="31328148"/>
    <n v="41051"/>
    <n v="41051"/>
    <x v="32"/>
    <n v="1"/>
    <n v="0"/>
  </r>
  <r>
    <x v="5"/>
    <n v="41"/>
    <s v="Oregon"/>
    <n v="51"/>
    <s v="Multnomah County"/>
    <n v="9"/>
    <x v="4"/>
    <n v="1"/>
    <x v="190"/>
    <n v="25"/>
    <n v="46"/>
    <n v="3454"/>
    <n v="35329"/>
    <n v="55311"/>
    <n v="3098215"/>
    <n v="351693"/>
    <n v="611447"/>
    <n v="31328148"/>
    <n v="41051"/>
    <n v="41051"/>
    <x v="204"/>
    <n v="1"/>
    <n v="0"/>
  </r>
  <r>
    <x v="5"/>
    <n v="41"/>
    <s v="Oregon"/>
    <n v="51"/>
    <s v="Multnomah County"/>
    <n v="9"/>
    <x v="4"/>
    <n v="9"/>
    <x v="33"/>
    <n v="30"/>
    <n v="42"/>
    <n v="1859"/>
    <n v="35329"/>
    <n v="55311"/>
    <n v="3098215"/>
    <n v="351693"/>
    <n v="611447"/>
    <n v="31328148"/>
    <n v="41051"/>
    <n v="41051"/>
    <x v="33"/>
    <n v="1"/>
    <n v="0"/>
  </r>
  <r>
    <x v="5"/>
    <n v="41"/>
    <s v="Oregon"/>
    <n v="51"/>
    <s v="Multnomah County"/>
    <n v="11"/>
    <x v="5"/>
    <n v="1"/>
    <x v="34"/>
    <n v="83"/>
    <n v="108"/>
    <n v="6966"/>
    <n v="35329"/>
    <n v="55311"/>
    <n v="3098215"/>
    <n v="351693"/>
    <n v="611447"/>
    <n v="31328148"/>
    <n v="41051"/>
    <n v="41051"/>
    <x v="34"/>
    <n v="1"/>
    <n v="0"/>
  </r>
  <r>
    <x v="5"/>
    <n v="41"/>
    <s v="Oregon"/>
    <n v="51"/>
    <s v="Multnomah County"/>
    <n v="12"/>
    <x v="6"/>
    <n v="11"/>
    <x v="132"/>
    <n v="41"/>
    <n v="56"/>
    <n v="2997"/>
    <n v="35329"/>
    <n v="55311"/>
    <n v="3098215"/>
    <n v="351693"/>
    <n v="611447"/>
    <n v="31328148"/>
    <n v="41051"/>
    <n v="41051"/>
    <x v="139"/>
    <n v="1"/>
    <n v="0"/>
  </r>
  <r>
    <x v="5"/>
    <n v="41"/>
    <s v="Oregon"/>
    <n v="51"/>
    <s v="Multnomah County"/>
    <n v="12"/>
    <x v="6"/>
    <n v="31"/>
    <x v="133"/>
    <n v="42"/>
    <n v="104"/>
    <n v="3082"/>
    <n v="35329"/>
    <n v="55311"/>
    <n v="3098215"/>
    <n v="351693"/>
    <n v="611447"/>
    <n v="31328148"/>
    <n v="41051"/>
    <n v="41051"/>
    <x v="140"/>
    <n v="1"/>
    <n v="0"/>
  </r>
  <r>
    <x v="5"/>
    <n v="41"/>
    <s v="Oregon"/>
    <n v="51"/>
    <s v="Multnomah County"/>
    <n v="12"/>
    <x v="6"/>
    <n v="57"/>
    <x v="35"/>
    <n v="63"/>
    <n v="106"/>
    <n v="4686"/>
    <n v="35329"/>
    <n v="55311"/>
    <n v="3098215"/>
    <n v="351693"/>
    <n v="611447"/>
    <n v="31328148"/>
    <n v="41051"/>
    <n v="41051"/>
    <x v="35"/>
    <n v="1"/>
    <n v="0"/>
  </r>
  <r>
    <x v="5"/>
    <n v="41"/>
    <s v="Oregon"/>
    <n v="51"/>
    <s v="Multnomah County"/>
    <n v="12"/>
    <x v="6"/>
    <n v="71"/>
    <x v="175"/>
    <n v="26"/>
    <n v="54"/>
    <n v="1852"/>
    <n v="35329"/>
    <n v="55311"/>
    <n v="3098215"/>
    <n v="351693"/>
    <n v="611447"/>
    <n v="31328148"/>
    <n v="41051"/>
    <n v="41051"/>
    <x v="187"/>
    <n v="1"/>
    <n v="0"/>
  </r>
  <r>
    <x v="5"/>
    <n v="41"/>
    <s v="Oregon"/>
    <n v="51"/>
    <s v="Multnomah County"/>
    <n v="12"/>
    <x v="6"/>
    <n v="81"/>
    <x v="191"/>
    <n v="21"/>
    <n v="43"/>
    <n v="2187"/>
    <n v="35329"/>
    <n v="55311"/>
    <n v="3098215"/>
    <n v="351693"/>
    <n v="611447"/>
    <n v="31328148"/>
    <n v="41051"/>
    <n v="41051"/>
    <x v="205"/>
    <n v="1"/>
    <n v="0"/>
  </r>
  <r>
    <x v="5"/>
    <n v="41"/>
    <s v="Oregon"/>
    <n v="51"/>
    <s v="Multnomah County"/>
    <n v="12"/>
    <x v="6"/>
    <n v="86"/>
    <x v="36"/>
    <n v="51"/>
    <n v="81"/>
    <n v="4134"/>
    <n v="35329"/>
    <n v="55311"/>
    <n v="3098215"/>
    <n v="351693"/>
    <n v="611447"/>
    <n v="31328148"/>
    <n v="41051"/>
    <n v="41051"/>
    <x v="36"/>
    <n v="1"/>
    <n v="0"/>
  </r>
  <r>
    <x v="5"/>
    <n v="41"/>
    <s v="Oregon"/>
    <n v="51"/>
    <s v="Multnomah County"/>
    <n v="12"/>
    <x v="6"/>
    <n v="95"/>
    <x v="12"/>
    <n v="45"/>
    <n v="81"/>
    <n v="3520"/>
    <n v="35329"/>
    <n v="55311"/>
    <n v="3098215"/>
    <n v="351693"/>
    <n v="611447"/>
    <n v="31328148"/>
    <n v="41051"/>
    <n v="41051"/>
    <x v="37"/>
    <n v="1"/>
    <n v="0"/>
  </r>
  <r>
    <x v="5"/>
    <n v="41"/>
    <s v="Oregon"/>
    <n v="51"/>
    <s v="Multnomah County"/>
    <n v="12"/>
    <x v="6"/>
    <n v="99"/>
    <x v="37"/>
    <n v="45"/>
    <n v="76"/>
    <n v="3899"/>
    <n v="35329"/>
    <n v="55311"/>
    <n v="3098215"/>
    <n v="351693"/>
    <n v="611447"/>
    <n v="31328148"/>
    <n v="41051"/>
    <n v="41051"/>
    <x v="38"/>
    <n v="1"/>
    <n v="0"/>
  </r>
  <r>
    <x v="5"/>
    <n v="41"/>
    <s v="Oregon"/>
    <n v="51"/>
    <s v="Multnomah County"/>
    <n v="12"/>
    <x v="6"/>
    <n v="103"/>
    <x v="38"/>
    <n v="47"/>
    <n v="65"/>
    <n v="3430"/>
    <n v="35329"/>
    <n v="55311"/>
    <n v="3098215"/>
    <n v="351693"/>
    <n v="611447"/>
    <n v="31328148"/>
    <n v="41051"/>
    <n v="41051"/>
    <x v="39"/>
    <n v="1"/>
    <n v="0"/>
  </r>
  <r>
    <x v="5"/>
    <n v="41"/>
    <s v="Oregon"/>
    <n v="51"/>
    <s v="Multnomah County"/>
    <n v="12"/>
    <x v="6"/>
    <n v="115"/>
    <x v="180"/>
    <n v="42"/>
    <n v="78"/>
    <n v="3765"/>
    <n v="35329"/>
    <n v="55311"/>
    <n v="3098215"/>
    <n v="351693"/>
    <n v="611447"/>
    <n v="31328148"/>
    <n v="41051"/>
    <n v="41051"/>
    <x v="193"/>
    <n v="1"/>
    <n v="0"/>
  </r>
  <r>
    <x v="5"/>
    <n v="41"/>
    <s v="Oregon"/>
    <n v="51"/>
    <s v="Multnomah County"/>
    <n v="13"/>
    <x v="7"/>
    <n v="67"/>
    <x v="192"/>
    <n v="22"/>
    <n v="37"/>
    <n v="2119"/>
    <n v="35329"/>
    <n v="55311"/>
    <n v="3098215"/>
    <n v="351693"/>
    <n v="611447"/>
    <n v="31328148"/>
    <n v="41051"/>
    <n v="41051"/>
    <x v="206"/>
    <n v="1"/>
    <n v="0"/>
  </r>
  <r>
    <x v="5"/>
    <n v="41"/>
    <s v="Oregon"/>
    <n v="51"/>
    <s v="Multnomah County"/>
    <n v="13"/>
    <x v="7"/>
    <n v="89"/>
    <x v="39"/>
    <n v="27"/>
    <n v="40"/>
    <n v="2615"/>
    <n v="35329"/>
    <n v="55311"/>
    <n v="3098215"/>
    <n v="351693"/>
    <n v="611447"/>
    <n v="31328148"/>
    <n v="41051"/>
    <n v="41051"/>
    <x v="40"/>
    <n v="1"/>
    <n v="0"/>
  </r>
  <r>
    <x v="5"/>
    <n v="41"/>
    <s v="Oregon"/>
    <n v="51"/>
    <s v="Multnomah County"/>
    <n v="13"/>
    <x v="7"/>
    <n v="121"/>
    <x v="40"/>
    <n v="58"/>
    <n v="71"/>
    <n v="3520"/>
    <n v="35329"/>
    <n v="55311"/>
    <n v="3098215"/>
    <n v="351693"/>
    <n v="611447"/>
    <n v="31328148"/>
    <n v="41051"/>
    <n v="41051"/>
    <x v="41"/>
    <n v="1"/>
    <n v="0"/>
  </r>
  <r>
    <x v="5"/>
    <n v="41"/>
    <s v="Oregon"/>
    <n v="51"/>
    <s v="Multnomah County"/>
    <n v="15"/>
    <x v="8"/>
    <n v="1"/>
    <x v="41"/>
    <n v="71"/>
    <n v="110"/>
    <n v="3604"/>
    <n v="35329"/>
    <n v="55311"/>
    <n v="3098215"/>
    <n v="351693"/>
    <n v="611447"/>
    <n v="31328148"/>
    <n v="41051"/>
    <n v="41051"/>
    <x v="42"/>
    <n v="1"/>
    <n v="0"/>
  </r>
  <r>
    <x v="5"/>
    <n v="41"/>
    <s v="Oregon"/>
    <n v="51"/>
    <s v="Multnomah County"/>
    <n v="15"/>
    <x v="8"/>
    <n v="3"/>
    <x v="42"/>
    <n v="106"/>
    <n v="150"/>
    <n v="5749"/>
    <n v="35329"/>
    <n v="55311"/>
    <n v="3098215"/>
    <n v="351693"/>
    <n v="611447"/>
    <n v="31328148"/>
    <n v="41051"/>
    <n v="41051"/>
    <x v="43"/>
    <n v="1"/>
    <n v="0"/>
  </r>
  <r>
    <x v="5"/>
    <n v="41"/>
    <s v="Oregon"/>
    <n v="51"/>
    <s v="Multnomah County"/>
    <n v="15"/>
    <x v="8"/>
    <n v="9"/>
    <x v="43"/>
    <n v="44"/>
    <n v="67"/>
    <n v="3027"/>
    <n v="35329"/>
    <n v="55311"/>
    <n v="3098215"/>
    <n v="351693"/>
    <n v="611447"/>
    <n v="31328148"/>
    <n v="41051"/>
    <n v="41051"/>
    <x v="44"/>
    <n v="1"/>
    <n v="0"/>
  </r>
  <r>
    <x v="5"/>
    <n v="41"/>
    <s v="Oregon"/>
    <n v="51"/>
    <s v="Multnomah County"/>
    <n v="16"/>
    <x v="9"/>
    <n v="1"/>
    <x v="44"/>
    <n v="185"/>
    <n v="311"/>
    <n v="15122"/>
    <n v="35329"/>
    <n v="55311"/>
    <n v="3098215"/>
    <n v="351693"/>
    <n v="611447"/>
    <n v="31328148"/>
    <n v="41051"/>
    <n v="41051"/>
    <x v="45"/>
    <n v="1"/>
    <n v="0"/>
  </r>
  <r>
    <x v="5"/>
    <n v="41"/>
    <s v="Oregon"/>
    <n v="51"/>
    <s v="Multnomah County"/>
    <n v="16"/>
    <x v="9"/>
    <n v="17"/>
    <x v="193"/>
    <n v="24"/>
    <n v="41"/>
    <n v="1594"/>
    <n v="35329"/>
    <n v="55311"/>
    <n v="3098215"/>
    <n v="351693"/>
    <n v="611447"/>
    <n v="31328148"/>
    <n v="41051"/>
    <n v="41051"/>
    <x v="207"/>
    <n v="1"/>
    <n v="0"/>
  </r>
  <r>
    <x v="5"/>
    <n v="41"/>
    <s v="Oregon"/>
    <n v="51"/>
    <s v="Multnomah County"/>
    <n v="16"/>
    <x v="9"/>
    <n v="19"/>
    <x v="194"/>
    <n v="20"/>
    <n v="35"/>
    <n v="1195"/>
    <n v="35329"/>
    <n v="55311"/>
    <n v="3098215"/>
    <n v="351693"/>
    <n v="611447"/>
    <n v="31328148"/>
    <n v="41051"/>
    <n v="41051"/>
    <x v="208"/>
    <n v="1"/>
    <n v="0"/>
  </r>
  <r>
    <x v="5"/>
    <n v="41"/>
    <s v="Oregon"/>
    <n v="51"/>
    <s v="Multnomah County"/>
    <n v="16"/>
    <x v="9"/>
    <n v="27"/>
    <x v="45"/>
    <n v="57"/>
    <n v="101"/>
    <n v="3591"/>
    <n v="35329"/>
    <n v="55311"/>
    <n v="3098215"/>
    <n v="351693"/>
    <n v="611447"/>
    <n v="31328148"/>
    <n v="41051"/>
    <n v="41051"/>
    <x v="46"/>
    <n v="1"/>
    <n v="0"/>
  </r>
  <r>
    <x v="5"/>
    <n v="41"/>
    <s v="Oregon"/>
    <n v="51"/>
    <s v="Multnomah County"/>
    <n v="16"/>
    <x v="9"/>
    <n v="55"/>
    <x v="46"/>
    <n v="45"/>
    <n v="72"/>
    <n v="2856"/>
    <n v="35329"/>
    <n v="55311"/>
    <n v="3098215"/>
    <n v="351693"/>
    <n v="611447"/>
    <n v="31328148"/>
    <n v="41051"/>
    <n v="41051"/>
    <x v="47"/>
    <n v="1"/>
    <n v="0"/>
  </r>
  <r>
    <x v="5"/>
    <n v="41"/>
    <s v="Oregon"/>
    <n v="51"/>
    <s v="Multnomah County"/>
    <n v="17"/>
    <x v="10"/>
    <n v="31"/>
    <x v="47"/>
    <n v="193"/>
    <n v="233"/>
    <n v="14068"/>
    <n v="35329"/>
    <n v="55311"/>
    <n v="3098215"/>
    <n v="351693"/>
    <n v="611447"/>
    <n v="31328148"/>
    <n v="41051"/>
    <n v="41051"/>
    <x v="48"/>
    <n v="1"/>
    <n v="0"/>
  </r>
  <r>
    <x v="5"/>
    <n v="41"/>
    <s v="Oregon"/>
    <n v="51"/>
    <s v="Multnomah County"/>
    <n v="17"/>
    <x v="10"/>
    <n v="43"/>
    <x v="136"/>
    <n v="22"/>
    <n v="27"/>
    <n v="1105"/>
    <n v="35329"/>
    <n v="55311"/>
    <n v="3098215"/>
    <n v="351693"/>
    <n v="611447"/>
    <n v="31328148"/>
    <n v="41051"/>
    <n v="41051"/>
    <x v="143"/>
    <n v="1"/>
    <n v="0"/>
  </r>
  <r>
    <x v="5"/>
    <n v="41"/>
    <s v="Oregon"/>
    <n v="51"/>
    <s v="Multnomah County"/>
    <n v="18"/>
    <x v="11"/>
    <n v="3"/>
    <x v="195"/>
    <n v="20"/>
    <n v="37"/>
    <n v="801"/>
    <n v="35329"/>
    <n v="55311"/>
    <n v="3098215"/>
    <n v="351693"/>
    <n v="611447"/>
    <n v="31328148"/>
    <n v="41051"/>
    <n v="41051"/>
    <x v="209"/>
    <n v="1"/>
    <n v="0"/>
  </r>
  <r>
    <x v="5"/>
    <n v="41"/>
    <s v="Oregon"/>
    <n v="51"/>
    <s v="Multnomah County"/>
    <n v="18"/>
    <x v="11"/>
    <n v="97"/>
    <x v="48"/>
    <n v="34"/>
    <n v="47"/>
    <n v="1346"/>
    <n v="35329"/>
    <n v="55311"/>
    <n v="3098215"/>
    <n v="351693"/>
    <n v="611447"/>
    <n v="31328148"/>
    <n v="41051"/>
    <n v="41051"/>
    <x v="49"/>
    <n v="1"/>
    <n v="0"/>
  </r>
  <r>
    <x v="5"/>
    <n v="41"/>
    <s v="Oregon"/>
    <n v="51"/>
    <s v="Multnomah County"/>
    <n v="19"/>
    <x v="12"/>
    <n v="153"/>
    <x v="49"/>
    <n v="30"/>
    <n v="46"/>
    <n v="2307"/>
    <n v="35329"/>
    <n v="55311"/>
    <n v="3098215"/>
    <n v="351693"/>
    <n v="611447"/>
    <n v="31328148"/>
    <n v="41051"/>
    <n v="41051"/>
    <x v="50"/>
    <n v="1"/>
    <n v="0"/>
  </r>
  <r>
    <x v="5"/>
    <n v="41"/>
    <s v="Oregon"/>
    <n v="51"/>
    <s v="Multnomah County"/>
    <n v="20"/>
    <x v="34"/>
    <n v="91"/>
    <x v="137"/>
    <n v="20"/>
    <n v="34"/>
    <n v="1402"/>
    <n v="35329"/>
    <n v="55311"/>
    <n v="3098215"/>
    <n v="351693"/>
    <n v="611447"/>
    <n v="31328148"/>
    <n v="41051"/>
    <n v="41051"/>
    <x v="144"/>
    <n v="1"/>
    <n v="0"/>
  </r>
  <r>
    <x v="5"/>
    <n v="41"/>
    <s v="Oregon"/>
    <n v="51"/>
    <s v="Multnomah County"/>
    <n v="22"/>
    <x v="13"/>
    <n v="71"/>
    <x v="50"/>
    <n v="31"/>
    <n v="37"/>
    <n v="2014"/>
    <n v="35329"/>
    <n v="55311"/>
    <n v="3098215"/>
    <n v="351693"/>
    <n v="611447"/>
    <n v="31328148"/>
    <n v="41051"/>
    <n v="41051"/>
    <x v="51"/>
    <n v="1"/>
    <n v="0"/>
  </r>
  <r>
    <x v="5"/>
    <n v="41"/>
    <s v="Oregon"/>
    <n v="51"/>
    <s v="Multnomah County"/>
    <n v="23"/>
    <x v="14"/>
    <n v="5"/>
    <x v="51"/>
    <n v="41"/>
    <n v="50"/>
    <n v="2986"/>
    <n v="35329"/>
    <n v="55311"/>
    <n v="3098215"/>
    <n v="351693"/>
    <n v="611447"/>
    <n v="31328148"/>
    <n v="41051"/>
    <n v="41051"/>
    <x v="52"/>
    <n v="1"/>
    <n v="0"/>
  </r>
  <r>
    <x v="5"/>
    <n v="41"/>
    <s v="Oregon"/>
    <n v="51"/>
    <s v="Multnomah County"/>
    <n v="24"/>
    <x v="15"/>
    <n v="31"/>
    <x v="52"/>
    <n v="31"/>
    <n v="44"/>
    <n v="2557"/>
    <n v="35329"/>
    <n v="55311"/>
    <n v="3098215"/>
    <n v="351693"/>
    <n v="611447"/>
    <n v="31328148"/>
    <n v="41051"/>
    <n v="41051"/>
    <x v="53"/>
    <n v="1"/>
    <n v="0"/>
  </r>
  <r>
    <x v="5"/>
    <n v="41"/>
    <s v="Oregon"/>
    <n v="51"/>
    <s v="Multnomah County"/>
    <n v="24"/>
    <x v="15"/>
    <n v="510"/>
    <x v="139"/>
    <n v="32"/>
    <n v="51"/>
    <n v="3361"/>
    <n v="35329"/>
    <n v="55311"/>
    <n v="3098215"/>
    <n v="351693"/>
    <n v="611447"/>
    <n v="31328148"/>
    <n v="41051"/>
    <n v="41051"/>
    <x v="147"/>
    <n v="1"/>
    <n v="0"/>
  </r>
  <r>
    <x v="5"/>
    <n v="41"/>
    <s v="Oregon"/>
    <n v="51"/>
    <s v="Multnomah County"/>
    <n v="25"/>
    <x v="16"/>
    <n v="17"/>
    <x v="53"/>
    <n v="94"/>
    <n v="125"/>
    <n v="6950"/>
    <n v="35329"/>
    <n v="55311"/>
    <n v="3098215"/>
    <n v="351693"/>
    <n v="611447"/>
    <n v="31328148"/>
    <n v="41051"/>
    <n v="41051"/>
    <x v="54"/>
    <n v="1"/>
    <n v="0"/>
  </r>
  <r>
    <x v="5"/>
    <n v="41"/>
    <s v="Oregon"/>
    <n v="51"/>
    <s v="Multnomah County"/>
    <n v="25"/>
    <x v="16"/>
    <n v="21"/>
    <x v="141"/>
    <n v="26"/>
    <n v="34"/>
    <n v="1971"/>
    <n v="35329"/>
    <n v="55311"/>
    <n v="3098215"/>
    <n v="351693"/>
    <n v="611447"/>
    <n v="31328148"/>
    <n v="41051"/>
    <n v="41051"/>
    <x v="149"/>
    <n v="1"/>
    <n v="0"/>
  </r>
  <r>
    <x v="5"/>
    <n v="41"/>
    <s v="Oregon"/>
    <n v="51"/>
    <s v="Multnomah County"/>
    <n v="25"/>
    <x v="16"/>
    <n v="25"/>
    <x v="54"/>
    <n v="65"/>
    <n v="89"/>
    <n v="4842"/>
    <n v="35329"/>
    <n v="55311"/>
    <n v="3098215"/>
    <n v="351693"/>
    <n v="611447"/>
    <n v="31328148"/>
    <n v="41051"/>
    <n v="41051"/>
    <x v="55"/>
    <n v="1"/>
    <n v="0"/>
  </r>
  <r>
    <x v="5"/>
    <n v="41"/>
    <s v="Oregon"/>
    <n v="51"/>
    <s v="Multnomah County"/>
    <n v="26"/>
    <x v="17"/>
    <n v="81"/>
    <x v="142"/>
    <n v="26"/>
    <n v="40"/>
    <n v="1818"/>
    <n v="35329"/>
    <n v="55311"/>
    <n v="3098215"/>
    <n v="351693"/>
    <n v="611447"/>
    <n v="31328148"/>
    <n v="41051"/>
    <n v="41051"/>
    <x v="150"/>
    <n v="1"/>
    <n v="0"/>
  </r>
  <r>
    <x v="5"/>
    <n v="41"/>
    <s v="Oregon"/>
    <n v="51"/>
    <s v="Multnomah County"/>
    <n v="26"/>
    <x v="17"/>
    <n v="125"/>
    <x v="143"/>
    <n v="42"/>
    <n v="69"/>
    <n v="4492"/>
    <n v="35329"/>
    <n v="55311"/>
    <n v="3098215"/>
    <n v="351693"/>
    <n v="611447"/>
    <n v="31328148"/>
    <n v="41051"/>
    <n v="41051"/>
    <x v="151"/>
    <n v="1"/>
    <n v="0"/>
  </r>
  <r>
    <x v="5"/>
    <n v="41"/>
    <s v="Oregon"/>
    <n v="51"/>
    <s v="Multnomah County"/>
    <n v="26"/>
    <x v="17"/>
    <n v="161"/>
    <x v="55"/>
    <n v="32"/>
    <n v="52"/>
    <n v="3591"/>
    <n v="35329"/>
    <n v="55311"/>
    <n v="3098215"/>
    <n v="351693"/>
    <n v="611447"/>
    <n v="31328148"/>
    <n v="41051"/>
    <n v="41051"/>
    <x v="56"/>
    <n v="1"/>
    <n v="0"/>
  </r>
  <r>
    <x v="5"/>
    <n v="41"/>
    <s v="Oregon"/>
    <n v="51"/>
    <s v="Multnomah County"/>
    <n v="26"/>
    <x v="17"/>
    <n v="163"/>
    <x v="144"/>
    <n v="24"/>
    <n v="41"/>
    <n v="1362"/>
    <n v="35329"/>
    <n v="55311"/>
    <n v="3098215"/>
    <n v="351693"/>
    <n v="611447"/>
    <n v="31328148"/>
    <n v="41051"/>
    <n v="41051"/>
    <x v="152"/>
    <n v="1"/>
    <n v="0"/>
  </r>
  <r>
    <x v="5"/>
    <n v="41"/>
    <s v="Oregon"/>
    <n v="51"/>
    <s v="Multnomah County"/>
    <n v="27"/>
    <x v="18"/>
    <n v="53"/>
    <x v="56"/>
    <n v="123"/>
    <n v="164"/>
    <n v="9120"/>
    <n v="35329"/>
    <n v="55311"/>
    <n v="3098215"/>
    <n v="351693"/>
    <n v="611447"/>
    <n v="31328148"/>
    <n v="41051"/>
    <n v="41051"/>
    <x v="57"/>
    <n v="1"/>
    <n v="0"/>
  </r>
  <r>
    <x v="5"/>
    <n v="41"/>
    <s v="Oregon"/>
    <n v="51"/>
    <s v="Multnomah County"/>
    <n v="27"/>
    <x v="18"/>
    <n v="123"/>
    <x v="57"/>
    <n v="26"/>
    <n v="46"/>
    <n v="1236"/>
    <n v="35329"/>
    <n v="55311"/>
    <n v="3098215"/>
    <n v="351693"/>
    <n v="611447"/>
    <n v="31328148"/>
    <n v="41051"/>
    <n v="41051"/>
    <x v="58"/>
    <n v="1"/>
    <n v="0"/>
  </r>
  <r>
    <x v="5"/>
    <n v="41"/>
    <s v="Oregon"/>
    <n v="51"/>
    <s v="Multnomah County"/>
    <n v="29"/>
    <x v="36"/>
    <n v="43"/>
    <x v="196"/>
    <n v="24"/>
    <n v="80"/>
    <n v="1276"/>
    <n v="35329"/>
    <n v="55311"/>
    <n v="3098215"/>
    <n v="351693"/>
    <n v="611447"/>
    <n v="31328148"/>
    <n v="41051"/>
    <n v="41051"/>
    <x v="210"/>
    <n v="1"/>
    <n v="0"/>
  </r>
  <r>
    <x v="5"/>
    <n v="41"/>
    <s v="Oregon"/>
    <n v="51"/>
    <s v="Multnomah County"/>
    <n v="29"/>
    <x v="36"/>
    <n v="77"/>
    <x v="145"/>
    <n v="35"/>
    <n v="79"/>
    <n v="1420"/>
    <n v="35329"/>
    <n v="55311"/>
    <n v="3098215"/>
    <n v="351693"/>
    <n v="611447"/>
    <n v="31328148"/>
    <n v="41051"/>
    <n v="41051"/>
    <x v="153"/>
    <n v="1"/>
    <n v="0"/>
  </r>
  <r>
    <x v="5"/>
    <n v="41"/>
    <s v="Oregon"/>
    <n v="51"/>
    <s v="Multnomah County"/>
    <n v="29"/>
    <x v="36"/>
    <n v="95"/>
    <x v="82"/>
    <n v="38"/>
    <n v="51"/>
    <n v="1880"/>
    <n v="35329"/>
    <n v="55311"/>
    <n v="3098215"/>
    <n v="351693"/>
    <n v="611447"/>
    <n v="31328148"/>
    <n v="41051"/>
    <n v="41051"/>
    <x v="154"/>
    <n v="1"/>
    <n v="0"/>
  </r>
  <r>
    <x v="5"/>
    <n v="41"/>
    <s v="Oregon"/>
    <n v="51"/>
    <s v="Multnomah County"/>
    <n v="29"/>
    <x v="36"/>
    <n v="189"/>
    <x v="146"/>
    <n v="29"/>
    <n v="45"/>
    <n v="2249"/>
    <n v="35329"/>
    <n v="55311"/>
    <n v="3098215"/>
    <n v="351693"/>
    <n v="611447"/>
    <n v="31328148"/>
    <n v="41051"/>
    <n v="41051"/>
    <x v="155"/>
    <n v="1"/>
    <n v="0"/>
  </r>
  <r>
    <x v="5"/>
    <n v="41"/>
    <s v="Oregon"/>
    <n v="51"/>
    <s v="Multnomah County"/>
    <n v="29"/>
    <x v="36"/>
    <n v="510"/>
    <x v="147"/>
    <n v="20"/>
    <n v="25"/>
    <n v="1031"/>
    <n v="35329"/>
    <n v="55311"/>
    <n v="3098215"/>
    <n v="351693"/>
    <n v="611447"/>
    <n v="31328148"/>
    <n v="41051"/>
    <n v="41051"/>
    <x v="156"/>
    <n v="1"/>
    <n v="0"/>
  </r>
  <r>
    <x v="5"/>
    <n v="41"/>
    <s v="Oregon"/>
    <n v="51"/>
    <s v="Multnomah County"/>
    <n v="30"/>
    <x v="19"/>
    <n v="29"/>
    <x v="148"/>
    <n v="48"/>
    <n v="87"/>
    <n v="3567"/>
    <n v="35329"/>
    <n v="55311"/>
    <n v="3098215"/>
    <n v="351693"/>
    <n v="611447"/>
    <n v="31328148"/>
    <n v="41051"/>
    <n v="41051"/>
    <x v="157"/>
    <n v="1"/>
    <n v="0"/>
  </r>
  <r>
    <x v="5"/>
    <n v="41"/>
    <s v="Oregon"/>
    <n v="51"/>
    <s v="Multnomah County"/>
    <n v="30"/>
    <x v="19"/>
    <n v="31"/>
    <x v="58"/>
    <n v="56"/>
    <n v="78"/>
    <n v="3119"/>
    <n v="35329"/>
    <n v="55311"/>
    <n v="3098215"/>
    <n v="351693"/>
    <n v="611447"/>
    <n v="31328148"/>
    <n v="41051"/>
    <n v="41051"/>
    <x v="59"/>
    <n v="1"/>
    <n v="0"/>
  </r>
  <r>
    <x v="5"/>
    <n v="41"/>
    <s v="Oregon"/>
    <n v="51"/>
    <s v="Multnomah County"/>
    <n v="30"/>
    <x v="19"/>
    <n v="63"/>
    <x v="59"/>
    <n v="54"/>
    <n v="86"/>
    <n v="3819"/>
    <n v="35329"/>
    <n v="55311"/>
    <n v="3098215"/>
    <n v="351693"/>
    <n v="611447"/>
    <n v="31328148"/>
    <n v="41051"/>
    <n v="41051"/>
    <x v="60"/>
    <n v="1"/>
    <n v="0"/>
  </r>
  <r>
    <x v="5"/>
    <n v="41"/>
    <s v="Oregon"/>
    <n v="51"/>
    <s v="Multnomah County"/>
    <n v="30"/>
    <x v="19"/>
    <n v="111"/>
    <x v="60"/>
    <n v="20"/>
    <n v="26"/>
    <n v="788"/>
    <n v="35329"/>
    <n v="55311"/>
    <n v="3098215"/>
    <n v="351693"/>
    <n v="611447"/>
    <n v="31328148"/>
    <n v="41051"/>
    <n v="41051"/>
    <x v="61"/>
    <n v="1"/>
    <n v="0"/>
  </r>
  <r>
    <x v="5"/>
    <n v="41"/>
    <s v="Oregon"/>
    <n v="51"/>
    <s v="Multnomah County"/>
    <n v="31"/>
    <x v="37"/>
    <n v="55"/>
    <x v="80"/>
    <n v="26"/>
    <n v="41"/>
    <n v="2326"/>
    <n v="35329"/>
    <n v="55311"/>
    <n v="3098215"/>
    <n v="351693"/>
    <n v="611447"/>
    <n v="31328148"/>
    <n v="41051"/>
    <n v="41051"/>
    <x v="159"/>
    <n v="1"/>
    <n v="0"/>
  </r>
  <r>
    <x v="5"/>
    <n v="41"/>
    <s v="Oregon"/>
    <n v="51"/>
    <s v="Multnomah County"/>
    <n v="32"/>
    <x v="20"/>
    <n v="3"/>
    <x v="61"/>
    <n v="263"/>
    <n v="409"/>
    <n v="24623"/>
    <n v="35329"/>
    <n v="55311"/>
    <n v="3098215"/>
    <n v="351693"/>
    <n v="611447"/>
    <n v="31328148"/>
    <n v="41051"/>
    <n v="41051"/>
    <x v="62"/>
    <n v="1"/>
    <n v="0"/>
  </r>
  <r>
    <x v="5"/>
    <n v="41"/>
    <s v="Oregon"/>
    <n v="51"/>
    <s v="Multnomah County"/>
    <n v="32"/>
    <x v="20"/>
    <n v="31"/>
    <x v="62"/>
    <n v="88"/>
    <n v="118"/>
    <n v="7952"/>
    <n v="35329"/>
    <n v="55311"/>
    <n v="3098215"/>
    <n v="351693"/>
    <n v="611447"/>
    <n v="31328148"/>
    <n v="41051"/>
    <n v="41051"/>
    <x v="63"/>
    <n v="1"/>
    <n v="0"/>
  </r>
  <r>
    <x v="5"/>
    <n v="41"/>
    <s v="Oregon"/>
    <n v="51"/>
    <s v="Multnomah County"/>
    <n v="34"/>
    <x v="38"/>
    <n v="17"/>
    <x v="150"/>
    <n v="22"/>
    <n v="26"/>
    <n v="2009"/>
    <n v="35329"/>
    <n v="55311"/>
    <n v="3098215"/>
    <n v="351693"/>
    <n v="611447"/>
    <n v="31328148"/>
    <n v="41051"/>
    <n v="41051"/>
    <x v="160"/>
    <n v="1"/>
    <n v="0"/>
  </r>
  <r>
    <x v="5"/>
    <n v="41"/>
    <s v="Oregon"/>
    <n v="51"/>
    <s v="Multnomah County"/>
    <n v="35"/>
    <x v="21"/>
    <n v="1"/>
    <x v="63"/>
    <n v="64"/>
    <n v="103"/>
    <n v="4282"/>
    <n v="35329"/>
    <n v="55311"/>
    <n v="3098215"/>
    <n v="351693"/>
    <n v="611447"/>
    <n v="31328148"/>
    <n v="41051"/>
    <n v="41051"/>
    <x v="64"/>
    <n v="1"/>
    <n v="0"/>
  </r>
  <r>
    <x v="5"/>
    <n v="41"/>
    <s v="Oregon"/>
    <n v="51"/>
    <s v="Multnomah County"/>
    <n v="35"/>
    <x v="21"/>
    <n v="49"/>
    <x v="64"/>
    <n v="36"/>
    <n v="42"/>
    <n v="2353"/>
    <n v="35329"/>
    <n v="55311"/>
    <n v="3098215"/>
    <n v="351693"/>
    <n v="611447"/>
    <n v="31328148"/>
    <n v="41051"/>
    <n v="41051"/>
    <x v="65"/>
    <n v="1"/>
    <n v="0"/>
  </r>
  <r>
    <x v="5"/>
    <n v="41"/>
    <s v="Oregon"/>
    <n v="51"/>
    <s v="Multnomah County"/>
    <n v="36"/>
    <x v="22"/>
    <n v="29"/>
    <x v="151"/>
    <n v="21"/>
    <n v="35"/>
    <n v="973"/>
    <n v="35329"/>
    <n v="55311"/>
    <n v="3098215"/>
    <n v="351693"/>
    <n v="611447"/>
    <n v="31328148"/>
    <n v="41051"/>
    <n v="41051"/>
    <x v="161"/>
    <n v="1"/>
    <n v="0"/>
  </r>
  <r>
    <x v="5"/>
    <n v="41"/>
    <s v="Oregon"/>
    <n v="51"/>
    <s v="Multnomah County"/>
    <n v="36"/>
    <x v="22"/>
    <n v="47"/>
    <x v="65"/>
    <n v="161"/>
    <n v="188"/>
    <n v="11876"/>
    <n v="35329"/>
    <n v="55311"/>
    <n v="3098215"/>
    <n v="351693"/>
    <n v="611447"/>
    <n v="31328148"/>
    <n v="41051"/>
    <n v="41051"/>
    <x v="66"/>
    <n v="1"/>
    <n v="0"/>
  </r>
  <r>
    <x v="5"/>
    <n v="41"/>
    <s v="Oregon"/>
    <n v="51"/>
    <s v="Multnomah County"/>
    <n v="36"/>
    <x v="22"/>
    <n v="55"/>
    <x v="152"/>
    <n v="27"/>
    <n v="41"/>
    <n v="1714"/>
    <n v="35329"/>
    <n v="55311"/>
    <n v="3098215"/>
    <n v="351693"/>
    <n v="611447"/>
    <n v="31328148"/>
    <n v="41051"/>
    <n v="41051"/>
    <x v="162"/>
    <n v="1"/>
    <n v="0"/>
  </r>
  <r>
    <x v="5"/>
    <n v="41"/>
    <s v="Oregon"/>
    <n v="51"/>
    <s v="Multnomah County"/>
    <n v="36"/>
    <x v="22"/>
    <n v="61"/>
    <x v="66"/>
    <n v="147"/>
    <n v="168"/>
    <n v="15687"/>
    <n v="35329"/>
    <n v="55311"/>
    <n v="3098215"/>
    <n v="351693"/>
    <n v="611447"/>
    <n v="31328148"/>
    <n v="41051"/>
    <n v="41051"/>
    <x v="67"/>
    <n v="1"/>
    <n v="0"/>
  </r>
  <r>
    <x v="5"/>
    <n v="41"/>
    <s v="Oregon"/>
    <n v="51"/>
    <s v="Multnomah County"/>
    <n v="36"/>
    <x v="22"/>
    <n v="81"/>
    <x v="67"/>
    <n v="41"/>
    <n v="48"/>
    <n v="2755"/>
    <n v="35329"/>
    <n v="55311"/>
    <n v="3098215"/>
    <n v="351693"/>
    <n v="611447"/>
    <n v="31328148"/>
    <n v="41051"/>
    <n v="41051"/>
    <x v="68"/>
    <n v="1"/>
    <n v="0"/>
  </r>
  <r>
    <x v="5"/>
    <n v="41"/>
    <s v="Oregon"/>
    <n v="51"/>
    <s v="Multnomah County"/>
    <n v="37"/>
    <x v="23"/>
    <n v="21"/>
    <x v="69"/>
    <n v="42"/>
    <n v="61"/>
    <n v="3205"/>
    <n v="35329"/>
    <n v="55311"/>
    <n v="3098215"/>
    <n v="351693"/>
    <n v="611447"/>
    <n v="31328148"/>
    <n v="41051"/>
    <n v="41051"/>
    <x v="70"/>
    <n v="1"/>
    <n v="0"/>
  </r>
  <r>
    <x v="5"/>
    <n v="41"/>
    <s v="Oregon"/>
    <n v="51"/>
    <s v="Multnomah County"/>
    <n v="37"/>
    <x v="23"/>
    <n v="63"/>
    <x v="154"/>
    <n v="27"/>
    <n v="40"/>
    <n v="1896"/>
    <n v="35329"/>
    <n v="55311"/>
    <n v="3098215"/>
    <n v="351693"/>
    <n v="611447"/>
    <n v="31328148"/>
    <n v="41051"/>
    <n v="41051"/>
    <x v="164"/>
    <n v="1"/>
    <n v="0"/>
  </r>
  <r>
    <x v="5"/>
    <n v="41"/>
    <s v="Oregon"/>
    <n v="51"/>
    <s v="Multnomah County"/>
    <n v="37"/>
    <x v="23"/>
    <n v="119"/>
    <x v="70"/>
    <n v="46"/>
    <n v="71"/>
    <n v="4867"/>
    <n v="35329"/>
    <n v="55311"/>
    <n v="3098215"/>
    <n v="351693"/>
    <n v="611447"/>
    <n v="31328148"/>
    <n v="41051"/>
    <n v="41051"/>
    <x v="71"/>
    <n v="1"/>
    <n v="0"/>
  </r>
  <r>
    <x v="5"/>
    <n v="41"/>
    <s v="Oregon"/>
    <n v="51"/>
    <s v="Multnomah County"/>
    <n v="37"/>
    <x v="23"/>
    <n v="183"/>
    <x v="155"/>
    <n v="43"/>
    <n v="59"/>
    <n v="2522"/>
    <n v="35329"/>
    <n v="55311"/>
    <n v="3098215"/>
    <n v="351693"/>
    <n v="611447"/>
    <n v="31328148"/>
    <n v="41051"/>
    <n v="41051"/>
    <x v="166"/>
    <n v="1"/>
    <n v="0"/>
  </r>
  <r>
    <x v="5"/>
    <n v="41"/>
    <s v="Oregon"/>
    <n v="51"/>
    <s v="Multnomah County"/>
    <n v="39"/>
    <x v="24"/>
    <n v="35"/>
    <x v="156"/>
    <n v="34"/>
    <n v="50"/>
    <n v="2002"/>
    <n v="35329"/>
    <n v="55311"/>
    <n v="3098215"/>
    <n v="351693"/>
    <n v="611447"/>
    <n v="31328148"/>
    <n v="41051"/>
    <n v="41051"/>
    <x v="167"/>
    <n v="1"/>
    <n v="0"/>
  </r>
  <r>
    <x v="5"/>
    <n v="41"/>
    <s v="Oregon"/>
    <n v="51"/>
    <s v="Multnomah County"/>
    <n v="39"/>
    <x v="24"/>
    <n v="49"/>
    <x v="71"/>
    <n v="60"/>
    <n v="105"/>
    <n v="4182"/>
    <n v="35329"/>
    <n v="55311"/>
    <n v="3098215"/>
    <n v="351693"/>
    <n v="611447"/>
    <n v="31328148"/>
    <n v="41051"/>
    <n v="41051"/>
    <x v="72"/>
    <n v="1"/>
    <n v="0"/>
  </r>
  <r>
    <x v="5"/>
    <n v="41"/>
    <s v="Oregon"/>
    <n v="51"/>
    <s v="Multnomah County"/>
    <n v="39"/>
    <x v="24"/>
    <n v="61"/>
    <x v="157"/>
    <n v="26"/>
    <n v="29"/>
    <n v="1265"/>
    <n v="35329"/>
    <n v="55311"/>
    <n v="3098215"/>
    <n v="351693"/>
    <n v="611447"/>
    <n v="31328148"/>
    <n v="41051"/>
    <n v="41051"/>
    <x v="168"/>
    <n v="1"/>
    <n v="0"/>
  </r>
  <r>
    <x v="5"/>
    <n v="41"/>
    <s v="Oregon"/>
    <n v="51"/>
    <s v="Multnomah County"/>
    <n v="40"/>
    <x v="39"/>
    <n v="109"/>
    <x v="158"/>
    <n v="24"/>
    <n v="42"/>
    <n v="1044"/>
    <n v="35329"/>
    <n v="55311"/>
    <n v="3098215"/>
    <n v="351693"/>
    <n v="611447"/>
    <n v="31328148"/>
    <n v="41051"/>
    <n v="41051"/>
    <x v="169"/>
    <n v="1"/>
    <n v="0"/>
  </r>
  <r>
    <x v="5"/>
    <n v="41"/>
    <s v="Oregon"/>
    <n v="51"/>
    <s v="Multnomah County"/>
    <n v="41"/>
    <x v="25"/>
    <n v="1"/>
    <x v="72"/>
    <n v="21"/>
    <n v="45"/>
    <n v="1439"/>
    <n v="35329"/>
    <n v="55311"/>
    <n v="3098215"/>
    <n v="351693"/>
    <n v="611447"/>
    <n v="31328148"/>
    <n v="41051"/>
    <n v="41051"/>
    <x v="73"/>
    <n v="1"/>
    <n v="0"/>
  </r>
  <r>
    <x v="5"/>
    <n v="41"/>
    <s v="Oregon"/>
    <n v="51"/>
    <s v="Multnomah County"/>
    <n v="41"/>
    <x v="25"/>
    <n v="3"/>
    <x v="73"/>
    <n v="202"/>
    <n v="276"/>
    <n v="12716"/>
    <n v="35329"/>
    <n v="55311"/>
    <n v="3098215"/>
    <n v="351693"/>
    <n v="611447"/>
    <n v="31328148"/>
    <n v="41051"/>
    <n v="41051"/>
    <x v="74"/>
    <n v="1"/>
    <n v="0"/>
  </r>
  <r>
    <x v="5"/>
    <n v="41"/>
    <s v="Oregon"/>
    <n v="51"/>
    <s v="Multnomah County"/>
    <n v="41"/>
    <x v="25"/>
    <n v="5"/>
    <x v="74"/>
    <n v="6166"/>
    <n v="10819"/>
    <n v="583414"/>
    <n v="35329"/>
    <n v="55311"/>
    <n v="3098215"/>
    <n v="351693"/>
    <n v="611447"/>
    <n v="31328148"/>
    <n v="41051"/>
    <n v="41051"/>
    <x v="75"/>
    <n v="1"/>
    <n v="0"/>
  </r>
  <r>
    <x v="5"/>
    <n v="41"/>
    <s v="Oregon"/>
    <n v="51"/>
    <s v="Multnomah County"/>
    <n v="41"/>
    <x v="25"/>
    <n v="7"/>
    <x v="75"/>
    <n v="197"/>
    <n v="292"/>
    <n v="49171"/>
    <n v="35329"/>
    <n v="55311"/>
    <n v="3098215"/>
    <n v="351693"/>
    <n v="611447"/>
    <n v="31328148"/>
    <n v="41051"/>
    <n v="41051"/>
    <x v="76"/>
    <n v="1"/>
    <n v="0"/>
  </r>
  <r>
    <x v="5"/>
    <n v="41"/>
    <s v="Oregon"/>
    <n v="51"/>
    <s v="Multnomah County"/>
    <n v="41"/>
    <x v="25"/>
    <n v="9"/>
    <x v="76"/>
    <n v="355"/>
    <n v="579"/>
    <n v="20931"/>
    <n v="35329"/>
    <n v="55311"/>
    <n v="3098215"/>
    <n v="351693"/>
    <n v="611447"/>
    <n v="31328148"/>
    <n v="41051"/>
    <n v="41051"/>
    <x v="77"/>
    <n v="1"/>
    <n v="0"/>
  </r>
  <r>
    <x v="5"/>
    <n v="41"/>
    <s v="Oregon"/>
    <n v="51"/>
    <s v="Multnomah County"/>
    <n v="41"/>
    <x v="25"/>
    <n v="11"/>
    <x v="77"/>
    <n v="54"/>
    <n v="77"/>
    <n v="3997"/>
    <n v="35329"/>
    <n v="55311"/>
    <n v="3098215"/>
    <n v="351693"/>
    <n v="611447"/>
    <n v="31328148"/>
    <n v="41051"/>
    <n v="41051"/>
    <x v="78"/>
    <n v="1"/>
    <n v="0"/>
  </r>
  <r>
    <x v="5"/>
    <n v="41"/>
    <s v="Oregon"/>
    <n v="51"/>
    <s v="Multnomah County"/>
    <n v="41"/>
    <x v="25"/>
    <n v="13"/>
    <x v="78"/>
    <n v="56"/>
    <n v="101"/>
    <n v="5901"/>
    <n v="35329"/>
    <n v="55311"/>
    <n v="3098215"/>
    <n v="351693"/>
    <n v="611447"/>
    <n v="31328148"/>
    <n v="41051"/>
    <n v="41051"/>
    <x v="79"/>
    <n v="1"/>
    <n v="0"/>
  </r>
  <r>
    <x v="5"/>
    <n v="41"/>
    <s v="Oregon"/>
    <n v="51"/>
    <s v="Multnomah County"/>
    <n v="41"/>
    <x v="25"/>
    <n v="15"/>
    <x v="159"/>
    <n v="28"/>
    <n v="33"/>
    <n v="1581"/>
    <n v="35329"/>
    <n v="55311"/>
    <n v="3098215"/>
    <n v="351693"/>
    <n v="611447"/>
    <n v="31328148"/>
    <n v="41051"/>
    <n v="41051"/>
    <x v="170"/>
    <n v="1"/>
    <n v="0"/>
  </r>
  <r>
    <x v="5"/>
    <n v="41"/>
    <s v="Oregon"/>
    <n v="51"/>
    <s v="Multnomah County"/>
    <n v="41"/>
    <x v="25"/>
    <n v="17"/>
    <x v="79"/>
    <n v="753"/>
    <n v="1217"/>
    <n v="151745"/>
    <n v="35329"/>
    <n v="55311"/>
    <n v="3098215"/>
    <n v="351693"/>
    <n v="611447"/>
    <n v="31328148"/>
    <n v="41051"/>
    <n v="41051"/>
    <x v="80"/>
    <n v="1"/>
    <n v="0"/>
  </r>
  <r>
    <x v="5"/>
    <n v="41"/>
    <s v="Oregon"/>
    <n v="51"/>
    <s v="Multnomah County"/>
    <n v="41"/>
    <x v="25"/>
    <n v="19"/>
    <x v="80"/>
    <n v="80"/>
    <n v="116"/>
    <n v="3969"/>
    <n v="35329"/>
    <n v="55311"/>
    <n v="3098215"/>
    <n v="351693"/>
    <n v="611447"/>
    <n v="31328148"/>
    <n v="41051"/>
    <n v="41051"/>
    <x v="81"/>
    <n v="1"/>
    <n v="0"/>
  </r>
  <r>
    <x v="5"/>
    <n v="41"/>
    <s v="Oregon"/>
    <n v="51"/>
    <s v="Multnomah County"/>
    <n v="41"/>
    <x v="25"/>
    <n v="27"/>
    <x v="81"/>
    <n v="182"/>
    <n v="328"/>
    <n v="34914"/>
    <n v="35329"/>
    <n v="55311"/>
    <n v="3098215"/>
    <n v="351693"/>
    <n v="611447"/>
    <n v="31328148"/>
    <n v="41051"/>
    <n v="41051"/>
    <x v="82"/>
    <n v="1"/>
    <n v="0"/>
  </r>
  <r>
    <x v="5"/>
    <n v="41"/>
    <s v="Oregon"/>
    <n v="51"/>
    <s v="Multnomah County"/>
    <n v="41"/>
    <x v="25"/>
    <n v="29"/>
    <x v="82"/>
    <n v="200"/>
    <n v="264"/>
    <n v="11345"/>
    <n v="35329"/>
    <n v="55311"/>
    <n v="3098215"/>
    <n v="351693"/>
    <n v="611447"/>
    <n v="31328148"/>
    <n v="41051"/>
    <n v="41051"/>
    <x v="83"/>
    <n v="1"/>
    <n v="0"/>
  </r>
  <r>
    <x v="5"/>
    <n v="41"/>
    <s v="Oregon"/>
    <n v="51"/>
    <s v="Multnomah County"/>
    <n v="41"/>
    <x v="25"/>
    <n v="31"/>
    <x v="31"/>
    <n v="54"/>
    <n v="83"/>
    <n v="2991"/>
    <n v="35329"/>
    <n v="55311"/>
    <n v="3098215"/>
    <n v="351693"/>
    <n v="611447"/>
    <n v="31328148"/>
    <n v="41051"/>
    <n v="41051"/>
    <x v="84"/>
    <n v="1"/>
    <n v="0"/>
  </r>
  <r>
    <x v="5"/>
    <n v="41"/>
    <s v="Oregon"/>
    <n v="51"/>
    <s v="Multnomah County"/>
    <n v="41"/>
    <x v="25"/>
    <n v="33"/>
    <x v="83"/>
    <n v="83"/>
    <n v="112"/>
    <n v="4066"/>
    <n v="35329"/>
    <n v="55311"/>
    <n v="3098215"/>
    <n v="351693"/>
    <n v="611447"/>
    <n v="31328148"/>
    <n v="41051"/>
    <n v="41051"/>
    <x v="85"/>
    <n v="1"/>
    <n v="0"/>
  </r>
  <r>
    <x v="5"/>
    <n v="41"/>
    <s v="Oregon"/>
    <n v="51"/>
    <s v="Multnomah County"/>
    <n v="41"/>
    <x v="25"/>
    <n v="35"/>
    <x v="84"/>
    <n v="61"/>
    <n v="97"/>
    <n v="3168"/>
    <n v="35329"/>
    <n v="55311"/>
    <n v="3098215"/>
    <n v="351693"/>
    <n v="611447"/>
    <n v="31328148"/>
    <n v="41051"/>
    <n v="41051"/>
    <x v="86"/>
    <n v="1"/>
    <n v="0"/>
  </r>
  <r>
    <x v="5"/>
    <n v="41"/>
    <s v="Oregon"/>
    <n v="51"/>
    <s v="Multnomah County"/>
    <n v="41"/>
    <x v="25"/>
    <n v="39"/>
    <x v="85"/>
    <n v="493"/>
    <n v="675"/>
    <n v="26128"/>
    <n v="35329"/>
    <n v="55311"/>
    <n v="3098215"/>
    <n v="351693"/>
    <n v="611447"/>
    <n v="31328148"/>
    <n v="41051"/>
    <n v="41051"/>
    <x v="87"/>
    <n v="1"/>
    <n v="0"/>
  </r>
  <r>
    <x v="5"/>
    <n v="41"/>
    <s v="Oregon"/>
    <n v="51"/>
    <s v="Multnomah County"/>
    <n v="41"/>
    <x v="25"/>
    <n v="41"/>
    <x v="86"/>
    <n v="163"/>
    <n v="251"/>
    <n v="14258"/>
    <n v="35329"/>
    <n v="55311"/>
    <n v="3098215"/>
    <n v="351693"/>
    <n v="611447"/>
    <n v="31328148"/>
    <n v="41051"/>
    <n v="41051"/>
    <x v="88"/>
    <n v="1"/>
    <n v="0"/>
  </r>
  <r>
    <x v="5"/>
    <n v="41"/>
    <s v="Oregon"/>
    <n v="51"/>
    <s v="Multnomah County"/>
    <n v="41"/>
    <x v="25"/>
    <n v="43"/>
    <x v="87"/>
    <n v="126"/>
    <n v="176"/>
    <n v="5959"/>
    <n v="35329"/>
    <n v="55311"/>
    <n v="3098215"/>
    <n v="351693"/>
    <n v="611447"/>
    <n v="31328148"/>
    <n v="41051"/>
    <n v="41051"/>
    <x v="89"/>
    <n v="1"/>
    <n v="0"/>
  </r>
  <r>
    <x v="5"/>
    <n v="41"/>
    <s v="Oregon"/>
    <n v="51"/>
    <s v="Multnomah County"/>
    <n v="41"/>
    <x v="25"/>
    <n v="45"/>
    <x v="197"/>
    <n v="22"/>
    <n v="34"/>
    <n v="570"/>
    <n v="35329"/>
    <n v="55311"/>
    <n v="3098215"/>
    <n v="351693"/>
    <n v="611447"/>
    <n v="31328148"/>
    <n v="41051"/>
    <n v="41051"/>
    <x v="211"/>
    <n v="1"/>
    <n v="0"/>
  </r>
  <r>
    <x v="5"/>
    <n v="41"/>
    <s v="Oregon"/>
    <n v="51"/>
    <s v="Multnomah County"/>
    <n v="41"/>
    <x v="25"/>
    <n v="47"/>
    <x v="48"/>
    <n v="728"/>
    <n v="1140"/>
    <n v="39266"/>
    <n v="35329"/>
    <n v="55311"/>
    <n v="3098215"/>
    <n v="351693"/>
    <n v="611447"/>
    <n v="31328148"/>
    <n v="41051"/>
    <n v="41051"/>
    <x v="90"/>
    <n v="1"/>
    <n v="0"/>
  </r>
  <r>
    <x v="5"/>
    <n v="41"/>
    <s v="Oregon"/>
    <n v="51"/>
    <s v="Multnomah County"/>
    <n v="41"/>
    <x v="25"/>
    <n v="53"/>
    <x v="49"/>
    <n v="142"/>
    <n v="212"/>
    <n v="7310"/>
    <n v="35329"/>
    <n v="55311"/>
    <n v="3098215"/>
    <n v="351693"/>
    <n v="611447"/>
    <n v="31328148"/>
    <n v="41051"/>
    <n v="41051"/>
    <x v="91"/>
    <n v="1"/>
    <n v="0"/>
  </r>
  <r>
    <x v="5"/>
    <n v="41"/>
    <s v="Oregon"/>
    <n v="51"/>
    <s v="Multnomah County"/>
    <n v="41"/>
    <x v="25"/>
    <n v="57"/>
    <x v="88"/>
    <n v="163"/>
    <n v="285"/>
    <n v="38605"/>
    <n v="35329"/>
    <n v="55311"/>
    <n v="3098215"/>
    <n v="351693"/>
    <n v="611447"/>
    <n v="31328148"/>
    <n v="41051"/>
    <n v="41051"/>
    <x v="92"/>
    <n v="1"/>
    <n v="0"/>
  </r>
  <r>
    <x v="5"/>
    <n v="41"/>
    <s v="Oregon"/>
    <n v="51"/>
    <s v="Multnomah County"/>
    <n v="41"/>
    <x v="25"/>
    <n v="59"/>
    <x v="89"/>
    <n v="76"/>
    <n v="114"/>
    <n v="2689"/>
    <n v="35329"/>
    <n v="55311"/>
    <n v="3098215"/>
    <n v="351693"/>
    <n v="611447"/>
    <n v="31328148"/>
    <n v="41051"/>
    <n v="41051"/>
    <x v="93"/>
    <n v="1"/>
    <n v="0"/>
  </r>
  <r>
    <x v="5"/>
    <n v="41"/>
    <s v="Oregon"/>
    <n v="51"/>
    <s v="Multnomah County"/>
    <n v="41"/>
    <x v="25"/>
    <n v="61"/>
    <x v="90"/>
    <n v="21"/>
    <n v="37"/>
    <n v="886"/>
    <n v="35329"/>
    <n v="55311"/>
    <n v="3098215"/>
    <n v="351693"/>
    <n v="611447"/>
    <n v="31328148"/>
    <n v="41051"/>
    <n v="41051"/>
    <x v="94"/>
    <n v="1"/>
    <n v="0"/>
  </r>
  <r>
    <x v="5"/>
    <n v="41"/>
    <s v="Oregon"/>
    <n v="51"/>
    <s v="Multnomah County"/>
    <n v="41"/>
    <x v="25"/>
    <n v="63"/>
    <x v="160"/>
    <n v="23"/>
    <n v="40"/>
    <n v="2049"/>
    <n v="35329"/>
    <n v="55311"/>
    <n v="3098215"/>
    <n v="351693"/>
    <n v="611447"/>
    <n v="31328148"/>
    <n v="41051"/>
    <n v="41051"/>
    <x v="171"/>
    <n v="1"/>
    <n v="0"/>
  </r>
  <r>
    <x v="5"/>
    <n v="41"/>
    <s v="Oregon"/>
    <n v="51"/>
    <s v="Multnomah County"/>
    <n v="41"/>
    <x v="25"/>
    <n v="65"/>
    <x v="91"/>
    <n v="87"/>
    <n v="126"/>
    <n v="6181"/>
    <n v="35329"/>
    <n v="55311"/>
    <n v="3098215"/>
    <n v="351693"/>
    <n v="611447"/>
    <n v="31328148"/>
    <n v="41051"/>
    <n v="41051"/>
    <x v="95"/>
    <n v="1"/>
    <n v="0"/>
  </r>
  <r>
    <x v="5"/>
    <n v="41"/>
    <s v="Oregon"/>
    <n v="51"/>
    <s v="Multnomah County"/>
    <n v="41"/>
    <x v="25"/>
    <n v="67"/>
    <x v="92"/>
    <n v="5329"/>
    <n v="8058"/>
    <n v="449518"/>
    <n v="35329"/>
    <n v="55311"/>
    <n v="3098215"/>
    <n v="351693"/>
    <n v="611447"/>
    <n v="31328148"/>
    <n v="41051"/>
    <n v="41051"/>
    <x v="96"/>
    <n v="1"/>
    <n v="0"/>
  </r>
  <r>
    <x v="5"/>
    <n v="41"/>
    <s v="Oregon"/>
    <n v="51"/>
    <s v="Multnomah County"/>
    <n v="41"/>
    <x v="25"/>
    <n v="71"/>
    <x v="93"/>
    <n v="295"/>
    <n v="503"/>
    <n v="23330"/>
    <n v="35329"/>
    <n v="55311"/>
    <n v="3098215"/>
    <n v="351693"/>
    <n v="611447"/>
    <n v="31328148"/>
    <n v="41051"/>
    <n v="41051"/>
    <x v="97"/>
    <n v="1"/>
    <n v="0"/>
  </r>
  <r>
    <x v="5"/>
    <n v="41"/>
    <s v="Oregon"/>
    <n v="51"/>
    <s v="Multnomah County"/>
    <n v="42"/>
    <x v="26"/>
    <n v="3"/>
    <x v="94"/>
    <n v="62"/>
    <n v="96"/>
    <n v="6710"/>
    <n v="35329"/>
    <n v="55311"/>
    <n v="3098215"/>
    <n v="351693"/>
    <n v="611447"/>
    <n v="31328148"/>
    <n v="41051"/>
    <n v="41051"/>
    <x v="98"/>
    <n v="1"/>
    <n v="0"/>
  </r>
  <r>
    <x v="5"/>
    <n v="41"/>
    <s v="Oregon"/>
    <n v="51"/>
    <s v="Multnomah County"/>
    <n v="42"/>
    <x v="26"/>
    <n v="101"/>
    <x v="95"/>
    <n v="75"/>
    <n v="86"/>
    <n v="4368"/>
    <n v="35329"/>
    <n v="55311"/>
    <n v="3098215"/>
    <n v="351693"/>
    <n v="611447"/>
    <n v="31328148"/>
    <n v="41051"/>
    <n v="41051"/>
    <x v="99"/>
    <n v="1"/>
    <n v="0"/>
  </r>
  <r>
    <x v="5"/>
    <n v="41"/>
    <s v="Oregon"/>
    <n v="51"/>
    <s v="Multnomah County"/>
    <n v="44"/>
    <x v="40"/>
    <n v="7"/>
    <x v="161"/>
    <n v="22"/>
    <n v="26"/>
    <n v="1270"/>
    <n v="35329"/>
    <n v="55311"/>
    <n v="3098215"/>
    <n v="351693"/>
    <n v="611447"/>
    <n v="31328148"/>
    <n v="41051"/>
    <n v="41051"/>
    <x v="172"/>
    <n v="1"/>
    <n v="0"/>
  </r>
  <r>
    <x v="5"/>
    <n v="41"/>
    <s v="Oregon"/>
    <n v="51"/>
    <s v="Multnomah County"/>
    <n v="45"/>
    <x v="41"/>
    <n v="83"/>
    <x v="163"/>
    <n v="62"/>
    <n v="216"/>
    <n v="3753"/>
    <n v="35329"/>
    <n v="55311"/>
    <n v="3098215"/>
    <n v="351693"/>
    <n v="611447"/>
    <n v="31328148"/>
    <n v="41051"/>
    <n v="41051"/>
    <x v="174"/>
    <n v="1"/>
    <n v="0"/>
  </r>
  <r>
    <x v="5"/>
    <n v="41"/>
    <s v="Oregon"/>
    <n v="51"/>
    <s v="Multnomah County"/>
    <n v="47"/>
    <x v="27"/>
    <n v="37"/>
    <x v="96"/>
    <n v="66"/>
    <n v="82"/>
    <n v="4407"/>
    <n v="35329"/>
    <n v="55311"/>
    <n v="3098215"/>
    <n v="351693"/>
    <n v="611447"/>
    <n v="31328148"/>
    <n v="41051"/>
    <n v="41051"/>
    <x v="100"/>
    <n v="1"/>
    <n v="0"/>
  </r>
  <r>
    <x v="5"/>
    <n v="41"/>
    <s v="Oregon"/>
    <n v="51"/>
    <s v="Multnomah County"/>
    <n v="47"/>
    <x v="27"/>
    <n v="65"/>
    <x v="157"/>
    <n v="26"/>
    <n v="43"/>
    <n v="1691"/>
    <n v="35329"/>
    <n v="55311"/>
    <n v="3098215"/>
    <n v="351693"/>
    <n v="611447"/>
    <n v="31328148"/>
    <n v="41051"/>
    <n v="41051"/>
    <x v="212"/>
    <n v="1"/>
    <n v="0"/>
  </r>
  <r>
    <x v="5"/>
    <n v="41"/>
    <s v="Oregon"/>
    <n v="51"/>
    <s v="Multnomah County"/>
    <n v="47"/>
    <x v="27"/>
    <n v="93"/>
    <x v="97"/>
    <n v="25"/>
    <n v="42"/>
    <n v="1982"/>
    <n v="35329"/>
    <n v="55311"/>
    <n v="3098215"/>
    <n v="351693"/>
    <n v="611447"/>
    <n v="31328148"/>
    <n v="41051"/>
    <n v="41051"/>
    <x v="101"/>
    <n v="1"/>
    <n v="0"/>
  </r>
  <r>
    <x v="5"/>
    <n v="41"/>
    <s v="Oregon"/>
    <n v="51"/>
    <s v="Multnomah County"/>
    <n v="48"/>
    <x v="28"/>
    <n v="29"/>
    <x v="98"/>
    <n v="82"/>
    <n v="134"/>
    <n v="5577"/>
    <n v="35329"/>
    <n v="55311"/>
    <n v="3098215"/>
    <n v="351693"/>
    <n v="611447"/>
    <n v="31328148"/>
    <n v="41051"/>
    <n v="41051"/>
    <x v="102"/>
    <n v="1"/>
    <n v="0"/>
  </r>
  <r>
    <x v="5"/>
    <n v="41"/>
    <s v="Oregon"/>
    <n v="51"/>
    <s v="Multnomah County"/>
    <n v="48"/>
    <x v="28"/>
    <n v="85"/>
    <x v="165"/>
    <n v="35"/>
    <n v="69"/>
    <n v="2984"/>
    <n v="35329"/>
    <n v="55311"/>
    <n v="3098215"/>
    <n v="351693"/>
    <n v="611447"/>
    <n v="31328148"/>
    <n v="41051"/>
    <n v="41051"/>
    <x v="176"/>
    <n v="1"/>
    <n v="0"/>
  </r>
  <r>
    <x v="5"/>
    <n v="41"/>
    <s v="Oregon"/>
    <n v="51"/>
    <s v="Multnomah County"/>
    <n v="48"/>
    <x v="28"/>
    <n v="113"/>
    <x v="99"/>
    <n v="111"/>
    <n v="157"/>
    <n v="9591"/>
    <n v="35329"/>
    <n v="55311"/>
    <n v="3098215"/>
    <n v="351693"/>
    <n v="611447"/>
    <n v="31328148"/>
    <n v="41051"/>
    <n v="41051"/>
    <x v="103"/>
    <n v="1"/>
    <n v="0"/>
  </r>
  <r>
    <x v="5"/>
    <n v="41"/>
    <s v="Oregon"/>
    <n v="51"/>
    <s v="Multnomah County"/>
    <n v="48"/>
    <x v="28"/>
    <n v="121"/>
    <x v="183"/>
    <n v="39"/>
    <n v="75"/>
    <n v="2469"/>
    <n v="35329"/>
    <n v="55311"/>
    <n v="3098215"/>
    <n v="351693"/>
    <n v="611447"/>
    <n v="31328148"/>
    <n v="41051"/>
    <n v="41051"/>
    <x v="196"/>
    <n v="1"/>
    <n v="0"/>
  </r>
  <r>
    <x v="5"/>
    <n v="41"/>
    <s v="Oregon"/>
    <n v="51"/>
    <s v="Multnomah County"/>
    <n v="48"/>
    <x v="28"/>
    <n v="141"/>
    <x v="30"/>
    <n v="20"/>
    <n v="32"/>
    <n v="1033"/>
    <n v="35329"/>
    <n v="55311"/>
    <n v="3098215"/>
    <n v="351693"/>
    <n v="611447"/>
    <n v="31328148"/>
    <n v="41051"/>
    <n v="41051"/>
    <x v="213"/>
    <n v="1"/>
    <n v="0"/>
  </r>
  <r>
    <x v="5"/>
    <n v="41"/>
    <s v="Oregon"/>
    <n v="51"/>
    <s v="Multnomah County"/>
    <n v="48"/>
    <x v="28"/>
    <n v="201"/>
    <x v="100"/>
    <n v="97"/>
    <n v="160"/>
    <n v="9851"/>
    <n v="35329"/>
    <n v="55311"/>
    <n v="3098215"/>
    <n v="351693"/>
    <n v="611447"/>
    <n v="31328148"/>
    <n v="41051"/>
    <n v="41051"/>
    <x v="104"/>
    <n v="1"/>
    <n v="0"/>
  </r>
  <r>
    <x v="5"/>
    <n v="41"/>
    <s v="Oregon"/>
    <n v="51"/>
    <s v="Multnomah County"/>
    <n v="48"/>
    <x v="28"/>
    <n v="209"/>
    <x v="184"/>
    <n v="20"/>
    <n v="44"/>
    <n v="1471"/>
    <n v="35329"/>
    <n v="55311"/>
    <n v="3098215"/>
    <n v="351693"/>
    <n v="611447"/>
    <n v="31328148"/>
    <n v="41051"/>
    <n v="41051"/>
    <x v="197"/>
    <n v="1"/>
    <n v="0"/>
  </r>
  <r>
    <x v="5"/>
    <n v="41"/>
    <s v="Oregon"/>
    <n v="51"/>
    <s v="Multnomah County"/>
    <n v="48"/>
    <x v="28"/>
    <n v="339"/>
    <x v="52"/>
    <n v="23"/>
    <n v="42"/>
    <n v="1395"/>
    <n v="35329"/>
    <n v="55311"/>
    <n v="3098215"/>
    <n v="351693"/>
    <n v="611447"/>
    <n v="31328148"/>
    <n v="41051"/>
    <n v="41051"/>
    <x v="214"/>
    <n v="1"/>
    <n v="0"/>
  </r>
  <r>
    <x v="5"/>
    <n v="41"/>
    <s v="Oregon"/>
    <n v="51"/>
    <s v="Multnomah County"/>
    <n v="48"/>
    <x v="28"/>
    <n v="439"/>
    <x v="101"/>
    <n v="53"/>
    <n v="83"/>
    <n v="3757"/>
    <n v="35329"/>
    <n v="55311"/>
    <n v="3098215"/>
    <n v="351693"/>
    <n v="611447"/>
    <n v="31328148"/>
    <n v="41051"/>
    <n v="41051"/>
    <x v="105"/>
    <n v="1"/>
    <n v="0"/>
  </r>
  <r>
    <x v="5"/>
    <n v="41"/>
    <s v="Oregon"/>
    <n v="51"/>
    <s v="Multnomah County"/>
    <n v="48"/>
    <x v="28"/>
    <n v="453"/>
    <x v="102"/>
    <n v="191"/>
    <n v="248"/>
    <n v="24297"/>
    <n v="35329"/>
    <n v="55311"/>
    <n v="3098215"/>
    <n v="351693"/>
    <n v="611447"/>
    <n v="31328148"/>
    <n v="41051"/>
    <n v="41051"/>
    <x v="106"/>
    <n v="1"/>
    <n v="0"/>
  </r>
  <r>
    <x v="5"/>
    <n v="41"/>
    <s v="Oregon"/>
    <n v="51"/>
    <s v="Multnomah County"/>
    <n v="48"/>
    <x v="28"/>
    <n v="491"/>
    <x v="166"/>
    <n v="37"/>
    <n v="47"/>
    <n v="3030"/>
    <n v="35329"/>
    <n v="55311"/>
    <n v="3098215"/>
    <n v="351693"/>
    <n v="611447"/>
    <n v="31328148"/>
    <n v="41051"/>
    <n v="41051"/>
    <x v="177"/>
    <n v="1"/>
    <n v="0"/>
  </r>
  <r>
    <x v="5"/>
    <n v="41"/>
    <s v="Oregon"/>
    <n v="51"/>
    <s v="Multnomah County"/>
    <n v="49"/>
    <x v="29"/>
    <n v="35"/>
    <x v="103"/>
    <n v="155"/>
    <n v="231"/>
    <n v="9175"/>
    <n v="35329"/>
    <n v="55311"/>
    <n v="3098215"/>
    <n v="351693"/>
    <n v="611447"/>
    <n v="31328148"/>
    <n v="41051"/>
    <n v="41051"/>
    <x v="107"/>
    <n v="1"/>
    <n v="0"/>
  </r>
  <r>
    <x v="5"/>
    <n v="41"/>
    <s v="Oregon"/>
    <n v="51"/>
    <s v="Multnomah County"/>
    <n v="49"/>
    <x v="29"/>
    <n v="49"/>
    <x v="168"/>
    <n v="42"/>
    <n v="72"/>
    <n v="2591"/>
    <n v="35329"/>
    <n v="55311"/>
    <n v="3098215"/>
    <n v="351693"/>
    <n v="611447"/>
    <n v="31328148"/>
    <n v="41051"/>
    <n v="41051"/>
    <x v="179"/>
    <n v="1"/>
    <n v="0"/>
  </r>
  <r>
    <x v="5"/>
    <n v="41"/>
    <s v="Oregon"/>
    <n v="51"/>
    <s v="Multnomah County"/>
    <n v="50"/>
    <x v="30"/>
    <n v="7"/>
    <x v="104"/>
    <n v="32"/>
    <n v="48"/>
    <n v="2197"/>
    <n v="35329"/>
    <n v="55311"/>
    <n v="3098215"/>
    <n v="351693"/>
    <n v="611447"/>
    <n v="31328148"/>
    <n v="41051"/>
    <n v="41051"/>
    <x v="108"/>
    <n v="1"/>
    <n v="0"/>
  </r>
  <r>
    <x v="5"/>
    <n v="41"/>
    <s v="Oregon"/>
    <n v="51"/>
    <s v="Multnomah County"/>
    <n v="51"/>
    <x v="31"/>
    <n v="59"/>
    <x v="105"/>
    <n v="25"/>
    <n v="38"/>
    <n v="1786"/>
    <n v="35329"/>
    <n v="55311"/>
    <n v="3098215"/>
    <n v="351693"/>
    <n v="611447"/>
    <n v="31328148"/>
    <n v="41051"/>
    <n v="41051"/>
    <x v="109"/>
    <n v="1"/>
    <n v="0"/>
  </r>
  <r>
    <x v="5"/>
    <n v="41"/>
    <s v="Oregon"/>
    <n v="51"/>
    <s v="Multnomah County"/>
    <n v="51"/>
    <x v="31"/>
    <n v="760"/>
    <x v="176"/>
    <n v="25"/>
    <n v="30"/>
    <n v="1137"/>
    <n v="35329"/>
    <n v="55311"/>
    <n v="3098215"/>
    <n v="351693"/>
    <n v="611447"/>
    <n v="31328148"/>
    <n v="41051"/>
    <n v="41051"/>
    <x v="188"/>
    <n v="1"/>
    <n v="0"/>
  </r>
  <r>
    <x v="5"/>
    <n v="41"/>
    <s v="Oregon"/>
    <n v="51"/>
    <s v="Multnomah County"/>
    <n v="53"/>
    <x v="32"/>
    <n v="5"/>
    <x v="73"/>
    <n v="51"/>
    <n v="93"/>
    <n v="3105"/>
    <n v="35329"/>
    <n v="55311"/>
    <n v="3098215"/>
    <n v="351693"/>
    <n v="611447"/>
    <n v="31328148"/>
    <n v="41051"/>
    <n v="41051"/>
    <x v="110"/>
    <n v="1"/>
    <n v="0"/>
  </r>
  <r>
    <x v="5"/>
    <n v="41"/>
    <s v="Oregon"/>
    <n v="51"/>
    <s v="Multnomah County"/>
    <n v="53"/>
    <x v="32"/>
    <n v="7"/>
    <x v="185"/>
    <n v="28"/>
    <n v="43"/>
    <n v="2502"/>
    <n v="35329"/>
    <n v="55311"/>
    <n v="3098215"/>
    <n v="351693"/>
    <n v="611447"/>
    <n v="31328148"/>
    <n v="41051"/>
    <n v="41051"/>
    <x v="199"/>
    <n v="1"/>
    <n v="0"/>
  </r>
  <r>
    <x v="5"/>
    <n v="41"/>
    <s v="Oregon"/>
    <n v="51"/>
    <s v="Multnomah County"/>
    <n v="53"/>
    <x v="32"/>
    <n v="9"/>
    <x v="171"/>
    <n v="31"/>
    <n v="50"/>
    <n v="3562"/>
    <n v="35329"/>
    <n v="55311"/>
    <n v="3098215"/>
    <n v="351693"/>
    <n v="611447"/>
    <n v="31328148"/>
    <n v="41051"/>
    <n v="41051"/>
    <x v="182"/>
    <n v="1"/>
    <n v="0"/>
  </r>
  <r>
    <x v="5"/>
    <n v="41"/>
    <s v="Oregon"/>
    <n v="51"/>
    <s v="Multnomah County"/>
    <n v="53"/>
    <x v="32"/>
    <n v="11"/>
    <x v="61"/>
    <n v="3400"/>
    <n v="5725"/>
    <n v="328345"/>
    <n v="35329"/>
    <n v="55311"/>
    <n v="3098215"/>
    <n v="351693"/>
    <n v="611447"/>
    <n v="31328148"/>
    <n v="41051"/>
    <n v="41051"/>
    <x v="111"/>
    <n v="1"/>
    <n v="0"/>
  </r>
  <r>
    <x v="5"/>
    <n v="41"/>
    <s v="Oregon"/>
    <n v="51"/>
    <s v="Multnomah County"/>
    <n v="53"/>
    <x v="32"/>
    <n v="15"/>
    <x v="106"/>
    <n v="199"/>
    <n v="322"/>
    <n v="16155"/>
    <n v="35329"/>
    <n v="55311"/>
    <n v="3098215"/>
    <n v="351693"/>
    <n v="611447"/>
    <n v="31328148"/>
    <n v="41051"/>
    <n v="41051"/>
    <x v="112"/>
    <n v="1"/>
    <n v="0"/>
  </r>
  <r>
    <x v="5"/>
    <n v="41"/>
    <s v="Oregon"/>
    <n v="51"/>
    <s v="Multnomah County"/>
    <n v="53"/>
    <x v="32"/>
    <n v="27"/>
    <x v="107"/>
    <n v="23"/>
    <n v="32"/>
    <n v="1614"/>
    <n v="35329"/>
    <n v="55311"/>
    <n v="3098215"/>
    <n v="351693"/>
    <n v="611447"/>
    <n v="31328148"/>
    <n v="41051"/>
    <n v="41051"/>
    <x v="113"/>
    <n v="1"/>
    <n v="0"/>
  </r>
  <r>
    <x v="5"/>
    <n v="41"/>
    <s v="Oregon"/>
    <n v="51"/>
    <s v="Multnomah County"/>
    <n v="53"/>
    <x v="32"/>
    <n v="29"/>
    <x v="108"/>
    <n v="35"/>
    <n v="58"/>
    <n v="2089"/>
    <n v="35329"/>
    <n v="55311"/>
    <n v="3098215"/>
    <n v="351693"/>
    <n v="611447"/>
    <n v="31328148"/>
    <n v="41051"/>
    <n v="41051"/>
    <x v="114"/>
    <n v="1"/>
    <n v="0"/>
  </r>
  <r>
    <x v="5"/>
    <n v="41"/>
    <s v="Oregon"/>
    <n v="51"/>
    <s v="Multnomah County"/>
    <n v="53"/>
    <x v="32"/>
    <n v="31"/>
    <x v="31"/>
    <n v="32"/>
    <n v="57"/>
    <n v="2574"/>
    <n v="35329"/>
    <n v="55311"/>
    <n v="3098215"/>
    <n v="351693"/>
    <n v="611447"/>
    <n v="31328148"/>
    <n v="41051"/>
    <n v="41051"/>
    <x v="115"/>
    <n v="1"/>
    <n v="0"/>
  </r>
  <r>
    <x v="5"/>
    <n v="41"/>
    <s v="Oregon"/>
    <n v="51"/>
    <s v="Multnomah County"/>
    <n v="53"/>
    <x v="32"/>
    <n v="33"/>
    <x v="109"/>
    <n v="876"/>
    <n v="1116"/>
    <n v="89010"/>
    <n v="35329"/>
    <n v="55311"/>
    <n v="3098215"/>
    <n v="351693"/>
    <n v="611447"/>
    <n v="31328148"/>
    <n v="41051"/>
    <n v="41051"/>
    <x v="116"/>
    <n v="1"/>
    <n v="0"/>
  </r>
  <r>
    <x v="5"/>
    <n v="41"/>
    <s v="Oregon"/>
    <n v="51"/>
    <s v="Multnomah County"/>
    <n v="53"/>
    <x v="32"/>
    <n v="35"/>
    <x v="110"/>
    <n v="67"/>
    <n v="115"/>
    <n v="10573"/>
    <n v="35329"/>
    <n v="55311"/>
    <n v="3098215"/>
    <n v="351693"/>
    <n v="611447"/>
    <n v="31328148"/>
    <n v="41051"/>
    <n v="41051"/>
    <x v="117"/>
    <n v="1"/>
    <n v="0"/>
  </r>
  <r>
    <x v="5"/>
    <n v="41"/>
    <s v="Oregon"/>
    <n v="51"/>
    <s v="Multnomah County"/>
    <n v="53"/>
    <x v="32"/>
    <n v="39"/>
    <x v="111"/>
    <n v="77"/>
    <n v="122"/>
    <n v="9717"/>
    <n v="35329"/>
    <n v="55311"/>
    <n v="3098215"/>
    <n v="351693"/>
    <n v="611447"/>
    <n v="31328148"/>
    <n v="41051"/>
    <n v="41051"/>
    <x v="118"/>
    <n v="1"/>
    <n v="0"/>
  </r>
  <r>
    <x v="5"/>
    <n v="41"/>
    <s v="Oregon"/>
    <n v="51"/>
    <s v="Multnomah County"/>
    <n v="53"/>
    <x v="32"/>
    <n v="41"/>
    <x v="112"/>
    <n v="51"/>
    <n v="85"/>
    <n v="3067"/>
    <n v="35329"/>
    <n v="55311"/>
    <n v="3098215"/>
    <n v="351693"/>
    <n v="611447"/>
    <n v="31328148"/>
    <n v="41051"/>
    <n v="41051"/>
    <x v="119"/>
    <n v="1"/>
    <n v="0"/>
  </r>
  <r>
    <x v="5"/>
    <n v="41"/>
    <s v="Oregon"/>
    <n v="51"/>
    <s v="Multnomah County"/>
    <n v="53"/>
    <x v="32"/>
    <n v="45"/>
    <x v="186"/>
    <n v="23"/>
    <n v="40"/>
    <n v="2995"/>
    <n v="35329"/>
    <n v="55311"/>
    <n v="3098215"/>
    <n v="351693"/>
    <n v="611447"/>
    <n v="31328148"/>
    <n v="41051"/>
    <n v="41051"/>
    <x v="200"/>
    <n v="1"/>
    <n v="0"/>
  </r>
  <r>
    <x v="5"/>
    <n v="41"/>
    <s v="Oregon"/>
    <n v="51"/>
    <s v="Multnomah County"/>
    <n v="53"/>
    <x v="32"/>
    <n v="49"/>
    <x v="113"/>
    <n v="41"/>
    <n v="77"/>
    <n v="2746"/>
    <n v="35329"/>
    <n v="55311"/>
    <n v="3098215"/>
    <n v="351693"/>
    <n v="611447"/>
    <n v="31328148"/>
    <n v="41051"/>
    <n v="41051"/>
    <x v="120"/>
    <n v="1"/>
    <n v="0"/>
  </r>
  <r>
    <x v="5"/>
    <n v="41"/>
    <s v="Oregon"/>
    <n v="51"/>
    <s v="Multnomah County"/>
    <n v="53"/>
    <x v="32"/>
    <n v="53"/>
    <x v="114"/>
    <n v="195"/>
    <n v="279"/>
    <n v="14588"/>
    <n v="35329"/>
    <n v="55311"/>
    <n v="3098215"/>
    <n v="351693"/>
    <n v="611447"/>
    <n v="31328148"/>
    <n v="41051"/>
    <n v="41051"/>
    <x v="121"/>
    <n v="1"/>
    <n v="0"/>
  </r>
  <r>
    <x v="5"/>
    <n v="41"/>
    <s v="Oregon"/>
    <n v="51"/>
    <s v="Multnomah County"/>
    <n v="53"/>
    <x v="32"/>
    <n v="55"/>
    <x v="187"/>
    <n v="28"/>
    <n v="40"/>
    <n v="2150"/>
    <n v="35329"/>
    <n v="55311"/>
    <n v="3098215"/>
    <n v="351693"/>
    <n v="611447"/>
    <n v="31328148"/>
    <n v="41051"/>
    <n v="41051"/>
    <x v="201"/>
    <n v="1"/>
    <n v="0"/>
  </r>
  <r>
    <x v="5"/>
    <n v="41"/>
    <s v="Oregon"/>
    <n v="51"/>
    <s v="Multnomah County"/>
    <n v="53"/>
    <x v="32"/>
    <n v="57"/>
    <x v="172"/>
    <n v="38"/>
    <n v="58"/>
    <n v="2821"/>
    <n v="35329"/>
    <n v="55311"/>
    <n v="3098215"/>
    <n v="351693"/>
    <n v="611447"/>
    <n v="31328148"/>
    <n v="41051"/>
    <n v="41051"/>
    <x v="184"/>
    <n v="1"/>
    <n v="0"/>
  </r>
  <r>
    <x v="5"/>
    <n v="41"/>
    <s v="Oregon"/>
    <n v="51"/>
    <s v="Multnomah County"/>
    <n v="53"/>
    <x v="32"/>
    <n v="59"/>
    <x v="115"/>
    <n v="63"/>
    <n v="104"/>
    <n v="5476"/>
    <n v="35329"/>
    <n v="55311"/>
    <n v="3098215"/>
    <n v="351693"/>
    <n v="611447"/>
    <n v="31328148"/>
    <n v="41051"/>
    <n v="41051"/>
    <x v="122"/>
    <n v="1"/>
    <n v="0"/>
  </r>
  <r>
    <x v="5"/>
    <n v="41"/>
    <s v="Oregon"/>
    <n v="51"/>
    <s v="Multnomah County"/>
    <n v="53"/>
    <x v="32"/>
    <n v="61"/>
    <x v="116"/>
    <n v="132"/>
    <n v="191"/>
    <n v="8944"/>
    <n v="35329"/>
    <n v="55311"/>
    <n v="3098215"/>
    <n v="351693"/>
    <n v="611447"/>
    <n v="31328148"/>
    <n v="41051"/>
    <n v="41051"/>
    <x v="123"/>
    <n v="1"/>
    <n v="0"/>
  </r>
  <r>
    <x v="5"/>
    <n v="41"/>
    <s v="Oregon"/>
    <n v="51"/>
    <s v="Multnomah County"/>
    <n v="53"/>
    <x v="32"/>
    <n v="63"/>
    <x v="117"/>
    <n v="166"/>
    <n v="261"/>
    <n v="11004"/>
    <n v="35329"/>
    <n v="55311"/>
    <n v="3098215"/>
    <n v="351693"/>
    <n v="611447"/>
    <n v="31328148"/>
    <n v="41051"/>
    <n v="41051"/>
    <x v="124"/>
    <n v="1"/>
    <n v="0"/>
  </r>
  <r>
    <x v="5"/>
    <n v="41"/>
    <s v="Oregon"/>
    <n v="51"/>
    <s v="Multnomah County"/>
    <n v="53"/>
    <x v="32"/>
    <n v="67"/>
    <x v="118"/>
    <n v="102"/>
    <n v="150"/>
    <n v="5564"/>
    <n v="35329"/>
    <n v="55311"/>
    <n v="3098215"/>
    <n v="351693"/>
    <n v="611447"/>
    <n v="31328148"/>
    <n v="41051"/>
    <n v="41051"/>
    <x v="125"/>
    <n v="1"/>
    <n v="0"/>
  </r>
  <r>
    <x v="5"/>
    <n v="41"/>
    <s v="Oregon"/>
    <n v="51"/>
    <s v="Multnomah County"/>
    <n v="53"/>
    <x v="32"/>
    <n v="71"/>
    <x v="119"/>
    <n v="36"/>
    <n v="51"/>
    <n v="2184"/>
    <n v="35329"/>
    <n v="55311"/>
    <n v="3098215"/>
    <n v="351693"/>
    <n v="611447"/>
    <n v="31328148"/>
    <n v="41051"/>
    <n v="41051"/>
    <x v="126"/>
    <n v="1"/>
    <n v="0"/>
  </r>
  <r>
    <x v="5"/>
    <n v="41"/>
    <s v="Oregon"/>
    <n v="51"/>
    <s v="Multnomah County"/>
    <n v="53"/>
    <x v="32"/>
    <n v="73"/>
    <x v="120"/>
    <n v="111"/>
    <n v="158"/>
    <n v="8918"/>
    <n v="35329"/>
    <n v="55311"/>
    <n v="3098215"/>
    <n v="351693"/>
    <n v="611447"/>
    <n v="31328148"/>
    <n v="41051"/>
    <n v="41051"/>
    <x v="127"/>
    <n v="1"/>
    <n v="0"/>
  </r>
  <r>
    <x v="5"/>
    <n v="41"/>
    <s v="Oregon"/>
    <n v="51"/>
    <s v="Multnomah County"/>
    <n v="53"/>
    <x v="32"/>
    <n v="77"/>
    <x v="121"/>
    <n v="36"/>
    <n v="60"/>
    <n v="1554"/>
    <n v="35329"/>
    <n v="55311"/>
    <n v="3098215"/>
    <n v="351693"/>
    <n v="611447"/>
    <n v="31328148"/>
    <n v="41051"/>
    <n v="41051"/>
    <x v="128"/>
    <n v="1"/>
    <n v="0"/>
  </r>
  <r>
    <x v="5"/>
    <n v="41"/>
    <s v="Oregon"/>
    <n v="51"/>
    <s v="Multnomah County"/>
    <n v="55"/>
    <x v="33"/>
    <n v="25"/>
    <x v="122"/>
    <n v="40"/>
    <n v="60"/>
    <n v="2230"/>
    <n v="35329"/>
    <n v="55311"/>
    <n v="3098215"/>
    <n v="351693"/>
    <n v="611447"/>
    <n v="31328148"/>
    <n v="41051"/>
    <n v="41051"/>
    <x v="129"/>
    <n v="1"/>
    <n v="0"/>
  </r>
  <r>
    <x v="5"/>
    <n v="41"/>
    <s v="Oregon"/>
    <n v="51"/>
    <s v="Multnomah County"/>
    <n v="55"/>
    <x v="33"/>
    <n v="79"/>
    <x v="123"/>
    <n v="41"/>
    <n v="69"/>
    <n v="2505"/>
    <n v="35329"/>
    <n v="55311"/>
    <n v="3098215"/>
    <n v="351693"/>
    <n v="611447"/>
    <n v="31328148"/>
    <n v="41051"/>
    <n v="41051"/>
    <x v="130"/>
    <n v="1"/>
    <n v="0"/>
  </r>
  <r>
    <x v="6"/>
    <n v="41"/>
    <s v="Oregon"/>
    <n v="51"/>
    <s v="Multnomah County"/>
    <n v="2"/>
    <x v="0"/>
    <n v="20"/>
    <x v="0"/>
    <n v="40"/>
    <n v="54"/>
    <n v="2310"/>
    <n v="32873"/>
    <n v="50114"/>
    <n v="3438234"/>
    <n v="353386"/>
    <n v="611005"/>
    <n v="36220220"/>
    <n v="41051"/>
    <n v="41051"/>
    <x v="0"/>
    <n v="1"/>
    <n v="0"/>
  </r>
  <r>
    <x v="6"/>
    <n v="41"/>
    <s v="Oregon"/>
    <n v="51"/>
    <s v="Multnomah County"/>
    <n v="4"/>
    <x v="1"/>
    <n v="13"/>
    <x v="1"/>
    <n v="506"/>
    <n v="718"/>
    <n v="50894"/>
    <n v="32873"/>
    <n v="50114"/>
    <n v="3438234"/>
    <n v="353386"/>
    <n v="611005"/>
    <n v="36220220"/>
    <n v="41051"/>
    <n v="41051"/>
    <x v="1"/>
    <n v="1"/>
    <n v="0"/>
  </r>
  <r>
    <x v="6"/>
    <n v="41"/>
    <s v="Oregon"/>
    <n v="51"/>
    <s v="Multnomah County"/>
    <n v="4"/>
    <x v="1"/>
    <n v="15"/>
    <x v="173"/>
    <n v="26"/>
    <n v="47"/>
    <n v="2698"/>
    <n v="32873"/>
    <n v="50114"/>
    <n v="3438234"/>
    <n v="353386"/>
    <n v="611005"/>
    <n v="36220220"/>
    <n v="41051"/>
    <n v="41051"/>
    <x v="185"/>
    <n v="1"/>
    <n v="0"/>
  </r>
  <r>
    <x v="6"/>
    <n v="41"/>
    <s v="Oregon"/>
    <n v="51"/>
    <s v="Multnomah County"/>
    <n v="4"/>
    <x v="1"/>
    <n v="19"/>
    <x v="2"/>
    <n v="121"/>
    <n v="164"/>
    <n v="10699"/>
    <n v="32873"/>
    <n v="50114"/>
    <n v="3438234"/>
    <n v="353386"/>
    <n v="611005"/>
    <n v="36220220"/>
    <n v="41051"/>
    <n v="41051"/>
    <x v="2"/>
    <n v="1"/>
    <n v="0"/>
  </r>
  <r>
    <x v="6"/>
    <n v="41"/>
    <s v="Oregon"/>
    <n v="51"/>
    <s v="Multnomah County"/>
    <n v="4"/>
    <x v="1"/>
    <n v="21"/>
    <x v="3"/>
    <n v="49"/>
    <n v="80"/>
    <n v="3164"/>
    <n v="32873"/>
    <n v="50114"/>
    <n v="3438234"/>
    <n v="353386"/>
    <n v="611005"/>
    <n v="36220220"/>
    <n v="41051"/>
    <n v="41051"/>
    <x v="3"/>
    <n v="1"/>
    <n v="0"/>
  </r>
  <r>
    <x v="6"/>
    <n v="41"/>
    <s v="Oregon"/>
    <n v="51"/>
    <s v="Multnomah County"/>
    <n v="4"/>
    <x v="1"/>
    <n v="25"/>
    <x v="125"/>
    <n v="27"/>
    <n v="41"/>
    <n v="2208"/>
    <n v="32873"/>
    <n v="50114"/>
    <n v="3438234"/>
    <n v="353386"/>
    <n v="611005"/>
    <n v="36220220"/>
    <n v="41051"/>
    <n v="41051"/>
    <x v="132"/>
    <n v="1"/>
    <n v="0"/>
  </r>
  <r>
    <x v="6"/>
    <n v="41"/>
    <s v="Oregon"/>
    <n v="51"/>
    <s v="Multnomah County"/>
    <n v="6"/>
    <x v="2"/>
    <n v="1"/>
    <x v="4"/>
    <n v="188"/>
    <n v="234"/>
    <n v="17699"/>
    <n v="32873"/>
    <n v="50114"/>
    <n v="3438234"/>
    <n v="353386"/>
    <n v="611005"/>
    <n v="36220220"/>
    <n v="41051"/>
    <n v="41051"/>
    <x v="4"/>
    <n v="1"/>
    <n v="0"/>
  </r>
  <r>
    <x v="6"/>
    <n v="41"/>
    <s v="Oregon"/>
    <n v="51"/>
    <s v="Multnomah County"/>
    <n v="6"/>
    <x v="2"/>
    <n v="7"/>
    <x v="126"/>
    <n v="20"/>
    <n v="31"/>
    <n v="737"/>
    <n v="32873"/>
    <n v="50114"/>
    <n v="3438234"/>
    <n v="353386"/>
    <n v="611005"/>
    <n v="36220220"/>
    <n v="41051"/>
    <n v="41051"/>
    <x v="133"/>
    <n v="1"/>
    <n v="0"/>
  </r>
  <r>
    <x v="6"/>
    <n v="41"/>
    <s v="Oregon"/>
    <n v="51"/>
    <s v="Multnomah County"/>
    <n v="6"/>
    <x v="2"/>
    <n v="13"/>
    <x v="5"/>
    <n v="56"/>
    <n v="72"/>
    <n v="2866"/>
    <n v="32873"/>
    <n v="50114"/>
    <n v="3438234"/>
    <n v="353386"/>
    <n v="611005"/>
    <n v="36220220"/>
    <n v="41051"/>
    <n v="41051"/>
    <x v="5"/>
    <n v="1"/>
    <n v="0"/>
  </r>
  <r>
    <x v="6"/>
    <n v="41"/>
    <s v="Oregon"/>
    <n v="51"/>
    <s v="Multnomah County"/>
    <n v="6"/>
    <x v="2"/>
    <n v="19"/>
    <x v="6"/>
    <n v="31"/>
    <n v="52"/>
    <n v="1703"/>
    <n v="32873"/>
    <n v="50114"/>
    <n v="3438234"/>
    <n v="353386"/>
    <n v="611005"/>
    <n v="36220220"/>
    <n v="41051"/>
    <n v="41051"/>
    <x v="6"/>
    <n v="1"/>
    <n v="0"/>
  </r>
  <r>
    <x v="6"/>
    <n v="41"/>
    <s v="Oregon"/>
    <n v="51"/>
    <s v="Multnomah County"/>
    <n v="6"/>
    <x v="2"/>
    <n v="23"/>
    <x v="7"/>
    <n v="22"/>
    <n v="27"/>
    <n v="1042"/>
    <n v="32873"/>
    <n v="50114"/>
    <n v="3438234"/>
    <n v="353386"/>
    <n v="611005"/>
    <n v="36220220"/>
    <n v="41051"/>
    <n v="41051"/>
    <x v="7"/>
    <n v="1"/>
    <n v="0"/>
  </r>
  <r>
    <x v="6"/>
    <n v="41"/>
    <s v="Oregon"/>
    <n v="51"/>
    <s v="Multnomah County"/>
    <n v="6"/>
    <x v="2"/>
    <n v="29"/>
    <x v="8"/>
    <n v="25"/>
    <n v="35"/>
    <n v="814"/>
    <n v="32873"/>
    <n v="50114"/>
    <n v="3438234"/>
    <n v="353386"/>
    <n v="611005"/>
    <n v="36220220"/>
    <n v="41051"/>
    <n v="41051"/>
    <x v="8"/>
    <n v="1"/>
    <n v="0"/>
  </r>
  <r>
    <x v="6"/>
    <n v="41"/>
    <s v="Oregon"/>
    <n v="51"/>
    <s v="Multnomah County"/>
    <n v="6"/>
    <x v="2"/>
    <n v="37"/>
    <x v="9"/>
    <n v="727"/>
    <n v="906"/>
    <n v="67801"/>
    <n v="32873"/>
    <n v="50114"/>
    <n v="3438234"/>
    <n v="353386"/>
    <n v="611005"/>
    <n v="36220220"/>
    <n v="41051"/>
    <n v="41051"/>
    <x v="9"/>
    <n v="1"/>
    <n v="0"/>
  </r>
  <r>
    <x v="6"/>
    <n v="41"/>
    <s v="Oregon"/>
    <n v="51"/>
    <s v="Multnomah County"/>
    <n v="6"/>
    <x v="2"/>
    <n v="41"/>
    <x v="10"/>
    <n v="42"/>
    <n v="57"/>
    <n v="5518"/>
    <n v="32873"/>
    <n v="50114"/>
    <n v="3438234"/>
    <n v="353386"/>
    <n v="611005"/>
    <n v="36220220"/>
    <n v="41051"/>
    <n v="41051"/>
    <x v="10"/>
    <n v="1"/>
    <n v="0"/>
  </r>
  <r>
    <x v="6"/>
    <n v="41"/>
    <s v="Oregon"/>
    <n v="51"/>
    <s v="Multnomah County"/>
    <n v="6"/>
    <x v="2"/>
    <n v="53"/>
    <x v="11"/>
    <n v="20"/>
    <n v="25"/>
    <n v="1726"/>
    <n v="32873"/>
    <n v="50114"/>
    <n v="3438234"/>
    <n v="353386"/>
    <n v="611005"/>
    <n v="36220220"/>
    <n v="41051"/>
    <n v="41051"/>
    <x v="11"/>
    <n v="1"/>
    <n v="0"/>
  </r>
  <r>
    <x v="6"/>
    <n v="41"/>
    <s v="Oregon"/>
    <n v="51"/>
    <s v="Multnomah County"/>
    <n v="6"/>
    <x v="2"/>
    <n v="59"/>
    <x v="12"/>
    <n v="191"/>
    <n v="276"/>
    <n v="19618"/>
    <n v="32873"/>
    <n v="50114"/>
    <n v="3438234"/>
    <n v="353386"/>
    <n v="611005"/>
    <n v="36220220"/>
    <n v="41051"/>
    <n v="41051"/>
    <x v="12"/>
    <n v="1"/>
    <n v="0"/>
  </r>
  <r>
    <x v="6"/>
    <n v="41"/>
    <s v="Oregon"/>
    <n v="51"/>
    <s v="Multnomah County"/>
    <n v="6"/>
    <x v="2"/>
    <n v="61"/>
    <x v="13"/>
    <n v="35"/>
    <n v="50"/>
    <n v="2103"/>
    <n v="32873"/>
    <n v="50114"/>
    <n v="3438234"/>
    <n v="353386"/>
    <n v="611005"/>
    <n v="36220220"/>
    <n v="41051"/>
    <n v="41051"/>
    <x v="13"/>
    <n v="1"/>
    <n v="0"/>
  </r>
  <r>
    <x v="6"/>
    <n v="41"/>
    <s v="Oregon"/>
    <n v="51"/>
    <s v="Multnomah County"/>
    <n v="6"/>
    <x v="2"/>
    <n v="65"/>
    <x v="14"/>
    <n v="149"/>
    <n v="219"/>
    <n v="13471"/>
    <n v="32873"/>
    <n v="50114"/>
    <n v="3438234"/>
    <n v="353386"/>
    <n v="611005"/>
    <n v="36220220"/>
    <n v="41051"/>
    <n v="41051"/>
    <x v="14"/>
    <n v="1"/>
    <n v="0"/>
  </r>
  <r>
    <x v="6"/>
    <n v="41"/>
    <s v="Oregon"/>
    <n v="51"/>
    <s v="Multnomah County"/>
    <n v="6"/>
    <x v="2"/>
    <n v="67"/>
    <x v="15"/>
    <n v="135"/>
    <n v="184"/>
    <n v="9437"/>
    <n v="32873"/>
    <n v="50114"/>
    <n v="3438234"/>
    <n v="353386"/>
    <n v="611005"/>
    <n v="36220220"/>
    <n v="41051"/>
    <n v="41051"/>
    <x v="15"/>
    <n v="1"/>
    <n v="0"/>
  </r>
  <r>
    <x v="6"/>
    <n v="41"/>
    <s v="Oregon"/>
    <n v="51"/>
    <s v="Multnomah County"/>
    <n v="6"/>
    <x v="2"/>
    <n v="71"/>
    <x v="16"/>
    <n v="72"/>
    <n v="106"/>
    <n v="3174"/>
    <n v="32873"/>
    <n v="50114"/>
    <n v="3438234"/>
    <n v="353386"/>
    <n v="611005"/>
    <n v="36220220"/>
    <n v="41051"/>
    <n v="41051"/>
    <x v="16"/>
    <n v="1"/>
    <n v="0"/>
  </r>
  <r>
    <x v="6"/>
    <n v="41"/>
    <s v="Oregon"/>
    <n v="51"/>
    <s v="Multnomah County"/>
    <n v="6"/>
    <x v="2"/>
    <n v="73"/>
    <x v="17"/>
    <n v="339"/>
    <n v="466"/>
    <n v="38571"/>
    <n v="32873"/>
    <n v="50114"/>
    <n v="3438234"/>
    <n v="353386"/>
    <n v="611005"/>
    <n v="36220220"/>
    <n v="41051"/>
    <n v="41051"/>
    <x v="17"/>
    <n v="1"/>
    <n v="0"/>
  </r>
  <r>
    <x v="6"/>
    <n v="41"/>
    <s v="Oregon"/>
    <n v="51"/>
    <s v="Multnomah County"/>
    <n v="6"/>
    <x v="2"/>
    <n v="75"/>
    <x v="18"/>
    <n v="218"/>
    <n v="253"/>
    <n v="26157"/>
    <n v="32873"/>
    <n v="50114"/>
    <n v="3438234"/>
    <n v="353386"/>
    <n v="611005"/>
    <n v="36220220"/>
    <n v="41051"/>
    <n v="41051"/>
    <x v="18"/>
    <n v="1"/>
    <n v="0"/>
  </r>
  <r>
    <x v="6"/>
    <n v="41"/>
    <s v="Oregon"/>
    <n v="51"/>
    <s v="Multnomah County"/>
    <n v="6"/>
    <x v="2"/>
    <n v="79"/>
    <x v="19"/>
    <n v="39"/>
    <n v="51"/>
    <n v="2524"/>
    <n v="32873"/>
    <n v="50114"/>
    <n v="3438234"/>
    <n v="353386"/>
    <n v="611005"/>
    <n v="36220220"/>
    <n v="41051"/>
    <n v="41051"/>
    <x v="19"/>
    <n v="1"/>
    <n v="0"/>
  </r>
  <r>
    <x v="6"/>
    <n v="41"/>
    <s v="Oregon"/>
    <n v="51"/>
    <s v="Multnomah County"/>
    <n v="6"/>
    <x v="2"/>
    <n v="81"/>
    <x v="20"/>
    <n v="74"/>
    <n v="92"/>
    <n v="7403"/>
    <n v="32873"/>
    <n v="50114"/>
    <n v="3438234"/>
    <n v="353386"/>
    <n v="611005"/>
    <n v="36220220"/>
    <n v="41051"/>
    <n v="41051"/>
    <x v="20"/>
    <n v="1"/>
    <n v="0"/>
  </r>
  <r>
    <x v="6"/>
    <n v="41"/>
    <s v="Oregon"/>
    <n v="51"/>
    <s v="Multnomah County"/>
    <n v="6"/>
    <x v="2"/>
    <n v="83"/>
    <x v="21"/>
    <n v="52"/>
    <n v="69"/>
    <n v="11920"/>
    <n v="32873"/>
    <n v="50114"/>
    <n v="3438234"/>
    <n v="353386"/>
    <n v="611005"/>
    <n v="36220220"/>
    <n v="41051"/>
    <n v="41051"/>
    <x v="21"/>
    <n v="1"/>
    <n v="0"/>
  </r>
  <r>
    <x v="6"/>
    <n v="41"/>
    <s v="Oregon"/>
    <n v="51"/>
    <s v="Multnomah County"/>
    <n v="6"/>
    <x v="2"/>
    <n v="85"/>
    <x v="22"/>
    <n v="152"/>
    <n v="213"/>
    <n v="18090"/>
    <n v="32873"/>
    <n v="50114"/>
    <n v="3438234"/>
    <n v="353386"/>
    <n v="611005"/>
    <n v="36220220"/>
    <n v="41051"/>
    <n v="41051"/>
    <x v="22"/>
    <n v="1"/>
    <n v="0"/>
  </r>
  <r>
    <x v="6"/>
    <n v="41"/>
    <s v="Oregon"/>
    <n v="51"/>
    <s v="Multnomah County"/>
    <n v="6"/>
    <x v="2"/>
    <n v="87"/>
    <x v="23"/>
    <n v="39"/>
    <n v="60"/>
    <n v="2921"/>
    <n v="32873"/>
    <n v="50114"/>
    <n v="3438234"/>
    <n v="353386"/>
    <n v="611005"/>
    <n v="36220220"/>
    <n v="41051"/>
    <n v="41051"/>
    <x v="23"/>
    <n v="1"/>
    <n v="0"/>
  </r>
  <r>
    <x v="6"/>
    <n v="41"/>
    <s v="Oregon"/>
    <n v="51"/>
    <s v="Multnomah County"/>
    <n v="6"/>
    <x v="2"/>
    <n v="89"/>
    <x v="24"/>
    <n v="35"/>
    <n v="48"/>
    <n v="1461"/>
    <n v="32873"/>
    <n v="50114"/>
    <n v="3438234"/>
    <n v="353386"/>
    <n v="611005"/>
    <n v="36220220"/>
    <n v="41051"/>
    <n v="41051"/>
    <x v="24"/>
    <n v="1"/>
    <n v="0"/>
  </r>
  <r>
    <x v="6"/>
    <n v="41"/>
    <s v="Oregon"/>
    <n v="51"/>
    <s v="Multnomah County"/>
    <n v="6"/>
    <x v="2"/>
    <n v="95"/>
    <x v="129"/>
    <n v="20"/>
    <n v="23"/>
    <n v="817"/>
    <n v="32873"/>
    <n v="50114"/>
    <n v="3438234"/>
    <n v="353386"/>
    <n v="611005"/>
    <n v="36220220"/>
    <n v="41051"/>
    <n v="41051"/>
    <x v="136"/>
    <n v="1"/>
    <n v="0"/>
  </r>
  <r>
    <x v="6"/>
    <n v="41"/>
    <s v="Oregon"/>
    <n v="51"/>
    <s v="Multnomah County"/>
    <n v="6"/>
    <x v="2"/>
    <n v="97"/>
    <x v="25"/>
    <n v="64"/>
    <n v="89"/>
    <n v="4344"/>
    <n v="32873"/>
    <n v="50114"/>
    <n v="3438234"/>
    <n v="353386"/>
    <n v="611005"/>
    <n v="36220220"/>
    <n v="41051"/>
    <n v="41051"/>
    <x v="25"/>
    <n v="1"/>
    <n v="0"/>
  </r>
  <r>
    <x v="6"/>
    <n v="41"/>
    <s v="Oregon"/>
    <n v="51"/>
    <s v="Multnomah County"/>
    <n v="6"/>
    <x v="2"/>
    <n v="111"/>
    <x v="26"/>
    <n v="51"/>
    <n v="70"/>
    <n v="4787"/>
    <n v="32873"/>
    <n v="50114"/>
    <n v="3438234"/>
    <n v="353386"/>
    <n v="611005"/>
    <n v="36220220"/>
    <n v="41051"/>
    <n v="41051"/>
    <x v="26"/>
    <n v="1"/>
    <n v="0"/>
  </r>
  <r>
    <x v="6"/>
    <n v="41"/>
    <s v="Oregon"/>
    <n v="51"/>
    <s v="Multnomah County"/>
    <n v="6"/>
    <x v="2"/>
    <n v="113"/>
    <x v="130"/>
    <n v="32"/>
    <n v="48"/>
    <n v="2941"/>
    <n v="32873"/>
    <n v="50114"/>
    <n v="3438234"/>
    <n v="353386"/>
    <n v="611005"/>
    <n v="36220220"/>
    <n v="41051"/>
    <n v="41051"/>
    <x v="137"/>
    <n v="1"/>
    <n v="0"/>
  </r>
  <r>
    <x v="6"/>
    <n v="41"/>
    <s v="Oregon"/>
    <n v="51"/>
    <s v="Multnomah County"/>
    <n v="8"/>
    <x v="3"/>
    <n v="5"/>
    <x v="27"/>
    <n v="59"/>
    <n v="76"/>
    <n v="3587"/>
    <n v="32873"/>
    <n v="50114"/>
    <n v="3438234"/>
    <n v="353386"/>
    <n v="611005"/>
    <n v="36220220"/>
    <n v="41051"/>
    <n v="41051"/>
    <x v="27"/>
    <n v="1"/>
    <n v="0"/>
  </r>
  <r>
    <x v="6"/>
    <n v="41"/>
    <s v="Oregon"/>
    <n v="51"/>
    <s v="Multnomah County"/>
    <n v="8"/>
    <x v="3"/>
    <n v="13"/>
    <x v="28"/>
    <n v="62"/>
    <n v="84"/>
    <n v="4450"/>
    <n v="32873"/>
    <n v="50114"/>
    <n v="3438234"/>
    <n v="353386"/>
    <n v="611005"/>
    <n v="36220220"/>
    <n v="41051"/>
    <n v="41051"/>
    <x v="28"/>
    <n v="1"/>
    <n v="0"/>
  </r>
  <r>
    <x v="6"/>
    <n v="41"/>
    <s v="Oregon"/>
    <n v="51"/>
    <s v="Multnomah County"/>
    <n v="8"/>
    <x v="3"/>
    <n v="31"/>
    <x v="29"/>
    <n v="201"/>
    <n v="227"/>
    <n v="15430"/>
    <n v="32873"/>
    <n v="50114"/>
    <n v="3438234"/>
    <n v="353386"/>
    <n v="611005"/>
    <n v="36220220"/>
    <n v="41051"/>
    <n v="41051"/>
    <x v="29"/>
    <n v="1"/>
    <n v="0"/>
  </r>
  <r>
    <x v="6"/>
    <n v="41"/>
    <s v="Oregon"/>
    <n v="51"/>
    <s v="Multnomah County"/>
    <n v="8"/>
    <x v="3"/>
    <n v="41"/>
    <x v="30"/>
    <n v="48"/>
    <n v="58"/>
    <n v="2629"/>
    <n v="32873"/>
    <n v="50114"/>
    <n v="3438234"/>
    <n v="353386"/>
    <n v="611005"/>
    <n v="36220220"/>
    <n v="41051"/>
    <n v="41051"/>
    <x v="30"/>
    <n v="1"/>
    <n v="0"/>
  </r>
  <r>
    <x v="6"/>
    <n v="41"/>
    <s v="Oregon"/>
    <n v="51"/>
    <s v="Multnomah County"/>
    <n v="8"/>
    <x v="3"/>
    <n v="59"/>
    <x v="31"/>
    <n v="53"/>
    <n v="70"/>
    <n v="5049"/>
    <n v="32873"/>
    <n v="50114"/>
    <n v="3438234"/>
    <n v="353386"/>
    <n v="611005"/>
    <n v="36220220"/>
    <n v="41051"/>
    <n v="41051"/>
    <x v="31"/>
    <n v="1"/>
    <n v="0"/>
  </r>
  <r>
    <x v="6"/>
    <n v="41"/>
    <s v="Oregon"/>
    <n v="51"/>
    <s v="Multnomah County"/>
    <n v="8"/>
    <x v="3"/>
    <n v="69"/>
    <x v="32"/>
    <n v="52"/>
    <n v="65"/>
    <n v="3453"/>
    <n v="32873"/>
    <n v="50114"/>
    <n v="3438234"/>
    <n v="353386"/>
    <n v="611005"/>
    <n v="36220220"/>
    <n v="41051"/>
    <n v="41051"/>
    <x v="32"/>
    <n v="1"/>
    <n v="0"/>
  </r>
  <r>
    <x v="6"/>
    <n v="41"/>
    <s v="Oregon"/>
    <n v="51"/>
    <s v="Multnomah County"/>
    <n v="11"/>
    <x v="5"/>
    <n v="1"/>
    <x v="34"/>
    <n v="65"/>
    <n v="81"/>
    <n v="5989"/>
    <n v="32873"/>
    <n v="50114"/>
    <n v="3438234"/>
    <n v="353386"/>
    <n v="611005"/>
    <n v="36220220"/>
    <n v="41051"/>
    <n v="41051"/>
    <x v="34"/>
    <n v="1"/>
    <n v="0"/>
  </r>
  <r>
    <x v="6"/>
    <n v="41"/>
    <s v="Oregon"/>
    <n v="51"/>
    <s v="Multnomah County"/>
    <n v="12"/>
    <x v="6"/>
    <n v="11"/>
    <x v="132"/>
    <n v="31"/>
    <n v="58"/>
    <n v="4427"/>
    <n v="32873"/>
    <n v="50114"/>
    <n v="3438234"/>
    <n v="353386"/>
    <n v="611005"/>
    <n v="36220220"/>
    <n v="41051"/>
    <n v="41051"/>
    <x v="139"/>
    <n v="1"/>
    <n v="0"/>
  </r>
  <r>
    <x v="6"/>
    <n v="41"/>
    <s v="Oregon"/>
    <n v="51"/>
    <s v="Multnomah County"/>
    <n v="12"/>
    <x v="6"/>
    <n v="31"/>
    <x v="133"/>
    <n v="36"/>
    <n v="52"/>
    <n v="2246"/>
    <n v="32873"/>
    <n v="50114"/>
    <n v="3438234"/>
    <n v="353386"/>
    <n v="611005"/>
    <n v="36220220"/>
    <n v="41051"/>
    <n v="41051"/>
    <x v="140"/>
    <n v="1"/>
    <n v="0"/>
  </r>
  <r>
    <x v="6"/>
    <n v="41"/>
    <s v="Oregon"/>
    <n v="51"/>
    <s v="Multnomah County"/>
    <n v="12"/>
    <x v="6"/>
    <n v="57"/>
    <x v="35"/>
    <n v="53"/>
    <n v="92"/>
    <n v="3805"/>
    <n v="32873"/>
    <n v="50114"/>
    <n v="3438234"/>
    <n v="353386"/>
    <n v="611005"/>
    <n v="36220220"/>
    <n v="41051"/>
    <n v="41051"/>
    <x v="35"/>
    <n v="1"/>
    <n v="0"/>
  </r>
  <r>
    <x v="6"/>
    <n v="41"/>
    <s v="Oregon"/>
    <n v="51"/>
    <s v="Multnomah County"/>
    <n v="12"/>
    <x v="6"/>
    <n v="71"/>
    <x v="175"/>
    <n v="25"/>
    <n v="34"/>
    <n v="2046"/>
    <n v="32873"/>
    <n v="50114"/>
    <n v="3438234"/>
    <n v="353386"/>
    <n v="611005"/>
    <n v="36220220"/>
    <n v="41051"/>
    <n v="41051"/>
    <x v="187"/>
    <n v="1"/>
    <n v="0"/>
  </r>
  <r>
    <x v="6"/>
    <n v="41"/>
    <s v="Oregon"/>
    <n v="51"/>
    <s v="Multnomah County"/>
    <n v="12"/>
    <x v="6"/>
    <n v="86"/>
    <x v="36"/>
    <n v="77"/>
    <n v="107"/>
    <n v="16598"/>
    <n v="32873"/>
    <n v="50114"/>
    <n v="3438234"/>
    <n v="353386"/>
    <n v="611005"/>
    <n v="36220220"/>
    <n v="41051"/>
    <n v="41051"/>
    <x v="36"/>
    <n v="1"/>
    <n v="0"/>
  </r>
  <r>
    <x v="6"/>
    <n v="41"/>
    <s v="Oregon"/>
    <n v="51"/>
    <s v="Multnomah County"/>
    <n v="12"/>
    <x v="6"/>
    <n v="95"/>
    <x v="12"/>
    <n v="45"/>
    <n v="65"/>
    <n v="4174"/>
    <n v="32873"/>
    <n v="50114"/>
    <n v="3438234"/>
    <n v="353386"/>
    <n v="611005"/>
    <n v="36220220"/>
    <n v="41051"/>
    <n v="41051"/>
    <x v="37"/>
    <n v="1"/>
    <n v="0"/>
  </r>
  <r>
    <x v="6"/>
    <n v="41"/>
    <s v="Oregon"/>
    <n v="51"/>
    <s v="Multnomah County"/>
    <n v="12"/>
    <x v="6"/>
    <n v="99"/>
    <x v="37"/>
    <n v="28"/>
    <n v="38"/>
    <n v="4850"/>
    <n v="32873"/>
    <n v="50114"/>
    <n v="3438234"/>
    <n v="353386"/>
    <n v="611005"/>
    <n v="36220220"/>
    <n v="41051"/>
    <n v="41051"/>
    <x v="38"/>
    <n v="1"/>
    <n v="0"/>
  </r>
  <r>
    <x v="6"/>
    <n v="41"/>
    <s v="Oregon"/>
    <n v="51"/>
    <s v="Multnomah County"/>
    <n v="12"/>
    <x v="6"/>
    <n v="101"/>
    <x v="198"/>
    <n v="27"/>
    <n v="37"/>
    <n v="1769"/>
    <n v="32873"/>
    <n v="50114"/>
    <n v="3438234"/>
    <n v="353386"/>
    <n v="611005"/>
    <n v="36220220"/>
    <n v="41051"/>
    <n v="41051"/>
    <x v="215"/>
    <n v="1"/>
    <n v="0"/>
  </r>
  <r>
    <x v="6"/>
    <n v="41"/>
    <s v="Oregon"/>
    <n v="51"/>
    <s v="Multnomah County"/>
    <n v="12"/>
    <x v="6"/>
    <n v="103"/>
    <x v="38"/>
    <n v="45"/>
    <n v="55"/>
    <n v="8123"/>
    <n v="32873"/>
    <n v="50114"/>
    <n v="3438234"/>
    <n v="353386"/>
    <n v="611005"/>
    <n v="36220220"/>
    <n v="41051"/>
    <n v="41051"/>
    <x v="39"/>
    <n v="1"/>
    <n v="0"/>
  </r>
  <r>
    <x v="6"/>
    <n v="41"/>
    <s v="Oregon"/>
    <n v="51"/>
    <s v="Multnomah County"/>
    <n v="12"/>
    <x v="6"/>
    <n v="115"/>
    <x v="180"/>
    <n v="33"/>
    <n v="61"/>
    <n v="3263"/>
    <n v="32873"/>
    <n v="50114"/>
    <n v="3438234"/>
    <n v="353386"/>
    <n v="611005"/>
    <n v="36220220"/>
    <n v="41051"/>
    <n v="41051"/>
    <x v="193"/>
    <n v="1"/>
    <n v="0"/>
  </r>
  <r>
    <x v="6"/>
    <n v="41"/>
    <s v="Oregon"/>
    <n v="51"/>
    <s v="Multnomah County"/>
    <n v="12"/>
    <x v="6"/>
    <n v="127"/>
    <x v="199"/>
    <n v="20"/>
    <n v="39"/>
    <n v="1227"/>
    <n v="32873"/>
    <n v="50114"/>
    <n v="3438234"/>
    <n v="353386"/>
    <n v="611005"/>
    <n v="36220220"/>
    <n v="41051"/>
    <n v="41051"/>
    <x v="216"/>
    <n v="1"/>
    <n v="0"/>
  </r>
  <r>
    <x v="6"/>
    <n v="41"/>
    <s v="Oregon"/>
    <n v="51"/>
    <s v="Multnomah County"/>
    <n v="13"/>
    <x v="7"/>
    <n v="67"/>
    <x v="192"/>
    <n v="20"/>
    <n v="30"/>
    <n v="2000"/>
    <n v="32873"/>
    <n v="50114"/>
    <n v="3438234"/>
    <n v="353386"/>
    <n v="611005"/>
    <n v="36220220"/>
    <n v="41051"/>
    <n v="41051"/>
    <x v="206"/>
    <n v="1"/>
    <n v="0"/>
  </r>
  <r>
    <x v="6"/>
    <n v="41"/>
    <s v="Oregon"/>
    <n v="51"/>
    <s v="Multnomah County"/>
    <n v="13"/>
    <x v="7"/>
    <n v="89"/>
    <x v="39"/>
    <n v="30"/>
    <n v="63"/>
    <n v="2228"/>
    <n v="32873"/>
    <n v="50114"/>
    <n v="3438234"/>
    <n v="353386"/>
    <n v="611005"/>
    <n v="36220220"/>
    <n v="41051"/>
    <n v="41051"/>
    <x v="40"/>
    <n v="1"/>
    <n v="0"/>
  </r>
  <r>
    <x v="6"/>
    <n v="41"/>
    <s v="Oregon"/>
    <n v="51"/>
    <s v="Multnomah County"/>
    <n v="13"/>
    <x v="7"/>
    <n v="121"/>
    <x v="40"/>
    <n v="45"/>
    <n v="52"/>
    <n v="4326"/>
    <n v="32873"/>
    <n v="50114"/>
    <n v="3438234"/>
    <n v="353386"/>
    <n v="611005"/>
    <n v="36220220"/>
    <n v="41051"/>
    <n v="41051"/>
    <x v="41"/>
    <n v="1"/>
    <n v="0"/>
  </r>
  <r>
    <x v="6"/>
    <n v="41"/>
    <s v="Oregon"/>
    <n v="51"/>
    <s v="Multnomah County"/>
    <n v="13"/>
    <x v="7"/>
    <n v="135"/>
    <x v="200"/>
    <n v="22"/>
    <n v="47"/>
    <n v="2019"/>
    <n v="32873"/>
    <n v="50114"/>
    <n v="3438234"/>
    <n v="353386"/>
    <n v="611005"/>
    <n v="36220220"/>
    <n v="41051"/>
    <n v="41051"/>
    <x v="217"/>
    <n v="1"/>
    <n v="0"/>
  </r>
  <r>
    <x v="6"/>
    <n v="41"/>
    <s v="Oregon"/>
    <n v="51"/>
    <s v="Multnomah County"/>
    <n v="15"/>
    <x v="8"/>
    <n v="1"/>
    <x v="41"/>
    <n v="49"/>
    <n v="83"/>
    <n v="5383"/>
    <n v="32873"/>
    <n v="50114"/>
    <n v="3438234"/>
    <n v="353386"/>
    <n v="611005"/>
    <n v="36220220"/>
    <n v="41051"/>
    <n v="41051"/>
    <x v="42"/>
    <n v="1"/>
    <n v="0"/>
  </r>
  <r>
    <x v="6"/>
    <n v="41"/>
    <s v="Oregon"/>
    <n v="51"/>
    <s v="Multnomah County"/>
    <n v="15"/>
    <x v="8"/>
    <n v="3"/>
    <x v="42"/>
    <n v="108"/>
    <n v="166"/>
    <n v="10304"/>
    <n v="32873"/>
    <n v="50114"/>
    <n v="3438234"/>
    <n v="353386"/>
    <n v="611005"/>
    <n v="36220220"/>
    <n v="41051"/>
    <n v="41051"/>
    <x v="43"/>
    <n v="1"/>
    <n v="0"/>
  </r>
  <r>
    <x v="6"/>
    <n v="41"/>
    <s v="Oregon"/>
    <n v="51"/>
    <s v="Multnomah County"/>
    <n v="15"/>
    <x v="8"/>
    <n v="9"/>
    <x v="43"/>
    <n v="37"/>
    <n v="52"/>
    <n v="5169"/>
    <n v="32873"/>
    <n v="50114"/>
    <n v="3438234"/>
    <n v="353386"/>
    <n v="611005"/>
    <n v="36220220"/>
    <n v="41051"/>
    <n v="41051"/>
    <x v="44"/>
    <n v="1"/>
    <n v="0"/>
  </r>
  <r>
    <x v="6"/>
    <n v="41"/>
    <s v="Oregon"/>
    <n v="51"/>
    <s v="Multnomah County"/>
    <n v="16"/>
    <x v="9"/>
    <n v="1"/>
    <x v="44"/>
    <n v="153"/>
    <n v="226"/>
    <n v="15685"/>
    <n v="32873"/>
    <n v="50114"/>
    <n v="3438234"/>
    <n v="353386"/>
    <n v="611005"/>
    <n v="36220220"/>
    <n v="41051"/>
    <n v="41051"/>
    <x v="45"/>
    <n v="1"/>
    <n v="0"/>
  </r>
  <r>
    <x v="6"/>
    <n v="41"/>
    <s v="Oregon"/>
    <n v="51"/>
    <s v="Multnomah County"/>
    <n v="16"/>
    <x v="9"/>
    <n v="27"/>
    <x v="45"/>
    <n v="53"/>
    <n v="93"/>
    <n v="3060"/>
    <n v="32873"/>
    <n v="50114"/>
    <n v="3438234"/>
    <n v="353386"/>
    <n v="611005"/>
    <n v="36220220"/>
    <n v="41051"/>
    <n v="41051"/>
    <x v="46"/>
    <n v="1"/>
    <n v="0"/>
  </r>
  <r>
    <x v="6"/>
    <n v="41"/>
    <s v="Oregon"/>
    <n v="51"/>
    <s v="Multnomah County"/>
    <n v="16"/>
    <x v="9"/>
    <n v="55"/>
    <x v="46"/>
    <n v="62"/>
    <n v="120"/>
    <n v="4981"/>
    <n v="32873"/>
    <n v="50114"/>
    <n v="3438234"/>
    <n v="353386"/>
    <n v="611005"/>
    <n v="36220220"/>
    <n v="41051"/>
    <n v="41051"/>
    <x v="47"/>
    <n v="1"/>
    <n v="0"/>
  </r>
  <r>
    <x v="6"/>
    <n v="41"/>
    <s v="Oregon"/>
    <n v="51"/>
    <s v="Multnomah County"/>
    <n v="17"/>
    <x v="10"/>
    <n v="31"/>
    <x v="47"/>
    <n v="217"/>
    <n v="262"/>
    <n v="17851"/>
    <n v="32873"/>
    <n v="50114"/>
    <n v="3438234"/>
    <n v="353386"/>
    <n v="611005"/>
    <n v="36220220"/>
    <n v="41051"/>
    <n v="41051"/>
    <x v="48"/>
    <n v="1"/>
    <n v="0"/>
  </r>
  <r>
    <x v="6"/>
    <n v="41"/>
    <s v="Oregon"/>
    <n v="51"/>
    <s v="Multnomah County"/>
    <n v="17"/>
    <x v="10"/>
    <n v="43"/>
    <x v="136"/>
    <n v="24"/>
    <n v="35"/>
    <n v="1490"/>
    <n v="32873"/>
    <n v="50114"/>
    <n v="3438234"/>
    <n v="353386"/>
    <n v="611005"/>
    <n v="36220220"/>
    <n v="41051"/>
    <n v="41051"/>
    <x v="143"/>
    <n v="1"/>
    <n v="0"/>
  </r>
  <r>
    <x v="6"/>
    <n v="41"/>
    <s v="Oregon"/>
    <n v="51"/>
    <s v="Multnomah County"/>
    <n v="18"/>
    <x v="11"/>
    <n v="97"/>
    <x v="48"/>
    <n v="33"/>
    <n v="39"/>
    <n v="2998"/>
    <n v="32873"/>
    <n v="50114"/>
    <n v="3438234"/>
    <n v="353386"/>
    <n v="611005"/>
    <n v="36220220"/>
    <n v="41051"/>
    <n v="41051"/>
    <x v="49"/>
    <n v="1"/>
    <n v="0"/>
  </r>
  <r>
    <x v="6"/>
    <n v="41"/>
    <s v="Oregon"/>
    <n v="51"/>
    <s v="Multnomah County"/>
    <n v="19"/>
    <x v="12"/>
    <n v="153"/>
    <x v="49"/>
    <n v="21"/>
    <n v="26"/>
    <n v="1204"/>
    <n v="32873"/>
    <n v="50114"/>
    <n v="3438234"/>
    <n v="353386"/>
    <n v="611005"/>
    <n v="36220220"/>
    <n v="41051"/>
    <n v="41051"/>
    <x v="50"/>
    <n v="1"/>
    <n v="0"/>
  </r>
  <r>
    <x v="6"/>
    <n v="41"/>
    <s v="Oregon"/>
    <n v="51"/>
    <s v="Multnomah County"/>
    <n v="20"/>
    <x v="34"/>
    <n v="91"/>
    <x v="137"/>
    <n v="21"/>
    <n v="33"/>
    <n v="3293"/>
    <n v="32873"/>
    <n v="50114"/>
    <n v="3438234"/>
    <n v="353386"/>
    <n v="611005"/>
    <n v="36220220"/>
    <n v="41051"/>
    <n v="41051"/>
    <x v="144"/>
    <n v="1"/>
    <n v="0"/>
  </r>
  <r>
    <x v="6"/>
    <n v="41"/>
    <s v="Oregon"/>
    <n v="51"/>
    <s v="Multnomah County"/>
    <n v="21"/>
    <x v="35"/>
    <n v="111"/>
    <x v="31"/>
    <n v="21"/>
    <n v="36"/>
    <n v="1833"/>
    <n v="32873"/>
    <n v="50114"/>
    <n v="3438234"/>
    <n v="353386"/>
    <n v="611005"/>
    <n v="36220220"/>
    <n v="41051"/>
    <n v="41051"/>
    <x v="145"/>
    <n v="1"/>
    <n v="0"/>
  </r>
  <r>
    <x v="6"/>
    <n v="41"/>
    <s v="Oregon"/>
    <n v="51"/>
    <s v="Multnomah County"/>
    <n v="22"/>
    <x v="13"/>
    <n v="71"/>
    <x v="50"/>
    <n v="27"/>
    <n v="37"/>
    <n v="1511"/>
    <n v="32873"/>
    <n v="50114"/>
    <n v="3438234"/>
    <n v="353386"/>
    <n v="611005"/>
    <n v="36220220"/>
    <n v="41051"/>
    <n v="41051"/>
    <x v="51"/>
    <n v="1"/>
    <n v="0"/>
  </r>
  <r>
    <x v="6"/>
    <n v="41"/>
    <s v="Oregon"/>
    <n v="51"/>
    <s v="Multnomah County"/>
    <n v="23"/>
    <x v="14"/>
    <n v="5"/>
    <x v="51"/>
    <n v="42"/>
    <n v="63"/>
    <n v="4027"/>
    <n v="32873"/>
    <n v="50114"/>
    <n v="3438234"/>
    <n v="353386"/>
    <n v="611005"/>
    <n v="36220220"/>
    <n v="41051"/>
    <n v="41051"/>
    <x v="52"/>
    <n v="1"/>
    <n v="0"/>
  </r>
  <r>
    <x v="6"/>
    <n v="41"/>
    <s v="Oregon"/>
    <n v="51"/>
    <s v="Multnomah County"/>
    <n v="24"/>
    <x v="15"/>
    <n v="31"/>
    <x v="52"/>
    <n v="27"/>
    <n v="50"/>
    <n v="4119"/>
    <n v="32873"/>
    <n v="50114"/>
    <n v="3438234"/>
    <n v="353386"/>
    <n v="611005"/>
    <n v="36220220"/>
    <n v="41051"/>
    <n v="41051"/>
    <x v="53"/>
    <n v="1"/>
    <n v="0"/>
  </r>
  <r>
    <x v="6"/>
    <n v="41"/>
    <s v="Oregon"/>
    <n v="51"/>
    <s v="Multnomah County"/>
    <n v="24"/>
    <x v="15"/>
    <n v="510"/>
    <x v="139"/>
    <n v="33"/>
    <n v="44"/>
    <n v="1541"/>
    <n v="32873"/>
    <n v="50114"/>
    <n v="3438234"/>
    <n v="353386"/>
    <n v="611005"/>
    <n v="36220220"/>
    <n v="41051"/>
    <n v="41051"/>
    <x v="147"/>
    <n v="1"/>
    <n v="0"/>
  </r>
  <r>
    <x v="6"/>
    <n v="41"/>
    <s v="Oregon"/>
    <n v="51"/>
    <s v="Multnomah County"/>
    <n v="25"/>
    <x v="16"/>
    <n v="17"/>
    <x v="53"/>
    <n v="66"/>
    <n v="101"/>
    <n v="9791"/>
    <n v="32873"/>
    <n v="50114"/>
    <n v="3438234"/>
    <n v="353386"/>
    <n v="611005"/>
    <n v="36220220"/>
    <n v="41051"/>
    <n v="41051"/>
    <x v="54"/>
    <n v="1"/>
    <n v="0"/>
  </r>
  <r>
    <x v="6"/>
    <n v="41"/>
    <s v="Oregon"/>
    <n v="51"/>
    <s v="Multnomah County"/>
    <n v="25"/>
    <x v="16"/>
    <n v="21"/>
    <x v="141"/>
    <n v="25"/>
    <n v="28"/>
    <n v="1451"/>
    <n v="32873"/>
    <n v="50114"/>
    <n v="3438234"/>
    <n v="353386"/>
    <n v="611005"/>
    <n v="36220220"/>
    <n v="41051"/>
    <n v="41051"/>
    <x v="149"/>
    <n v="1"/>
    <n v="0"/>
  </r>
  <r>
    <x v="6"/>
    <n v="41"/>
    <s v="Oregon"/>
    <n v="51"/>
    <s v="Multnomah County"/>
    <n v="25"/>
    <x v="16"/>
    <n v="25"/>
    <x v="54"/>
    <n v="52"/>
    <n v="62"/>
    <n v="5117"/>
    <n v="32873"/>
    <n v="50114"/>
    <n v="3438234"/>
    <n v="353386"/>
    <n v="611005"/>
    <n v="36220220"/>
    <n v="41051"/>
    <n v="41051"/>
    <x v="55"/>
    <n v="1"/>
    <n v="0"/>
  </r>
  <r>
    <x v="6"/>
    <n v="41"/>
    <s v="Oregon"/>
    <n v="51"/>
    <s v="Multnomah County"/>
    <n v="26"/>
    <x v="17"/>
    <n v="81"/>
    <x v="142"/>
    <n v="36"/>
    <n v="63"/>
    <n v="3124"/>
    <n v="32873"/>
    <n v="50114"/>
    <n v="3438234"/>
    <n v="353386"/>
    <n v="611005"/>
    <n v="36220220"/>
    <n v="41051"/>
    <n v="41051"/>
    <x v="150"/>
    <n v="1"/>
    <n v="0"/>
  </r>
  <r>
    <x v="6"/>
    <n v="41"/>
    <s v="Oregon"/>
    <n v="51"/>
    <s v="Multnomah County"/>
    <n v="26"/>
    <x v="17"/>
    <n v="125"/>
    <x v="143"/>
    <n v="44"/>
    <n v="72"/>
    <n v="6324"/>
    <n v="32873"/>
    <n v="50114"/>
    <n v="3438234"/>
    <n v="353386"/>
    <n v="611005"/>
    <n v="36220220"/>
    <n v="41051"/>
    <n v="41051"/>
    <x v="151"/>
    <n v="1"/>
    <n v="0"/>
  </r>
  <r>
    <x v="6"/>
    <n v="41"/>
    <s v="Oregon"/>
    <n v="51"/>
    <s v="Multnomah County"/>
    <n v="26"/>
    <x v="17"/>
    <n v="161"/>
    <x v="55"/>
    <n v="28"/>
    <n v="36"/>
    <n v="1604"/>
    <n v="32873"/>
    <n v="50114"/>
    <n v="3438234"/>
    <n v="353386"/>
    <n v="611005"/>
    <n v="36220220"/>
    <n v="41051"/>
    <n v="41051"/>
    <x v="56"/>
    <n v="1"/>
    <n v="0"/>
  </r>
  <r>
    <x v="6"/>
    <n v="41"/>
    <s v="Oregon"/>
    <n v="51"/>
    <s v="Multnomah County"/>
    <n v="26"/>
    <x v="17"/>
    <n v="163"/>
    <x v="144"/>
    <n v="25"/>
    <n v="35"/>
    <n v="1372"/>
    <n v="32873"/>
    <n v="50114"/>
    <n v="3438234"/>
    <n v="353386"/>
    <n v="611005"/>
    <n v="36220220"/>
    <n v="41051"/>
    <n v="41051"/>
    <x v="152"/>
    <n v="1"/>
    <n v="0"/>
  </r>
  <r>
    <x v="6"/>
    <n v="41"/>
    <s v="Oregon"/>
    <n v="51"/>
    <s v="Multnomah County"/>
    <n v="27"/>
    <x v="18"/>
    <n v="53"/>
    <x v="56"/>
    <n v="130"/>
    <n v="183"/>
    <n v="11427"/>
    <n v="32873"/>
    <n v="50114"/>
    <n v="3438234"/>
    <n v="353386"/>
    <n v="611005"/>
    <n v="36220220"/>
    <n v="41051"/>
    <n v="41051"/>
    <x v="57"/>
    <n v="1"/>
    <n v="0"/>
  </r>
  <r>
    <x v="6"/>
    <n v="41"/>
    <s v="Oregon"/>
    <n v="51"/>
    <s v="Multnomah County"/>
    <n v="27"/>
    <x v="18"/>
    <n v="123"/>
    <x v="57"/>
    <n v="27"/>
    <n v="41"/>
    <n v="1995"/>
    <n v="32873"/>
    <n v="50114"/>
    <n v="3438234"/>
    <n v="353386"/>
    <n v="611005"/>
    <n v="36220220"/>
    <n v="41051"/>
    <n v="41051"/>
    <x v="58"/>
    <n v="1"/>
    <n v="0"/>
  </r>
  <r>
    <x v="6"/>
    <n v="41"/>
    <s v="Oregon"/>
    <n v="51"/>
    <s v="Multnomah County"/>
    <n v="29"/>
    <x v="36"/>
    <n v="77"/>
    <x v="145"/>
    <n v="27"/>
    <n v="61"/>
    <n v="1182"/>
    <n v="32873"/>
    <n v="50114"/>
    <n v="3438234"/>
    <n v="353386"/>
    <n v="611005"/>
    <n v="36220220"/>
    <n v="41051"/>
    <n v="41051"/>
    <x v="153"/>
    <n v="1"/>
    <n v="0"/>
  </r>
  <r>
    <x v="6"/>
    <n v="41"/>
    <s v="Oregon"/>
    <n v="51"/>
    <s v="Multnomah County"/>
    <n v="29"/>
    <x v="36"/>
    <n v="95"/>
    <x v="82"/>
    <n v="31"/>
    <n v="45"/>
    <n v="1606"/>
    <n v="32873"/>
    <n v="50114"/>
    <n v="3438234"/>
    <n v="353386"/>
    <n v="611005"/>
    <n v="36220220"/>
    <n v="41051"/>
    <n v="41051"/>
    <x v="154"/>
    <n v="1"/>
    <n v="0"/>
  </r>
  <r>
    <x v="6"/>
    <n v="41"/>
    <s v="Oregon"/>
    <n v="51"/>
    <s v="Multnomah County"/>
    <n v="29"/>
    <x v="36"/>
    <n v="189"/>
    <x v="146"/>
    <n v="20"/>
    <n v="24"/>
    <n v="1552"/>
    <n v="32873"/>
    <n v="50114"/>
    <n v="3438234"/>
    <n v="353386"/>
    <n v="611005"/>
    <n v="36220220"/>
    <n v="41051"/>
    <n v="41051"/>
    <x v="155"/>
    <n v="1"/>
    <n v="0"/>
  </r>
  <r>
    <x v="6"/>
    <n v="41"/>
    <s v="Oregon"/>
    <n v="51"/>
    <s v="Multnomah County"/>
    <n v="29"/>
    <x v="36"/>
    <n v="510"/>
    <x v="147"/>
    <n v="26"/>
    <n v="35"/>
    <n v="2237"/>
    <n v="32873"/>
    <n v="50114"/>
    <n v="3438234"/>
    <n v="353386"/>
    <n v="611005"/>
    <n v="36220220"/>
    <n v="41051"/>
    <n v="41051"/>
    <x v="156"/>
    <n v="1"/>
    <n v="0"/>
  </r>
  <r>
    <x v="6"/>
    <n v="41"/>
    <s v="Oregon"/>
    <n v="51"/>
    <s v="Multnomah County"/>
    <n v="30"/>
    <x v="19"/>
    <n v="29"/>
    <x v="148"/>
    <n v="26"/>
    <n v="33"/>
    <n v="1870"/>
    <n v="32873"/>
    <n v="50114"/>
    <n v="3438234"/>
    <n v="353386"/>
    <n v="611005"/>
    <n v="36220220"/>
    <n v="41051"/>
    <n v="41051"/>
    <x v="157"/>
    <n v="1"/>
    <n v="0"/>
  </r>
  <r>
    <x v="6"/>
    <n v="41"/>
    <s v="Oregon"/>
    <n v="51"/>
    <s v="Multnomah County"/>
    <n v="30"/>
    <x v="19"/>
    <n v="31"/>
    <x v="58"/>
    <n v="20"/>
    <n v="28"/>
    <n v="2169"/>
    <n v="32873"/>
    <n v="50114"/>
    <n v="3438234"/>
    <n v="353386"/>
    <n v="611005"/>
    <n v="36220220"/>
    <n v="41051"/>
    <n v="41051"/>
    <x v="59"/>
    <n v="1"/>
    <n v="0"/>
  </r>
  <r>
    <x v="6"/>
    <n v="41"/>
    <s v="Oregon"/>
    <n v="51"/>
    <s v="Multnomah County"/>
    <n v="30"/>
    <x v="19"/>
    <n v="63"/>
    <x v="59"/>
    <n v="58"/>
    <n v="78"/>
    <n v="4961"/>
    <n v="32873"/>
    <n v="50114"/>
    <n v="3438234"/>
    <n v="353386"/>
    <n v="611005"/>
    <n v="36220220"/>
    <n v="41051"/>
    <n v="41051"/>
    <x v="60"/>
    <n v="1"/>
    <n v="0"/>
  </r>
  <r>
    <x v="6"/>
    <n v="41"/>
    <s v="Oregon"/>
    <n v="51"/>
    <s v="Multnomah County"/>
    <n v="30"/>
    <x v="19"/>
    <n v="111"/>
    <x v="60"/>
    <n v="25"/>
    <n v="37"/>
    <n v="1725"/>
    <n v="32873"/>
    <n v="50114"/>
    <n v="3438234"/>
    <n v="353386"/>
    <n v="611005"/>
    <n v="36220220"/>
    <n v="41051"/>
    <n v="41051"/>
    <x v="61"/>
    <n v="1"/>
    <n v="0"/>
  </r>
  <r>
    <x v="6"/>
    <n v="41"/>
    <s v="Oregon"/>
    <n v="51"/>
    <s v="Multnomah County"/>
    <n v="31"/>
    <x v="37"/>
    <n v="55"/>
    <x v="80"/>
    <n v="24"/>
    <n v="35"/>
    <n v="1929"/>
    <n v="32873"/>
    <n v="50114"/>
    <n v="3438234"/>
    <n v="353386"/>
    <n v="611005"/>
    <n v="36220220"/>
    <n v="41051"/>
    <n v="41051"/>
    <x v="159"/>
    <n v="1"/>
    <n v="0"/>
  </r>
  <r>
    <x v="6"/>
    <n v="41"/>
    <s v="Oregon"/>
    <n v="51"/>
    <s v="Multnomah County"/>
    <n v="32"/>
    <x v="20"/>
    <n v="3"/>
    <x v="61"/>
    <n v="230"/>
    <n v="340"/>
    <n v="35920"/>
    <n v="32873"/>
    <n v="50114"/>
    <n v="3438234"/>
    <n v="353386"/>
    <n v="611005"/>
    <n v="36220220"/>
    <n v="41051"/>
    <n v="41051"/>
    <x v="62"/>
    <n v="1"/>
    <n v="0"/>
  </r>
  <r>
    <x v="6"/>
    <n v="41"/>
    <s v="Oregon"/>
    <n v="51"/>
    <s v="Multnomah County"/>
    <n v="32"/>
    <x v="20"/>
    <n v="31"/>
    <x v="62"/>
    <n v="57"/>
    <n v="81"/>
    <n v="3485"/>
    <n v="32873"/>
    <n v="50114"/>
    <n v="3438234"/>
    <n v="353386"/>
    <n v="611005"/>
    <n v="36220220"/>
    <n v="41051"/>
    <n v="41051"/>
    <x v="63"/>
    <n v="1"/>
    <n v="0"/>
  </r>
  <r>
    <x v="6"/>
    <n v="41"/>
    <s v="Oregon"/>
    <n v="51"/>
    <s v="Multnomah County"/>
    <n v="35"/>
    <x v="21"/>
    <n v="1"/>
    <x v="63"/>
    <n v="63"/>
    <n v="98"/>
    <n v="5205"/>
    <n v="32873"/>
    <n v="50114"/>
    <n v="3438234"/>
    <n v="353386"/>
    <n v="611005"/>
    <n v="36220220"/>
    <n v="41051"/>
    <n v="41051"/>
    <x v="64"/>
    <n v="1"/>
    <n v="0"/>
  </r>
  <r>
    <x v="6"/>
    <n v="41"/>
    <s v="Oregon"/>
    <n v="51"/>
    <s v="Multnomah County"/>
    <n v="35"/>
    <x v="21"/>
    <n v="49"/>
    <x v="64"/>
    <n v="45"/>
    <n v="62"/>
    <n v="4119"/>
    <n v="32873"/>
    <n v="50114"/>
    <n v="3438234"/>
    <n v="353386"/>
    <n v="611005"/>
    <n v="36220220"/>
    <n v="41051"/>
    <n v="41051"/>
    <x v="65"/>
    <n v="1"/>
    <n v="0"/>
  </r>
  <r>
    <x v="6"/>
    <n v="41"/>
    <s v="Oregon"/>
    <n v="51"/>
    <s v="Multnomah County"/>
    <n v="36"/>
    <x v="22"/>
    <n v="47"/>
    <x v="65"/>
    <n v="218"/>
    <n v="247"/>
    <n v="20333"/>
    <n v="32873"/>
    <n v="50114"/>
    <n v="3438234"/>
    <n v="353386"/>
    <n v="611005"/>
    <n v="36220220"/>
    <n v="41051"/>
    <n v="41051"/>
    <x v="66"/>
    <n v="1"/>
    <n v="0"/>
  </r>
  <r>
    <x v="6"/>
    <n v="41"/>
    <s v="Oregon"/>
    <n v="51"/>
    <s v="Multnomah County"/>
    <n v="36"/>
    <x v="22"/>
    <n v="61"/>
    <x v="66"/>
    <n v="168"/>
    <n v="190"/>
    <n v="21968"/>
    <n v="32873"/>
    <n v="50114"/>
    <n v="3438234"/>
    <n v="353386"/>
    <n v="611005"/>
    <n v="36220220"/>
    <n v="41051"/>
    <n v="41051"/>
    <x v="67"/>
    <n v="1"/>
    <n v="0"/>
  </r>
  <r>
    <x v="6"/>
    <n v="41"/>
    <s v="Oregon"/>
    <n v="51"/>
    <s v="Multnomah County"/>
    <n v="36"/>
    <x v="22"/>
    <n v="81"/>
    <x v="67"/>
    <n v="48"/>
    <n v="57"/>
    <n v="3046"/>
    <n v="32873"/>
    <n v="50114"/>
    <n v="3438234"/>
    <n v="353386"/>
    <n v="611005"/>
    <n v="36220220"/>
    <n v="41051"/>
    <n v="41051"/>
    <x v="68"/>
    <n v="1"/>
    <n v="0"/>
  </r>
  <r>
    <x v="6"/>
    <n v="41"/>
    <s v="Oregon"/>
    <n v="51"/>
    <s v="Multnomah County"/>
    <n v="36"/>
    <x v="22"/>
    <n v="103"/>
    <x v="54"/>
    <n v="20"/>
    <n v="26"/>
    <n v="2383"/>
    <n v="32873"/>
    <n v="50114"/>
    <n v="3438234"/>
    <n v="353386"/>
    <n v="611005"/>
    <n v="36220220"/>
    <n v="41051"/>
    <n v="41051"/>
    <x v="218"/>
    <n v="1"/>
    <n v="0"/>
  </r>
  <r>
    <x v="6"/>
    <n v="41"/>
    <s v="Oregon"/>
    <n v="51"/>
    <s v="Multnomah County"/>
    <n v="37"/>
    <x v="23"/>
    <n v="21"/>
    <x v="69"/>
    <n v="38"/>
    <n v="53"/>
    <n v="2804"/>
    <n v="32873"/>
    <n v="50114"/>
    <n v="3438234"/>
    <n v="353386"/>
    <n v="611005"/>
    <n v="36220220"/>
    <n v="41051"/>
    <n v="41051"/>
    <x v="70"/>
    <n v="1"/>
    <n v="0"/>
  </r>
  <r>
    <x v="6"/>
    <n v="41"/>
    <s v="Oregon"/>
    <n v="51"/>
    <s v="Multnomah County"/>
    <n v="37"/>
    <x v="23"/>
    <n v="63"/>
    <x v="154"/>
    <n v="24"/>
    <n v="33"/>
    <n v="2408"/>
    <n v="32873"/>
    <n v="50114"/>
    <n v="3438234"/>
    <n v="353386"/>
    <n v="611005"/>
    <n v="36220220"/>
    <n v="41051"/>
    <n v="41051"/>
    <x v="164"/>
    <n v="1"/>
    <n v="0"/>
  </r>
  <r>
    <x v="6"/>
    <n v="41"/>
    <s v="Oregon"/>
    <n v="51"/>
    <s v="Multnomah County"/>
    <n v="37"/>
    <x v="23"/>
    <n v="119"/>
    <x v="70"/>
    <n v="50"/>
    <n v="71"/>
    <n v="6321"/>
    <n v="32873"/>
    <n v="50114"/>
    <n v="3438234"/>
    <n v="353386"/>
    <n v="611005"/>
    <n v="36220220"/>
    <n v="41051"/>
    <n v="41051"/>
    <x v="71"/>
    <n v="1"/>
    <n v="0"/>
  </r>
  <r>
    <x v="6"/>
    <n v="41"/>
    <s v="Oregon"/>
    <n v="51"/>
    <s v="Multnomah County"/>
    <n v="37"/>
    <x v="23"/>
    <n v="183"/>
    <x v="155"/>
    <n v="36"/>
    <n v="59"/>
    <n v="5243"/>
    <n v="32873"/>
    <n v="50114"/>
    <n v="3438234"/>
    <n v="353386"/>
    <n v="611005"/>
    <n v="36220220"/>
    <n v="41051"/>
    <n v="41051"/>
    <x v="166"/>
    <n v="1"/>
    <n v="0"/>
  </r>
  <r>
    <x v="6"/>
    <n v="41"/>
    <s v="Oregon"/>
    <n v="51"/>
    <s v="Multnomah County"/>
    <n v="39"/>
    <x v="24"/>
    <n v="35"/>
    <x v="156"/>
    <n v="41"/>
    <n v="68"/>
    <n v="4621"/>
    <n v="32873"/>
    <n v="50114"/>
    <n v="3438234"/>
    <n v="353386"/>
    <n v="611005"/>
    <n v="36220220"/>
    <n v="41051"/>
    <n v="41051"/>
    <x v="167"/>
    <n v="1"/>
    <n v="0"/>
  </r>
  <r>
    <x v="6"/>
    <n v="41"/>
    <s v="Oregon"/>
    <n v="51"/>
    <s v="Multnomah County"/>
    <n v="39"/>
    <x v="24"/>
    <n v="49"/>
    <x v="71"/>
    <n v="58"/>
    <n v="83"/>
    <n v="4836"/>
    <n v="32873"/>
    <n v="50114"/>
    <n v="3438234"/>
    <n v="353386"/>
    <n v="611005"/>
    <n v="36220220"/>
    <n v="41051"/>
    <n v="41051"/>
    <x v="72"/>
    <n v="1"/>
    <n v="0"/>
  </r>
  <r>
    <x v="6"/>
    <n v="41"/>
    <s v="Oregon"/>
    <n v="51"/>
    <s v="Multnomah County"/>
    <n v="39"/>
    <x v="24"/>
    <n v="61"/>
    <x v="157"/>
    <n v="27"/>
    <n v="36"/>
    <n v="1855"/>
    <n v="32873"/>
    <n v="50114"/>
    <n v="3438234"/>
    <n v="353386"/>
    <n v="611005"/>
    <n v="36220220"/>
    <n v="41051"/>
    <n v="41051"/>
    <x v="168"/>
    <n v="1"/>
    <n v="0"/>
  </r>
  <r>
    <x v="6"/>
    <n v="41"/>
    <s v="Oregon"/>
    <n v="51"/>
    <s v="Multnomah County"/>
    <n v="39"/>
    <x v="24"/>
    <n v="113"/>
    <x v="52"/>
    <n v="23"/>
    <n v="48"/>
    <n v="1278"/>
    <n v="32873"/>
    <n v="50114"/>
    <n v="3438234"/>
    <n v="353386"/>
    <n v="611005"/>
    <n v="36220220"/>
    <n v="41051"/>
    <n v="41051"/>
    <x v="219"/>
    <n v="1"/>
    <n v="0"/>
  </r>
  <r>
    <x v="6"/>
    <n v="41"/>
    <s v="Oregon"/>
    <n v="51"/>
    <s v="Multnomah County"/>
    <n v="40"/>
    <x v="39"/>
    <n v="109"/>
    <x v="158"/>
    <n v="22"/>
    <n v="42"/>
    <n v="2078"/>
    <n v="32873"/>
    <n v="50114"/>
    <n v="3438234"/>
    <n v="353386"/>
    <n v="611005"/>
    <n v="36220220"/>
    <n v="41051"/>
    <n v="41051"/>
    <x v="169"/>
    <n v="1"/>
    <n v="0"/>
  </r>
  <r>
    <x v="6"/>
    <n v="41"/>
    <s v="Oregon"/>
    <n v="51"/>
    <s v="Multnomah County"/>
    <n v="41"/>
    <x v="25"/>
    <n v="3"/>
    <x v="73"/>
    <n v="197"/>
    <n v="272"/>
    <n v="17121"/>
    <n v="32873"/>
    <n v="50114"/>
    <n v="3438234"/>
    <n v="353386"/>
    <n v="611005"/>
    <n v="36220220"/>
    <n v="41051"/>
    <n v="41051"/>
    <x v="74"/>
    <n v="1"/>
    <n v="0"/>
  </r>
  <r>
    <x v="6"/>
    <n v="41"/>
    <s v="Oregon"/>
    <n v="51"/>
    <s v="Multnomah County"/>
    <n v="41"/>
    <x v="25"/>
    <n v="5"/>
    <x v="74"/>
    <n v="5604"/>
    <n v="9562"/>
    <n v="586969"/>
    <n v="32873"/>
    <n v="50114"/>
    <n v="3438234"/>
    <n v="353386"/>
    <n v="611005"/>
    <n v="36220220"/>
    <n v="41051"/>
    <n v="41051"/>
    <x v="75"/>
    <n v="1"/>
    <n v="0"/>
  </r>
  <r>
    <x v="6"/>
    <n v="41"/>
    <s v="Oregon"/>
    <n v="51"/>
    <s v="Multnomah County"/>
    <n v="41"/>
    <x v="25"/>
    <n v="7"/>
    <x v="75"/>
    <n v="175"/>
    <n v="270"/>
    <n v="30789"/>
    <n v="32873"/>
    <n v="50114"/>
    <n v="3438234"/>
    <n v="353386"/>
    <n v="611005"/>
    <n v="36220220"/>
    <n v="41051"/>
    <n v="41051"/>
    <x v="76"/>
    <n v="1"/>
    <n v="0"/>
  </r>
  <r>
    <x v="6"/>
    <n v="41"/>
    <s v="Oregon"/>
    <n v="51"/>
    <s v="Multnomah County"/>
    <n v="41"/>
    <x v="25"/>
    <n v="9"/>
    <x v="76"/>
    <n v="336"/>
    <n v="549"/>
    <n v="23555"/>
    <n v="32873"/>
    <n v="50114"/>
    <n v="3438234"/>
    <n v="353386"/>
    <n v="611005"/>
    <n v="36220220"/>
    <n v="41051"/>
    <n v="41051"/>
    <x v="77"/>
    <n v="1"/>
    <n v="0"/>
  </r>
  <r>
    <x v="6"/>
    <n v="41"/>
    <s v="Oregon"/>
    <n v="51"/>
    <s v="Multnomah County"/>
    <n v="41"/>
    <x v="25"/>
    <n v="11"/>
    <x v="77"/>
    <n v="49"/>
    <n v="69"/>
    <n v="2443"/>
    <n v="32873"/>
    <n v="50114"/>
    <n v="3438234"/>
    <n v="353386"/>
    <n v="611005"/>
    <n v="36220220"/>
    <n v="41051"/>
    <n v="41051"/>
    <x v="78"/>
    <n v="1"/>
    <n v="0"/>
  </r>
  <r>
    <x v="6"/>
    <n v="41"/>
    <s v="Oregon"/>
    <n v="51"/>
    <s v="Multnomah County"/>
    <n v="41"/>
    <x v="25"/>
    <n v="13"/>
    <x v="78"/>
    <n v="65"/>
    <n v="98"/>
    <n v="6988"/>
    <n v="32873"/>
    <n v="50114"/>
    <n v="3438234"/>
    <n v="353386"/>
    <n v="611005"/>
    <n v="36220220"/>
    <n v="41051"/>
    <n v="41051"/>
    <x v="79"/>
    <n v="1"/>
    <n v="0"/>
  </r>
  <r>
    <x v="6"/>
    <n v="41"/>
    <s v="Oregon"/>
    <n v="51"/>
    <s v="Multnomah County"/>
    <n v="41"/>
    <x v="25"/>
    <n v="17"/>
    <x v="79"/>
    <n v="624"/>
    <n v="1004"/>
    <n v="157531"/>
    <n v="32873"/>
    <n v="50114"/>
    <n v="3438234"/>
    <n v="353386"/>
    <n v="611005"/>
    <n v="36220220"/>
    <n v="41051"/>
    <n v="41051"/>
    <x v="80"/>
    <n v="1"/>
    <n v="0"/>
  </r>
  <r>
    <x v="6"/>
    <n v="41"/>
    <s v="Oregon"/>
    <n v="51"/>
    <s v="Multnomah County"/>
    <n v="41"/>
    <x v="25"/>
    <n v="19"/>
    <x v="80"/>
    <n v="78"/>
    <n v="119"/>
    <n v="4133"/>
    <n v="32873"/>
    <n v="50114"/>
    <n v="3438234"/>
    <n v="353386"/>
    <n v="611005"/>
    <n v="36220220"/>
    <n v="41051"/>
    <n v="41051"/>
    <x v="81"/>
    <n v="1"/>
    <n v="0"/>
  </r>
  <r>
    <x v="6"/>
    <n v="41"/>
    <s v="Oregon"/>
    <n v="51"/>
    <s v="Multnomah County"/>
    <n v="41"/>
    <x v="25"/>
    <n v="27"/>
    <x v="81"/>
    <n v="152"/>
    <n v="256"/>
    <n v="33123"/>
    <n v="32873"/>
    <n v="50114"/>
    <n v="3438234"/>
    <n v="353386"/>
    <n v="611005"/>
    <n v="36220220"/>
    <n v="41051"/>
    <n v="41051"/>
    <x v="82"/>
    <n v="1"/>
    <n v="0"/>
  </r>
  <r>
    <x v="6"/>
    <n v="41"/>
    <s v="Oregon"/>
    <n v="51"/>
    <s v="Multnomah County"/>
    <n v="41"/>
    <x v="25"/>
    <n v="29"/>
    <x v="82"/>
    <n v="198"/>
    <n v="299"/>
    <n v="14924"/>
    <n v="32873"/>
    <n v="50114"/>
    <n v="3438234"/>
    <n v="353386"/>
    <n v="611005"/>
    <n v="36220220"/>
    <n v="41051"/>
    <n v="41051"/>
    <x v="83"/>
    <n v="1"/>
    <n v="0"/>
  </r>
  <r>
    <x v="6"/>
    <n v="41"/>
    <s v="Oregon"/>
    <n v="51"/>
    <s v="Multnomah County"/>
    <n v="41"/>
    <x v="25"/>
    <n v="31"/>
    <x v="31"/>
    <n v="46"/>
    <n v="72"/>
    <n v="3244"/>
    <n v="32873"/>
    <n v="50114"/>
    <n v="3438234"/>
    <n v="353386"/>
    <n v="611005"/>
    <n v="36220220"/>
    <n v="41051"/>
    <n v="41051"/>
    <x v="84"/>
    <n v="1"/>
    <n v="0"/>
  </r>
  <r>
    <x v="6"/>
    <n v="41"/>
    <s v="Oregon"/>
    <n v="51"/>
    <s v="Multnomah County"/>
    <n v="41"/>
    <x v="25"/>
    <n v="33"/>
    <x v="83"/>
    <n v="60"/>
    <n v="90"/>
    <n v="9258"/>
    <n v="32873"/>
    <n v="50114"/>
    <n v="3438234"/>
    <n v="353386"/>
    <n v="611005"/>
    <n v="36220220"/>
    <n v="41051"/>
    <n v="41051"/>
    <x v="85"/>
    <n v="1"/>
    <n v="0"/>
  </r>
  <r>
    <x v="6"/>
    <n v="41"/>
    <s v="Oregon"/>
    <n v="51"/>
    <s v="Multnomah County"/>
    <n v="41"/>
    <x v="25"/>
    <n v="35"/>
    <x v="84"/>
    <n v="51"/>
    <n v="78"/>
    <n v="3877"/>
    <n v="32873"/>
    <n v="50114"/>
    <n v="3438234"/>
    <n v="353386"/>
    <n v="611005"/>
    <n v="36220220"/>
    <n v="41051"/>
    <n v="41051"/>
    <x v="86"/>
    <n v="1"/>
    <n v="0"/>
  </r>
  <r>
    <x v="6"/>
    <n v="41"/>
    <s v="Oregon"/>
    <n v="51"/>
    <s v="Multnomah County"/>
    <n v="41"/>
    <x v="25"/>
    <n v="39"/>
    <x v="85"/>
    <n v="490"/>
    <n v="670"/>
    <n v="32856"/>
    <n v="32873"/>
    <n v="50114"/>
    <n v="3438234"/>
    <n v="353386"/>
    <n v="611005"/>
    <n v="36220220"/>
    <n v="41051"/>
    <n v="41051"/>
    <x v="87"/>
    <n v="1"/>
    <n v="0"/>
  </r>
  <r>
    <x v="6"/>
    <n v="41"/>
    <s v="Oregon"/>
    <n v="51"/>
    <s v="Multnomah County"/>
    <n v="41"/>
    <x v="25"/>
    <n v="41"/>
    <x v="86"/>
    <n v="165"/>
    <n v="249"/>
    <n v="18448"/>
    <n v="32873"/>
    <n v="50114"/>
    <n v="3438234"/>
    <n v="353386"/>
    <n v="611005"/>
    <n v="36220220"/>
    <n v="41051"/>
    <n v="41051"/>
    <x v="88"/>
    <n v="1"/>
    <n v="0"/>
  </r>
  <r>
    <x v="6"/>
    <n v="41"/>
    <s v="Oregon"/>
    <n v="51"/>
    <s v="Multnomah County"/>
    <n v="41"/>
    <x v="25"/>
    <n v="43"/>
    <x v="87"/>
    <n v="113"/>
    <n v="190"/>
    <n v="5729"/>
    <n v="32873"/>
    <n v="50114"/>
    <n v="3438234"/>
    <n v="353386"/>
    <n v="611005"/>
    <n v="36220220"/>
    <n v="41051"/>
    <n v="41051"/>
    <x v="89"/>
    <n v="1"/>
    <n v="0"/>
  </r>
  <r>
    <x v="6"/>
    <n v="41"/>
    <s v="Oregon"/>
    <n v="51"/>
    <s v="Multnomah County"/>
    <n v="41"/>
    <x v="25"/>
    <n v="47"/>
    <x v="48"/>
    <n v="595"/>
    <n v="926"/>
    <n v="37927"/>
    <n v="32873"/>
    <n v="50114"/>
    <n v="3438234"/>
    <n v="353386"/>
    <n v="611005"/>
    <n v="36220220"/>
    <n v="41051"/>
    <n v="41051"/>
    <x v="90"/>
    <n v="1"/>
    <n v="0"/>
  </r>
  <r>
    <x v="6"/>
    <n v="41"/>
    <s v="Oregon"/>
    <n v="51"/>
    <s v="Multnomah County"/>
    <n v="41"/>
    <x v="25"/>
    <n v="53"/>
    <x v="49"/>
    <n v="120"/>
    <n v="165"/>
    <n v="7814"/>
    <n v="32873"/>
    <n v="50114"/>
    <n v="3438234"/>
    <n v="353386"/>
    <n v="611005"/>
    <n v="36220220"/>
    <n v="41051"/>
    <n v="41051"/>
    <x v="91"/>
    <n v="1"/>
    <n v="0"/>
  </r>
  <r>
    <x v="6"/>
    <n v="41"/>
    <s v="Oregon"/>
    <n v="51"/>
    <s v="Multnomah County"/>
    <n v="41"/>
    <x v="25"/>
    <n v="57"/>
    <x v="88"/>
    <n v="135"/>
    <n v="222"/>
    <n v="29733"/>
    <n v="32873"/>
    <n v="50114"/>
    <n v="3438234"/>
    <n v="353386"/>
    <n v="611005"/>
    <n v="36220220"/>
    <n v="41051"/>
    <n v="41051"/>
    <x v="92"/>
    <n v="1"/>
    <n v="0"/>
  </r>
  <r>
    <x v="6"/>
    <n v="41"/>
    <s v="Oregon"/>
    <n v="51"/>
    <s v="Multnomah County"/>
    <n v="41"/>
    <x v="25"/>
    <n v="59"/>
    <x v="89"/>
    <n v="66"/>
    <n v="94"/>
    <n v="3349"/>
    <n v="32873"/>
    <n v="50114"/>
    <n v="3438234"/>
    <n v="353386"/>
    <n v="611005"/>
    <n v="36220220"/>
    <n v="41051"/>
    <n v="41051"/>
    <x v="93"/>
    <n v="1"/>
    <n v="0"/>
  </r>
  <r>
    <x v="6"/>
    <n v="41"/>
    <s v="Oregon"/>
    <n v="51"/>
    <s v="Multnomah County"/>
    <n v="41"/>
    <x v="25"/>
    <n v="61"/>
    <x v="90"/>
    <n v="29"/>
    <n v="44"/>
    <n v="2604"/>
    <n v="32873"/>
    <n v="50114"/>
    <n v="3438234"/>
    <n v="353386"/>
    <n v="611005"/>
    <n v="36220220"/>
    <n v="41051"/>
    <n v="41051"/>
    <x v="94"/>
    <n v="1"/>
    <n v="0"/>
  </r>
  <r>
    <x v="6"/>
    <n v="41"/>
    <s v="Oregon"/>
    <n v="51"/>
    <s v="Multnomah County"/>
    <n v="41"/>
    <x v="25"/>
    <n v="63"/>
    <x v="160"/>
    <n v="24"/>
    <n v="36"/>
    <n v="2544"/>
    <n v="32873"/>
    <n v="50114"/>
    <n v="3438234"/>
    <n v="353386"/>
    <n v="611005"/>
    <n v="36220220"/>
    <n v="41051"/>
    <n v="41051"/>
    <x v="171"/>
    <n v="1"/>
    <n v="0"/>
  </r>
  <r>
    <x v="6"/>
    <n v="41"/>
    <s v="Oregon"/>
    <n v="51"/>
    <s v="Multnomah County"/>
    <n v="41"/>
    <x v="25"/>
    <n v="65"/>
    <x v="91"/>
    <n v="93"/>
    <n v="173"/>
    <n v="7364"/>
    <n v="32873"/>
    <n v="50114"/>
    <n v="3438234"/>
    <n v="353386"/>
    <n v="611005"/>
    <n v="36220220"/>
    <n v="41051"/>
    <n v="41051"/>
    <x v="95"/>
    <n v="1"/>
    <n v="0"/>
  </r>
  <r>
    <x v="6"/>
    <n v="41"/>
    <s v="Oregon"/>
    <n v="51"/>
    <s v="Multnomah County"/>
    <n v="41"/>
    <x v="25"/>
    <n v="67"/>
    <x v="92"/>
    <n v="4609"/>
    <n v="6758"/>
    <n v="417001"/>
    <n v="32873"/>
    <n v="50114"/>
    <n v="3438234"/>
    <n v="353386"/>
    <n v="611005"/>
    <n v="36220220"/>
    <n v="41051"/>
    <n v="41051"/>
    <x v="96"/>
    <n v="1"/>
    <n v="0"/>
  </r>
  <r>
    <x v="6"/>
    <n v="41"/>
    <s v="Oregon"/>
    <n v="51"/>
    <s v="Multnomah County"/>
    <n v="41"/>
    <x v="25"/>
    <n v="71"/>
    <x v="93"/>
    <n v="290"/>
    <n v="453"/>
    <n v="27752"/>
    <n v="32873"/>
    <n v="50114"/>
    <n v="3438234"/>
    <n v="353386"/>
    <n v="611005"/>
    <n v="36220220"/>
    <n v="41051"/>
    <n v="41051"/>
    <x v="97"/>
    <n v="1"/>
    <n v="0"/>
  </r>
  <r>
    <x v="6"/>
    <n v="41"/>
    <s v="Oregon"/>
    <n v="51"/>
    <s v="Multnomah County"/>
    <n v="42"/>
    <x v="26"/>
    <n v="3"/>
    <x v="94"/>
    <n v="65"/>
    <n v="96"/>
    <n v="5753"/>
    <n v="32873"/>
    <n v="50114"/>
    <n v="3438234"/>
    <n v="353386"/>
    <n v="611005"/>
    <n v="36220220"/>
    <n v="41051"/>
    <n v="41051"/>
    <x v="98"/>
    <n v="1"/>
    <n v="0"/>
  </r>
  <r>
    <x v="6"/>
    <n v="41"/>
    <s v="Oregon"/>
    <n v="51"/>
    <s v="Multnomah County"/>
    <n v="42"/>
    <x v="26"/>
    <n v="101"/>
    <x v="95"/>
    <n v="76"/>
    <n v="87"/>
    <n v="5530"/>
    <n v="32873"/>
    <n v="50114"/>
    <n v="3438234"/>
    <n v="353386"/>
    <n v="611005"/>
    <n v="36220220"/>
    <n v="41051"/>
    <n v="41051"/>
    <x v="99"/>
    <n v="1"/>
    <n v="0"/>
  </r>
  <r>
    <x v="6"/>
    <n v="41"/>
    <s v="Oregon"/>
    <n v="51"/>
    <s v="Multnomah County"/>
    <n v="45"/>
    <x v="41"/>
    <n v="45"/>
    <x v="201"/>
    <n v="21"/>
    <n v="38"/>
    <n v="1369"/>
    <n v="32873"/>
    <n v="50114"/>
    <n v="3438234"/>
    <n v="353386"/>
    <n v="611005"/>
    <n v="36220220"/>
    <n v="41051"/>
    <n v="41051"/>
    <x v="220"/>
    <n v="1"/>
    <n v="0"/>
  </r>
  <r>
    <x v="6"/>
    <n v="41"/>
    <s v="Oregon"/>
    <n v="51"/>
    <s v="Multnomah County"/>
    <n v="45"/>
    <x v="41"/>
    <n v="83"/>
    <x v="163"/>
    <n v="57"/>
    <n v="199"/>
    <n v="3296"/>
    <n v="32873"/>
    <n v="50114"/>
    <n v="3438234"/>
    <n v="353386"/>
    <n v="611005"/>
    <n v="36220220"/>
    <n v="41051"/>
    <n v="41051"/>
    <x v="174"/>
    <n v="1"/>
    <n v="0"/>
  </r>
  <r>
    <x v="6"/>
    <n v="41"/>
    <s v="Oregon"/>
    <n v="51"/>
    <s v="Multnomah County"/>
    <n v="47"/>
    <x v="27"/>
    <n v="37"/>
    <x v="96"/>
    <n v="58"/>
    <n v="67"/>
    <n v="4196"/>
    <n v="32873"/>
    <n v="50114"/>
    <n v="3438234"/>
    <n v="353386"/>
    <n v="611005"/>
    <n v="36220220"/>
    <n v="41051"/>
    <n v="41051"/>
    <x v="100"/>
    <n v="1"/>
    <n v="0"/>
  </r>
  <r>
    <x v="6"/>
    <n v="41"/>
    <s v="Oregon"/>
    <n v="51"/>
    <s v="Multnomah County"/>
    <n v="47"/>
    <x v="27"/>
    <n v="93"/>
    <x v="97"/>
    <n v="22"/>
    <n v="41"/>
    <n v="1931"/>
    <n v="32873"/>
    <n v="50114"/>
    <n v="3438234"/>
    <n v="353386"/>
    <n v="611005"/>
    <n v="36220220"/>
    <n v="41051"/>
    <n v="41051"/>
    <x v="101"/>
    <n v="1"/>
    <n v="0"/>
  </r>
  <r>
    <x v="6"/>
    <n v="41"/>
    <s v="Oregon"/>
    <n v="51"/>
    <s v="Multnomah County"/>
    <n v="48"/>
    <x v="28"/>
    <n v="29"/>
    <x v="98"/>
    <n v="78"/>
    <n v="121"/>
    <n v="5255"/>
    <n v="32873"/>
    <n v="50114"/>
    <n v="3438234"/>
    <n v="353386"/>
    <n v="611005"/>
    <n v="36220220"/>
    <n v="41051"/>
    <n v="41051"/>
    <x v="102"/>
    <n v="1"/>
    <n v="0"/>
  </r>
  <r>
    <x v="6"/>
    <n v="41"/>
    <s v="Oregon"/>
    <n v="51"/>
    <s v="Multnomah County"/>
    <n v="48"/>
    <x v="28"/>
    <n v="85"/>
    <x v="165"/>
    <n v="48"/>
    <n v="79"/>
    <n v="4525"/>
    <n v="32873"/>
    <n v="50114"/>
    <n v="3438234"/>
    <n v="353386"/>
    <n v="611005"/>
    <n v="36220220"/>
    <n v="41051"/>
    <n v="41051"/>
    <x v="176"/>
    <n v="1"/>
    <n v="0"/>
  </r>
  <r>
    <x v="6"/>
    <n v="41"/>
    <s v="Oregon"/>
    <n v="51"/>
    <s v="Multnomah County"/>
    <n v="48"/>
    <x v="28"/>
    <n v="113"/>
    <x v="99"/>
    <n v="111"/>
    <n v="159"/>
    <n v="14180"/>
    <n v="32873"/>
    <n v="50114"/>
    <n v="3438234"/>
    <n v="353386"/>
    <n v="611005"/>
    <n v="36220220"/>
    <n v="41051"/>
    <n v="41051"/>
    <x v="103"/>
    <n v="1"/>
    <n v="0"/>
  </r>
  <r>
    <x v="6"/>
    <n v="41"/>
    <s v="Oregon"/>
    <n v="51"/>
    <s v="Multnomah County"/>
    <n v="48"/>
    <x v="28"/>
    <n v="121"/>
    <x v="183"/>
    <n v="40"/>
    <n v="66"/>
    <n v="3016"/>
    <n v="32873"/>
    <n v="50114"/>
    <n v="3438234"/>
    <n v="353386"/>
    <n v="611005"/>
    <n v="36220220"/>
    <n v="41051"/>
    <n v="41051"/>
    <x v="196"/>
    <n v="1"/>
    <n v="0"/>
  </r>
  <r>
    <x v="6"/>
    <n v="41"/>
    <s v="Oregon"/>
    <n v="51"/>
    <s v="Multnomah County"/>
    <n v="48"/>
    <x v="28"/>
    <n v="157"/>
    <x v="202"/>
    <n v="22"/>
    <n v="46"/>
    <n v="1603"/>
    <n v="32873"/>
    <n v="50114"/>
    <n v="3438234"/>
    <n v="353386"/>
    <n v="611005"/>
    <n v="36220220"/>
    <n v="41051"/>
    <n v="41051"/>
    <x v="221"/>
    <n v="1"/>
    <n v="0"/>
  </r>
  <r>
    <x v="6"/>
    <n v="41"/>
    <s v="Oregon"/>
    <n v="51"/>
    <s v="Multnomah County"/>
    <n v="48"/>
    <x v="28"/>
    <n v="201"/>
    <x v="100"/>
    <n v="140"/>
    <n v="208"/>
    <n v="11200"/>
    <n v="32873"/>
    <n v="50114"/>
    <n v="3438234"/>
    <n v="353386"/>
    <n v="611005"/>
    <n v="36220220"/>
    <n v="41051"/>
    <n v="41051"/>
    <x v="104"/>
    <n v="1"/>
    <n v="0"/>
  </r>
  <r>
    <x v="6"/>
    <n v="41"/>
    <s v="Oregon"/>
    <n v="51"/>
    <s v="Multnomah County"/>
    <n v="48"/>
    <x v="28"/>
    <n v="339"/>
    <x v="52"/>
    <n v="21"/>
    <n v="47"/>
    <n v="2236"/>
    <n v="32873"/>
    <n v="50114"/>
    <n v="3438234"/>
    <n v="353386"/>
    <n v="611005"/>
    <n v="36220220"/>
    <n v="41051"/>
    <n v="41051"/>
    <x v="214"/>
    <n v="1"/>
    <n v="0"/>
  </r>
  <r>
    <x v="6"/>
    <n v="41"/>
    <s v="Oregon"/>
    <n v="51"/>
    <s v="Multnomah County"/>
    <n v="48"/>
    <x v="28"/>
    <n v="439"/>
    <x v="101"/>
    <n v="58"/>
    <n v="112"/>
    <n v="6008"/>
    <n v="32873"/>
    <n v="50114"/>
    <n v="3438234"/>
    <n v="353386"/>
    <n v="611005"/>
    <n v="36220220"/>
    <n v="41051"/>
    <n v="41051"/>
    <x v="105"/>
    <n v="1"/>
    <n v="0"/>
  </r>
  <r>
    <x v="6"/>
    <n v="41"/>
    <s v="Oregon"/>
    <n v="51"/>
    <s v="Multnomah County"/>
    <n v="48"/>
    <x v="28"/>
    <n v="453"/>
    <x v="102"/>
    <n v="187"/>
    <n v="239"/>
    <n v="20002"/>
    <n v="32873"/>
    <n v="50114"/>
    <n v="3438234"/>
    <n v="353386"/>
    <n v="611005"/>
    <n v="36220220"/>
    <n v="41051"/>
    <n v="41051"/>
    <x v="106"/>
    <n v="1"/>
    <n v="0"/>
  </r>
  <r>
    <x v="6"/>
    <n v="41"/>
    <s v="Oregon"/>
    <n v="51"/>
    <s v="Multnomah County"/>
    <n v="48"/>
    <x v="28"/>
    <n v="491"/>
    <x v="166"/>
    <n v="31"/>
    <n v="54"/>
    <n v="4133"/>
    <n v="32873"/>
    <n v="50114"/>
    <n v="3438234"/>
    <n v="353386"/>
    <n v="611005"/>
    <n v="36220220"/>
    <n v="41051"/>
    <n v="41051"/>
    <x v="177"/>
    <n v="1"/>
    <n v="0"/>
  </r>
  <r>
    <x v="6"/>
    <n v="41"/>
    <s v="Oregon"/>
    <n v="51"/>
    <s v="Multnomah County"/>
    <n v="49"/>
    <x v="29"/>
    <n v="35"/>
    <x v="103"/>
    <n v="121"/>
    <n v="169"/>
    <n v="7953"/>
    <n v="32873"/>
    <n v="50114"/>
    <n v="3438234"/>
    <n v="353386"/>
    <n v="611005"/>
    <n v="36220220"/>
    <n v="41051"/>
    <n v="41051"/>
    <x v="107"/>
    <n v="1"/>
    <n v="0"/>
  </r>
  <r>
    <x v="6"/>
    <n v="41"/>
    <s v="Oregon"/>
    <n v="51"/>
    <s v="Multnomah County"/>
    <n v="49"/>
    <x v="29"/>
    <n v="49"/>
    <x v="168"/>
    <n v="37"/>
    <n v="66"/>
    <n v="1897"/>
    <n v="32873"/>
    <n v="50114"/>
    <n v="3438234"/>
    <n v="353386"/>
    <n v="611005"/>
    <n v="36220220"/>
    <n v="41051"/>
    <n v="41051"/>
    <x v="179"/>
    <n v="1"/>
    <n v="0"/>
  </r>
  <r>
    <x v="6"/>
    <n v="41"/>
    <s v="Oregon"/>
    <n v="51"/>
    <s v="Multnomah County"/>
    <n v="51"/>
    <x v="31"/>
    <n v="59"/>
    <x v="105"/>
    <n v="31"/>
    <n v="46"/>
    <n v="3224"/>
    <n v="32873"/>
    <n v="50114"/>
    <n v="3438234"/>
    <n v="353386"/>
    <n v="611005"/>
    <n v="36220220"/>
    <n v="41051"/>
    <n v="41051"/>
    <x v="109"/>
    <n v="1"/>
    <n v="0"/>
  </r>
  <r>
    <x v="6"/>
    <n v="41"/>
    <s v="Oregon"/>
    <n v="51"/>
    <s v="Multnomah County"/>
    <n v="53"/>
    <x v="32"/>
    <n v="5"/>
    <x v="73"/>
    <n v="54"/>
    <n v="78"/>
    <n v="3923"/>
    <n v="32873"/>
    <n v="50114"/>
    <n v="3438234"/>
    <n v="353386"/>
    <n v="611005"/>
    <n v="36220220"/>
    <n v="41051"/>
    <n v="41051"/>
    <x v="110"/>
    <n v="1"/>
    <n v="0"/>
  </r>
  <r>
    <x v="6"/>
    <n v="41"/>
    <s v="Oregon"/>
    <n v="51"/>
    <s v="Multnomah County"/>
    <n v="53"/>
    <x v="32"/>
    <n v="9"/>
    <x v="171"/>
    <n v="32"/>
    <n v="47"/>
    <n v="2550"/>
    <n v="32873"/>
    <n v="50114"/>
    <n v="3438234"/>
    <n v="353386"/>
    <n v="611005"/>
    <n v="36220220"/>
    <n v="41051"/>
    <n v="41051"/>
    <x v="182"/>
    <n v="1"/>
    <n v="0"/>
  </r>
  <r>
    <x v="6"/>
    <n v="41"/>
    <s v="Oregon"/>
    <n v="51"/>
    <s v="Multnomah County"/>
    <n v="53"/>
    <x v="32"/>
    <n v="11"/>
    <x v="61"/>
    <n v="3202"/>
    <n v="5172"/>
    <n v="428664"/>
    <n v="32873"/>
    <n v="50114"/>
    <n v="3438234"/>
    <n v="353386"/>
    <n v="611005"/>
    <n v="36220220"/>
    <n v="41051"/>
    <n v="41051"/>
    <x v="111"/>
    <n v="1"/>
    <n v="0"/>
  </r>
  <r>
    <x v="6"/>
    <n v="41"/>
    <s v="Oregon"/>
    <n v="51"/>
    <s v="Multnomah County"/>
    <n v="53"/>
    <x v="32"/>
    <n v="15"/>
    <x v="106"/>
    <n v="180"/>
    <n v="284"/>
    <n v="15562"/>
    <n v="32873"/>
    <n v="50114"/>
    <n v="3438234"/>
    <n v="353386"/>
    <n v="611005"/>
    <n v="36220220"/>
    <n v="41051"/>
    <n v="41051"/>
    <x v="112"/>
    <n v="1"/>
    <n v="0"/>
  </r>
  <r>
    <x v="6"/>
    <n v="41"/>
    <s v="Oregon"/>
    <n v="51"/>
    <s v="Multnomah County"/>
    <n v="53"/>
    <x v="32"/>
    <n v="29"/>
    <x v="108"/>
    <n v="26"/>
    <n v="36"/>
    <n v="2119"/>
    <n v="32873"/>
    <n v="50114"/>
    <n v="3438234"/>
    <n v="353386"/>
    <n v="611005"/>
    <n v="36220220"/>
    <n v="41051"/>
    <n v="41051"/>
    <x v="114"/>
    <n v="1"/>
    <n v="0"/>
  </r>
  <r>
    <x v="6"/>
    <n v="41"/>
    <s v="Oregon"/>
    <n v="51"/>
    <s v="Multnomah County"/>
    <n v="53"/>
    <x v="32"/>
    <n v="31"/>
    <x v="31"/>
    <n v="42"/>
    <n v="73"/>
    <n v="4564"/>
    <n v="32873"/>
    <n v="50114"/>
    <n v="3438234"/>
    <n v="353386"/>
    <n v="611005"/>
    <n v="36220220"/>
    <n v="41051"/>
    <n v="41051"/>
    <x v="115"/>
    <n v="1"/>
    <n v="0"/>
  </r>
  <r>
    <x v="6"/>
    <n v="41"/>
    <s v="Oregon"/>
    <n v="51"/>
    <s v="Multnomah County"/>
    <n v="53"/>
    <x v="32"/>
    <n v="33"/>
    <x v="109"/>
    <n v="921"/>
    <n v="1160"/>
    <n v="105768"/>
    <n v="32873"/>
    <n v="50114"/>
    <n v="3438234"/>
    <n v="353386"/>
    <n v="611005"/>
    <n v="36220220"/>
    <n v="41051"/>
    <n v="41051"/>
    <x v="116"/>
    <n v="1"/>
    <n v="0"/>
  </r>
  <r>
    <x v="6"/>
    <n v="41"/>
    <s v="Oregon"/>
    <n v="51"/>
    <s v="Multnomah County"/>
    <n v="53"/>
    <x v="32"/>
    <n v="35"/>
    <x v="110"/>
    <n v="78"/>
    <n v="123"/>
    <n v="12335"/>
    <n v="32873"/>
    <n v="50114"/>
    <n v="3438234"/>
    <n v="353386"/>
    <n v="611005"/>
    <n v="36220220"/>
    <n v="41051"/>
    <n v="41051"/>
    <x v="117"/>
    <n v="1"/>
    <n v="0"/>
  </r>
  <r>
    <x v="6"/>
    <n v="41"/>
    <s v="Oregon"/>
    <n v="51"/>
    <s v="Multnomah County"/>
    <n v="53"/>
    <x v="32"/>
    <n v="39"/>
    <x v="111"/>
    <n v="74"/>
    <n v="121"/>
    <n v="13068"/>
    <n v="32873"/>
    <n v="50114"/>
    <n v="3438234"/>
    <n v="353386"/>
    <n v="611005"/>
    <n v="36220220"/>
    <n v="41051"/>
    <n v="41051"/>
    <x v="118"/>
    <n v="1"/>
    <n v="0"/>
  </r>
  <r>
    <x v="6"/>
    <n v="41"/>
    <s v="Oregon"/>
    <n v="51"/>
    <s v="Multnomah County"/>
    <n v="53"/>
    <x v="32"/>
    <n v="41"/>
    <x v="112"/>
    <n v="37"/>
    <n v="70"/>
    <n v="3176"/>
    <n v="32873"/>
    <n v="50114"/>
    <n v="3438234"/>
    <n v="353386"/>
    <n v="611005"/>
    <n v="36220220"/>
    <n v="41051"/>
    <n v="41051"/>
    <x v="119"/>
    <n v="1"/>
    <n v="0"/>
  </r>
  <r>
    <x v="6"/>
    <n v="41"/>
    <s v="Oregon"/>
    <n v="51"/>
    <s v="Multnomah County"/>
    <n v="53"/>
    <x v="32"/>
    <n v="49"/>
    <x v="113"/>
    <n v="32"/>
    <n v="46"/>
    <n v="3884"/>
    <n v="32873"/>
    <n v="50114"/>
    <n v="3438234"/>
    <n v="353386"/>
    <n v="611005"/>
    <n v="36220220"/>
    <n v="41051"/>
    <n v="41051"/>
    <x v="120"/>
    <n v="1"/>
    <n v="0"/>
  </r>
  <r>
    <x v="6"/>
    <n v="41"/>
    <s v="Oregon"/>
    <n v="51"/>
    <s v="Multnomah County"/>
    <n v="53"/>
    <x v="32"/>
    <n v="53"/>
    <x v="114"/>
    <n v="182"/>
    <n v="287"/>
    <n v="16260"/>
    <n v="32873"/>
    <n v="50114"/>
    <n v="3438234"/>
    <n v="353386"/>
    <n v="611005"/>
    <n v="36220220"/>
    <n v="41051"/>
    <n v="41051"/>
    <x v="121"/>
    <n v="1"/>
    <n v="0"/>
  </r>
  <r>
    <x v="6"/>
    <n v="41"/>
    <s v="Oregon"/>
    <n v="51"/>
    <s v="Multnomah County"/>
    <n v="53"/>
    <x v="32"/>
    <n v="57"/>
    <x v="172"/>
    <n v="39"/>
    <n v="62"/>
    <n v="2935"/>
    <n v="32873"/>
    <n v="50114"/>
    <n v="3438234"/>
    <n v="353386"/>
    <n v="611005"/>
    <n v="36220220"/>
    <n v="41051"/>
    <n v="41051"/>
    <x v="184"/>
    <n v="1"/>
    <n v="0"/>
  </r>
  <r>
    <x v="6"/>
    <n v="41"/>
    <s v="Oregon"/>
    <n v="51"/>
    <s v="Multnomah County"/>
    <n v="53"/>
    <x v="32"/>
    <n v="59"/>
    <x v="115"/>
    <n v="67"/>
    <n v="107"/>
    <n v="10795"/>
    <n v="32873"/>
    <n v="50114"/>
    <n v="3438234"/>
    <n v="353386"/>
    <n v="611005"/>
    <n v="36220220"/>
    <n v="41051"/>
    <n v="41051"/>
    <x v="122"/>
    <n v="1"/>
    <n v="0"/>
  </r>
  <r>
    <x v="6"/>
    <n v="41"/>
    <s v="Oregon"/>
    <n v="51"/>
    <s v="Multnomah County"/>
    <n v="53"/>
    <x v="32"/>
    <n v="61"/>
    <x v="116"/>
    <n v="112"/>
    <n v="165"/>
    <n v="7985"/>
    <n v="32873"/>
    <n v="50114"/>
    <n v="3438234"/>
    <n v="353386"/>
    <n v="611005"/>
    <n v="36220220"/>
    <n v="41051"/>
    <n v="41051"/>
    <x v="123"/>
    <n v="1"/>
    <n v="0"/>
  </r>
  <r>
    <x v="6"/>
    <n v="41"/>
    <s v="Oregon"/>
    <n v="51"/>
    <s v="Multnomah County"/>
    <n v="53"/>
    <x v="32"/>
    <n v="63"/>
    <x v="117"/>
    <n v="133"/>
    <n v="190"/>
    <n v="7013"/>
    <n v="32873"/>
    <n v="50114"/>
    <n v="3438234"/>
    <n v="353386"/>
    <n v="611005"/>
    <n v="36220220"/>
    <n v="41051"/>
    <n v="41051"/>
    <x v="124"/>
    <n v="1"/>
    <n v="0"/>
  </r>
  <r>
    <x v="6"/>
    <n v="41"/>
    <s v="Oregon"/>
    <n v="51"/>
    <s v="Multnomah County"/>
    <n v="53"/>
    <x v="32"/>
    <n v="67"/>
    <x v="118"/>
    <n v="109"/>
    <n v="154"/>
    <n v="8606"/>
    <n v="32873"/>
    <n v="50114"/>
    <n v="3438234"/>
    <n v="353386"/>
    <n v="611005"/>
    <n v="36220220"/>
    <n v="41051"/>
    <n v="41051"/>
    <x v="125"/>
    <n v="1"/>
    <n v="0"/>
  </r>
  <r>
    <x v="6"/>
    <n v="41"/>
    <s v="Oregon"/>
    <n v="51"/>
    <s v="Multnomah County"/>
    <n v="53"/>
    <x v="32"/>
    <n v="71"/>
    <x v="119"/>
    <n v="35"/>
    <n v="46"/>
    <n v="2472"/>
    <n v="32873"/>
    <n v="50114"/>
    <n v="3438234"/>
    <n v="353386"/>
    <n v="611005"/>
    <n v="36220220"/>
    <n v="41051"/>
    <n v="41051"/>
    <x v="126"/>
    <n v="1"/>
    <n v="0"/>
  </r>
  <r>
    <x v="6"/>
    <n v="41"/>
    <s v="Oregon"/>
    <n v="51"/>
    <s v="Multnomah County"/>
    <n v="53"/>
    <x v="32"/>
    <n v="73"/>
    <x v="120"/>
    <n v="125"/>
    <n v="172"/>
    <n v="9022"/>
    <n v="32873"/>
    <n v="50114"/>
    <n v="3438234"/>
    <n v="353386"/>
    <n v="611005"/>
    <n v="36220220"/>
    <n v="41051"/>
    <n v="41051"/>
    <x v="127"/>
    <n v="1"/>
    <n v="0"/>
  </r>
  <r>
    <x v="6"/>
    <n v="41"/>
    <s v="Oregon"/>
    <n v="51"/>
    <s v="Multnomah County"/>
    <n v="53"/>
    <x v="32"/>
    <n v="77"/>
    <x v="121"/>
    <n v="30"/>
    <n v="53"/>
    <n v="1314"/>
    <n v="32873"/>
    <n v="50114"/>
    <n v="3438234"/>
    <n v="353386"/>
    <n v="611005"/>
    <n v="36220220"/>
    <n v="41051"/>
    <n v="41051"/>
    <x v="128"/>
    <n v="1"/>
    <n v="0"/>
  </r>
  <r>
    <x v="6"/>
    <n v="41"/>
    <s v="Oregon"/>
    <n v="51"/>
    <s v="Multnomah County"/>
    <n v="55"/>
    <x v="33"/>
    <n v="25"/>
    <x v="122"/>
    <n v="49"/>
    <n v="77"/>
    <n v="4562"/>
    <n v="32873"/>
    <n v="50114"/>
    <n v="3438234"/>
    <n v="353386"/>
    <n v="611005"/>
    <n v="36220220"/>
    <n v="41051"/>
    <n v="41051"/>
    <x v="129"/>
    <n v="1"/>
    <n v="0"/>
  </r>
  <r>
    <x v="6"/>
    <n v="41"/>
    <s v="Oregon"/>
    <n v="51"/>
    <s v="Multnomah County"/>
    <n v="55"/>
    <x v="33"/>
    <n v="79"/>
    <x v="123"/>
    <n v="38"/>
    <n v="53"/>
    <n v="2454"/>
    <n v="32873"/>
    <n v="50114"/>
    <n v="3438234"/>
    <n v="353386"/>
    <n v="611005"/>
    <n v="36220220"/>
    <n v="41051"/>
    <n v="41051"/>
    <x v="130"/>
    <n v="1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6">
  <r>
    <x v="0"/>
    <x v="0"/>
    <n v="51"/>
    <s v="Oregon"/>
    <s v="Multnomah County"/>
    <n v="41051"/>
    <n v="1"/>
    <n v="0"/>
    <x v="0"/>
    <x v="0"/>
    <x v="0"/>
    <n v="540"/>
    <x v="0"/>
    <n v="24260000"/>
    <n v="41051"/>
    <n v="1"/>
    <n v="0"/>
    <x v="0"/>
  </r>
  <r>
    <x v="0"/>
    <x v="0"/>
    <n v="51"/>
    <s v="Oregon"/>
    <s v="Multnomah County"/>
    <n v="41051"/>
    <n v="2"/>
    <n v="0"/>
    <x v="1"/>
    <x v="0"/>
    <x v="1"/>
    <n v="133"/>
    <x v="1"/>
    <n v="1276800"/>
    <n v="41051"/>
    <n v="1"/>
    <n v="0"/>
    <x v="0"/>
  </r>
  <r>
    <x v="0"/>
    <x v="0"/>
    <n v="51"/>
    <s v="Oregon"/>
    <s v="Multnomah County"/>
    <n v="41051"/>
    <n v="4"/>
    <n v="0"/>
    <x v="2"/>
    <x v="0"/>
    <x v="2"/>
    <n v="1480"/>
    <x v="2"/>
    <n v="137915900"/>
    <n v="41051"/>
    <n v="1"/>
    <n v="0"/>
    <x v="0"/>
  </r>
  <r>
    <x v="0"/>
    <x v="0"/>
    <n v="51"/>
    <s v="Oregon"/>
    <s v="Multnomah County"/>
    <n v="41051"/>
    <n v="4"/>
    <n v="13"/>
    <x v="2"/>
    <x v="1"/>
    <x v="3"/>
    <n v="280"/>
    <x v="3"/>
    <n v="4519600"/>
    <n v="41051"/>
    <n v="1"/>
    <n v="0"/>
    <x v="0"/>
  </r>
  <r>
    <x v="0"/>
    <x v="0"/>
    <n v="51"/>
    <s v="Oregon"/>
    <s v="Multnomah County"/>
    <n v="41051"/>
    <n v="6"/>
    <n v="0"/>
    <x v="3"/>
    <x v="0"/>
    <x v="4"/>
    <n v="282"/>
    <x v="4"/>
    <n v="7775000"/>
    <n v="41051"/>
    <n v="1"/>
    <n v="0"/>
    <x v="0"/>
  </r>
  <r>
    <x v="0"/>
    <x v="0"/>
    <n v="51"/>
    <s v="Oregon"/>
    <s v="Multnomah County"/>
    <n v="41051"/>
    <n v="6"/>
    <n v="1"/>
    <x v="3"/>
    <x v="2"/>
    <x v="5"/>
    <n v="253"/>
    <x v="5"/>
    <n v="8197200"/>
    <n v="41051"/>
    <n v="1"/>
    <n v="0"/>
    <x v="0"/>
  </r>
  <r>
    <x v="0"/>
    <x v="0"/>
    <n v="51"/>
    <s v="Oregon"/>
    <s v="Multnomah County"/>
    <n v="41051"/>
    <n v="6"/>
    <n v="13"/>
    <x v="3"/>
    <x v="3"/>
    <x v="6"/>
    <n v="191"/>
    <x v="1"/>
    <n v="6468000"/>
    <n v="41051"/>
    <n v="1"/>
    <n v="0"/>
    <x v="0"/>
  </r>
  <r>
    <x v="0"/>
    <x v="0"/>
    <n v="51"/>
    <s v="Oregon"/>
    <s v="Multnomah County"/>
    <n v="41051"/>
    <n v="6"/>
    <n v="19"/>
    <x v="3"/>
    <x v="4"/>
    <x v="7"/>
    <n v="350"/>
    <x v="6"/>
    <n v="17894500"/>
    <n v="41051"/>
    <n v="1"/>
    <n v="0"/>
    <x v="0"/>
  </r>
  <r>
    <x v="0"/>
    <x v="0"/>
    <n v="51"/>
    <s v="Oregon"/>
    <s v="Multnomah County"/>
    <n v="41051"/>
    <n v="6"/>
    <n v="23"/>
    <x v="3"/>
    <x v="5"/>
    <x v="8"/>
    <n v="31"/>
    <x v="1"/>
    <n v="827700"/>
    <n v="41051"/>
    <n v="1"/>
    <n v="0"/>
    <x v="0"/>
  </r>
  <r>
    <x v="0"/>
    <x v="0"/>
    <n v="51"/>
    <s v="Oregon"/>
    <s v="Multnomah County"/>
    <n v="41051"/>
    <n v="6"/>
    <n v="37"/>
    <x v="3"/>
    <x v="6"/>
    <x v="9"/>
    <n v="892"/>
    <x v="7"/>
    <n v="29821220"/>
    <n v="41051"/>
    <n v="1"/>
    <n v="0"/>
    <x v="0"/>
  </r>
  <r>
    <x v="0"/>
    <x v="0"/>
    <n v="51"/>
    <s v="Oregon"/>
    <s v="Multnomah County"/>
    <n v="41051"/>
    <n v="6"/>
    <n v="59"/>
    <x v="3"/>
    <x v="7"/>
    <x v="10"/>
    <n v="194"/>
    <x v="8"/>
    <n v="4414000"/>
    <n v="41051"/>
    <n v="1"/>
    <n v="0"/>
    <x v="0"/>
  </r>
  <r>
    <x v="0"/>
    <x v="0"/>
    <n v="51"/>
    <s v="Oregon"/>
    <s v="Multnomah County"/>
    <n v="41051"/>
    <n v="6"/>
    <n v="61"/>
    <x v="3"/>
    <x v="8"/>
    <x v="11"/>
    <n v="427"/>
    <x v="1"/>
    <n v="4828000"/>
    <n v="41051"/>
    <n v="1"/>
    <n v="0"/>
    <x v="0"/>
  </r>
  <r>
    <x v="0"/>
    <x v="0"/>
    <n v="51"/>
    <s v="Oregon"/>
    <s v="Multnomah County"/>
    <n v="41051"/>
    <n v="6"/>
    <n v="67"/>
    <x v="3"/>
    <x v="9"/>
    <x v="12"/>
    <n v="1261"/>
    <x v="9"/>
    <n v="98229200"/>
    <n v="41051"/>
    <n v="1"/>
    <n v="0"/>
    <x v="0"/>
  </r>
  <r>
    <x v="0"/>
    <x v="0"/>
    <n v="51"/>
    <s v="Oregon"/>
    <s v="Multnomah County"/>
    <n v="41051"/>
    <n v="6"/>
    <n v="73"/>
    <x v="3"/>
    <x v="10"/>
    <x v="13"/>
    <n v="535"/>
    <x v="10"/>
    <n v="13495000"/>
    <n v="41051"/>
    <n v="1"/>
    <n v="0"/>
    <x v="0"/>
  </r>
  <r>
    <x v="0"/>
    <x v="0"/>
    <n v="51"/>
    <s v="Oregon"/>
    <s v="Multnomah County"/>
    <n v="41051"/>
    <n v="6"/>
    <n v="75"/>
    <x v="3"/>
    <x v="11"/>
    <x v="14"/>
    <n v="1137"/>
    <x v="11"/>
    <n v="68840000"/>
    <n v="41051"/>
    <n v="1"/>
    <n v="0"/>
    <x v="0"/>
  </r>
  <r>
    <x v="0"/>
    <x v="0"/>
    <n v="51"/>
    <s v="Oregon"/>
    <s v="Multnomah County"/>
    <n v="41051"/>
    <n v="6"/>
    <n v="113"/>
    <x v="3"/>
    <x v="12"/>
    <x v="15"/>
    <n v="67"/>
    <x v="1"/>
    <n v="871000"/>
    <n v="41051"/>
    <n v="1"/>
    <n v="0"/>
    <x v="0"/>
  </r>
  <r>
    <x v="0"/>
    <x v="0"/>
    <n v="51"/>
    <s v="Oregon"/>
    <s v="Multnomah County"/>
    <n v="41051"/>
    <n v="8"/>
    <n v="0"/>
    <x v="4"/>
    <x v="0"/>
    <x v="16"/>
    <n v="988"/>
    <x v="12"/>
    <n v="23785180"/>
    <n v="41051"/>
    <n v="1"/>
    <n v="0"/>
    <x v="0"/>
  </r>
  <r>
    <x v="0"/>
    <x v="0"/>
    <n v="51"/>
    <s v="Oregon"/>
    <s v="Multnomah County"/>
    <n v="41051"/>
    <n v="9"/>
    <n v="9"/>
    <x v="5"/>
    <x v="13"/>
    <x v="17"/>
    <n v="173"/>
    <x v="1"/>
    <n v="2162500"/>
    <n v="41051"/>
    <n v="1"/>
    <n v="0"/>
    <x v="0"/>
  </r>
  <r>
    <x v="0"/>
    <x v="0"/>
    <n v="51"/>
    <s v="Oregon"/>
    <s v="Multnomah County"/>
    <n v="41051"/>
    <n v="12"/>
    <n v="0"/>
    <x v="6"/>
    <x v="0"/>
    <x v="18"/>
    <n v="66"/>
    <x v="13"/>
    <n v="1650000"/>
    <n v="41051"/>
    <n v="1"/>
    <n v="0"/>
    <x v="0"/>
  </r>
  <r>
    <x v="0"/>
    <x v="0"/>
    <n v="51"/>
    <s v="Oregon"/>
    <s v="Multnomah County"/>
    <n v="41051"/>
    <n v="12"/>
    <n v="9"/>
    <x v="6"/>
    <x v="14"/>
    <x v="19"/>
    <n v="132"/>
    <x v="1"/>
    <n v="3696000"/>
    <n v="41051"/>
    <n v="1"/>
    <n v="0"/>
    <x v="0"/>
  </r>
  <r>
    <x v="0"/>
    <x v="0"/>
    <n v="51"/>
    <s v="Oregon"/>
    <s v="Multnomah County"/>
    <n v="41051"/>
    <n v="12"/>
    <n v="91"/>
    <x v="6"/>
    <x v="15"/>
    <x v="20"/>
    <n v="77"/>
    <x v="14"/>
    <n v="1232000"/>
    <n v="41051"/>
    <n v="1"/>
    <n v="0"/>
    <x v="0"/>
  </r>
  <r>
    <x v="0"/>
    <x v="0"/>
    <n v="51"/>
    <s v="Oregon"/>
    <s v="Multnomah County"/>
    <n v="41051"/>
    <n v="13"/>
    <n v="0"/>
    <x v="7"/>
    <x v="0"/>
    <x v="21"/>
    <n v="47"/>
    <x v="15"/>
    <n v="122200"/>
    <n v="41051"/>
    <n v="1"/>
    <n v="0"/>
    <x v="0"/>
  </r>
  <r>
    <x v="0"/>
    <x v="0"/>
    <n v="51"/>
    <s v="Oregon"/>
    <s v="Multnomah County"/>
    <n v="41051"/>
    <n v="15"/>
    <n v="0"/>
    <x v="8"/>
    <x v="0"/>
    <x v="22"/>
    <n v="69"/>
    <x v="16"/>
    <n v="2070000"/>
    <n v="41051"/>
    <n v="1"/>
    <n v="0"/>
    <x v="0"/>
  </r>
  <r>
    <x v="0"/>
    <x v="0"/>
    <n v="51"/>
    <s v="Oregon"/>
    <s v="Multnomah County"/>
    <n v="41051"/>
    <n v="15"/>
    <n v="3"/>
    <x v="8"/>
    <x v="16"/>
    <x v="23"/>
    <n v="196"/>
    <x v="17"/>
    <n v="700000"/>
    <n v="41051"/>
    <n v="1"/>
    <n v="0"/>
    <x v="0"/>
  </r>
  <r>
    <x v="0"/>
    <x v="0"/>
    <n v="51"/>
    <s v="Oregon"/>
    <s v="Multnomah County"/>
    <n v="41051"/>
    <n v="16"/>
    <n v="0"/>
    <x v="9"/>
    <x v="0"/>
    <x v="24"/>
    <n v="490"/>
    <x v="18"/>
    <n v="8602000"/>
    <n v="41051"/>
    <n v="1"/>
    <n v="0"/>
    <x v="0"/>
  </r>
  <r>
    <x v="0"/>
    <x v="0"/>
    <n v="51"/>
    <s v="Oregon"/>
    <s v="Multnomah County"/>
    <n v="41051"/>
    <n v="17"/>
    <n v="89"/>
    <x v="10"/>
    <x v="17"/>
    <x v="25"/>
    <n v="234"/>
    <x v="1"/>
    <n v="8058600"/>
    <n v="41051"/>
    <n v="1"/>
    <n v="0"/>
    <x v="0"/>
  </r>
  <r>
    <x v="0"/>
    <x v="0"/>
    <n v="51"/>
    <s v="Oregon"/>
    <s v="Multnomah County"/>
    <n v="41051"/>
    <n v="20"/>
    <n v="0"/>
    <x v="11"/>
    <x v="0"/>
    <x v="26"/>
    <n v="42"/>
    <x v="1"/>
    <n v="23100"/>
    <n v="41051"/>
    <n v="1"/>
    <n v="0"/>
    <x v="0"/>
  </r>
  <r>
    <x v="0"/>
    <x v="0"/>
    <n v="51"/>
    <s v="Oregon"/>
    <s v="Multnomah County"/>
    <n v="41051"/>
    <n v="22"/>
    <n v="71"/>
    <x v="12"/>
    <x v="18"/>
    <x v="27"/>
    <n v="44"/>
    <x v="19"/>
    <n v="1041600"/>
    <n v="41051"/>
    <n v="1"/>
    <n v="0"/>
    <x v="0"/>
  </r>
  <r>
    <x v="0"/>
    <x v="0"/>
    <n v="51"/>
    <s v="Oregon"/>
    <s v="Multnomah County"/>
    <n v="41051"/>
    <n v="23"/>
    <n v="0"/>
    <x v="13"/>
    <x v="0"/>
    <x v="28"/>
    <n v="334"/>
    <x v="1"/>
    <n v="1369400"/>
    <n v="41051"/>
    <n v="1"/>
    <n v="0"/>
    <x v="0"/>
  </r>
  <r>
    <x v="0"/>
    <x v="0"/>
    <n v="51"/>
    <s v="Oregon"/>
    <s v="Multnomah County"/>
    <n v="41051"/>
    <n v="24"/>
    <n v="510"/>
    <x v="14"/>
    <x v="19"/>
    <x v="29"/>
    <n v="126"/>
    <x v="20"/>
    <n v="8526000"/>
    <n v="41051"/>
    <n v="1"/>
    <n v="0"/>
    <x v="0"/>
  </r>
  <r>
    <x v="0"/>
    <x v="0"/>
    <n v="51"/>
    <s v="Oregon"/>
    <s v="Multnomah County"/>
    <n v="41051"/>
    <n v="25"/>
    <n v="0"/>
    <x v="15"/>
    <x v="0"/>
    <x v="30"/>
    <n v="153"/>
    <x v="21"/>
    <n v="51088000"/>
    <n v="41051"/>
    <n v="1"/>
    <n v="0"/>
    <x v="0"/>
  </r>
  <r>
    <x v="0"/>
    <x v="0"/>
    <n v="51"/>
    <s v="Oregon"/>
    <s v="Multnomah County"/>
    <n v="41051"/>
    <n v="25"/>
    <n v="25"/>
    <x v="15"/>
    <x v="20"/>
    <x v="31"/>
    <n v="56"/>
    <x v="22"/>
    <n v="7448000"/>
    <n v="41051"/>
    <n v="1"/>
    <n v="0"/>
    <x v="0"/>
  </r>
  <r>
    <x v="0"/>
    <x v="0"/>
    <n v="51"/>
    <s v="Oregon"/>
    <s v="Multnomah County"/>
    <n v="41051"/>
    <n v="26"/>
    <n v="0"/>
    <x v="16"/>
    <x v="0"/>
    <x v="32"/>
    <n v="176"/>
    <x v="23"/>
    <n v="8690000"/>
    <n v="41051"/>
    <n v="1"/>
    <n v="0"/>
    <x v="0"/>
  </r>
  <r>
    <x v="0"/>
    <x v="0"/>
    <n v="51"/>
    <s v="Oregon"/>
    <s v="Multnomah County"/>
    <n v="41051"/>
    <n v="27"/>
    <n v="53"/>
    <x v="17"/>
    <x v="21"/>
    <x v="33"/>
    <n v="855"/>
    <x v="24"/>
    <n v="57960000"/>
    <n v="41051"/>
    <n v="1"/>
    <n v="0"/>
    <x v="0"/>
  </r>
  <r>
    <x v="0"/>
    <x v="0"/>
    <n v="51"/>
    <s v="Oregon"/>
    <s v="Multnomah County"/>
    <n v="41051"/>
    <n v="32"/>
    <n v="0"/>
    <x v="18"/>
    <x v="0"/>
    <x v="34"/>
    <n v="82"/>
    <x v="25"/>
    <n v="1496500"/>
    <n v="41051"/>
    <n v="1"/>
    <n v="0"/>
    <x v="0"/>
  </r>
  <r>
    <x v="0"/>
    <x v="0"/>
    <n v="51"/>
    <s v="Oregon"/>
    <s v="Multnomah County"/>
    <n v="41051"/>
    <n v="32"/>
    <n v="3"/>
    <x v="18"/>
    <x v="22"/>
    <x v="35"/>
    <n v="392"/>
    <x v="12"/>
    <n v="2468600"/>
    <n v="41051"/>
    <n v="1"/>
    <n v="0"/>
    <x v="0"/>
  </r>
  <r>
    <x v="0"/>
    <x v="0"/>
    <n v="51"/>
    <s v="Oregon"/>
    <s v="Multnomah County"/>
    <n v="41051"/>
    <n v="33"/>
    <n v="0"/>
    <x v="19"/>
    <x v="0"/>
    <x v="36"/>
    <n v="249"/>
    <x v="26"/>
    <n v="2676000"/>
    <n v="41051"/>
    <n v="1"/>
    <n v="0"/>
    <x v="0"/>
  </r>
  <r>
    <x v="0"/>
    <x v="0"/>
    <n v="51"/>
    <s v="Oregon"/>
    <s v="Multnomah County"/>
    <n v="41051"/>
    <n v="35"/>
    <n v="0"/>
    <x v="20"/>
    <x v="0"/>
    <x v="37"/>
    <n v="154"/>
    <x v="27"/>
    <n v="3372600"/>
    <n v="41051"/>
    <n v="1"/>
    <n v="0"/>
    <x v="0"/>
  </r>
  <r>
    <x v="0"/>
    <x v="0"/>
    <n v="51"/>
    <s v="Oregon"/>
    <s v="Multnomah County"/>
    <n v="41051"/>
    <n v="36"/>
    <n v="0"/>
    <x v="21"/>
    <x v="0"/>
    <x v="38"/>
    <n v="26"/>
    <x v="1"/>
    <n v="213200"/>
    <n v="41051"/>
    <n v="1"/>
    <n v="0"/>
    <x v="0"/>
  </r>
  <r>
    <x v="0"/>
    <x v="0"/>
    <n v="51"/>
    <s v="Oregon"/>
    <s v="Multnomah County"/>
    <n v="41051"/>
    <n v="36"/>
    <n v="47"/>
    <x v="21"/>
    <x v="23"/>
    <x v="39"/>
    <n v="267"/>
    <x v="28"/>
    <n v="12183000"/>
    <n v="41051"/>
    <n v="1"/>
    <n v="0"/>
    <x v="0"/>
  </r>
  <r>
    <x v="0"/>
    <x v="0"/>
    <n v="51"/>
    <s v="Oregon"/>
    <s v="Multnomah County"/>
    <n v="41051"/>
    <n v="36"/>
    <n v="61"/>
    <x v="21"/>
    <x v="24"/>
    <x v="40"/>
    <n v="122"/>
    <x v="1"/>
    <n v="7320000"/>
    <n v="41051"/>
    <n v="1"/>
    <n v="0"/>
    <x v="0"/>
  </r>
  <r>
    <x v="0"/>
    <x v="0"/>
    <n v="51"/>
    <s v="Oregon"/>
    <s v="Multnomah County"/>
    <n v="41051"/>
    <n v="36"/>
    <n v="81"/>
    <x v="21"/>
    <x v="25"/>
    <x v="41"/>
    <n v="189"/>
    <x v="29"/>
    <n v="9113400"/>
    <n v="41051"/>
    <n v="1"/>
    <n v="0"/>
    <x v="0"/>
  </r>
  <r>
    <x v="0"/>
    <x v="0"/>
    <n v="51"/>
    <s v="Oregon"/>
    <s v="Multnomah County"/>
    <n v="41051"/>
    <n v="36"/>
    <n v="103"/>
    <x v="21"/>
    <x v="20"/>
    <x v="42"/>
    <n v="71"/>
    <x v="30"/>
    <n v="5538000"/>
    <n v="41051"/>
    <n v="1"/>
    <n v="0"/>
    <x v="0"/>
  </r>
  <r>
    <x v="0"/>
    <x v="0"/>
    <n v="51"/>
    <s v="Oregon"/>
    <s v="Multnomah County"/>
    <n v="41051"/>
    <n v="37"/>
    <n v="0"/>
    <x v="22"/>
    <x v="0"/>
    <x v="43"/>
    <n v="94"/>
    <x v="1"/>
    <n v="0"/>
    <n v="41051"/>
    <n v="1"/>
    <n v="0"/>
    <x v="0"/>
  </r>
  <r>
    <x v="0"/>
    <x v="0"/>
    <n v="51"/>
    <s v="Oregon"/>
    <s v="Multnomah County"/>
    <n v="41051"/>
    <n v="39"/>
    <n v="49"/>
    <x v="23"/>
    <x v="26"/>
    <x v="44"/>
    <n v="95"/>
    <x v="31"/>
    <n v="8835000"/>
    <n v="41051"/>
    <n v="1"/>
    <n v="0"/>
    <x v="0"/>
  </r>
  <r>
    <x v="0"/>
    <x v="0"/>
    <n v="51"/>
    <s v="Oregon"/>
    <s v="Multnomah County"/>
    <n v="41051"/>
    <n v="41"/>
    <n v="0"/>
    <x v="24"/>
    <x v="0"/>
    <x v="45"/>
    <n v="5538"/>
    <x v="32"/>
    <n v="140260100"/>
    <n v="41051"/>
    <n v="1"/>
    <n v="0"/>
    <x v="0"/>
  </r>
  <r>
    <x v="0"/>
    <x v="0"/>
    <n v="51"/>
    <s v="Oregon"/>
    <s v="Multnomah County"/>
    <n v="41051"/>
    <n v="41"/>
    <n v="5"/>
    <x v="24"/>
    <x v="27"/>
    <x v="46"/>
    <n v="7743"/>
    <x v="33"/>
    <n v="345464990"/>
    <n v="41051"/>
    <n v="1"/>
    <n v="0"/>
    <x v="0"/>
  </r>
  <r>
    <x v="0"/>
    <x v="0"/>
    <n v="51"/>
    <s v="Oregon"/>
    <s v="Multnomah County"/>
    <n v="41051"/>
    <n v="41"/>
    <n v="17"/>
    <x v="24"/>
    <x v="28"/>
    <x v="47"/>
    <n v="952"/>
    <x v="34"/>
    <n v="41676000"/>
    <n v="41051"/>
    <n v="1"/>
    <n v="0"/>
    <x v="0"/>
  </r>
  <r>
    <x v="0"/>
    <x v="0"/>
    <n v="51"/>
    <s v="Oregon"/>
    <s v="Multnomah County"/>
    <n v="41051"/>
    <n v="41"/>
    <n v="19"/>
    <x v="24"/>
    <x v="29"/>
    <x v="48"/>
    <n v="418"/>
    <x v="35"/>
    <n v="3384200"/>
    <n v="41051"/>
    <n v="1"/>
    <n v="0"/>
    <x v="0"/>
  </r>
  <r>
    <x v="0"/>
    <x v="0"/>
    <n v="51"/>
    <s v="Oregon"/>
    <s v="Multnomah County"/>
    <n v="41051"/>
    <n v="41"/>
    <n v="29"/>
    <x v="24"/>
    <x v="30"/>
    <x v="49"/>
    <n v="173"/>
    <x v="36"/>
    <n v="5559000"/>
    <n v="41051"/>
    <n v="1"/>
    <n v="0"/>
    <x v="0"/>
  </r>
  <r>
    <x v="0"/>
    <x v="0"/>
    <n v="51"/>
    <s v="Oregon"/>
    <s v="Multnomah County"/>
    <n v="41051"/>
    <n v="41"/>
    <n v="39"/>
    <x v="24"/>
    <x v="31"/>
    <x v="50"/>
    <n v="1646"/>
    <x v="37"/>
    <n v="29552520"/>
    <n v="41051"/>
    <n v="1"/>
    <n v="0"/>
    <x v="0"/>
  </r>
  <r>
    <x v="0"/>
    <x v="0"/>
    <n v="51"/>
    <s v="Oregon"/>
    <s v="Multnomah County"/>
    <n v="41051"/>
    <n v="41"/>
    <n v="47"/>
    <x v="24"/>
    <x v="32"/>
    <x v="51"/>
    <n v="581"/>
    <x v="38"/>
    <n v="8411940"/>
    <n v="41051"/>
    <n v="1"/>
    <n v="0"/>
    <x v="0"/>
  </r>
  <r>
    <x v="0"/>
    <x v="0"/>
    <n v="51"/>
    <s v="Oregon"/>
    <s v="Multnomah County"/>
    <n v="41051"/>
    <n v="41"/>
    <n v="51"/>
    <x v="24"/>
    <x v="33"/>
    <x v="52"/>
    <n v="571896"/>
    <x v="39"/>
    <n v="24467590794"/>
    <n v="41051"/>
    <n v="1"/>
    <n v="1"/>
    <x v="1"/>
  </r>
  <r>
    <x v="0"/>
    <x v="0"/>
    <n v="51"/>
    <s v="Oregon"/>
    <s v="Multnomah County"/>
    <n v="41051"/>
    <n v="41"/>
    <n v="67"/>
    <x v="24"/>
    <x v="34"/>
    <x v="53"/>
    <n v="6416"/>
    <x v="40"/>
    <n v="323862750"/>
    <n v="41051"/>
    <n v="1"/>
    <n v="0"/>
    <x v="0"/>
  </r>
  <r>
    <x v="0"/>
    <x v="0"/>
    <n v="51"/>
    <s v="Oregon"/>
    <s v="Multnomah County"/>
    <n v="41051"/>
    <n v="42"/>
    <n v="3"/>
    <x v="25"/>
    <x v="35"/>
    <x v="54"/>
    <n v="367"/>
    <x v="1"/>
    <n v="2202000"/>
    <n v="41051"/>
    <n v="1"/>
    <n v="0"/>
    <x v="0"/>
  </r>
  <r>
    <x v="0"/>
    <x v="0"/>
    <n v="51"/>
    <s v="Oregon"/>
    <s v="Multnomah County"/>
    <n v="41051"/>
    <n v="42"/>
    <n v="101"/>
    <x v="25"/>
    <x v="36"/>
    <x v="55"/>
    <n v="253"/>
    <x v="41"/>
    <n v="8018000"/>
    <n v="41051"/>
    <n v="1"/>
    <n v="0"/>
    <x v="0"/>
  </r>
  <r>
    <x v="0"/>
    <x v="0"/>
    <n v="51"/>
    <s v="Oregon"/>
    <s v="Multnomah County"/>
    <n v="41051"/>
    <n v="48"/>
    <n v="141"/>
    <x v="26"/>
    <x v="37"/>
    <x v="56"/>
    <n v="354"/>
    <x v="42"/>
    <n v="20048000"/>
    <n v="41051"/>
    <n v="1"/>
    <n v="0"/>
    <x v="0"/>
  </r>
  <r>
    <x v="0"/>
    <x v="0"/>
    <n v="51"/>
    <s v="Oregon"/>
    <s v="Multnomah County"/>
    <n v="41051"/>
    <n v="48"/>
    <n v="453"/>
    <x v="26"/>
    <x v="38"/>
    <x v="57"/>
    <n v="94"/>
    <x v="31"/>
    <n v="2340600"/>
    <n v="41051"/>
    <n v="1"/>
    <n v="0"/>
    <x v="0"/>
  </r>
  <r>
    <x v="0"/>
    <x v="0"/>
    <n v="51"/>
    <s v="Oregon"/>
    <s v="Multnomah County"/>
    <n v="41051"/>
    <n v="49"/>
    <n v="35"/>
    <x v="27"/>
    <x v="39"/>
    <x v="58"/>
    <n v="382"/>
    <x v="43"/>
    <n v="10795000"/>
    <n v="41051"/>
    <n v="1"/>
    <n v="0"/>
    <x v="0"/>
  </r>
  <r>
    <x v="0"/>
    <x v="0"/>
    <n v="51"/>
    <s v="Oregon"/>
    <s v="Multnomah County"/>
    <n v="41051"/>
    <n v="49"/>
    <n v="49"/>
    <x v="27"/>
    <x v="40"/>
    <x v="59"/>
    <n v="171"/>
    <x v="1"/>
    <n v="3762000"/>
    <n v="41051"/>
    <n v="1"/>
    <n v="0"/>
    <x v="0"/>
  </r>
  <r>
    <x v="0"/>
    <x v="0"/>
    <n v="51"/>
    <s v="Oregon"/>
    <s v="Multnomah County"/>
    <n v="41051"/>
    <n v="53"/>
    <n v="0"/>
    <x v="28"/>
    <x v="0"/>
    <x v="60"/>
    <n v="978"/>
    <x v="44"/>
    <n v="26587700"/>
    <n v="41051"/>
    <n v="1"/>
    <n v="0"/>
    <x v="0"/>
  </r>
  <r>
    <x v="0"/>
    <x v="0"/>
    <n v="51"/>
    <s v="Oregon"/>
    <s v="Multnomah County"/>
    <n v="41051"/>
    <n v="53"/>
    <n v="11"/>
    <x v="28"/>
    <x v="22"/>
    <x v="61"/>
    <n v="4069"/>
    <x v="45"/>
    <n v="125022080"/>
    <n v="41051"/>
    <n v="1"/>
    <n v="0"/>
    <x v="0"/>
  </r>
  <r>
    <x v="0"/>
    <x v="0"/>
    <n v="51"/>
    <s v="Oregon"/>
    <s v="Multnomah County"/>
    <n v="41051"/>
    <n v="53"/>
    <n v="33"/>
    <x v="28"/>
    <x v="41"/>
    <x v="62"/>
    <n v="3238"/>
    <x v="46"/>
    <n v="144601250"/>
    <n v="41051"/>
    <n v="1"/>
    <n v="0"/>
    <x v="0"/>
  </r>
  <r>
    <x v="0"/>
    <x v="0"/>
    <n v="51"/>
    <s v="Oregon"/>
    <s v="Multnomah County"/>
    <n v="41051"/>
    <n v="53"/>
    <n v="35"/>
    <x v="28"/>
    <x v="42"/>
    <x v="63"/>
    <n v="76"/>
    <x v="1"/>
    <n v="2812000"/>
    <n v="41051"/>
    <n v="1"/>
    <n v="0"/>
    <x v="0"/>
  </r>
  <r>
    <x v="0"/>
    <x v="0"/>
    <n v="51"/>
    <s v="Oregon"/>
    <s v="Multnomah County"/>
    <n v="41051"/>
    <n v="53"/>
    <n v="53"/>
    <x v="28"/>
    <x v="43"/>
    <x v="64"/>
    <n v="361"/>
    <x v="1"/>
    <n v="6089000"/>
    <n v="41051"/>
    <n v="1"/>
    <n v="0"/>
    <x v="0"/>
  </r>
  <r>
    <x v="0"/>
    <x v="0"/>
    <n v="51"/>
    <s v="Oregon"/>
    <s v="Multnomah County"/>
    <n v="41051"/>
    <n v="53"/>
    <n v="61"/>
    <x v="28"/>
    <x v="44"/>
    <x v="65"/>
    <n v="245"/>
    <x v="1"/>
    <n v="2186000"/>
    <n v="41051"/>
    <n v="1"/>
    <n v="0"/>
    <x v="0"/>
  </r>
  <r>
    <x v="0"/>
    <x v="0"/>
    <n v="51"/>
    <s v="Oregon"/>
    <s v="Multnomah County"/>
    <n v="41051"/>
    <n v="53"/>
    <n v="63"/>
    <x v="28"/>
    <x v="45"/>
    <x v="66"/>
    <n v="190"/>
    <x v="47"/>
    <n v="4811600"/>
    <n v="41051"/>
    <n v="1"/>
    <n v="0"/>
    <x v="0"/>
  </r>
  <r>
    <x v="1"/>
    <x v="0"/>
    <n v="51"/>
    <s v="Oregon"/>
    <s v="Multnomah County"/>
    <n v="41051"/>
    <n v="1"/>
    <n v="0"/>
    <x v="0"/>
    <x v="0"/>
    <x v="0"/>
    <n v="21"/>
    <x v="48"/>
    <n v="2521200"/>
    <n v="41051"/>
    <n v="1"/>
    <n v="0"/>
    <x v="0"/>
  </r>
  <r>
    <x v="1"/>
    <x v="0"/>
    <n v="51"/>
    <s v="Oregon"/>
    <s v="Multnomah County"/>
    <n v="41051"/>
    <n v="1"/>
    <n v="97"/>
    <x v="0"/>
    <x v="46"/>
    <x v="67"/>
    <n v="115"/>
    <x v="49"/>
    <n v="230000"/>
    <n v="41051"/>
    <n v="1"/>
    <n v="0"/>
    <x v="0"/>
  </r>
  <r>
    <x v="1"/>
    <x v="0"/>
    <n v="51"/>
    <s v="Oregon"/>
    <s v="Multnomah County"/>
    <n v="41051"/>
    <n v="2"/>
    <n v="0"/>
    <x v="1"/>
    <x v="0"/>
    <x v="1"/>
    <n v="102"/>
    <x v="50"/>
    <n v="3588210"/>
    <n v="41051"/>
    <n v="1"/>
    <n v="0"/>
    <x v="0"/>
  </r>
  <r>
    <x v="1"/>
    <x v="0"/>
    <n v="51"/>
    <s v="Oregon"/>
    <s v="Multnomah County"/>
    <n v="41051"/>
    <n v="4"/>
    <n v="0"/>
    <x v="2"/>
    <x v="0"/>
    <x v="2"/>
    <n v="1052"/>
    <x v="51"/>
    <n v="12577900"/>
    <n v="41051"/>
    <n v="1"/>
    <n v="0"/>
    <x v="0"/>
  </r>
  <r>
    <x v="1"/>
    <x v="0"/>
    <n v="51"/>
    <s v="Oregon"/>
    <s v="Multnomah County"/>
    <n v="41051"/>
    <n v="4"/>
    <n v="13"/>
    <x v="2"/>
    <x v="1"/>
    <x v="3"/>
    <n v="853"/>
    <x v="52"/>
    <n v="5497140"/>
    <n v="41051"/>
    <n v="1"/>
    <n v="0"/>
    <x v="0"/>
  </r>
  <r>
    <x v="1"/>
    <x v="0"/>
    <n v="51"/>
    <s v="Oregon"/>
    <s v="Multnomah County"/>
    <n v="41051"/>
    <n v="4"/>
    <n v="19"/>
    <x v="2"/>
    <x v="47"/>
    <x v="68"/>
    <n v="126"/>
    <x v="53"/>
    <n v="3929600"/>
    <n v="41051"/>
    <n v="1"/>
    <n v="0"/>
    <x v="0"/>
  </r>
  <r>
    <x v="1"/>
    <x v="0"/>
    <n v="51"/>
    <s v="Oregon"/>
    <s v="Multnomah County"/>
    <n v="41051"/>
    <n v="6"/>
    <n v="0"/>
    <x v="3"/>
    <x v="0"/>
    <x v="4"/>
    <n v="114"/>
    <x v="1"/>
    <n v="0"/>
    <n v="41051"/>
    <n v="1"/>
    <n v="0"/>
    <x v="0"/>
  </r>
  <r>
    <x v="1"/>
    <x v="0"/>
    <n v="51"/>
    <s v="Oregon"/>
    <s v="Multnomah County"/>
    <n v="41051"/>
    <n v="6"/>
    <n v="13"/>
    <x v="3"/>
    <x v="3"/>
    <x v="6"/>
    <n v="149"/>
    <x v="54"/>
    <n v="5960000"/>
    <n v="41051"/>
    <n v="1"/>
    <n v="0"/>
    <x v="0"/>
  </r>
  <r>
    <x v="1"/>
    <x v="0"/>
    <n v="51"/>
    <s v="Oregon"/>
    <s v="Multnomah County"/>
    <n v="41051"/>
    <n v="6"/>
    <n v="37"/>
    <x v="3"/>
    <x v="6"/>
    <x v="9"/>
    <n v="690"/>
    <x v="55"/>
    <n v="23915500"/>
    <n v="41051"/>
    <n v="1"/>
    <n v="0"/>
    <x v="0"/>
  </r>
  <r>
    <x v="1"/>
    <x v="0"/>
    <n v="51"/>
    <s v="Oregon"/>
    <s v="Multnomah County"/>
    <n v="41051"/>
    <n v="6"/>
    <n v="61"/>
    <x v="3"/>
    <x v="8"/>
    <x v="11"/>
    <n v="290"/>
    <x v="1"/>
    <n v="9972000"/>
    <n v="41051"/>
    <n v="1"/>
    <n v="0"/>
    <x v="0"/>
  </r>
  <r>
    <x v="1"/>
    <x v="0"/>
    <n v="51"/>
    <s v="Oregon"/>
    <s v="Multnomah County"/>
    <n v="41051"/>
    <n v="6"/>
    <n v="67"/>
    <x v="3"/>
    <x v="9"/>
    <x v="12"/>
    <n v="182"/>
    <x v="56"/>
    <n v="1350000"/>
    <n v="41051"/>
    <n v="1"/>
    <n v="0"/>
    <x v="0"/>
  </r>
  <r>
    <x v="1"/>
    <x v="0"/>
    <n v="51"/>
    <s v="Oregon"/>
    <s v="Multnomah County"/>
    <n v="41051"/>
    <n v="6"/>
    <n v="73"/>
    <x v="3"/>
    <x v="10"/>
    <x v="13"/>
    <n v="38"/>
    <x v="4"/>
    <n v="304000"/>
    <n v="41051"/>
    <n v="1"/>
    <n v="0"/>
    <x v="0"/>
  </r>
  <r>
    <x v="1"/>
    <x v="0"/>
    <n v="51"/>
    <s v="Oregon"/>
    <s v="Multnomah County"/>
    <n v="41051"/>
    <n v="6"/>
    <n v="79"/>
    <x v="3"/>
    <x v="48"/>
    <x v="69"/>
    <n v="298"/>
    <x v="57"/>
    <n v="16323000"/>
    <n v="41051"/>
    <n v="1"/>
    <n v="0"/>
    <x v="0"/>
  </r>
  <r>
    <x v="1"/>
    <x v="0"/>
    <n v="51"/>
    <s v="Oregon"/>
    <s v="Multnomah County"/>
    <n v="41051"/>
    <n v="6"/>
    <n v="83"/>
    <x v="3"/>
    <x v="49"/>
    <x v="70"/>
    <n v="69"/>
    <x v="16"/>
    <n v="2898000"/>
    <n v="41051"/>
    <n v="1"/>
    <n v="0"/>
    <x v="0"/>
  </r>
  <r>
    <x v="1"/>
    <x v="0"/>
    <n v="51"/>
    <s v="Oregon"/>
    <s v="Multnomah County"/>
    <n v="41051"/>
    <n v="6"/>
    <n v="85"/>
    <x v="3"/>
    <x v="50"/>
    <x v="71"/>
    <n v="224"/>
    <x v="58"/>
    <n v="34018600"/>
    <n v="41051"/>
    <n v="1"/>
    <n v="0"/>
    <x v="0"/>
  </r>
  <r>
    <x v="1"/>
    <x v="0"/>
    <n v="51"/>
    <s v="Oregon"/>
    <s v="Multnomah County"/>
    <n v="41051"/>
    <n v="6"/>
    <n v="95"/>
    <x v="3"/>
    <x v="51"/>
    <x v="72"/>
    <n v="88"/>
    <x v="1"/>
    <n v="941600"/>
    <n v="41051"/>
    <n v="1"/>
    <n v="0"/>
    <x v="0"/>
  </r>
  <r>
    <x v="1"/>
    <x v="0"/>
    <n v="51"/>
    <s v="Oregon"/>
    <s v="Multnomah County"/>
    <n v="41051"/>
    <n v="6"/>
    <n v="97"/>
    <x v="3"/>
    <x v="52"/>
    <x v="73"/>
    <n v="305"/>
    <x v="59"/>
    <n v="3851900"/>
    <n v="41051"/>
    <n v="1"/>
    <n v="0"/>
    <x v="0"/>
  </r>
  <r>
    <x v="1"/>
    <x v="0"/>
    <n v="51"/>
    <s v="Oregon"/>
    <s v="Multnomah County"/>
    <n v="41051"/>
    <n v="6"/>
    <n v="111"/>
    <x v="3"/>
    <x v="53"/>
    <x v="74"/>
    <n v="30"/>
    <x v="60"/>
    <n v="1524000"/>
    <n v="41051"/>
    <n v="1"/>
    <n v="0"/>
    <x v="0"/>
  </r>
  <r>
    <x v="1"/>
    <x v="0"/>
    <n v="51"/>
    <s v="Oregon"/>
    <s v="Multnomah County"/>
    <n v="41051"/>
    <n v="8"/>
    <n v="0"/>
    <x v="4"/>
    <x v="0"/>
    <x v="16"/>
    <n v="1205"/>
    <x v="61"/>
    <n v="30518500"/>
    <n v="41051"/>
    <n v="1"/>
    <n v="0"/>
    <x v="0"/>
  </r>
  <r>
    <x v="1"/>
    <x v="0"/>
    <n v="51"/>
    <s v="Oregon"/>
    <s v="Multnomah County"/>
    <n v="41051"/>
    <n v="9"/>
    <n v="13"/>
    <x v="5"/>
    <x v="54"/>
    <x v="75"/>
    <n v="80"/>
    <x v="1"/>
    <n v="4800000"/>
    <n v="41051"/>
    <n v="1"/>
    <n v="0"/>
    <x v="0"/>
  </r>
  <r>
    <x v="1"/>
    <x v="0"/>
    <n v="51"/>
    <s v="Oregon"/>
    <s v="Multnomah County"/>
    <n v="41051"/>
    <n v="11"/>
    <n v="1"/>
    <x v="29"/>
    <x v="55"/>
    <x v="76"/>
    <n v="23"/>
    <x v="62"/>
    <n v="1495000"/>
    <n v="41051"/>
    <n v="1"/>
    <n v="0"/>
    <x v="0"/>
  </r>
  <r>
    <x v="1"/>
    <x v="0"/>
    <n v="51"/>
    <s v="Oregon"/>
    <s v="Multnomah County"/>
    <n v="41051"/>
    <n v="12"/>
    <n v="115"/>
    <x v="6"/>
    <x v="56"/>
    <x v="77"/>
    <n v="58"/>
    <x v="63"/>
    <n v="359600"/>
    <n v="41051"/>
    <n v="1"/>
    <n v="0"/>
    <x v="0"/>
  </r>
  <r>
    <x v="1"/>
    <x v="0"/>
    <n v="51"/>
    <s v="Oregon"/>
    <s v="Multnomah County"/>
    <n v="41051"/>
    <n v="13"/>
    <n v="0"/>
    <x v="7"/>
    <x v="0"/>
    <x v="21"/>
    <n v="189"/>
    <x v="42"/>
    <n v="8427000"/>
    <n v="41051"/>
    <n v="1"/>
    <n v="0"/>
    <x v="0"/>
  </r>
  <r>
    <x v="1"/>
    <x v="0"/>
    <n v="51"/>
    <s v="Oregon"/>
    <s v="Multnomah County"/>
    <n v="41051"/>
    <n v="15"/>
    <n v="0"/>
    <x v="8"/>
    <x v="0"/>
    <x v="22"/>
    <n v="220"/>
    <x v="1"/>
    <n v="1795000"/>
    <n v="41051"/>
    <n v="1"/>
    <n v="0"/>
    <x v="0"/>
  </r>
  <r>
    <x v="1"/>
    <x v="0"/>
    <n v="51"/>
    <s v="Oregon"/>
    <s v="Multnomah County"/>
    <n v="41051"/>
    <n v="16"/>
    <n v="0"/>
    <x v="9"/>
    <x v="0"/>
    <x v="24"/>
    <n v="246"/>
    <x v="1"/>
    <n v="738000"/>
    <n v="41051"/>
    <n v="1"/>
    <n v="0"/>
    <x v="0"/>
  </r>
  <r>
    <x v="1"/>
    <x v="0"/>
    <n v="51"/>
    <s v="Oregon"/>
    <s v="Multnomah County"/>
    <n v="41051"/>
    <n v="17"/>
    <n v="0"/>
    <x v="10"/>
    <x v="0"/>
    <x v="78"/>
    <n v="12"/>
    <x v="64"/>
    <n v="264000"/>
    <n v="41051"/>
    <n v="1"/>
    <n v="0"/>
    <x v="0"/>
  </r>
  <r>
    <x v="1"/>
    <x v="0"/>
    <n v="51"/>
    <s v="Oregon"/>
    <s v="Multnomah County"/>
    <n v="41051"/>
    <n v="18"/>
    <n v="3"/>
    <x v="30"/>
    <x v="57"/>
    <x v="79"/>
    <n v="611"/>
    <x v="65"/>
    <n v="35485000"/>
    <n v="41051"/>
    <n v="1"/>
    <n v="0"/>
    <x v="0"/>
  </r>
  <r>
    <x v="1"/>
    <x v="0"/>
    <n v="51"/>
    <s v="Oregon"/>
    <s v="Multnomah County"/>
    <n v="41051"/>
    <n v="18"/>
    <n v="141"/>
    <x v="30"/>
    <x v="58"/>
    <x v="80"/>
    <n v="311"/>
    <x v="66"/>
    <n v="11438500"/>
    <n v="41051"/>
    <n v="1"/>
    <n v="0"/>
    <x v="0"/>
  </r>
  <r>
    <x v="1"/>
    <x v="0"/>
    <n v="51"/>
    <s v="Oregon"/>
    <s v="Multnomah County"/>
    <n v="41051"/>
    <n v="20"/>
    <n v="0"/>
    <x v="11"/>
    <x v="0"/>
    <x v="26"/>
    <n v="750"/>
    <x v="67"/>
    <n v="35828200"/>
    <n v="41051"/>
    <n v="1"/>
    <n v="0"/>
    <x v="0"/>
  </r>
  <r>
    <x v="1"/>
    <x v="0"/>
    <n v="51"/>
    <s v="Oregon"/>
    <s v="Multnomah County"/>
    <n v="41051"/>
    <n v="21"/>
    <n v="0"/>
    <x v="31"/>
    <x v="0"/>
    <x v="81"/>
    <n v="125"/>
    <x v="53"/>
    <n v="3200000"/>
    <n v="41051"/>
    <n v="1"/>
    <n v="0"/>
    <x v="0"/>
  </r>
  <r>
    <x v="1"/>
    <x v="0"/>
    <n v="51"/>
    <s v="Oregon"/>
    <s v="Multnomah County"/>
    <n v="41051"/>
    <n v="21"/>
    <n v="67"/>
    <x v="31"/>
    <x v="59"/>
    <x v="82"/>
    <n v="88"/>
    <x v="1"/>
    <n v="853600"/>
    <n v="41051"/>
    <n v="1"/>
    <n v="0"/>
    <x v="0"/>
  </r>
  <r>
    <x v="1"/>
    <x v="0"/>
    <n v="51"/>
    <s v="Oregon"/>
    <s v="Multnomah County"/>
    <n v="41051"/>
    <n v="21"/>
    <n v="111"/>
    <x v="31"/>
    <x v="60"/>
    <x v="83"/>
    <n v="36"/>
    <x v="68"/>
    <n v="1440000"/>
    <n v="41051"/>
    <n v="1"/>
    <n v="0"/>
    <x v="0"/>
  </r>
  <r>
    <x v="1"/>
    <x v="0"/>
    <n v="51"/>
    <s v="Oregon"/>
    <s v="Multnomah County"/>
    <n v="41051"/>
    <n v="22"/>
    <n v="71"/>
    <x v="12"/>
    <x v="18"/>
    <x v="27"/>
    <n v="123"/>
    <x v="69"/>
    <n v="3032000"/>
    <n v="41051"/>
    <n v="1"/>
    <n v="0"/>
    <x v="0"/>
  </r>
  <r>
    <x v="1"/>
    <x v="0"/>
    <n v="51"/>
    <s v="Oregon"/>
    <s v="Multnomah County"/>
    <n v="41051"/>
    <n v="24"/>
    <n v="5"/>
    <x v="14"/>
    <x v="61"/>
    <x v="84"/>
    <n v="96"/>
    <x v="70"/>
    <n v="6870800"/>
    <n v="41051"/>
    <n v="1"/>
    <n v="0"/>
    <x v="0"/>
  </r>
  <r>
    <x v="1"/>
    <x v="0"/>
    <n v="51"/>
    <s v="Oregon"/>
    <s v="Multnomah County"/>
    <n v="41051"/>
    <n v="24"/>
    <n v="21"/>
    <x v="14"/>
    <x v="62"/>
    <x v="85"/>
    <n v="161"/>
    <x v="13"/>
    <n v="43442700"/>
    <n v="41051"/>
    <n v="1"/>
    <n v="0"/>
    <x v="0"/>
  </r>
  <r>
    <x v="1"/>
    <x v="0"/>
    <n v="51"/>
    <s v="Oregon"/>
    <s v="Multnomah County"/>
    <n v="41051"/>
    <n v="24"/>
    <n v="31"/>
    <x v="14"/>
    <x v="63"/>
    <x v="86"/>
    <n v="74"/>
    <x v="1"/>
    <n v="6216000"/>
    <n v="41051"/>
    <n v="1"/>
    <n v="0"/>
    <x v="0"/>
  </r>
  <r>
    <x v="1"/>
    <x v="0"/>
    <n v="51"/>
    <s v="Oregon"/>
    <s v="Multnomah County"/>
    <n v="41051"/>
    <n v="27"/>
    <n v="0"/>
    <x v="17"/>
    <x v="0"/>
    <x v="87"/>
    <n v="89"/>
    <x v="1"/>
    <n v="80100"/>
    <n v="41051"/>
    <n v="1"/>
    <n v="0"/>
    <x v="0"/>
  </r>
  <r>
    <x v="1"/>
    <x v="0"/>
    <n v="51"/>
    <s v="Oregon"/>
    <s v="Multnomah County"/>
    <n v="41051"/>
    <n v="28"/>
    <n v="0"/>
    <x v="32"/>
    <x v="0"/>
    <x v="88"/>
    <n v="429"/>
    <x v="66"/>
    <n v="5318000"/>
    <n v="41051"/>
    <n v="1"/>
    <n v="0"/>
    <x v="0"/>
  </r>
  <r>
    <x v="1"/>
    <x v="0"/>
    <n v="51"/>
    <s v="Oregon"/>
    <s v="Multnomah County"/>
    <n v="41051"/>
    <n v="30"/>
    <n v="0"/>
    <x v="33"/>
    <x v="0"/>
    <x v="89"/>
    <n v="493"/>
    <x v="1"/>
    <n v="3993300"/>
    <n v="41051"/>
    <n v="1"/>
    <n v="0"/>
    <x v="0"/>
  </r>
  <r>
    <x v="1"/>
    <x v="0"/>
    <n v="51"/>
    <s v="Oregon"/>
    <s v="Multnomah County"/>
    <n v="41051"/>
    <n v="31"/>
    <n v="55"/>
    <x v="34"/>
    <x v="29"/>
    <x v="90"/>
    <n v="121"/>
    <x v="71"/>
    <n v="1208000"/>
    <n v="41051"/>
    <n v="1"/>
    <n v="0"/>
    <x v="0"/>
  </r>
  <r>
    <x v="1"/>
    <x v="0"/>
    <n v="51"/>
    <s v="Oregon"/>
    <s v="Multnomah County"/>
    <n v="41051"/>
    <n v="32"/>
    <n v="3"/>
    <x v="18"/>
    <x v="22"/>
    <x v="35"/>
    <n v="251"/>
    <x v="72"/>
    <n v="4369000"/>
    <n v="41051"/>
    <n v="1"/>
    <n v="0"/>
    <x v="0"/>
  </r>
  <r>
    <x v="1"/>
    <x v="0"/>
    <n v="51"/>
    <s v="Oregon"/>
    <s v="Multnomah County"/>
    <n v="41051"/>
    <n v="34"/>
    <n v="21"/>
    <x v="35"/>
    <x v="64"/>
    <x v="91"/>
    <n v="53"/>
    <x v="73"/>
    <n v="636000"/>
    <n v="41051"/>
    <n v="1"/>
    <n v="0"/>
    <x v="0"/>
  </r>
  <r>
    <x v="1"/>
    <x v="0"/>
    <n v="51"/>
    <s v="Oregon"/>
    <s v="Multnomah County"/>
    <n v="41051"/>
    <n v="35"/>
    <n v="0"/>
    <x v="20"/>
    <x v="0"/>
    <x v="37"/>
    <n v="327"/>
    <x v="74"/>
    <n v="15542940"/>
    <n v="41051"/>
    <n v="1"/>
    <n v="0"/>
    <x v="0"/>
  </r>
  <r>
    <x v="1"/>
    <x v="0"/>
    <n v="51"/>
    <s v="Oregon"/>
    <s v="Multnomah County"/>
    <n v="41051"/>
    <n v="35"/>
    <n v="43"/>
    <x v="20"/>
    <x v="65"/>
    <x v="92"/>
    <n v="34"/>
    <x v="75"/>
    <n v="408000"/>
    <n v="41051"/>
    <n v="1"/>
    <n v="0"/>
    <x v="0"/>
  </r>
  <r>
    <x v="1"/>
    <x v="0"/>
    <n v="51"/>
    <s v="Oregon"/>
    <s v="Multnomah County"/>
    <n v="41051"/>
    <n v="36"/>
    <n v="0"/>
    <x v="21"/>
    <x v="0"/>
    <x v="38"/>
    <n v="62"/>
    <x v="60"/>
    <n v="2190000"/>
    <n v="41051"/>
    <n v="1"/>
    <n v="0"/>
    <x v="0"/>
  </r>
  <r>
    <x v="1"/>
    <x v="0"/>
    <n v="51"/>
    <s v="Oregon"/>
    <s v="Multnomah County"/>
    <n v="41051"/>
    <n v="36"/>
    <n v="5"/>
    <x v="21"/>
    <x v="66"/>
    <x v="93"/>
    <n v="250"/>
    <x v="76"/>
    <n v="10490000"/>
    <n v="41051"/>
    <n v="1"/>
    <n v="0"/>
    <x v="0"/>
  </r>
  <r>
    <x v="1"/>
    <x v="0"/>
    <n v="51"/>
    <s v="Oregon"/>
    <s v="Multnomah County"/>
    <n v="41051"/>
    <n v="36"/>
    <n v="27"/>
    <x v="21"/>
    <x v="67"/>
    <x v="94"/>
    <n v="172"/>
    <x v="1"/>
    <n v="3571000"/>
    <n v="41051"/>
    <n v="1"/>
    <n v="0"/>
    <x v="0"/>
  </r>
  <r>
    <x v="1"/>
    <x v="0"/>
    <n v="51"/>
    <s v="Oregon"/>
    <s v="Multnomah County"/>
    <n v="41051"/>
    <n v="36"/>
    <n v="47"/>
    <x v="21"/>
    <x v="23"/>
    <x v="39"/>
    <n v="646"/>
    <x v="77"/>
    <n v="27488010"/>
    <n v="41051"/>
    <n v="1"/>
    <n v="0"/>
    <x v="0"/>
  </r>
  <r>
    <x v="1"/>
    <x v="0"/>
    <n v="51"/>
    <s v="Oregon"/>
    <s v="Multnomah County"/>
    <n v="41051"/>
    <n v="36"/>
    <n v="109"/>
    <x v="21"/>
    <x v="68"/>
    <x v="95"/>
    <n v="169"/>
    <x v="78"/>
    <n v="4870800"/>
    <n v="41051"/>
    <n v="1"/>
    <n v="0"/>
    <x v="0"/>
  </r>
  <r>
    <x v="1"/>
    <x v="0"/>
    <n v="51"/>
    <s v="Oregon"/>
    <s v="Multnomah County"/>
    <n v="41051"/>
    <n v="37"/>
    <n v="0"/>
    <x v="22"/>
    <x v="0"/>
    <x v="43"/>
    <n v="214"/>
    <x v="1"/>
    <n v="9537000"/>
    <n v="41051"/>
    <n v="1"/>
    <n v="0"/>
    <x v="0"/>
  </r>
  <r>
    <x v="1"/>
    <x v="0"/>
    <n v="51"/>
    <s v="Oregon"/>
    <s v="Multnomah County"/>
    <n v="41051"/>
    <n v="37"/>
    <n v="63"/>
    <x v="22"/>
    <x v="69"/>
    <x v="96"/>
    <n v="307"/>
    <x v="0"/>
    <n v="8429000"/>
    <n v="41051"/>
    <n v="1"/>
    <n v="0"/>
    <x v="0"/>
  </r>
  <r>
    <x v="1"/>
    <x v="0"/>
    <n v="51"/>
    <s v="Oregon"/>
    <s v="Multnomah County"/>
    <n v="41051"/>
    <n v="37"/>
    <n v="81"/>
    <x v="22"/>
    <x v="70"/>
    <x v="97"/>
    <n v="129"/>
    <x v="79"/>
    <n v="2596400"/>
    <n v="41051"/>
    <n v="1"/>
    <n v="0"/>
    <x v="0"/>
  </r>
  <r>
    <x v="1"/>
    <x v="0"/>
    <n v="51"/>
    <s v="Oregon"/>
    <s v="Multnomah County"/>
    <n v="41051"/>
    <n v="37"/>
    <n v="119"/>
    <x v="22"/>
    <x v="71"/>
    <x v="98"/>
    <n v="126"/>
    <x v="58"/>
    <n v="7377000"/>
    <n v="41051"/>
    <n v="1"/>
    <n v="0"/>
    <x v="0"/>
  </r>
  <r>
    <x v="1"/>
    <x v="0"/>
    <n v="51"/>
    <s v="Oregon"/>
    <s v="Multnomah County"/>
    <n v="41051"/>
    <n v="39"/>
    <n v="61"/>
    <x v="23"/>
    <x v="72"/>
    <x v="99"/>
    <n v="49"/>
    <x v="80"/>
    <n v="980000"/>
    <n v="41051"/>
    <n v="1"/>
    <n v="0"/>
    <x v="0"/>
  </r>
  <r>
    <x v="1"/>
    <x v="0"/>
    <n v="51"/>
    <s v="Oregon"/>
    <s v="Multnomah County"/>
    <n v="41051"/>
    <n v="41"/>
    <n v="0"/>
    <x v="24"/>
    <x v="0"/>
    <x v="45"/>
    <n v="2897"/>
    <x v="81"/>
    <n v="78499860"/>
    <n v="41051"/>
    <n v="1"/>
    <n v="0"/>
    <x v="0"/>
  </r>
  <r>
    <x v="1"/>
    <x v="0"/>
    <n v="51"/>
    <s v="Oregon"/>
    <s v="Multnomah County"/>
    <n v="41051"/>
    <n v="41"/>
    <n v="5"/>
    <x v="24"/>
    <x v="27"/>
    <x v="46"/>
    <n v="8479"/>
    <x v="82"/>
    <n v="313129606"/>
    <n v="41051"/>
    <n v="1"/>
    <n v="0"/>
    <x v="0"/>
  </r>
  <r>
    <x v="1"/>
    <x v="0"/>
    <n v="51"/>
    <s v="Oregon"/>
    <s v="Multnomah County"/>
    <n v="41051"/>
    <n v="41"/>
    <n v="17"/>
    <x v="24"/>
    <x v="28"/>
    <x v="47"/>
    <n v="165"/>
    <x v="1"/>
    <n v="495000"/>
    <n v="41051"/>
    <n v="1"/>
    <n v="0"/>
    <x v="0"/>
  </r>
  <r>
    <x v="1"/>
    <x v="0"/>
    <n v="51"/>
    <s v="Oregon"/>
    <s v="Multnomah County"/>
    <n v="41051"/>
    <n v="41"/>
    <n v="19"/>
    <x v="24"/>
    <x v="29"/>
    <x v="48"/>
    <n v="151"/>
    <x v="1"/>
    <n v="1661000"/>
    <n v="41051"/>
    <n v="1"/>
    <n v="0"/>
    <x v="0"/>
  </r>
  <r>
    <x v="1"/>
    <x v="0"/>
    <n v="51"/>
    <s v="Oregon"/>
    <s v="Multnomah County"/>
    <n v="41051"/>
    <n v="41"/>
    <n v="29"/>
    <x v="24"/>
    <x v="30"/>
    <x v="49"/>
    <n v="278"/>
    <x v="1"/>
    <n v="4032800"/>
    <n v="41051"/>
    <n v="1"/>
    <n v="0"/>
    <x v="0"/>
  </r>
  <r>
    <x v="1"/>
    <x v="0"/>
    <n v="51"/>
    <s v="Oregon"/>
    <s v="Multnomah County"/>
    <n v="41051"/>
    <n v="41"/>
    <n v="39"/>
    <x v="24"/>
    <x v="31"/>
    <x v="50"/>
    <n v="1785"/>
    <x v="83"/>
    <n v="36000640"/>
    <n v="41051"/>
    <n v="1"/>
    <n v="0"/>
    <x v="0"/>
  </r>
  <r>
    <x v="1"/>
    <x v="0"/>
    <n v="51"/>
    <s v="Oregon"/>
    <s v="Multnomah County"/>
    <n v="41051"/>
    <n v="41"/>
    <n v="47"/>
    <x v="24"/>
    <x v="32"/>
    <x v="51"/>
    <n v="717"/>
    <x v="84"/>
    <n v="20621200"/>
    <n v="41051"/>
    <n v="1"/>
    <n v="0"/>
    <x v="0"/>
  </r>
  <r>
    <x v="1"/>
    <x v="0"/>
    <n v="51"/>
    <s v="Oregon"/>
    <s v="Multnomah County"/>
    <n v="41051"/>
    <n v="41"/>
    <n v="51"/>
    <x v="24"/>
    <x v="33"/>
    <x v="52"/>
    <n v="576083"/>
    <x v="85"/>
    <n v="26250490371"/>
    <n v="41051"/>
    <n v="1"/>
    <n v="1"/>
    <x v="1"/>
  </r>
  <r>
    <x v="1"/>
    <x v="0"/>
    <n v="51"/>
    <s v="Oregon"/>
    <s v="Multnomah County"/>
    <n v="41051"/>
    <n v="41"/>
    <n v="67"/>
    <x v="24"/>
    <x v="34"/>
    <x v="53"/>
    <n v="8310"/>
    <x v="86"/>
    <n v="366682190"/>
    <n v="41051"/>
    <n v="1"/>
    <n v="0"/>
    <x v="0"/>
  </r>
  <r>
    <x v="1"/>
    <x v="0"/>
    <n v="51"/>
    <s v="Oregon"/>
    <s v="Multnomah County"/>
    <n v="41051"/>
    <n v="42"/>
    <n v="3"/>
    <x v="25"/>
    <x v="35"/>
    <x v="54"/>
    <n v="88"/>
    <x v="87"/>
    <n v="1320000"/>
    <n v="41051"/>
    <n v="1"/>
    <n v="0"/>
    <x v="0"/>
  </r>
  <r>
    <x v="1"/>
    <x v="0"/>
    <n v="51"/>
    <s v="Oregon"/>
    <s v="Multnomah County"/>
    <n v="41051"/>
    <n v="42"/>
    <n v="45"/>
    <x v="25"/>
    <x v="73"/>
    <x v="100"/>
    <n v="64"/>
    <x v="1"/>
    <n v="1280000"/>
    <n v="41051"/>
    <n v="1"/>
    <n v="0"/>
    <x v="0"/>
  </r>
  <r>
    <x v="1"/>
    <x v="0"/>
    <n v="51"/>
    <s v="Oregon"/>
    <s v="Multnomah County"/>
    <n v="41051"/>
    <n v="42"/>
    <n v="101"/>
    <x v="25"/>
    <x v="36"/>
    <x v="55"/>
    <n v="409"/>
    <x v="88"/>
    <n v="2454000"/>
    <n v="41051"/>
    <n v="1"/>
    <n v="0"/>
    <x v="0"/>
  </r>
  <r>
    <x v="1"/>
    <x v="0"/>
    <n v="51"/>
    <s v="Oregon"/>
    <s v="Multnomah County"/>
    <n v="41051"/>
    <n v="44"/>
    <n v="7"/>
    <x v="36"/>
    <x v="74"/>
    <x v="101"/>
    <n v="71"/>
    <x v="50"/>
    <n v="1562000"/>
    <n v="41051"/>
    <n v="1"/>
    <n v="0"/>
    <x v="0"/>
  </r>
  <r>
    <x v="1"/>
    <x v="0"/>
    <n v="51"/>
    <s v="Oregon"/>
    <s v="Multnomah County"/>
    <n v="41051"/>
    <n v="45"/>
    <n v="0"/>
    <x v="37"/>
    <x v="0"/>
    <x v="102"/>
    <n v="125"/>
    <x v="50"/>
    <n v="2284000"/>
    <n v="41051"/>
    <n v="1"/>
    <n v="0"/>
    <x v="0"/>
  </r>
  <r>
    <x v="1"/>
    <x v="0"/>
    <n v="51"/>
    <s v="Oregon"/>
    <s v="Multnomah County"/>
    <n v="41051"/>
    <n v="47"/>
    <n v="0"/>
    <x v="38"/>
    <x v="0"/>
    <x v="103"/>
    <n v="189"/>
    <x v="89"/>
    <n v="3639900"/>
    <n v="41051"/>
    <n v="1"/>
    <n v="0"/>
    <x v="0"/>
  </r>
  <r>
    <x v="1"/>
    <x v="0"/>
    <n v="51"/>
    <s v="Oregon"/>
    <s v="Multnomah County"/>
    <n v="41051"/>
    <n v="47"/>
    <n v="37"/>
    <x v="38"/>
    <x v="75"/>
    <x v="104"/>
    <n v="304"/>
    <x v="1"/>
    <n v="11634600"/>
    <n v="41051"/>
    <n v="1"/>
    <n v="0"/>
    <x v="0"/>
  </r>
  <r>
    <x v="1"/>
    <x v="0"/>
    <n v="51"/>
    <s v="Oregon"/>
    <s v="Multnomah County"/>
    <n v="41051"/>
    <n v="48"/>
    <n v="85"/>
    <x v="26"/>
    <x v="76"/>
    <x v="105"/>
    <n v="119"/>
    <x v="63"/>
    <n v="13050000"/>
    <n v="41051"/>
    <n v="1"/>
    <n v="0"/>
    <x v="0"/>
  </r>
  <r>
    <x v="1"/>
    <x v="0"/>
    <n v="51"/>
    <s v="Oregon"/>
    <s v="Multnomah County"/>
    <n v="41051"/>
    <n v="48"/>
    <n v="113"/>
    <x v="26"/>
    <x v="77"/>
    <x v="106"/>
    <n v="213"/>
    <x v="54"/>
    <n v="2863200"/>
    <n v="41051"/>
    <n v="1"/>
    <n v="0"/>
    <x v="0"/>
  </r>
  <r>
    <x v="1"/>
    <x v="0"/>
    <n v="51"/>
    <s v="Oregon"/>
    <s v="Multnomah County"/>
    <n v="41051"/>
    <n v="48"/>
    <n v="439"/>
    <x v="26"/>
    <x v="78"/>
    <x v="107"/>
    <n v="102"/>
    <x v="1"/>
    <n v="2142000"/>
    <n v="41051"/>
    <n v="1"/>
    <n v="0"/>
    <x v="0"/>
  </r>
  <r>
    <x v="1"/>
    <x v="0"/>
    <n v="51"/>
    <s v="Oregon"/>
    <s v="Multnomah County"/>
    <n v="41051"/>
    <n v="48"/>
    <n v="453"/>
    <x v="26"/>
    <x v="38"/>
    <x v="57"/>
    <n v="141"/>
    <x v="68"/>
    <n v="1123200"/>
    <n v="41051"/>
    <n v="1"/>
    <n v="0"/>
    <x v="0"/>
  </r>
  <r>
    <x v="1"/>
    <x v="0"/>
    <n v="51"/>
    <s v="Oregon"/>
    <s v="Multnomah County"/>
    <n v="41051"/>
    <n v="49"/>
    <n v="35"/>
    <x v="27"/>
    <x v="39"/>
    <x v="58"/>
    <n v="747"/>
    <x v="90"/>
    <n v="33284000"/>
    <n v="41051"/>
    <n v="1"/>
    <n v="0"/>
    <x v="0"/>
  </r>
  <r>
    <x v="1"/>
    <x v="0"/>
    <n v="51"/>
    <s v="Oregon"/>
    <s v="Multnomah County"/>
    <n v="41051"/>
    <n v="49"/>
    <n v="49"/>
    <x v="27"/>
    <x v="40"/>
    <x v="59"/>
    <n v="117"/>
    <x v="1"/>
    <n v="1333800"/>
    <n v="41051"/>
    <n v="1"/>
    <n v="0"/>
    <x v="0"/>
  </r>
  <r>
    <x v="1"/>
    <x v="0"/>
    <n v="51"/>
    <s v="Oregon"/>
    <s v="Multnomah County"/>
    <n v="41051"/>
    <n v="51"/>
    <n v="0"/>
    <x v="39"/>
    <x v="0"/>
    <x v="108"/>
    <n v="43"/>
    <x v="91"/>
    <n v="258000"/>
    <n v="41051"/>
    <n v="1"/>
    <n v="0"/>
    <x v="0"/>
  </r>
  <r>
    <x v="1"/>
    <x v="0"/>
    <n v="51"/>
    <s v="Oregon"/>
    <s v="Multnomah County"/>
    <n v="41051"/>
    <n v="51"/>
    <n v="700"/>
    <x v="39"/>
    <x v="79"/>
    <x v="109"/>
    <n v="87"/>
    <x v="8"/>
    <n v="870000"/>
    <n v="41051"/>
    <n v="1"/>
    <n v="0"/>
    <x v="0"/>
  </r>
  <r>
    <x v="1"/>
    <x v="0"/>
    <n v="51"/>
    <s v="Oregon"/>
    <s v="Multnomah County"/>
    <n v="41051"/>
    <n v="51"/>
    <n v="810"/>
    <x v="39"/>
    <x v="80"/>
    <x v="110"/>
    <n v="69"/>
    <x v="16"/>
    <n v="0"/>
    <n v="41051"/>
    <n v="1"/>
    <n v="0"/>
    <x v="0"/>
  </r>
  <r>
    <x v="1"/>
    <x v="0"/>
    <n v="51"/>
    <s v="Oregon"/>
    <s v="Multnomah County"/>
    <n v="41051"/>
    <n v="53"/>
    <n v="0"/>
    <x v="28"/>
    <x v="0"/>
    <x v="60"/>
    <n v="689"/>
    <x v="92"/>
    <n v="17032400"/>
    <n v="41051"/>
    <n v="1"/>
    <n v="0"/>
    <x v="0"/>
  </r>
  <r>
    <x v="1"/>
    <x v="0"/>
    <n v="51"/>
    <s v="Oregon"/>
    <s v="Multnomah County"/>
    <n v="41051"/>
    <n v="53"/>
    <n v="11"/>
    <x v="28"/>
    <x v="22"/>
    <x v="61"/>
    <n v="5286"/>
    <x v="93"/>
    <n v="152070680"/>
    <n v="41051"/>
    <n v="1"/>
    <n v="0"/>
    <x v="0"/>
  </r>
  <r>
    <x v="1"/>
    <x v="0"/>
    <n v="51"/>
    <s v="Oregon"/>
    <s v="Multnomah County"/>
    <n v="41051"/>
    <n v="53"/>
    <n v="33"/>
    <x v="28"/>
    <x v="41"/>
    <x v="62"/>
    <n v="514"/>
    <x v="94"/>
    <n v="6278000"/>
    <n v="41051"/>
    <n v="1"/>
    <n v="0"/>
    <x v="0"/>
  </r>
  <r>
    <x v="1"/>
    <x v="0"/>
    <n v="51"/>
    <s v="Oregon"/>
    <s v="Multnomah County"/>
    <n v="41051"/>
    <n v="53"/>
    <n v="35"/>
    <x v="28"/>
    <x v="42"/>
    <x v="63"/>
    <n v="233"/>
    <x v="16"/>
    <n v="3685000"/>
    <n v="41051"/>
    <n v="1"/>
    <n v="0"/>
    <x v="0"/>
  </r>
  <r>
    <x v="1"/>
    <x v="0"/>
    <n v="51"/>
    <s v="Oregon"/>
    <s v="Multnomah County"/>
    <n v="41051"/>
    <n v="53"/>
    <n v="61"/>
    <x v="28"/>
    <x v="44"/>
    <x v="65"/>
    <n v="114"/>
    <x v="49"/>
    <n v="7980000"/>
    <n v="41051"/>
    <n v="1"/>
    <n v="0"/>
    <x v="0"/>
  </r>
  <r>
    <x v="1"/>
    <x v="0"/>
    <n v="51"/>
    <s v="Oregon"/>
    <s v="Multnomah County"/>
    <n v="41051"/>
    <n v="53"/>
    <n v="63"/>
    <x v="28"/>
    <x v="45"/>
    <x v="66"/>
    <n v="131"/>
    <x v="1"/>
    <n v="5240000"/>
    <n v="41051"/>
    <n v="1"/>
    <n v="0"/>
    <x v="0"/>
  </r>
  <r>
    <x v="1"/>
    <x v="0"/>
    <n v="51"/>
    <s v="Oregon"/>
    <s v="Multnomah County"/>
    <n v="41051"/>
    <n v="53"/>
    <n v="67"/>
    <x v="28"/>
    <x v="81"/>
    <x v="111"/>
    <n v="419"/>
    <x v="95"/>
    <n v="21788000"/>
    <n v="41051"/>
    <n v="1"/>
    <n v="0"/>
    <x v="0"/>
  </r>
  <r>
    <x v="1"/>
    <x v="0"/>
    <n v="51"/>
    <s v="Oregon"/>
    <s v="Multnomah County"/>
    <n v="41051"/>
    <n v="55"/>
    <n v="25"/>
    <x v="40"/>
    <x v="82"/>
    <x v="112"/>
    <n v="45"/>
    <x v="1"/>
    <n v="9450000"/>
    <n v="41051"/>
    <n v="1"/>
    <n v="0"/>
    <x v="0"/>
  </r>
  <r>
    <x v="2"/>
    <x v="0"/>
    <n v="51"/>
    <s v="Oregon"/>
    <s v="Multnomah County"/>
    <n v="41051"/>
    <n v="4"/>
    <n v="0"/>
    <x v="2"/>
    <x v="0"/>
    <x v="2"/>
    <n v="164"/>
    <x v="96"/>
    <n v="4328200"/>
    <n v="41051"/>
    <n v="1"/>
    <n v="0"/>
    <x v="0"/>
  </r>
  <r>
    <x v="2"/>
    <x v="0"/>
    <n v="51"/>
    <s v="Oregon"/>
    <s v="Multnomah County"/>
    <n v="41051"/>
    <n v="4"/>
    <n v="13"/>
    <x v="2"/>
    <x v="1"/>
    <x v="3"/>
    <n v="504"/>
    <x v="97"/>
    <n v="18432900"/>
    <n v="41051"/>
    <n v="1"/>
    <n v="0"/>
    <x v="0"/>
  </r>
  <r>
    <x v="2"/>
    <x v="0"/>
    <n v="51"/>
    <s v="Oregon"/>
    <s v="Multnomah County"/>
    <n v="41051"/>
    <n v="4"/>
    <n v="19"/>
    <x v="2"/>
    <x v="47"/>
    <x v="68"/>
    <n v="113"/>
    <x v="98"/>
    <n v="3440000"/>
    <n v="41051"/>
    <n v="1"/>
    <n v="0"/>
    <x v="0"/>
  </r>
  <r>
    <x v="2"/>
    <x v="0"/>
    <n v="51"/>
    <s v="Oregon"/>
    <s v="Multnomah County"/>
    <n v="41051"/>
    <n v="6"/>
    <n v="0"/>
    <x v="3"/>
    <x v="0"/>
    <x v="4"/>
    <n v="110"/>
    <x v="99"/>
    <n v="5830000"/>
    <n v="41051"/>
    <n v="1"/>
    <n v="0"/>
    <x v="0"/>
  </r>
  <r>
    <x v="2"/>
    <x v="0"/>
    <n v="51"/>
    <s v="Oregon"/>
    <s v="Multnomah County"/>
    <n v="41051"/>
    <n v="6"/>
    <n v="1"/>
    <x v="3"/>
    <x v="2"/>
    <x v="5"/>
    <n v="155"/>
    <x v="28"/>
    <n v="9282200"/>
    <n v="41051"/>
    <n v="1"/>
    <n v="0"/>
    <x v="0"/>
  </r>
  <r>
    <x v="2"/>
    <x v="0"/>
    <n v="51"/>
    <s v="Oregon"/>
    <s v="Multnomah County"/>
    <n v="41051"/>
    <n v="6"/>
    <n v="13"/>
    <x v="3"/>
    <x v="3"/>
    <x v="6"/>
    <n v="114"/>
    <x v="22"/>
    <n v="9891920"/>
    <n v="41051"/>
    <n v="1"/>
    <n v="0"/>
    <x v="0"/>
  </r>
  <r>
    <x v="2"/>
    <x v="0"/>
    <n v="51"/>
    <s v="Oregon"/>
    <s v="Multnomah County"/>
    <n v="41051"/>
    <n v="6"/>
    <n v="23"/>
    <x v="3"/>
    <x v="5"/>
    <x v="8"/>
    <n v="273"/>
    <x v="41"/>
    <n v="3936480"/>
    <n v="41051"/>
    <n v="1"/>
    <n v="0"/>
    <x v="0"/>
  </r>
  <r>
    <x v="2"/>
    <x v="0"/>
    <n v="51"/>
    <s v="Oregon"/>
    <s v="Multnomah County"/>
    <n v="41051"/>
    <n v="6"/>
    <n v="37"/>
    <x v="3"/>
    <x v="6"/>
    <x v="9"/>
    <n v="830"/>
    <x v="100"/>
    <n v="19480400"/>
    <n v="41051"/>
    <n v="1"/>
    <n v="0"/>
    <x v="0"/>
  </r>
  <r>
    <x v="2"/>
    <x v="0"/>
    <n v="51"/>
    <s v="Oregon"/>
    <s v="Multnomah County"/>
    <n v="41051"/>
    <n v="6"/>
    <n v="59"/>
    <x v="3"/>
    <x v="7"/>
    <x v="10"/>
    <n v="88"/>
    <x v="1"/>
    <n v="7858400"/>
    <n v="41051"/>
    <n v="1"/>
    <n v="0"/>
    <x v="0"/>
  </r>
  <r>
    <x v="2"/>
    <x v="0"/>
    <n v="51"/>
    <s v="Oregon"/>
    <s v="Multnomah County"/>
    <n v="41051"/>
    <n v="6"/>
    <n v="65"/>
    <x v="3"/>
    <x v="83"/>
    <x v="113"/>
    <n v="522"/>
    <x v="101"/>
    <n v="57154000"/>
    <n v="41051"/>
    <n v="1"/>
    <n v="0"/>
    <x v="0"/>
  </r>
  <r>
    <x v="2"/>
    <x v="0"/>
    <n v="51"/>
    <s v="Oregon"/>
    <s v="Multnomah County"/>
    <n v="41051"/>
    <n v="6"/>
    <n v="67"/>
    <x v="3"/>
    <x v="9"/>
    <x v="12"/>
    <n v="360"/>
    <x v="1"/>
    <n v="10836000"/>
    <n v="41051"/>
    <n v="1"/>
    <n v="0"/>
    <x v="0"/>
  </r>
  <r>
    <x v="2"/>
    <x v="0"/>
    <n v="51"/>
    <s v="Oregon"/>
    <s v="Multnomah County"/>
    <n v="41051"/>
    <n v="6"/>
    <n v="73"/>
    <x v="3"/>
    <x v="10"/>
    <x v="13"/>
    <n v="960"/>
    <x v="24"/>
    <n v="50290950"/>
    <n v="41051"/>
    <n v="1"/>
    <n v="0"/>
    <x v="0"/>
  </r>
  <r>
    <x v="2"/>
    <x v="0"/>
    <n v="51"/>
    <s v="Oregon"/>
    <s v="Multnomah County"/>
    <n v="41051"/>
    <n v="6"/>
    <n v="75"/>
    <x v="3"/>
    <x v="11"/>
    <x v="14"/>
    <n v="300"/>
    <x v="102"/>
    <n v="42340000"/>
    <n v="41051"/>
    <n v="1"/>
    <n v="0"/>
    <x v="0"/>
  </r>
  <r>
    <x v="2"/>
    <x v="0"/>
    <n v="51"/>
    <s v="Oregon"/>
    <s v="Multnomah County"/>
    <n v="41051"/>
    <n v="6"/>
    <n v="81"/>
    <x v="3"/>
    <x v="84"/>
    <x v="114"/>
    <n v="109"/>
    <x v="1"/>
    <n v="545000"/>
    <n v="41051"/>
    <n v="1"/>
    <n v="0"/>
    <x v="0"/>
  </r>
  <r>
    <x v="2"/>
    <x v="0"/>
    <n v="51"/>
    <s v="Oregon"/>
    <s v="Multnomah County"/>
    <n v="41051"/>
    <n v="6"/>
    <n v="85"/>
    <x v="3"/>
    <x v="50"/>
    <x v="71"/>
    <n v="104"/>
    <x v="103"/>
    <n v="11648000"/>
    <n v="41051"/>
    <n v="1"/>
    <n v="0"/>
    <x v="0"/>
  </r>
  <r>
    <x v="2"/>
    <x v="0"/>
    <n v="51"/>
    <s v="Oregon"/>
    <s v="Multnomah County"/>
    <n v="41051"/>
    <n v="6"/>
    <n v="97"/>
    <x v="3"/>
    <x v="52"/>
    <x v="73"/>
    <n v="104"/>
    <x v="103"/>
    <n v="6968000"/>
    <n v="41051"/>
    <n v="1"/>
    <n v="0"/>
    <x v="0"/>
  </r>
  <r>
    <x v="2"/>
    <x v="0"/>
    <n v="51"/>
    <s v="Oregon"/>
    <s v="Multnomah County"/>
    <n v="41051"/>
    <n v="8"/>
    <n v="0"/>
    <x v="4"/>
    <x v="0"/>
    <x v="16"/>
    <n v="1079"/>
    <x v="104"/>
    <n v="35267500"/>
    <n v="41051"/>
    <n v="1"/>
    <n v="0"/>
    <x v="0"/>
  </r>
  <r>
    <x v="2"/>
    <x v="0"/>
    <n v="51"/>
    <s v="Oregon"/>
    <s v="Multnomah County"/>
    <n v="41051"/>
    <n v="9"/>
    <n v="3"/>
    <x v="5"/>
    <x v="85"/>
    <x v="115"/>
    <n v="99"/>
    <x v="1"/>
    <n v="1386000"/>
    <n v="41051"/>
    <n v="1"/>
    <n v="0"/>
    <x v="0"/>
  </r>
  <r>
    <x v="2"/>
    <x v="0"/>
    <n v="51"/>
    <s v="Oregon"/>
    <s v="Multnomah County"/>
    <n v="41051"/>
    <n v="12"/>
    <n v="0"/>
    <x v="6"/>
    <x v="0"/>
    <x v="18"/>
    <n v="70"/>
    <x v="105"/>
    <n v="3486000"/>
    <n v="41051"/>
    <n v="1"/>
    <n v="0"/>
    <x v="0"/>
  </r>
  <r>
    <x v="2"/>
    <x v="0"/>
    <n v="51"/>
    <s v="Oregon"/>
    <s v="Multnomah County"/>
    <n v="41051"/>
    <n v="12"/>
    <n v="21"/>
    <x v="6"/>
    <x v="86"/>
    <x v="116"/>
    <n v="69"/>
    <x v="106"/>
    <n v="1932000"/>
    <n v="41051"/>
    <n v="1"/>
    <n v="0"/>
    <x v="0"/>
  </r>
  <r>
    <x v="2"/>
    <x v="0"/>
    <n v="51"/>
    <s v="Oregon"/>
    <s v="Multnomah County"/>
    <n v="41051"/>
    <n v="12"/>
    <n v="57"/>
    <x v="6"/>
    <x v="87"/>
    <x v="117"/>
    <n v="129"/>
    <x v="1"/>
    <n v="2580000"/>
    <n v="41051"/>
    <n v="1"/>
    <n v="0"/>
    <x v="0"/>
  </r>
  <r>
    <x v="2"/>
    <x v="0"/>
    <n v="51"/>
    <s v="Oregon"/>
    <s v="Multnomah County"/>
    <n v="41051"/>
    <n v="12"/>
    <n v="101"/>
    <x v="6"/>
    <x v="88"/>
    <x v="118"/>
    <n v="78"/>
    <x v="1"/>
    <n v="0"/>
    <n v="41051"/>
    <n v="1"/>
    <n v="0"/>
    <x v="0"/>
  </r>
  <r>
    <x v="2"/>
    <x v="0"/>
    <n v="51"/>
    <s v="Oregon"/>
    <s v="Multnomah County"/>
    <n v="41051"/>
    <n v="13"/>
    <n v="0"/>
    <x v="7"/>
    <x v="0"/>
    <x v="21"/>
    <n v="214"/>
    <x v="107"/>
    <n v="2210100"/>
    <n v="41051"/>
    <n v="1"/>
    <n v="0"/>
    <x v="0"/>
  </r>
  <r>
    <x v="2"/>
    <x v="0"/>
    <n v="51"/>
    <s v="Oregon"/>
    <s v="Multnomah County"/>
    <n v="41051"/>
    <n v="15"/>
    <n v="3"/>
    <x v="8"/>
    <x v="16"/>
    <x v="23"/>
    <n v="70"/>
    <x v="105"/>
    <n v="4200000"/>
    <n v="41051"/>
    <n v="1"/>
    <n v="0"/>
    <x v="0"/>
  </r>
  <r>
    <x v="2"/>
    <x v="0"/>
    <n v="51"/>
    <s v="Oregon"/>
    <s v="Multnomah County"/>
    <n v="41051"/>
    <n v="16"/>
    <n v="0"/>
    <x v="9"/>
    <x v="0"/>
    <x v="24"/>
    <n v="1240"/>
    <x v="108"/>
    <n v="25031200"/>
    <n v="41051"/>
    <n v="1"/>
    <n v="0"/>
    <x v="0"/>
  </r>
  <r>
    <x v="2"/>
    <x v="0"/>
    <n v="51"/>
    <s v="Oregon"/>
    <s v="Multnomah County"/>
    <n v="41051"/>
    <n v="17"/>
    <n v="31"/>
    <x v="10"/>
    <x v="89"/>
    <x v="119"/>
    <n v="655"/>
    <x v="109"/>
    <n v="29099200"/>
    <n v="41051"/>
    <n v="1"/>
    <n v="0"/>
    <x v="0"/>
  </r>
  <r>
    <x v="2"/>
    <x v="0"/>
    <n v="51"/>
    <s v="Oregon"/>
    <s v="Multnomah County"/>
    <n v="41051"/>
    <n v="22"/>
    <n v="71"/>
    <x v="12"/>
    <x v="18"/>
    <x v="27"/>
    <n v="57"/>
    <x v="63"/>
    <n v="114000"/>
    <n v="41051"/>
    <n v="1"/>
    <n v="0"/>
    <x v="0"/>
  </r>
  <r>
    <x v="2"/>
    <x v="0"/>
    <n v="51"/>
    <s v="Oregon"/>
    <s v="Multnomah County"/>
    <n v="41051"/>
    <n v="23"/>
    <n v="0"/>
    <x v="13"/>
    <x v="0"/>
    <x v="28"/>
    <n v="312"/>
    <x v="110"/>
    <n v="12506000"/>
    <n v="41051"/>
    <n v="1"/>
    <n v="0"/>
    <x v="0"/>
  </r>
  <r>
    <x v="2"/>
    <x v="0"/>
    <n v="51"/>
    <s v="Oregon"/>
    <s v="Multnomah County"/>
    <n v="41051"/>
    <n v="25"/>
    <n v="0"/>
    <x v="15"/>
    <x v="0"/>
    <x v="30"/>
    <n v="82"/>
    <x v="1"/>
    <n v="246000"/>
    <n v="41051"/>
    <n v="1"/>
    <n v="0"/>
    <x v="0"/>
  </r>
  <r>
    <x v="2"/>
    <x v="0"/>
    <n v="51"/>
    <s v="Oregon"/>
    <s v="Multnomah County"/>
    <n v="41051"/>
    <n v="25"/>
    <n v="25"/>
    <x v="15"/>
    <x v="20"/>
    <x v="31"/>
    <n v="28"/>
    <x v="1"/>
    <n v="11200"/>
    <n v="41051"/>
    <n v="1"/>
    <n v="0"/>
    <x v="0"/>
  </r>
  <r>
    <x v="2"/>
    <x v="0"/>
    <n v="51"/>
    <s v="Oregon"/>
    <s v="Multnomah County"/>
    <n v="41051"/>
    <n v="26"/>
    <n v="147"/>
    <x v="16"/>
    <x v="90"/>
    <x v="120"/>
    <n v="96"/>
    <x v="111"/>
    <n v="5184000"/>
    <n v="41051"/>
    <n v="1"/>
    <n v="0"/>
    <x v="0"/>
  </r>
  <r>
    <x v="2"/>
    <x v="0"/>
    <n v="51"/>
    <s v="Oregon"/>
    <s v="Multnomah County"/>
    <n v="41051"/>
    <n v="27"/>
    <n v="123"/>
    <x v="17"/>
    <x v="91"/>
    <x v="121"/>
    <n v="88"/>
    <x v="112"/>
    <n v="475200"/>
    <n v="41051"/>
    <n v="1"/>
    <n v="0"/>
    <x v="0"/>
  </r>
  <r>
    <x v="2"/>
    <x v="0"/>
    <n v="51"/>
    <s v="Oregon"/>
    <s v="Multnomah County"/>
    <n v="41051"/>
    <n v="29"/>
    <n v="189"/>
    <x v="41"/>
    <x v="92"/>
    <x v="122"/>
    <n v="152"/>
    <x v="8"/>
    <n v="11635000"/>
    <n v="41051"/>
    <n v="1"/>
    <n v="0"/>
    <x v="0"/>
  </r>
  <r>
    <x v="2"/>
    <x v="0"/>
    <n v="51"/>
    <s v="Oregon"/>
    <s v="Multnomah County"/>
    <n v="41051"/>
    <n v="31"/>
    <n v="55"/>
    <x v="34"/>
    <x v="29"/>
    <x v="90"/>
    <n v="294"/>
    <x v="47"/>
    <n v="32470000"/>
    <n v="41051"/>
    <n v="1"/>
    <n v="0"/>
    <x v="0"/>
  </r>
  <r>
    <x v="2"/>
    <x v="0"/>
    <n v="51"/>
    <s v="Oregon"/>
    <s v="Multnomah County"/>
    <n v="41051"/>
    <n v="32"/>
    <n v="0"/>
    <x v="18"/>
    <x v="0"/>
    <x v="34"/>
    <n v="577"/>
    <x v="1"/>
    <n v="12117000"/>
    <n v="41051"/>
    <n v="1"/>
    <n v="0"/>
    <x v="0"/>
  </r>
  <r>
    <x v="2"/>
    <x v="0"/>
    <n v="51"/>
    <s v="Oregon"/>
    <s v="Multnomah County"/>
    <n v="41051"/>
    <n v="32"/>
    <n v="3"/>
    <x v="18"/>
    <x v="22"/>
    <x v="35"/>
    <n v="233"/>
    <x v="73"/>
    <n v="1425200"/>
    <n v="41051"/>
    <n v="1"/>
    <n v="0"/>
    <x v="0"/>
  </r>
  <r>
    <x v="2"/>
    <x v="0"/>
    <n v="51"/>
    <s v="Oregon"/>
    <s v="Multnomah County"/>
    <n v="41051"/>
    <n v="34"/>
    <n v="21"/>
    <x v="35"/>
    <x v="64"/>
    <x v="91"/>
    <n v="78"/>
    <x v="1"/>
    <n v="20280"/>
    <n v="41051"/>
    <n v="1"/>
    <n v="0"/>
    <x v="0"/>
  </r>
  <r>
    <x v="2"/>
    <x v="0"/>
    <n v="51"/>
    <s v="Oregon"/>
    <s v="Multnomah County"/>
    <n v="41051"/>
    <n v="34"/>
    <n v="23"/>
    <x v="35"/>
    <x v="93"/>
    <x v="123"/>
    <n v="70"/>
    <x v="1"/>
    <n v="3500000"/>
    <n v="41051"/>
    <n v="1"/>
    <n v="0"/>
    <x v="0"/>
  </r>
  <r>
    <x v="2"/>
    <x v="0"/>
    <n v="51"/>
    <s v="Oregon"/>
    <s v="Multnomah County"/>
    <n v="41051"/>
    <n v="36"/>
    <n v="0"/>
    <x v="21"/>
    <x v="0"/>
    <x v="38"/>
    <n v="146"/>
    <x v="20"/>
    <n v="9594800"/>
    <n v="41051"/>
    <n v="1"/>
    <n v="0"/>
    <x v="0"/>
  </r>
  <r>
    <x v="2"/>
    <x v="0"/>
    <n v="51"/>
    <s v="Oregon"/>
    <s v="Multnomah County"/>
    <n v="41051"/>
    <n v="36"/>
    <n v="47"/>
    <x v="21"/>
    <x v="23"/>
    <x v="39"/>
    <n v="440"/>
    <x v="113"/>
    <n v="28983440"/>
    <n v="41051"/>
    <n v="1"/>
    <n v="0"/>
    <x v="0"/>
  </r>
  <r>
    <x v="2"/>
    <x v="0"/>
    <n v="51"/>
    <s v="Oregon"/>
    <s v="Multnomah County"/>
    <n v="41051"/>
    <n v="36"/>
    <n v="55"/>
    <x v="21"/>
    <x v="94"/>
    <x v="124"/>
    <n v="63"/>
    <x v="28"/>
    <n v="10080000"/>
    <n v="41051"/>
    <n v="1"/>
    <n v="0"/>
    <x v="0"/>
  </r>
  <r>
    <x v="2"/>
    <x v="0"/>
    <n v="51"/>
    <s v="Oregon"/>
    <s v="Multnomah County"/>
    <n v="41051"/>
    <n v="37"/>
    <n v="0"/>
    <x v="22"/>
    <x v="0"/>
    <x v="43"/>
    <n v="274"/>
    <x v="0"/>
    <n v="3714000"/>
    <n v="41051"/>
    <n v="1"/>
    <n v="0"/>
    <x v="0"/>
  </r>
  <r>
    <x v="2"/>
    <x v="0"/>
    <n v="51"/>
    <s v="Oregon"/>
    <s v="Multnomah County"/>
    <n v="41051"/>
    <n v="39"/>
    <n v="0"/>
    <x v="23"/>
    <x v="0"/>
    <x v="125"/>
    <n v="27"/>
    <x v="1"/>
    <n v="202500"/>
    <n v="41051"/>
    <n v="1"/>
    <n v="0"/>
    <x v="0"/>
  </r>
  <r>
    <x v="2"/>
    <x v="0"/>
    <n v="51"/>
    <s v="Oregon"/>
    <s v="Multnomah County"/>
    <n v="41051"/>
    <n v="39"/>
    <n v="35"/>
    <x v="23"/>
    <x v="95"/>
    <x v="126"/>
    <n v="507"/>
    <x v="114"/>
    <n v="16922000"/>
    <n v="41051"/>
    <n v="1"/>
    <n v="0"/>
    <x v="0"/>
  </r>
  <r>
    <x v="2"/>
    <x v="0"/>
    <n v="51"/>
    <s v="Oregon"/>
    <s v="Multnomah County"/>
    <n v="41051"/>
    <n v="40"/>
    <n v="109"/>
    <x v="42"/>
    <x v="96"/>
    <x v="127"/>
    <n v="759"/>
    <x v="115"/>
    <n v="9259800"/>
    <n v="41051"/>
    <n v="1"/>
    <n v="0"/>
    <x v="0"/>
  </r>
  <r>
    <x v="2"/>
    <x v="0"/>
    <n v="51"/>
    <s v="Oregon"/>
    <s v="Multnomah County"/>
    <n v="41051"/>
    <n v="41"/>
    <n v="0"/>
    <x v="24"/>
    <x v="0"/>
    <x v="45"/>
    <n v="2076"/>
    <x v="116"/>
    <n v="76173900"/>
    <n v="41051"/>
    <n v="1"/>
    <n v="0"/>
    <x v="0"/>
  </r>
  <r>
    <x v="2"/>
    <x v="0"/>
    <n v="51"/>
    <s v="Oregon"/>
    <s v="Multnomah County"/>
    <n v="41051"/>
    <n v="41"/>
    <n v="5"/>
    <x v="24"/>
    <x v="27"/>
    <x v="46"/>
    <n v="8534"/>
    <x v="117"/>
    <n v="468809720"/>
    <n v="41051"/>
    <n v="1"/>
    <n v="0"/>
    <x v="0"/>
  </r>
  <r>
    <x v="2"/>
    <x v="0"/>
    <n v="51"/>
    <s v="Oregon"/>
    <s v="Multnomah County"/>
    <n v="41051"/>
    <n v="41"/>
    <n v="17"/>
    <x v="24"/>
    <x v="28"/>
    <x v="47"/>
    <n v="227"/>
    <x v="118"/>
    <n v="9705000"/>
    <n v="41051"/>
    <n v="1"/>
    <n v="0"/>
    <x v="0"/>
  </r>
  <r>
    <x v="2"/>
    <x v="0"/>
    <n v="51"/>
    <s v="Oregon"/>
    <s v="Multnomah County"/>
    <n v="41051"/>
    <n v="41"/>
    <n v="19"/>
    <x v="24"/>
    <x v="29"/>
    <x v="48"/>
    <n v="124"/>
    <x v="119"/>
    <n v="2728000"/>
    <n v="41051"/>
    <n v="1"/>
    <n v="0"/>
    <x v="0"/>
  </r>
  <r>
    <x v="2"/>
    <x v="0"/>
    <n v="51"/>
    <s v="Oregon"/>
    <s v="Multnomah County"/>
    <n v="41051"/>
    <n v="41"/>
    <n v="29"/>
    <x v="24"/>
    <x v="30"/>
    <x v="49"/>
    <n v="363"/>
    <x v="1"/>
    <n v="5082000"/>
    <n v="41051"/>
    <n v="1"/>
    <n v="0"/>
    <x v="0"/>
  </r>
  <r>
    <x v="2"/>
    <x v="0"/>
    <n v="51"/>
    <s v="Oregon"/>
    <s v="Multnomah County"/>
    <n v="41051"/>
    <n v="41"/>
    <n v="39"/>
    <x v="24"/>
    <x v="31"/>
    <x v="50"/>
    <n v="79"/>
    <x v="1"/>
    <n v="395000"/>
    <n v="41051"/>
    <n v="1"/>
    <n v="0"/>
    <x v="0"/>
  </r>
  <r>
    <x v="2"/>
    <x v="0"/>
    <n v="51"/>
    <s v="Oregon"/>
    <s v="Multnomah County"/>
    <n v="41051"/>
    <n v="41"/>
    <n v="47"/>
    <x v="24"/>
    <x v="32"/>
    <x v="51"/>
    <n v="692"/>
    <x v="120"/>
    <n v="23822400"/>
    <n v="41051"/>
    <n v="1"/>
    <n v="0"/>
    <x v="0"/>
  </r>
  <r>
    <x v="2"/>
    <x v="0"/>
    <n v="51"/>
    <s v="Oregon"/>
    <s v="Multnomah County"/>
    <n v="41051"/>
    <n v="41"/>
    <n v="51"/>
    <x v="24"/>
    <x v="33"/>
    <x v="52"/>
    <n v="581400"/>
    <x v="121"/>
    <n v="26819594030"/>
    <n v="41051"/>
    <n v="1"/>
    <n v="1"/>
    <x v="1"/>
  </r>
  <r>
    <x v="2"/>
    <x v="0"/>
    <n v="51"/>
    <s v="Oregon"/>
    <s v="Multnomah County"/>
    <n v="41051"/>
    <n v="41"/>
    <n v="67"/>
    <x v="24"/>
    <x v="34"/>
    <x v="53"/>
    <n v="6627"/>
    <x v="122"/>
    <n v="316185170"/>
    <n v="41051"/>
    <n v="1"/>
    <n v="0"/>
    <x v="0"/>
  </r>
  <r>
    <x v="2"/>
    <x v="0"/>
    <n v="51"/>
    <s v="Oregon"/>
    <s v="Multnomah County"/>
    <n v="41051"/>
    <n v="48"/>
    <n v="0"/>
    <x v="26"/>
    <x v="0"/>
    <x v="128"/>
    <n v="224"/>
    <x v="123"/>
    <n v="12527200"/>
    <n v="41051"/>
    <n v="1"/>
    <n v="0"/>
    <x v="0"/>
  </r>
  <r>
    <x v="2"/>
    <x v="0"/>
    <n v="51"/>
    <s v="Oregon"/>
    <s v="Multnomah County"/>
    <n v="41051"/>
    <n v="48"/>
    <n v="215"/>
    <x v="26"/>
    <x v="97"/>
    <x v="129"/>
    <n v="130"/>
    <x v="124"/>
    <n v="9720000"/>
    <n v="41051"/>
    <n v="1"/>
    <n v="0"/>
    <x v="0"/>
  </r>
  <r>
    <x v="2"/>
    <x v="0"/>
    <n v="51"/>
    <s v="Oregon"/>
    <s v="Multnomah County"/>
    <n v="41051"/>
    <n v="48"/>
    <n v="339"/>
    <x v="26"/>
    <x v="63"/>
    <x v="130"/>
    <n v="265"/>
    <x v="1"/>
    <n v="10600000"/>
    <n v="41051"/>
    <n v="1"/>
    <n v="0"/>
    <x v="0"/>
  </r>
  <r>
    <x v="2"/>
    <x v="0"/>
    <n v="51"/>
    <s v="Oregon"/>
    <s v="Multnomah County"/>
    <n v="41051"/>
    <n v="48"/>
    <n v="355"/>
    <x v="26"/>
    <x v="98"/>
    <x v="131"/>
    <n v="180"/>
    <x v="1"/>
    <n v="7560000"/>
    <n v="41051"/>
    <n v="1"/>
    <n v="0"/>
    <x v="0"/>
  </r>
  <r>
    <x v="2"/>
    <x v="0"/>
    <n v="51"/>
    <s v="Oregon"/>
    <s v="Multnomah County"/>
    <n v="41051"/>
    <n v="48"/>
    <n v="453"/>
    <x v="26"/>
    <x v="38"/>
    <x v="57"/>
    <n v="365"/>
    <x v="125"/>
    <n v="6668000"/>
    <n v="41051"/>
    <n v="1"/>
    <n v="0"/>
    <x v="0"/>
  </r>
  <r>
    <x v="2"/>
    <x v="0"/>
    <n v="51"/>
    <s v="Oregon"/>
    <s v="Multnomah County"/>
    <n v="41051"/>
    <n v="51"/>
    <n v="0"/>
    <x v="39"/>
    <x v="0"/>
    <x v="108"/>
    <n v="105"/>
    <x v="126"/>
    <n v="4114500"/>
    <n v="41051"/>
    <n v="1"/>
    <n v="0"/>
    <x v="0"/>
  </r>
  <r>
    <x v="2"/>
    <x v="0"/>
    <n v="51"/>
    <s v="Oregon"/>
    <s v="Multnomah County"/>
    <n v="41051"/>
    <n v="53"/>
    <n v="0"/>
    <x v="28"/>
    <x v="0"/>
    <x v="60"/>
    <n v="1219"/>
    <x v="127"/>
    <n v="57705300"/>
    <n v="41051"/>
    <n v="1"/>
    <n v="0"/>
    <x v="0"/>
  </r>
  <r>
    <x v="2"/>
    <x v="0"/>
    <n v="51"/>
    <s v="Oregon"/>
    <s v="Multnomah County"/>
    <n v="41051"/>
    <n v="53"/>
    <n v="11"/>
    <x v="28"/>
    <x v="22"/>
    <x v="61"/>
    <n v="3815"/>
    <x v="128"/>
    <n v="197050800"/>
    <n v="41051"/>
    <n v="1"/>
    <n v="0"/>
    <x v="0"/>
  </r>
  <r>
    <x v="2"/>
    <x v="0"/>
    <n v="51"/>
    <s v="Oregon"/>
    <s v="Multnomah County"/>
    <n v="41051"/>
    <n v="53"/>
    <n v="33"/>
    <x v="28"/>
    <x v="41"/>
    <x v="62"/>
    <n v="910"/>
    <x v="129"/>
    <n v="69009000"/>
    <n v="41051"/>
    <n v="1"/>
    <n v="0"/>
    <x v="0"/>
  </r>
  <r>
    <x v="2"/>
    <x v="0"/>
    <n v="51"/>
    <s v="Oregon"/>
    <s v="Multnomah County"/>
    <n v="41051"/>
    <n v="53"/>
    <n v="35"/>
    <x v="28"/>
    <x v="42"/>
    <x v="63"/>
    <n v="114"/>
    <x v="130"/>
    <n v="13120000"/>
    <n v="41051"/>
    <n v="1"/>
    <n v="0"/>
    <x v="0"/>
  </r>
  <r>
    <x v="2"/>
    <x v="0"/>
    <n v="51"/>
    <s v="Oregon"/>
    <s v="Multnomah County"/>
    <n v="41051"/>
    <n v="53"/>
    <n v="53"/>
    <x v="28"/>
    <x v="43"/>
    <x v="64"/>
    <n v="319"/>
    <x v="131"/>
    <n v="4954400"/>
    <n v="41051"/>
    <n v="1"/>
    <n v="0"/>
    <x v="0"/>
  </r>
  <r>
    <x v="2"/>
    <x v="0"/>
    <n v="51"/>
    <s v="Oregon"/>
    <s v="Multnomah County"/>
    <n v="41051"/>
    <n v="53"/>
    <n v="61"/>
    <x v="28"/>
    <x v="44"/>
    <x v="65"/>
    <n v="109"/>
    <x v="1"/>
    <n v="5210200"/>
    <n v="41051"/>
    <n v="1"/>
    <n v="0"/>
    <x v="0"/>
  </r>
  <r>
    <x v="2"/>
    <x v="0"/>
    <n v="51"/>
    <s v="Oregon"/>
    <s v="Multnomah County"/>
    <n v="41051"/>
    <n v="53"/>
    <n v="67"/>
    <x v="28"/>
    <x v="81"/>
    <x v="111"/>
    <n v="212"/>
    <x v="132"/>
    <n v="12084000"/>
    <n v="41051"/>
    <n v="1"/>
    <n v="0"/>
    <x v="0"/>
  </r>
  <r>
    <x v="2"/>
    <x v="0"/>
    <n v="51"/>
    <s v="Oregon"/>
    <s v="Multnomah County"/>
    <n v="41051"/>
    <n v="55"/>
    <n v="25"/>
    <x v="40"/>
    <x v="82"/>
    <x v="112"/>
    <n v="357"/>
    <x v="133"/>
    <n v="37009920"/>
    <n v="41051"/>
    <n v="1"/>
    <n v="0"/>
    <x v="0"/>
  </r>
  <r>
    <x v="2"/>
    <x v="0"/>
    <n v="51"/>
    <s v="Oregon"/>
    <s v="Multnomah County"/>
    <n v="41051"/>
    <n v="55"/>
    <n v="79"/>
    <x v="40"/>
    <x v="99"/>
    <x v="132"/>
    <n v="376"/>
    <x v="29"/>
    <n v="28419000"/>
    <n v="41051"/>
    <n v="1"/>
    <n v="0"/>
    <x v="0"/>
  </r>
  <r>
    <x v="2"/>
    <x v="0"/>
    <n v="51"/>
    <s v="Oregon"/>
    <s v="Multnomah County"/>
    <n v="41051"/>
    <n v="56"/>
    <n v="0"/>
    <x v="43"/>
    <x v="0"/>
    <x v="133"/>
    <n v="86"/>
    <x v="1"/>
    <n v="258000"/>
    <n v="41051"/>
    <n v="1"/>
    <n v="0"/>
    <x v="0"/>
  </r>
  <r>
    <x v="3"/>
    <x v="0"/>
    <n v="51"/>
    <s v="Oregon"/>
    <s v="Multnomah County"/>
    <n v="41051"/>
    <n v="2"/>
    <n v="0"/>
    <x v="1"/>
    <x v="0"/>
    <x v="1"/>
    <n v="453"/>
    <x v="7"/>
    <n v="22881100"/>
    <n v="41051"/>
    <n v="1"/>
    <n v="0"/>
    <x v="0"/>
  </r>
  <r>
    <x v="3"/>
    <x v="0"/>
    <n v="51"/>
    <s v="Oregon"/>
    <s v="Multnomah County"/>
    <n v="41051"/>
    <n v="4"/>
    <n v="5"/>
    <x v="2"/>
    <x v="100"/>
    <x v="134"/>
    <n v="60"/>
    <x v="38"/>
    <n v="1140000"/>
    <n v="41051"/>
    <n v="1"/>
    <n v="0"/>
    <x v="0"/>
  </r>
  <r>
    <x v="3"/>
    <x v="0"/>
    <n v="51"/>
    <s v="Oregon"/>
    <s v="Multnomah County"/>
    <n v="41051"/>
    <n v="4"/>
    <n v="13"/>
    <x v="2"/>
    <x v="1"/>
    <x v="3"/>
    <n v="1192"/>
    <x v="134"/>
    <n v="87139600"/>
    <n v="41051"/>
    <n v="1"/>
    <n v="0"/>
    <x v="0"/>
  </r>
  <r>
    <x v="3"/>
    <x v="0"/>
    <n v="51"/>
    <s v="Oregon"/>
    <s v="Multnomah County"/>
    <n v="41051"/>
    <n v="4"/>
    <n v="19"/>
    <x v="2"/>
    <x v="47"/>
    <x v="68"/>
    <n v="194"/>
    <x v="135"/>
    <n v="4689600"/>
    <n v="41051"/>
    <n v="1"/>
    <n v="0"/>
    <x v="0"/>
  </r>
  <r>
    <x v="3"/>
    <x v="0"/>
    <n v="51"/>
    <s v="Oregon"/>
    <s v="Multnomah County"/>
    <n v="41051"/>
    <n v="5"/>
    <n v="7"/>
    <x v="44"/>
    <x v="101"/>
    <x v="135"/>
    <n v="91"/>
    <x v="1"/>
    <n v="800800"/>
    <n v="41051"/>
    <n v="1"/>
    <n v="0"/>
    <x v="0"/>
  </r>
  <r>
    <x v="3"/>
    <x v="0"/>
    <n v="51"/>
    <s v="Oregon"/>
    <s v="Multnomah County"/>
    <n v="41051"/>
    <n v="6"/>
    <n v="1"/>
    <x v="3"/>
    <x v="2"/>
    <x v="5"/>
    <n v="586"/>
    <x v="136"/>
    <n v="16412900"/>
    <n v="41051"/>
    <n v="1"/>
    <n v="0"/>
    <x v="0"/>
  </r>
  <r>
    <x v="3"/>
    <x v="0"/>
    <n v="51"/>
    <s v="Oregon"/>
    <s v="Multnomah County"/>
    <n v="41051"/>
    <n v="6"/>
    <n v="13"/>
    <x v="3"/>
    <x v="3"/>
    <x v="6"/>
    <n v="203"/>
    <x v="89"/>
    <n v="12012500"/>
    <n v="41051"/>
    <n v="1"/>
    <n v="0"/>
    <x v="0"/>
  </r>
  <r>
    <x v="3"/>
    <x v="0"/>
    <n v="51"/>
    <s v="Oregon"/>
    <s v="Multnomah County"/>
    <n v="41051"/>
    <n v="6"/>
    <n v="17"/>
    <x v="3"/>
    <x v="102"/>
    <x v="136"/>
    <n v="79"/>
    <x v="1"/>
    <n v="189600"/>
    <n v="41051"/>
    <n v="1"/>
    <n v="0"/>
    <x v="0"/>
  </r>
  <r>
    <x v="3"/>
    <x v="0"/>
    <n v="51"/>
    <s v="Oregon"/>
    <s v="Multnomah County"/>
    <n v="41051"/>
    <n v="6"/>
    <n v="19"/>
    <x v="3"/>
    <x v="4"/>
    <x v="7"/>
    <n v="511"/>
    <x v="137"/>
    <n v="32055000"/>
    <n v="41051"/>
    <n v="1"/>
    <n v="0"/>
    <x v="0"/>
  </r>
  <r>
    <x v="3"/>
    <x v="0"/>
    <n v="51"/>
    <s v="Oregon"/>
    <s v="Multnomah County"/>
    <n v="41051"/>
    <n v="6"/>
    <n v="23"/>
    <x v="3"/>
    <x v="5"/>
    <x v="8"/>
    <n v="106"/>
    <x v="1"/>
    <n v="1340160"/>
    <n v="41051"/>
    <n v="1"/>
    <n v="0"/>
    <x v="0"/>
  </r>
  <r>
    <x v="3"/>
    <x v="0"/>
    <n v="51"/>
    <s v="Oregon"/>
    <s v="Multnomah County"/>
    <n v="41051"/>
    <n v="6"/>
    <n v="29"/>
    <x v="3"/>
    <x v="103"/>
    <x v="137"/>
    <n v="389"/>
    <x v="138"/>
    <n v="11814200"/>
    <n v="41051"/>
    <n v="1"/>
    <n v="0"/>
    <x v="0"/>
  </r>
  <r>
    <x v="3"/>
    <x v="0"/>
    <n v="51"/>
    <s v="Oregon"/>
    <s v="Multnomah County"/>
    <n v="41051"/>
    <n v="6"/>
    <n v="37"/>
    <x v="3"/>
    <x v="6"/>
    <x v="9"/>
    <n v="816"/>
    <x v="139"/>
    <n v="39051400"/>
    <n v="41051"/>
    <n v="1"/>
    <n v="0"/>
    <x v="0"/>
  </r>
  <r>
    <x v="3"/>
    <x v="0"/>
    <n v="51"/>
    <s v="Oregon"/>
    <s v="Multnomah County"/>
    <n v="41051"/>
    <n v="6"/>
    <n v="41"/>
    <x v="3"/>
    <x v="104"/>
    <x v="138"/>
    <n v="160"/>
    <x v="1"/>
    <n v="3008960"/>
    <n v="41051"/>
    <n v="1"/>
    <n v="0"/>
    <x v="0"/>
  </r>
  <r>
    <x v="3"/>
    <x v="0"/>
    <n v="51"/>
    <s v="Oregon"/>
    <s v="Multnomah County"/>
    <n v="41051"/>
    <n v="6"/>
    <n v="55"/>
    <x v="3"/>
    <x v="105"/>
    <x v="139"/>
    <n v="310"/>
    <x v="1"/>
    <n v="4201500"/>
    <n v="41051"/>
    <n v="1"/>
    <n v="0"/>
    <x v="0"/>
  </r>
  <r>
    <x v="3"/>
    <x v="0"/>
    <n v="51"/>
    <s v="Oregon"/>
    <s v="Multnomah County"/>
    <n v="41051"/>
    <n v="6"/>
    <n v="65"/>
    <x v="3"/>
    <x v="83"/>
    <x v="113"/>
    <n v="263"/>
    <x v="140"/>
    <n v="11775000"/>
    <n v="41051"/>
    <n v="1"/>
    <n v="0"/>
    <x v="0"/>
  </r>
  <r>
    <x v="3"/>
    <x v="0"/>
    <n v="51"/>
    <s v="Oregon"/>
    <s v="Multnomah County"/>
    <n v="41051"/>
    <n v="6"/>
    <n v="67"/>
    <x v="3"/>
    <x v="9"/>
    <x v="12"/>
    <n v="71"/>
    <x v="1"/>
    <n v="5680000"/>
    <n v="41051"/>
    <n v="1"/>
    <n v="0"/>
    <x v="0"/>
  </r>
  <r>
    <x v="3"/>
    <x v="0"/>
    <n v="51"/>
    <s v="Oregon"/>
    <s v="Multnomah County"/>
    <n v="41051"/>
    <n v="6"/>
    <n v="73"/>
    <x v="3"/>
    <x v="10"/>
    <x v="13"/>
    <n v="905"/>
    <x v="84"/>
    <n v="35176400"/>
    <n v="41051"/>
    <n v="1"/>
    <n v="0"/>
    <x v="0"/>
  </r>
  <r>
    <x v="3"/>
    <x v="0"/>
    <n v="51"/>
    <s v="Oregon"/>
    <s v="Multnomah County"/>
    <n v="41051"/>
    <n v="6"/>
    <n v="75"/>
    <x v="3"/>
    <x v="11"/>
    <x v="14"/>
    <n v="699"/>
    <x v="141"/>
    <n v="90937000"/>
    <n v="41051"/>
    <n v="1"/>
    <n v="0"/>
    <x v="0"/>
  </r>
  <r>
    <x v="3"/>
    <x v="0"/>
    <n v="51"/>
    <s v="Oregon"/>
    <s v="Multnomah County"/>
    <n v="41051"/>
    <n v="6"/>
    <n v="85"/>
    <x v="3"/>
    <x v="50"/>
    <x v="71"/>
    <n v="510"/>
    <x v="1"/>
    <n v="18798000"/>
    <n v="41051"/>
    <n v="1"/>
    <n v="0"/>
    <x v="0"/>
  </r>
  <r>
    <x v="3"/>
    <x v="0"/>
    <n v="51"/>
    <s v="Oregon"/>
    <s v="Multnomah County"/>
    <n v="41051"/>
    <n v="6"/>
    <n v="111"/>
    <x v="3"/>
    <x v="53"/>
    <x v="74"/>
    <n v="167"/>
    <x v="63"/>
    <n v="23632800"/>
    <n v="41051"/>
    <n v="1"/>
    <n v="0"/>
    <x v="0"/>
  </r>
  <r>
    <x v="3"/>
    <x v="0"/>
    <n v="51"/>
    <s v="Oregon"/>
    <s v="Multnomah County"/>
    <n v="41051"/>
    <n v="8"/>
    <n v="0"/>
    <x v="4"/>
    <x v="0"/>
    <x v="16"/>
    <n v="479"/>
    <x v="142"/>
    <n v="30579000"/>
    <n v="41051"/>
    <n v="1"/>
    <n v="0"/>
    <x v="0"/>
  </r>
  <r>
    <x v="3"/>
    <x v="0"/>
    <n v="51"/>
    <s v="Oregon"/>
    <s v="Multnomah County"/>
    <n v="41051"/>
    <n v="8"/>
    <n v="69"/>
    <x v="4"/>
    <x v="106"/>
    <x v="140"/>
    <n v="106"/>
    <x v="56"/>
    <n v="10810000"/>
    <n v="41051"/>
    <n v="1"/>
    <n v="0"/>
    <x v="0"/>
  </r>
  <r>
    <x v="3"/>
    <x v="0"/>
    <n v="51"/>
    <s v="Oregon"/>
    <s v="Multnomah County"/>
    <n v="41051"/>
    <n v="11"/>
    <n v="1"/>
    <x v="29"/>
    <x v="55"/>
    <x v="76"/>
    <n v="117"/>
    <x v="1"/>
    <n v="6177600"/>
    <n v="41051"/>
    <n v="1"/>
    <n v="0"/>
    <x v="0"/>
  </r>
  <r>
    <x v="3"/>
    <x v="0"/>
    <n v="51"/>
    <s v="Oregon"/>
    <s v="Multnomah County"/>
    <n v="41051"/>
    <n v="12"/>
    <n v="0"/>
    <x v="6"/>
    <x v="0"/>
    <x v="18"/>
    <n v="156"/>
    <x v="143"/>
    <n v="9738000"/>
    <n v="41051"/>
    <n v="1"/>
    <n v="0"/>
    <x v="0"/>
  </r>
  <r>
    <x v="3"/>
    <x v="0"/>
    <n v="51"/>
    <s v="Oregon"/>
    <s v="Multnomah County"/>
    <n v="41051"/>
    <n v="12"/>
    <n v="9"/>
    <x v="6"/>
    <x v="14"/>
    <x v="19"/>
    <n v="98"/>
    <x v="1"/>
    <n v="450800"/>
    <n v="41051"/>
    <n v="1"/>
    <n v="0"/>
    <x v="0"/>
  </r>
  <r>
    <x v="3"/>
    <x v="0"/>
    <n v="51"/>
    <s v="Oregon"/>
    <s v="Multnomah County"/>
    <n v="41051"/>
    <n v="12"/>
    <n v="11"/>
    <x v="6"/>
    <x v="107"/>
    <x v="141"/>
    <n v="835"/>
    <x v="144"/>
    <n v="17486400"/>
    <n v="41051"/>
    <n v="1"/>
    <n v="0"/>
    <x v="0"/>
  </r>
  <r>
    <x v="3"/>
    <x v="0"/>
    <n v="51"/>
    <s v="Oregon"/>
    <s v="Multnomah County"/>
    <n v="41051"/>
    <n v="13"/>
    <n v="67"/>
    <x v="7"/>
    <x v="108"/>
    <x v="142"/>
    <n v="316"/>
    <x v="139"/>
    <n v="0"/>
    <n v="41051"/>
    <n v="1"/>
    <n v="0"/>
    <x v="0"/>
  </r>
  <r>
    <x v="3"/>
    <x v="0"/>
    <n v="51"/>
    <s v="Oregon"/>
    <s v="Multnomah County"/>
    <n v="41051"/>
    <n v="15"/>
    <n v="0"/>
    <x v="8"/>
    <x v="0"/>
    <x v="22"/>
    <n v="71"/>
    <x v="62"/>
    <n v="12408000"/>
    <n v="41051"/>
    <n v="1"/>
    <n v="0"/>
    <x v="0"/>
  </r>
  <r>
    <x v="3"/>
    <x v="0"/>
    <n v="51"/>
    <s v="Oregon"/>
    <s v="Multnomah County"/>
    <n v="41051"/>
    <n v="16"/>
    <n v="0"/>
    <x v="9"/>
    <x v="0"/>
    <x v="24"/>
    <n v="325"/>
    <x v="145"/>
    <n v="11795000"/>
    <n v="41051"/>
    <n v="1"/>
    <n v="0"/>
    <x v="0"/>
  </r>
  <r>
    <x v="3"/>
    <x v="0"/>
    <n v="51"/>
    <s v="Oregon"/>
    <s v="Multnomah County"/>
    <n v="41051"/>
    <n v="17"/>
    <n v="31"/>
    <x v="10"/>
    <x v="89"/>
    <x v="119"/>
    <n v="78"/>
    <x v="1"/>
    <n v="5655000"/>
    <n v="41051"/>
    <n v="1"/>
    <n v="0"/>
    <x v="0"/>
  </r>
  <r>
    <x v="3"/>
    <x v="0"/>
    <n v="51"/>
    <s v="Oregon"/>
    <s v="Multnomah County"/>
    <n v="41051"/>
    <n v="17"/>
    <n v="43"/>
    <x v="10"/>
    <x v="109"/>
    <x v="143"/>
    <n v="64"/>
    <x v="27"/>
    <n v="0"/>
    <n v="41051"/>
    <n v="1"/>
    <n v="0"/>
    <x v="0"/>
  </r>
  <r>
    <x v="3"/>
    <x v="0"/>
    <n v="51"/>
    <s v="Oregon"/>
    <s v="Multnomah County"/>
    <n v="41051"/>
    <n v="21"/>
    <n v="0"/>
    <x v="31"/>
    <x v="0"/>
    <x v="81"/>
    <n v="155"/>
    <x v="146"/>
    <n v="0"/>
    <n v="41051"/>
    <n v="1"/>
    <n v="0"/>
    <x v="0"/>
  </r>
  <r>
    <x v="3"/>
    <x v="0"/>
    <n v="51"/>
    <s v="Oregon"/>
    <s v="Multnomah County"/>
    <n v="41051"/>
    <n v="22"/>
    <n v="0"/>
    <x v="12"/>
    <x v="0"/>
    <x v="144"/>
    <n v="197"/>
    <x v="1"/>
    <n v="6341200"/>
    <n v="41051"/>
    <n v="1"/>
    <n v="0"/>
    <x v="0"/>
  </r>
  <r>
    <x v="3"/>
    <x v="0"/>
    <n v="51"/>
    <s v="Oregon"/>
    <s v="Multnomah County"/>
    <n v="41051"/>
    <n v="22"/>
    <n v="71"/>
    <x v="12"/>
    <x v="18"/>
    <x v="27"/>
    <n v="173"/>
    <x v="125"/>
    <n v="10275100"/>
    <n v="41051"/>
    <n v="1"/>
    <n v="0"/>
    <x v="0"/>
  </r>
  <r>
    <x v="3"/>
    <x v="0"/>
    <n v="51"/>
    <s v="Oregon"/>
    <s v="Multnomah County"/>
    <n v="41051"/>
    <n v="25"/>
    <n v="0"/>
    <x v="15"/>
    <x v="0"/>
    <x v="30"/>
    <n v="118"/>
    <x v="1"/>
    <n v="4130000"/>
    <n v="41051"/>
    <n v="1"/>
    <n v="0"/>
    <x v="0"/>
  </r>
  <r>
    <x v="3"/>
    <x v="0"/>
    <n v="51"/>
    <s v="Oregon"/>
    <s v="Multnomah County"/>
    <n v="41051"/>
    <n v="26"/>
    <n v="0"/>
    <x v="16"/>
    <x v="0"/>
    <x v="32"/>
    <n v="25"/>
    <x v="1"/>
    <n v="750000"/>
    <n v="41051"/>
    <n v="1"/>
    <n v="0"/>
    <x v="0"/>
  </r>
  <r>
    <x v="3"/>
    <x v="0"/>
    <n v="51"/>
    <s v="Oregon"/>
    <s v="Multnomah County"/>
    <n v="41051"/>
    <n v="26"/>
    <n v="99"/>
    <x v="16"/>
    <x v="110"/>
    <x v="145"/>
    <n v="178"/>
    <x v="105"/>
    <n v="4557000"/>
    <n v="41051"/>
    <n v="1"/>
    <n v="0"/>
    <x v="0"/>
  </r>
  <r>
    <x v="3"/>
    <x v="0"/>
    <n v="51"/>
    <s v="Oregon"/>
    <s v="Multnomah County"/>
    <n v="41051"/>
    <n v="30"/>
    <n v="0"/>
    <x v="33"/>
    <x v="0"/>
    <x v="89"/>
    <n v="224"/>
    <x v="27"/>
    <n v="16474220"/>
    <n v="41051"/>
    <n v="1"/>
    <n v="0"/>
    <x v="0"/>
  </r>
  <r>
    <x v="3"/>
    <x v="0"/>
    <n v="51"/>
    <s v="Oregon"/>
    <s v="Multnomah County"/>
    <n v="41051"/>
    <n v="32"/>
    <n v="3"/>
    <x v="18"/>
    <x v="22"/>
    <x v="35"/>
    <n v="69"/>
    <x v="16"/>
    <n v="2063100"/>
    <n v="41051"/>
    <n v="1"/>
    <n v="0"/>
    <x v="0"/>
  </r>
  <r>
    <x v="3"/>
    <x v="0"/>
    <n v="51"/>
    <s v="Oregon"/>
    <s v="Multnomah County"/>
    <n v="41051"/>
    <n v="32"/>
    <n v="31"/>
    <x v="18"/>
    <x v="111"/>
    <x v="146"/>
    <n v="316"/>
    <x v="147"/>
    <n v="9212600"/>
    <n v="41051"/>
    <n v="1"/>
    <n v="0"/>
    <x v="0"/>
  </r>
  <r>
    <x v="3"/>
    <x v="0"/>
    <n v="51"/>
    <s v="Oregon"/>
    <s v="Multnomah County"/>
    <n v="41051"/>
    <n v="33"/>
    <n v="0"/>
    <x v="19"/>
    <x v="0"/>
    <x v="36"/>
    <n v="314"/>
    <x v="148"/>
    <n v="17197800"/>
    <n v="41051"/>
    <n v="1"/>
    <n v="0"/>
    <x v="0"/>
  </r>
  <r>
    <x v="3"/>
    <x v="0"/>
    <n v="51"/>
    <s v="Oregon"/>
    <s v="Multnomah County"/>
    <n v="41051"/>
    <n v="35"/>
    <n v="0"/>
    <x v="20"/>
    <x v="0"/>
    <x v="37"/>
    <n v="231"/>
    <x v="145"/>
    <n v="16284500"/>
    <n v="41051"/>
    <n v="1"/>
    <n v="0"/>
    <x v="0"/>
  </r>
  <r>
    <x v="3"/>
    <x v="0"/>
    <n v="51"/>
    <s v="Oregon"/>
    <s v="Multnomah County"/>
    <n v="41051"/>
    <n v="35"/>
    <n v="13"/>
    <x v="20"/>
    <x v="112"/>
    <x v="147"/>
    <n v="78"/>
    <x v="149"/>
    <n v="5538000"/>
    <n v="41051"/>
    <n v="1"/>
    <n v="0"/>
    <x v="0"/>
  </r>
  <r>
    <x v="3"/>
    <x v="0"/>
    <n v="51"/>
    <s v="Oregon"/>
    <s v="Multnomah County"/>
    <n v="41051"/>
    <n v="36"/>
    <n v="47"/>
    <x v="21"/>
    <x v="23"/>
    <x v="39"/>
    <n v="399"/>
    <x v="150"/>
    <n v="36983000"/>
    <n v="41051"/>
    <n v="1"/>
    <n v="0"/>
    <x v="0"/>
  </r>
  <r>
    <x v="3"/>
    <x v="0"/>
    <n v="51"/>
    <s v="Oregon"/>
    <s v="Multnomah County"/>
    <n v="41051"/>
    <n v="36"/>
    <n v="61"/>
    <x v="21"/>
    <x v="24"/>
    <x v="40"/>
    <n v="280"/>
    <x v="151"/>
    <n v="9800000"/>
    <n v="41051"/>
    <n v="1"/>
    <n v="0"/>
    <x v="0"/>
  </r>
  <r>
    <x v="3"/>
    <x v="0"/>
    <n v="51"/>
    <s v="Oregon"/>
    <s v="Multnomah County"/>
    <n v="41051"/>
    <n v="37"/>
    <n v="0"/>
    <x v="22"/>
    <x v="0"/>
    <x v="43"/>
    <n v="96"/>
    <x v="152"/>
    <n v="780000"/>
    <n v="41051"/>
    <n v="1"/>
    <n v="0"/>
    <x v="0"/>
  </r>
  <r>
    <x v="3"/>
    <x v="0"/>
    <n v="51"/>
    <s v="Oregon"/>
    <s v="Multnomah County"/>
    <n v="41051"/>
    <n v="37"/>
    <n v="81"/>
    <x v="22"/>
    <x v="70"/>
    <x v="97"/>
    <n v="224"/>
    <x v="130"/>
    <n v="2508300"/>
    <n v="41051"/>
    <n v="1"/>
    <n v="0"/>
    <x v="0"/>
  </r>
  <r>
    <x v="3"/>
    <x v="0"/>
    <n v="51"/>
    <s v="Oregon"/>
    <s v="Multnomah County"/>
    <n v="41051"/>
    <n v="37"/>
    <n v="183"/>
    <x v="22"/>
    <x v="113"/>
    <x v="148"/>
    <n v="64"/>
    <x v="1"/>
    <n v="1280000"/>
    <n v="41051"/>
    <n v="1"/>
    <n v="0"/>
    <x v="0"/>
  </r>
  <r>
    <x v="3"/>
    <x v="0"/>
    <n v="51"/>
    <s v="Oregon"/>
    <s v="Multnomah County"/>
    <n v="41051"/>
    <n v="38"/>
    <n v="0"/>
    <x v="45"/>
    <x v="0"/>
    <x v="149"/>
    <n v="57"/>
    <x v="153"/>
    <n v="2569000"/>
    <n v="41051"/>
    <n v="1"/>
    <n v="0"/>
    <x v="0"/>
  </r>
  <r>
    <x v="3"/>
    <x v="0"/>
    <n v="51"/>
    <s v="Oregon"/>
    <s v="Multnomah County"/>
    <n v="41051"/>
    <n v="39"/>
    <n v="35"/>
    <x v="23"/>
    <x v="95"/>
    <x v="126"/>
    <n v="532"/>
    <x v="154"/>
    <n v="5247000"/>
    <n v="41051"/>
    <n v="1"/>
    <n v="0"/>
    <x v="0"/>
  </r>
  <r>
    <x v="3"/>
    <x v="0"/>
    <n v="51"/>
    <s v="Oregon"/>
    <s v="Multnomah County"/>
    <n v="41051"/>
    <n v="40"/>
    <n v="109"/>
    <x v="42"/>
    <x v="96"/>
    <x v="127"/>
    <n v="40"/>
    <x v="25"/>
    <n v="32000"/>
    <n v="41051"/>
    <n v="1"/>
    <n v="0"/>
    <x v="0"/>
  </r>
  <r>
    <x v="3"/>
    <x v="0"/>
    <n v="51"/>
    <s v="Oregon"/>
    <s v="Multnomah County"/>
    <n v="41051"/>
    <n v="41"/>
    <n v="0"/>
    <x v="24"/>
    <x v="0"/>
    <x v="45"/>
    <n v="3532"/>
    <x v="155"/>
    <n v="171185310"/>
    <n v="41051"/>
    <n v="1"/>
    <n v="0"/>
    <x v="0"/>
  </r>
  <r>
    <x v="3"/>
    <x v="0"/>
    <n v="51"/>
    <s v="Oregon"/>
    <s v="Multnomah County"/>
    <n v="41051"/>
    <n v="41"/>
    <n v="5"/>
    <x v="24"/>
    <x v="27"/>
    <x v="46"/>
    <n v="7490"/>
    <x v="156"/>
    <n v="348937750"/>
    <n v="41051"/>
    <n v="1"/>
    <n v="0"/>
    <x v="0"/>
  </r>
  <r>
    <x v="3"/>
    <x v="0"/>
    <n v="51"/>
    <s v="Oregon"/>
    <s v="Multnomah County"/>
    <n v="41051"/>
    <n v="41"/>
    <n v="17"/>
    <x v="24"/>
    <x v="28"/>
    <x v="47"/>
    <n v="628"/>
    <x v="157"/>
    <n v="54160000"/>
    <n v="41051"/>
    <n v="1"/>
    <n v="0"/>
    <x v="0"/>
  </r>
  <r>
    <x v="3"/>
    <x v="0"/>
    <n v="51"/>
    <s v="Oregon"/>
    <s v="Multnomah County"/>
    <n v="41051"/>
    <n v="41"/>
    <n v="19"/>
    <x v="24"/>
    <x v="29"/>
    <x v="48"/>
    <n v="64"/>
    <x v="1"/>
    <n v="243200"/>
    <n v="41051"/>
    <n v="1"/>
    <n v="0"/>
    <x v="0"/>
  </r>
  <r>
    <x v="3"/>
    <x v="0"/>
    <n v="51"/>
    <s v="Oregon"/>
    <s v="Multnomah County"/>
    <n v="41051"/>
    <n v="41"/>
    <n v="29"/>
    <x v="24"/>
    <x v="30"/>
    <x v="49"/>
    <n v="237"/>
    <x v="158"/>
    <n v="9906000"/>
    <n v="41051"/>
    <n v="1"/>
    <n v="0"/>
    <x v="0"/>
  </r>
  <r>
    <x v="3"/>
    <x v="0"/>
    <n v="51"/>
    <s v="Oregon"/>
    <s v="Multnomah County"/>
    <n v="41051"/>
    <n v="41"/>
    <n v="39"/>
    <x v="24"/>
    <x v="31"/>
    <x v="50"/>
    <n v="1957"/>
    <x v="159"/>
    <n v="82421950"/>
    <n v="41051"/>
    <n v="1"/>
    <n v="0"/>
    <x v="0"/>
  </r>
  <r>
    <x v="3"/>
    <x v="0"/>
    <n v="51"/>
    <s v="Oregon"/>
    <s v="Multnomah County"/>
    <n v="41051"/>
    <n v="41"/>
    <n v="47"/>
    <x v="24"/>
    <x v="32"/>
    <x v="51"/>
    <n v="295"/>
    <x v="160"/>
    <n v="4456000"/>
    <n v="41051"/>
    <n v="1"/>
    <n v="0"/>
    <x v="0"/>
  </r>
  <r>
    <x v="3"/>
    <x v="0"/>
    <n v="51"/>
    <s v="Oregon"/>
    <s v="Multnomah County"/>
    <n v="41051"/>
    <n v="41"/>
    <n v="51"/>
    <x v="24"/>
    <x v="33"/>
    <x v="52"/>
    <n v="589695"/>
    <x v="161"/>
    <n v="30113894328"/>
    <n v="41051"/>
    <n v="1"/>
    <n v="1"/>
    <x v="1"/>
  </r>
  <r>
    <x v="3"/>
    <x v="0"/>
    <n v="51"/>
    <s v="Oregon"/>
    <s v="Multnomah County"/>
    <n v="41051"/>
    <n v="41"/>
    <n v="67"/>
    <x v="24"/>
    <x v="34"/>
    <x v="53"/>
    <n v="5912"/>
    <x v="162"/>
    <n v="322085000"/>
    <n v="41051"/>
    <n v="1"/>
    <n v="0"/>
    <x v="0"/>
  </r>
  <r>
    <x v="3"/>
    <x v="0"/>
    <n v="51"/>
    <s v="Oregon"/>
    <s v="Multnomah County"/>
    <n v="41051"/>
    <n v="42"/>
    <n v="0"/>
    <x v="25"/>
    <x v="0"/>
    <x v="150"/>
    <n v="21"/>
    <x v="1"/>
    <n v="525000"/>
    <n v="41051"/>
    <n v="1"/>
    <n v="0"/>
    <x v="0"/>
  </r>
  <r>
    <x v="3"/>
    <x v="0"/>
    <n v="51"/>
    <s v="Oregon"/>
    <s v="Multnomah County"/>
    <n v="41051"/>
    <n v="42"/>
    <n v="101"/>
    <x v="25"/>
    <x v="36"/>
    <x v="55"/>
    <n v="353"/>
    <x v="1"/>
    <n v="6459900"/>
    <n v="41051"/>
    <n v="1"/>
    <n v="0"/>
    <x v="0"/>
  </r>
  <r>
    <x v="3"/>
    <x v="0"/>
    <n v="51"/>
    <s v="Oregon"/>
    <s v="Multnomah County"/>
    <n v="41051"/>
    <n v="47"/>
    <n v="0"/>
    <x v="38"/>
    <x v="0"/>
    <x v="103"/>
    <n v="58"/>
    <x v="63"/>
    <n v="203000"/>
    <n v="41051"/>
    <n v="1"/>
    <n v="0"/>
    <x v="0"/>
  </r>
  <r>
    <x v="3"/>
    <x v="0"/>
    <n v="51"/>
    <s v="Oregon"/>
    <s v="Multnomah County"/>
    <n v="41051"/>
    <n v="47"/>
    <n v="37"/>
    <x v="38"/>
    <x v="75"/>
    <x v="104"/>
    <n v="215"/>
    <x v="20"/>
    <n v="25406000"/>
    <n v="41051"/>
    <n v="1"/>
    <n v="0"/>
    <x v="0"/>
  </r>
  <r>
    <x v="3"/>
    <x v="0"/>
    <n v="51"/>
    <s v="Oregon"/>
    <s v="Multnomah County"/>
    <n v="41051"/>
    <n v="48"/>
    <n v="0"/>
    <x v="26"/>
    <x v="0"/>
    <x v="128"/>
    <n v="260"/>
    <x v="1"/>
    <n v="5042700"/>
    <n v="41051"/>
    <n v="1"/>
    <n v="0"/>
    <x v="0"/>
  </r>
  <r>
    <x v="3"/>
    <x v="0"/>
    <n v="51"/>
    <s v="Oregon"/>
    <s v="Multnomah County"/>
    <n v="41051"/>
    <n v="48"/>
    <n v="29"/>
    <x v="26"/>
    <x v="114"/>
    <x v="151"/>
    <n v="181"/>
    <x v="163"/>
    <n v="6680000"/>
    <n v="41051"/>
    <n v="1"/>
    <n v="0"/>
    <x v="0"/>
  </r>
  <r>
    <x v="3"/>
    <x v="0"/>
    <n v="51"/>
    <s v="Oregon"/>
    <s v="Multnomah County"/>
    <n v="41051"/>
    <n v="48"/>
    <n v="85"/>
    <x v="26"/>
    <x v="76"/>
    <x v="105"/>
    <n v="140"/>
    <x v="1"/>
    <n v="1400000"/>
    <n v="41051"/>
    <n v="1"/>
    <n v="0"/>
    <x v="0"/>
  </r>
  <r>
    <x v="3"/>
    <x v="0"/>
    <n v="51"/>
    <s v="Oregon"/>
    <s v="Multnomah County"/>
    <n v="41051"/>
    <n v="48"/>
    <n v="453"/>
    <x v="26"/>
    <x v="38"/>
    <x v="57"/>
    <n v="277"/>
    <x v="164"/>
    <n v="13506500"/>
    <n v="41051"/>
    <n v="1"/>
    <n v="0"/>
    <x v="0"/>
  </r>
  <r>
    <x v="3"/>
    <x v="0"/>
    <n v="51"/>
    <s v="Oregon"/>
    <s v="Multnomah County"/>
    <n v="41051"/>
    <n v="49"/>
    <n v="0"/>
    <x v="27"/>
    <x v="0"/>
    <x v="152"/>
    <n v="76"/>
    <x v="56"/>
    <n v="2706000"/>
    <n v="41051"/>
    <n v="1"/>
    <n v="0"/>
    <x v="0"/>
  </r>
  <r>
    <x v="3"/>
    <x v="0"/>
    <n v="51"/>
    <s v="Oregon"/>
    <s v="Multnomah County"/>
    <n v="41051"/>
    <n v="49"/>
    <n v="35"/>
    <x v="27"/>
    <x v="39"/>
    <x v="58"/>
    <n v="361"/>
    <x v="165"/>
    <n v="15559500"/>
    <n v="41051"/>
    <n v="1"/>
    <n v="0"/>
    <x v="0"/>
  </r>
  <r>
    <x v="3"/>
    <x v="0"/>
    <n v="51"/>
    <s v="Oregon"/>
    <s v="Multnomah County"/>
    <n v="41051"/>
    <n v="50"/>
    <n v="0"/>
    <x v="46"/>
    <x v="0"/>
    <x v="153"/>
    <n v="227"/>
    <x v="166"/>
    <n v="22700000"/>
    <n v="41051"/>
    <n v="1"/>
    <n v="0"/>
    <x v="0"/>
  </r>
  <r>
    <x v="3"/>
    <x v="0"/>
    <n v="51"/>
    <s v="Oregon"/>
    <s v="Multnomah County"/>
    <n v="41051"/>
    <n v="51"/>
    <n v="0"/>
    <x v="39"/>
    <x v="0"/>
    <x v="108"/>
    <n v="102"/>
    <x v="1"/>
    <n v="1326000"/>
    <n v="41051"/>
    <n v="1"/>
    <n v="0"/>
    <x v="0"/>
  </r>
  <r>
    <x v="3"/>
    <x v="0"/>
    <n v="51"/>
    <s v="Oregon"/>
    <s v="Multnomah County"/>
    <n v="41051"/>
    <n v="51"/>
    <n v="13"/>
    <x v="39"/>
    <x v="115"/>
    <x v="154"/>
    <n v="131"/>
    <x v="1"/>
    <n v="20960000"/>
    <n v="41051"/>
    <n v="1"/>
    <n v="0"/>
    <x v="0"/>
  </r>
  <r>
    <x v="3"/>
    <x v="0"/>
    <n v="51"/>
    <s v="Oregon"/>
    <s v="Multnomah County"/>
    <n v="41051"/>
    <n v="53"/>
    <n v="0"/>
    <x v="28"/>
    <x v="0"/>
    <x v="60"/>
    <n v="1754"/>
    <x v="167"/>
    <n v="65378800"/>
    <n v="41051"/>
    <n v="1"/>
    <n v="0"/>
    <x v="0"/>
  </r>
  <r>
    <x v="3"/>
    <x v="0"/>
    <n v="51"/>
    <s v="Oregon"/>
    <s v="Multnomah County"/>
    <n v="41051"/>
    <n v="53"/>
    <n v="11"/>
    <x v="28"/>
    <x v="22"/>
    <x v="61"/>
    <n v="3172"/>
    <x v="168"/>
    <n v="117445780"/>
    <n v="41051"/>
    <n v="1"/>
    <n v="0"/>
    <x v="0"/>
  </r>
  <r>
    <x v="3"/>
    <x v="0"/>
    <n v="51"/>
    <s v="Oregon"/>
    <s v="Multnomah County"/>
    <n v="41051"/>
    <n v="53"/>
    <n v="33"/>
    <x v="28"/>
    <x v="41"/>
    <x v="62"/>
    <n v="1617"/>
    <x v="169"/>
    <n v="86726470"/>
    <n v="41051"/>
    <n v="1"/>
    <n v="0"/>
    <x v="0"/>
  </r>
  <r>
    <x v="3"/>
    <x v="0"/>
    <n v="51"/>
    <s v="Oregon"/>
    <s v="Multnomah County"/>
    <n v="41051"/>
    <n v="53"/>
    <n v="35"/>
    <x v="28"/>
    <x v="42"/>
    <x v="63"/>
    <n v="260"/>
    <x v="69"/>
    <n v="15730600"/>
    <n v="41051"/>
    <n v="1"/>
    <n v="0"/>
    <x v="0"/>
  </r>
  <r>
    <x v="3"/>
    <x v="0"/>
    <n v="51"/>
    <s v="Oregon"/>
    <s v="Multnomah County"/>
    <n v="41051"/>
    <n v="53"/>
    <n v="53"/>
    <x v="28"/>
    <x v="43"/>
    <x v="64"/>
    <n v="418"/>
    <x v="170"/>
    <n v="38168000"/>
    <n v="41051"/>
    <n v="1"/>
    <n v="0"/>
    <x v="0"/>
  </r>
  <r>
    <x v="3"/>
    <x v="0"/>
    <n v="51"/>
    <s v="Oregon"/>
    <s v="Multnomah County"/>
    <n v="41051"/>
    <n v="53"/>
    <n v="61"/>
    <x v="28"/>
    <x v="44"/>
    <x v="65"/>
    <n v="188"/>
    <x v="31"/>
    <n v="904280"/>
    <n v="41051"/>
    <n v="1"/>
    <n v="0"/>
    <x v="0"/>
  </r>
  <r>
    <x v="3"/>
    <x v="0"/>
    <n v="51"/>
    <s v="Oregon"/>
    <s v="Multnomah County"/>
    <n v="41051"/>
    <n v="53"/>
    <n v="63"/>
    <x v="28"/>
    <x v="45"/>
    <x v="66"/>
    <n v="115"/>
    <x v="49"/>
    <n v="4600000"/>
    <n v="41051"/>
    <n v="1"/>
    <n v="0"/>
    <x v="0"/>
  </r>
  <r>
    <x v="3"/>
    <x v="0"/>
    <n v="51"/>
    <s v="Oregon"/>
    <s v="Multnomah County"/>
    <n v="41051"/>
    <n v="53"/>
    <n v="67"/>
    <x v="28"/>
    <x v="81"/>
    <x v="111"/>
    <n v="129"/>
    <x v="171"/>
    <n v="4296000"/>
    <n v="41051"/>
    <n v="1"/>
    <n v="0"/>
    <x v="0"/>
  </r>
  <r>
    <x v="3"/>
    <x v="0"/>
    <n v="51"/>
    <s v="Oregon"/>
    <s v="Multnomah County"/>
    <n v="41051"/>
    <n v="55"/>
    <n v="0"/>
    <x v="40"/>
    <x v="0"/>
    <x v="155"/>
    <n v="80"/>
    <x v="1"/>
    <n v="480000"/>
    <n v="41051"/>
    <n v="1"/>
    <n v="0"/>
    <x v="0"/>
  </r>
  <r>
    <x v="3"/>
    <x v="0"/>
    <n v="51"/>
    <s v="Oregon"/>
    <s v="Multnomah County"/>
    <n v="41051"/>
    <n v="55"/>
    <n v="79"/>
    <x v="40"/>
    <x v="99"/>
    <x v="132"/>
    <n v="198"/>
    <x v="172"/>
    <n v="19455000"/>
    <n v="41051"/>
    <n v="1"/>
    <n v="0"/>
    <x v="0"/>
  </r>
  <r>
    <x v="4"/>
    <x v="0"/>
    <n v="51"/>
    <s v="Oregon"/>
    <s v="Multnomah County"/>
    <n v="41051"/>
    <n v="4"/>
    <n v="0"/>
    <x v="2"/>
    <x v="0"/>
    <x v="2"/>
    <n v="271"/>
    <x v="1"/>
    <n v="1505900"/>
    <n v="41051"/>
    <n v="1"/>
    <n v="0"/>
    <x v="0"/>
  </r>
  <r>
    <x v="4"/>
    <x v="0"/>
    <n v="51"/>
    <s v="Oregon"/>
    <s v="Multnomah County"/>
    <n v="41051"/>
    <n v="4"/>
    <n v="13"/>
    <x v="2"/>
    <x v="1"/>
    <x v="3"/>
    <n v="970"/>
    <x v="173"/>
    <n v="73496000"/>
    <n v="41051"/>
    <n v="1"/>
    <n v="0"/>
    <x v="0"/>
  </r>
  <r>
    <x v="4"/>
    <x v="0"/>
    <n v="51"/>
    <s v="Oregon"/>
    <s v="Multnomah County"/>
    <n v="41051"/>
    <n v="4"/>
    <n v="19"/>
    <x v="2"/>
    <x v="47"/>
    <x v="68"/>
    <n v="497"/>
    <x v="174"/>
    <n v="22579080"/>
    <n v="41051"/>
    <n v="1"/>
    <n v="0"/>
    <x v="0"/>
  </r>
  <r>
    <x v="4"/>
    <x v="0"/>
    <n v="51"/>
    <s v="Oregon"/>
    <s v="Multnomah County"/>
    <n v="41051"/>
    <n v="6"/>
    <n v="0"/>
    <x v="3"/>
    <x v="0"/>
    <x v="4"/>
    <n v="47"/>
    <x v="1"/>
    <n v="1410000"/>
    <n v="41051"/>
    <n v="1"/>
    <n v="0"/>
    <x v="0"/>
  </r>
  <r>
    <x v="4"/>
    <x v="0"/>
    <n v="51"/>
    <s v="Oregon"/>
    <s v="Multnomah County"/>
    <n v="41051"/>
    <n v="6"/>
    <n v="1"/>
    <x v="3"/>
    <x v="2"/>
    <x v="5"/>
    <n v="163"/>
    <x v="175"/>
    <n v="16015000"/>
    <n v="41051"/>
    <n v="1"/>
    <n v="0"/>
    <x v="0"/>
  </r>
  <r>
    <x v="4"/>
    <x v="0"/>
    <n v="51"/>
    <s v="Oregon"/>
    <s v="Multnomah County"/>
    <n v="41051"/>
    <n v="6"/>
    <n v="17"/>
    <x v="3"/>
    <x v="102"/>
    <x v="136"/>
    <n v="84"/>
    <x v="79"/>
    <n v="12600000"/>
    <n v="41051"/>
    <n v="1"/>
    <n v="0"/>
    <x v="0"/>
  </r>
  <r>
    <x v="4"/>
    <x v="0"/>
    <n v="51"/>
    <s v="Oregon"/>
    <s v="Multnomah County"/>
    <n v="41051"/>
    <n v="6"/>
    <n v="37"/>
    <x v="3"/>
    <x v="6"/>
    <x v="9"/>
    <n v="484"/>
    <x v="176"/>
    <n v="16596720"/>
    <n v="41051"/>
    <n v="1"/>
    <n v="0"/>
    <x v="0"/>
  </r>
  <r>
    <x v="4"/>
    <x v="0"/>
    <n v="51"/>
    <s v="Oregon"/>
    <s v="Multnomah County"/>
    <n v="41051"/>
    <n v="6"/>
    <n v="41"/>
    <x v="3"/>
    <x v="104"/>
    <x v="138"/>
    <n v="159"/>
    <x v="22"/>
    <n v="7864900"/>
    <n v="41051"/>
    <n v="1"/>
    <n v="0"/>
    <x v="0"/>
  </r>
  <r>
    <x v="4"/>
    <x v="0"/>
    <n v="51"/>
    <s v="Oregon"/>
    <s v="Multnomah County"/>
    <n v="41051"/>
    <n v="6"/>
    <n v="67"/>
    <x v="3"/>
    <x v="9"/>
    <x v="12"/>
    <n v="121"/>
    <x v="63"/>
    <n v="3303000"/>
    <n v="41051"/>
    <n v="1"/>
    <n v="0"/>
    <x v="0"/>
  </r>
  <r>
    <x v="4"/>
    <x v="0"/>
    <n v="51"/>
    <s v="Oregon"/>
    <s v="Multnomah County"/>
    <n v="41051"/>
    <n v="6"/>
    <n v="73"/>
    <x v="3"/>
    <x v="10"/>
    <x v="13"/>
    <n v="271"/>
    <x v="177"/>
    <n v="12756200"/>
    <n v="41051"/>
    <n v="1"/>
    <n v="0"/>
    <x v="0"/>
  </r>
  <r>
    <x v="4"/>
    <x v="0"/>
    <n v="51"/>
    <s v="Oregon"/>
    <s v="Multnomah County"/>
    <n v="41051"/>
    <n v="6"/>
    <n v="75"/>
    <x v="3"/>
    <x v="11"/>
    <x v="14"/>
    <n v="409"/>
    <x v="69"/>
    <n v="17341000"/>
    <n v="41051"/>
    <n v="1"/>
    <n v="0"/>
    <x v="0"/>
  </r>
  <r>
    <x v="4"/>
    <x v="0"/>
    <n v="51"/>
    <s v="Oregon"/>
    <s v="Multnomah County"/>
    <n v="41051"/>
    <n v="6"/>
    <n v="77"/>
    <x v="3"/>
    <x v="116"/>
    <x v="156"/>
    <n v="53"/>
    <x v="1"/>
    <n v="1908000"/>
    <n v="41051"/>
    <n v="1"/>
    <n v="0"/>
    <x v="0"/>
  </r>
  <r>
    <x v="4"/>
    <x v="0"/>
    <n v="51"/>
    <s v="Oregon"/>
    <s v="Multnomah County"/>
    <n v="41051"/>
    <n v="6"/>
    <n v="81"/>
    <x v="3"/>
    <x v="84"/>
    <x v="114"/>
    <n v="218"/>
    <x v="178"/>
    <n v="14995800"/>
    <n v="41051"/>
    <n v="1"/>
    <n v="0"/>
    <x v="0"/>
  </r>
  <r>
    <x v="4"/>
    <x v="0"/>
    <n v="51"/>
    <s v="Oregon"/>
    <s v="Multnomah County"/>
    <n v="41051"/>
    <n v="6"/>
    <n v="83"/>
    <x v="3"/>
    <x v="49"/>
    <x v="70"/>
    <n v="93"/>
    <x v="1"/>
    <n v="0"/>
    <n v="41051"/>
    <n v="1"/>
    <n v="0"/>
    <x v="0"/>
  </r>
  <r>
    <x v="4"/>
    <x v="0"/>
    <n v="51"/>
    <s v="Oregon"/>
    <s v="Multnomah County"/>
    <n v="41051"/>
    <n v="6"/>
    <n v="85"/>
    <x v="3"/>
    <x v="50"/>
    <x v="71"/>
    <n v="260"/>
    <x v="179"/>
    <n v="2483600"/>
    <n v="41051"/>
    <n v="1"/>
    <n v="0"/>
    <x v="0"/>
  </r>
  <r>
    <x v="4"/>
    <x v="0"/>
    <n v="51"/>
    <s v="Oregon"/>
    <s v="Multnomah County"/>
    <n v="41051"/>
    <n v="6"/>
    <n v="97"/>
    <x v="3"/>
    <x v="52"/>
    <x v="73"/>
    <n v="55"/>
    <x v="1"/>
    <n v="836000"/>
    <n v="41051"/>
    <n v="1"/>
    <n v="0"/>
    <x v="0"/>
  </r>
  <r>
    <x v="4"/>
    <x v="0"/>
    <n v="51"/>
    <s v="Oregon"/>
    <s v="Multnomah County"/>
    <n v="41051"/>
    <n v="8"/>
    <n v="0"/>
    <x v="4"/>
    <x v="0"/>
    <x v="16"/>
    <n v="359"/>
    <x v="1"/>
    <n v="12402000"/>
    <n v="41051"/>
    <n v="1"/>
    <n v="0"/>
    <x v="0"/>
  </r>
  <r>
    <x v="4"/>
    <x v="0"/>
    <n v="51"/>
    <s v="Oregon"/>
    <s v="Multnomah County"/>
    <n v="41051"/>
    <n v="9"/>
    <n v="5"/>
    <x v="5"/>
    <x v="117"/>
    <x v="157"/>
    <n v="83"/>
    <x v="1"/>
    <n v="1328000"/>
    <n v="41051"/>
    <n v="1"/>
    <n v="0"/>
    <x v="0"/>
  </r>
  <r>
    <x v="4"/>
    <x v="0"/>
    <n v="51"/>
    <s v="Oregon"/>
    <s v="Multnomah County"/>
    <n v="41051"/>
    <n v="12"/>
    <n v="31"/>
    <x v="6"/>
    <x v="118"/>
    <x v="158"/>
    <n v="99"/>
    <x v="1"/>
    <n v="5445000"/>
    <n v="41051"/>
    <n v="1"/>
    <n v="0"/>
    <x v="0"/>
  </r>
  <r>
    <x v="4"/>
    <x v="0"/>
    <n v="51"/>
    <s v="Oregon"/>
    <s v="Multnomah County"/>
    <n v="41051"/>
    <n v="12"/>
    <n v="95"/>
    <x v="6"/>
    <x v="7"/>
    <x v="159"/>
    <n v="82"/>
    <x v="180"/>
    <n v="2448000"/>
    <n v="41051"/>
    <n v="1"/>
    <n v="0"/>
    <x v="0"/>
  </r>
  <r>
    <x v="4"/>
    <x v="0"/>
    <n v="51"/>
    <s v="Oregon"/>
    <s v="Multnomah County"/>
    <n v="41051"/>
    <n v="12"/>
    <n v="105"/>
    <x v="6"/>
    <x v="119"/>
    <x v="160"/>
    <n v="241"/>
    <x v="181"/>
    <n v="12957000"/>
    <n v="41051"/>
    <n v="1"/>
    <n v="0"/>
    <x v="0"/>
  </r>
  <r>
    <x v="4"/>
    <x v="0"/>
    <n v="51"/>
    <s v="Oregon"/>
    <s v="Multnomah County"/>
    <n v="41051"/>
    <n v="12"/>
    <n v="117"/>
    <x v="6"/>
    <x v="120"/>
    <x v="161"/>
    <n v="178"/>
    <x v="1"/>
    <n v="2740000"/>
    <n v="41051"/>
    <n v="1"/>
    <n v="0"/>
    <x v="0"/>
  </r>
  <r>
    <x v="4"/>
    <x v="0"/>
    <n v="51"/>
    <s v="Oregon"/>
    <s v="Multnomah County"/>
    <n v="41051"/>
    <n v="13"/>
    <n v="135"/>
    <x v="7"/>
    <x v="121"/>
    <x v="162"/>
    <n v="30"/>
    <x v="1"/>
    <n v="870000"/>
    <n v="41051"/>
    <n v="1"/>
    <n v="0"/>
    <x v="0"/>
  </r>
  <r>
    <x v="4"/>
    <x v="0"/>
    <n v="51"/>
    <s v="Oregon"/>
    <s v="Multnomah County"/>
    <n v="41051"/>
    <n v="15"/>
    <n v="1"/>
    <x v="8"/>
    <x v="122"/>
    <x v="163"/>
    <n v="71"/>
    <x v="50"/>
    <n v="1420000"/>
    <n v="41051"/>
    <n v="1"/>
    <n v="0"/>
    <x v="0"/>
  </r>
  <r>
    <x v="4"/>
    <x v="0"/>
    <n v="51"/>
    <s v="Oregon"/>
    <s v="Multnomah County"/>
    <n v="41051"/>
    <n v="16"/>
    <n v="0"/>
    <x v="9"/>
    <x v="0"/>
    <x v="24"/>
    <n v="1369"/>
    <x v="6"/>
    <n v="47384400"/>
    <n v="41051"/>
    <n v="1"/>
    <n v="0"/>
    <x v="0"/>
  </r>
  <r>
    <x v="4"/>
    <x v="0"/>
    <n v="51"/>
    <s v="Oregon"/>
    <s v="Multnomah County"/>
    <n v="41051"/>
    <n v="16"/>
    <n v="19"/>
    <x v="9"/>
    <x v="123"/>
    <x v="164"/>
    <n v="251"/>
    <x v="49"/>
    <n v="5379000"/>
    <n v="41051"/>
    <n v="1"/>
    <n v="0"/>
    <x v="0"/>
  </r>
  <r>
    <x v="4"/>
    <x v="0"/>
    <n v="51"/>
    <s v="Oregon"/>
    <s v="Multnomah County"/>
    <n v="41051"/>
    <n v="17"/>
    <n v="31"/>
    <x v="10"/>
    <x v="89"/>
    <x v="119"/>
    <n v="308"/>
    <x v="182"/>
    <n v="12012000"/>
    <n v="41051"/>
    <n v="1"/>
    <n v="0"/>
    <x v="0"/>
  </r>
  <r>
    <x v="4"/>
    <x v="0"/>
    <n v="51"/>
    <s v="Oregon"/>
    <s v="Multnomah County"/>
    <n v="41051"/>
    <n v="18"/>
    <n v="157"/>
    <x v="30"/>
    <x v="124"/>
    <x v="165"/>
    <n v="265"/>
    <x v="158"/>
    <n v="12220800"/>
    <n v="41051"/>
    <n v="1"/>
    <n v="0"/>
    <x v="0"/>
  </r>
  <r>
    <x v="4"/>
    <x v="0"/>
    <n v="51"/>
    <s v="Oregon"/>
    <s v="Multnomah County"/>
    <n v="41051"/>
    <n v="19"/>
    <n v="0"/>
    <x v="47"/>
    <x v="0"/>
    <x v="166"/>
    <n v="304"/>
    <x v="183"/>
    <n v="7164800"/>
    <n v="41051"/>
    <n v="1"/>
    <n v="0"/>
    <x v="0"/>
  </r>
  <r>
    <x v="4"/>
    <x v="0"/>
    <n v="51"/>
    <s v="Oregon"/>
    <s v="Multnomah County"/>
    <n v="41051"/>
    <n v="20"/>
    <n v="0"/>
    <x v="11"/>
    <x v="0"/>
    <x v="26"/>
    <n v="7"/>
    <x v="1"/>
    <n v="3500"/>
    <n v="41051"/>
    <n v="1"/>
    <n v="0"/>
    <x v="0"/>
  </r>
  <r>
    <x v="4"/>
    <x v="0"/>
    <n v="51"/>
    <s v="Oregon"/>
    <s v="Multnomah County"/>
    <n v="41051"/>
    <n v="21"/>
    <n v="111"/>
    <x v="31"/>
    <x v="60"/>
    <x v="83"/>
    <n v="123"/>
    <x v="7"/>
    <n v="4305000"/>
    <n v="41051"/>
    <n v="1"/>
    <n v="0"/>
    <x v="0"/>
  </r>
  <r>
    <x v="4"/>
    <x v="0"/>
    <n v="51"/>
    <s v="Oregon"/>
    <s v="Multnomah County"/>
    <n v="41051"/>
    <n v="22"/>
    <n v="0"/>
    <x v="12"/>
    <x v="0"/>
    <x v="144"/>
    <n v="36"/>
    <x v="1"/>
    <n v="334800"/>
    <n v="41051"/>
    <n v="1"/>
    <n v="0"/>
    <x v="0"/>
  </r>
  <r>
    <x v="4"/>
    <x v="0"/>
    <n v="51"/>
    <s v="Oregon"/>
    <s v="Multnomah County"/>
    <n v="41051"/>
    <n v="25"/>
    <n v="0"/>
    <x v="15"/>
    <x v="0"/>
    <x v="30"/>
    <n v="91"/>
    <x v="184"/>
    <n v="7735000"/>
    <n v="41051"/>
    <n v="1"/>
    <n v="0"/>
    <x v="0"/>
  </r>
  <r>
    <x v="4"/>
    <x v="0"/>
    <n v="51"/>
    <s v="Oregon"/>
    <s v="Multnomah County"/>
    <n v="41051"/>
    <n v="25"/>
    <n v="25"/>
    <x v="15"/>
    <x v="20"/>
    <x v="31"/>
    <n v="386"/>
    <x v="136"/>
    <n v="11081000"/>
    <n v="41051"/>
    <n v="1"/>
    <n v="0"/>
    <x v="0"/>
  </r>
  <r>
    <x v="4"/>
    <x v="0"/>
    <n v="51"/>
    <s v="Oregon"/>
    <s v="Multnomah County"/>
    <n v="41051"/>
    <n v="26"/>
    <n v="163"/>
    <x v="16"/>
    <x v="125"/>
    <x v="167"/>
    <n v="169"/>
    <x v="185"/>
    <n v="18590000"/>
    <n v="41051"/>
    <n v="1"/>
    <n v="0"/>
    <x v="0"/>
  </r>
  <r>
    <x v="4"/>
    <x v="0"/>
    <n v="51"/>
    <s v="Oregon"/>
    <s v="Multnomah County"/>
    <n v="41051"/>
    <n v="27"/>
    <n v="53"/>
    <x v="17"/>
    <x v="21"/>
    <x v="33"/>
    <n v="112"/>
    <x v="179"/>
    <n v="4480000"/>
    <n v="41051"/>
    <n v="1"/>
    <n v="0"/>
    <x v="0"/>
  </r>
  <r>
    <x v="4"/>
    <x v="0"/>
    <n v="51"/>
    <s v="Oregon"/>
    <s v="Multnomah County"/>
    <n v="41051"/>
    <n v="28"/>
    <n v="0"/>
    <x v="32"/>
    <x v="0"/>
    <x v="88"/>
    <n v="494"/>
    <x v="1"/>
    <n v="3853200"/>
    <n v="41051"/>
    <n v="1"/>
    <n v="0"/>
    <x v="0"/>
  </r>
  <r>
    <x v="4"/>
    <x v="0"/>
    <n v="51"/>
    <s v="Oregon"/>
    <s v="Multnomah County"/>
    <n v="41051"/>
    <n v="29"/>
    <n v="95"/>
    <x v="41"/>
    <x v="30"/>
    <x v="168"/>
    <n v="156"/>
    <x v="186"/>
    <n v="4872000"/>
    <n v="41051"/>
    <n v="1"/>
    <n v="0"/>
    <x v="0"/>
  </r>
  <r>
    <x v="4"/>
    <x v="0"/>
    <n v="51"/>
    <s v="Oregon"/>
    <s v="Multnomah County"/>
    <n v="41051"/>
    <n v="30"/>
    <n v="0"/>
    <x v="33"/>
    <x v="0"/>
    <x v="89"/>
    <n v="135"/>
    <x v="187"/>
    <n v="3645000"/>
    <n v="41051"/>
    <n v="1"/>
    <n v="0"/>
    <x v="0"/>
  </r>
  <r>
    <x v="4"/>
    <x v="0"/>
    <n v="51"/>
    <s v="Oregon"/>
    <s v="Multnomah County"/>
    <n v="41051"/>
    <n v="32"/>
    <n v="0"/>
    <x v="18"/>
    <x v="0"/>
    <x v="34"/>
    <n v="19"/>
    <x v="1"/>
    <n v="182400"/>
    <n v="41051"/>
    <n v="1"/>
    <n v="0"/>
    <x v="0"/>
  </r>
  <r>
    <x v="4"/>
    <x v="0"/>
    <n v="51"/>
    <s v="Oregon"/>
    <s v="Multnomah County"/>
    <n v="41051"/>
    <n v="32"/>
    <n v="3"/>
    <x v="18"/>
    <x v="22"/>
    <x v="35"/>
    <n v="218"/>
    <x v="188"/>
    <n v="11904200"/>
    <n v="41051"/>
    <n v="1"/>
    <n v="0"/>
    <x v="0"/>
  </r>
  <r>
    <x v="4"/>
    <x v="0"/>
    <n v="51"/>
    <s v="Oregon"/>
    <s v="Multnomah County"/>
    <n v="41051"/>
    <n v="34"/>
    <n v="13"/>
    <x v="35"/>
    <x v="126"/>
    <x v="169"/>
    <n v="75"/>
    <x v="189"/>
    <n v="187500"/>
    <n v="41051"/>
    <n v="1"/>
    <n v="0"/>
    <x v="0"/>
  </r>
  <r>
    <x v="4"/>
    <x v="0"/>
    <n v="51"/>
    <s v="Oregon"/>
    <s v="Multnomah County"/>
    <n v="41051"/>
    <n v="34"/>
    <n v="21"/>
    <x v="35"/>
    <x v="64"/>
    <x v="91"/>
    <n v="216"/>
    <x v="184"/>
    <n v="6401000"/>
    <n v="41051"/>
    <n v="1"/>
    <n v="0"/>
    <x v="0"/>
  </r>
  <r>
    <x v="4"/>
    <x v="0"/>
    <n v="51"/>
    <s v="Oregon"/>
    <s v="Multnomah County"/>
    <n v="41051"/>
    <n v="35"/>
    <n v="0"/>
    <x v="20"/>
    <x v="0"/>
    <x v="37"/>
    <n v="240"/>
    <x v="1"/>
    <n v="4320000"/>
    <n v="41051"/>
    <n v="1"/>
    <n v="0"/>
    <x v="0"/>
  </r>
  <r>
    <x v="4"/>
    <x v="0"/>
    <n v="51"/>
    <s v="Oregon"/>
    <s v="Multnomah County"/>
    <n v="41051"/>
    <n v="36"/>
    <n v="0"/>
    <x v="21"/>
    <x v="0"/>
    <x v="38"/>
    <n v="39"/>
    <x v="1"/>
    <n v="0"/>
    <n v="41051"/>
    <n v="1"/>
    <n v="0"/>
    <x v="0"/>
  </r>
  <r>
    <x v="4"/>
    <x v="0"/>
    <n v="51"/>
    <s v="Oregon"/>
    <s v="Multnomah County"/>
    <n v="41051"/>
    <n v="36"/>
    <n v="29"/>
    <x v="21"/>
    <x v="127"/>
    <x v="170"/>
    <n v="154"/>
    <x v="190"/>
    <n v="9703800"/>
    <n v="41051"/>
    <n v="1"/>
    <n v="0"/>
    <x v="0"/>
  </r>
  <r>
    <x v="4"/>
    <x v="0"/>
    <n v="51"/>
    <s v="Oregon"/>
    <s v="Multnomah County"/>
    <n v="41051"/>
    <n v="36"/>
    <n v="47"/>
    <x v="21"/>
    <x v="23"/>
    <x v="39"/>
    <n v="54"/>
    <x v="1"/>
    <n v="4860000"/>
    <n v="41051"/>
    <n v="1"/>
    <n v="0"/>
    <x v="0"/>
  </r>
  <r>
    <x v="4"/>
    <x v="0"/>
    <n v="51"/>
    <s v="Oregon"/>
    <s v="Multnomah County"/>
    <n v="41051"/>
    <n v="36"/>
    <n v="55"/>
    <x v="21"/>
    <x v="94"/>
    <x v="124"/>
    <n v="274"/>
    <x v="1"/>
    <n v="8439200"/>
    <n v="41051"/>
    <n v="1"/>
    <n v="0"/>
    <x v="0"/>
  </r>
  <r>
    <x v="4"/>
    <x v="0"/>
    <n v="51"/>
    <s v="Oregon"/>
    <s v="Multnomah County"/>
    <n v="41051"/>
    <n v="36"/>
    <n v="61"/>
    <x v="21"/>
    <x v="24"/>
    <x v="40"/>
    <n v="545"/>
    <x v="126"/>
    <n v="18072200"/>
    <n v="41051"/>
    <n v="1"/>
    <n v="0"/>
    <x v="0"/>
  </r>
  <r>
    <x v="4"/>
    <x v="0"/>
    <n v="51"/>
    <s v="Oregon"/>
    <s v="Multnomah County"/>
    <n v="41051"/>
    <n v="36"/>
    <n v="81"/>
    <x v="21"/>
    <x v="25"/>
    <x v="41"/>
    <n v="241"/>
    <x v="148"/>
    <n v="47976200"/>
    <n v="41051"/>
    <n v="1"/>
    <n v="0"/>
    <x v="0"/>
  </r>
  <r>
    <x v="4"/>
    <x v="0"/>
    <n v="51"/>
    <s v="Oregon"/>
    <s v="Multnomah County"/>
    <n v="41051"/>
    <n v="37"/>
    <n v="119"/>
    <x v="22"/>
    <x v="71"/>
    <x v="98"/>
    <n v="274"/>
    <x v="191"/>
    <n v="20655620"/>
    <n v="41051"/>
    <n v="1"/>
    <n v="0"/>
    <x v="0"/>
  </r>
  <r>
    <x v="4"/>
    <x v="0"/>
    <n v="51"/>
    <s v="Oregon"/>
    <s v="Multnomah County"/>
    <n v="41051"/>
    <n v="37"/>
    <n v="183"/>
    <x v="22"/>
    <x v="113"/>
    <x v="148"/>
    <n v="113"/>
    <x v="98"/>
    <n v="3105000"/>
    <n v="41051"/>
    <n v="1"/>
    <n v="0"/>
    <x v="0"/>
  </r>
  <r>
    <x v="4"/>
    <x v="0"/>
    <n v="51"/>
    <s v="Oregon"/>
    <s v="Multnomah County"/>
    <n v="41051"/>
    <n v="40"/>
    <n v="0"/>
    <x v="42"/>
    <x v="0"/>
    <x v="171"/>
    <n v="190"/>
    <x v="87"/>
    <n v="7764000"/>
    <n v="41051"/>
    <n v="1"/>
    <n v="0"/>
    <x v="0"/>
  </r>
  <r>
    <x v="4"/>
    <x v="0"/>
    <n v="51"/>
    <s v="Oregon"/>
    <s v="Multnomah County"/>
    <n v="41051"/>
    <n v="41"/>
    <n v="0"/>
    <x v="24"/>
    <x v="0"/>
    <x v="45"/>
    <n v="3326"/>
    <x v="168"/>
    <n v="126006800"/>
    <n v="41051"/>
    <n v="1"/>
    <n v="0"/>
    <x v="0"/>
  </r>
  <r>
    <x v="4"/>
    <x v="0"/>
    <n v="51"/>
    <s v="Oregon"/>
    <s v="Multnomah County"/>
    <n v="41051"/>
    <n v="41"/>
    <n v="5"/>
    <x v="24"/>
    <x v="27"/>
    <x v="46"/>
    <n v="5723"/>
    <x v="192"/>
    <n v="351760110"/>
    <n v="41051"/>
    <n v="1"/>
    <n v="0"/>
    <x v="0"/>
  </r>
  <r>
    <x v="4"/>
    <x v="0"/>
    <n v="51"/>
    <s v="Oregon"/>
    <s v="Multnomah County"/>
    <n v="41051"/>
    <n v="41"/>
    <n v="17"/>
    <x v="24"/>
    <x v="28"/>
    <x v="47"/>
    <n v="832"/>
    <x v="193"/>
    <n v="20597200"/>
    <n v="41051"/>
    <n v="1"/>
    <n v="0"/>
    <x v="0"/>
  </r>
  <r>
    <x v="4"/>
    <x v="0"/>
    <n v="51"/>
    <s v="Oregon"/>
    <s v="Multnomah County"/>
    <n v="41051"/>
    <n v="41"/>
    <n v="29"/>
    <x v="24"/>
    <x v="30"/>
    <x v="49"/>
    <n v="354"/>
    <x v="184"/>
    <n v="1209840"/>
    <n v="41051"/>
    <n v="1"/>
    <n v="0"/>
    <x v="0"/>
  </r>
  <r>
    <x v="4"/>
    <x v="0"/>
    <n v="51"/>
    <s v="Oregon"/>
    <s v="Multnomah County"/>
    <n v="41051"/>
    <n v="41"/>
    <n v="39"/>
    <x v="24"/>
    <x v="31"/>
    <x v="50"/>
    <n v="751"/>
    <x v="194"/>
    <n v="27609200"/>
    <n v="41051"/>
    <n v="1"/>
    <n v="0"/>
    <x v="0"/>
  </r>
  <r>
    <x v="4"/>
    <x v="0"/>
    <n v="51"/>
    <s v="Oregon"/>
    <s v="Multnomah County"/>
    <n v="41051"/>
    <n v="41"/>
    <n v="47"/>
    <x v="24"/>
    <x v="32"/>
    <x v="51"/>
    <n v="462"/>
    <x v="1"/>
    <n v="10265300"/>
    <n v="41051"/>
    <n v="1"/>
    <n v="0"/>
    <x v="0"/>
  </r>
  <r>
    <x v="4"/>
    <x v="0"/>
    <n v="51"/>
    <s v="Oregon"/>
    <s v="Multnomah County"/>
    <n v="41051"/>
    <n v="41"/>
    <n v="51"/>
    <x v="24"/>
    <x v="33"/>
    <x v="52"/>
    <n v="595569"/>
    <x v="195"/>
    <n v="31683865620"/>
    <n v="41051"/>
    <n v="1"/>
    <n v="1"/>
    <x v="1"/>
  </r>
  <r>
    <x v="4"/>
    <x v="0"/>
    <n v="51"/>
    <s v="Oregon"/>
    <s v="Multnomah County"/>
    <n v="41051"/>
    <n v="41"/>
    <n v="67"/>
    <x v="24"/>
    <x v="34"/>
    <x v="53"/>
    <n v="7581"/>
    <x v="196"/>
    <n v="258250710"/>
    <n v="41051"/>
    <n v="1"/>
    <n v="0"/>
    <x v="0"/>
  </r>
  <r>
    <x v="4"/>
    <x v="0"/>
    <n v="51"/>
    <s v="Oregon"/>
    <s v="Multnomah County"/>
    <n v="41051"/>
    <n v="42"/>
    <n v="0"/>
    <x v="25"/>
    <x v="0"/>
    <x v="150"/>
    <n v="25"/>
    <x v="197"/>
    <n v="1412500"/>
    <n v="41051"/>
    <n v="1"/>
    <n v="0"/>
    <x v="0"/>
  </r>
  <r>
    <x v="4"/>
    <x v="0"/>
    <n v="51"/>
    <s v="Oregon"/>
    <s v="Multnomah County"/>
    <n v="41051"/>
    <n v="42"/>
    <n v="3"/>
    <x v="25"/>
    <x v="35"/>
    <x v="54"/>
    <n v="85"/>
    <x v="41"/>
    <n v="5100000"/>
    <n v="41051"/>
    <n v="1"/>
    <n v="0"/>
    <x v="0"/>
  </r>
  <r>
    <x v="4"/>
    <x v="0"/>
    <n v="51"/>
    <s v="Oregon"/>
    <s v="Multnomah County"/>
    <n v="41051"/>
    <n v="47"/>
    <n v="37"/>
    <x v="38"/>
    <x v="75"/>
    <x v="104"/>
    <n v="34"/>
    <x v="180"/>
    <n v="1768000"/>
    <n v="41051"/>
    <n v="1"/>
    <n v="0"/>
    <x v="0"/>
  </r>
  <r>
    <x v="4"/>
    <x v="0"/>
    <n v="51"/>
    <s v="Oregon"/>
    <s v="Multnomah County"/>
    <n v="41051"/>
    <n v="48"/>
    <n v="27"/>
    <x v="26"/>
    <x v="128"/>
    <x v="172"/>
    <n v="56"/>
    <x v="1"/>
    <n v="0"/>
    <n v="41051"/>
    <n v="1"/>
    <n v="0"/>
    <x v="0"/>
  </r>
  <r>
    <x v="4"/>
    <x v="0"/>
    <n v="51"/>
    <s v="Oregon"/>
    <s v="Multnomah County"/>
    <n v="41051"/>
    <n v="48"/>
    <n v="113"/>
    <x v="26"/>
    <x v="77"/>
    <x v="106"/>
    <n v="477"/>
    <x v="198"/>
    <n v="25072400"/>
    <n v="41051"/>
    <n v="1"/>
    <n v="0"/>
    <x v="0"/>
  </r>
  <r>
    <x v="4"/>
    <x v="0"/>
    <n v="51"/>
    <s v="Oregon"/>
    <s v="Multnomah County"/>
    <n v="41051"/>
    <n v="48"/>
    <n v="439"/>
    <x v="26"/>
    <x v="78"/>
    <x v="107"/>
    <n v="176"/>
    <x v="99"/>
    <n v="1713800"/>
    <n v="41051"/>
    <n v="1"/>
    <n v="0"/>
    <x v="0"/>
  </r>
  <r>
    <x v="4"/>
    <x v="0"/>
    <n v="51"/>
    <s v="Oregon"/>
    <s v="Multnomah County"/>
    <n v="41051"/>
    <n v="49"/>
    <n v="35"/>
    <x v="27"/>
    <x v="39"/>
    <x v="58"/>
    <n v="407"/>
    <x v="1"/>
    <n v="0"/>
    <n v="41051"/>
    <n v="1"/>
    <n v="0"/>
    <x v="0"/>
  </r>
  <r>
    <x v="4"/>
    <x v="0"/>
    <n v="51"/>
    <s v="Oregon"/>
    <s v="Multnomah County"/>
    <n v="41051"/>
    <n v="51"/>
    <n v="0"/>
    <x v="39"/>
    <x v="0"/>
    <x v="108"/>
    <n v="146"/>
    <x v="16"/>
    <n v="1490000"/>
    <n v="41051"/>
    <n v="1"/>
    <n v="0"/>
    <x v="0"/>
  </r>
  <r>
    <x v="4"/>
    <x v="0"/>
    <n v="51"/>
    <s v="Oregon"/>
    <s v="Multnomah County"/>
    <n v="41051"/>
    <n v="51"/>
    <n v="13"/>
    <x v="39"/>
    <x v="115"/>
    <x v="154"/>
    <n v="152"/>
    <x v="199"/>
    <n v="27664000"/>
    <n v="41051"/>
    <n v="1"/>
    <n v="0"/>
    <x v="0"/>
  </r>
  <r>
    <x v="4"/>
    <x v="0"/>
    <n v="51"/>
    <s v="Oregon"/>
    <s v="Multnomah County"/>
    <n v="41051"/>
    <n v="53"/>
    <n v="0"/>
    <x v="28"/>
    <x v="0"/>
    <x v="60"/>
    <n v="832"/>
    <x v="200"/>
    <n v="11032800"/>
    <n v="41051"/>
    <n v="1"/>
    <n v="0"/>
    <x v="0"/>
  </r>
  <r>
    <x v="4"/>
    <x v="0"/>
    <n v="51"/>
    <s v="Oregon"/>
    <s v="Multnomah County"/>
    <n v="41051"/>
    <n v="53"/>
    <n v="11"/>
    <x v="28"/>
    <x v="22"/>
    <x v="61"/>
    <n v="3724"/>
    <x v="201"/>
    <n v="192654300"/>
    <n v="41051"/>
    <n v="1"/>
    <n v="0"/>
    <x v="0"/>
  </r>
  <r>
    <x v="4"/>
    <x v="0"/>
    <n v="51"/>
    <s v="Oregon"/>
    <s v="Multnomah County"/>
    <n v="41051"/>
    <n v="53"/>
    <n v="33"/>
    <x v="28"/>
    <x v="41"/>
    <x v="62"/>
    <n v="576"/>
    <x v="202"/>
    <n v="32275000"/>
    <n v="41051"/>
    <n v="1"/>
    <n v="0"/>
    <x v="0"/>
  </r>
  <r>
    <x v="4"/>
    <x v="0"/>
    <n v="51"/>
    <s v="Oregon"/>
    <s v="Multnomah County"/>
    <n v="41051"/>
    <n v="53"/>
    <n v="35"/>
    <x v="28"/>
    <x v="42"/>
    <x v="63"/>
    <n v="46"/>
    <x v="126"/>
    <n v="1380000"/>
    <n v="41051"/>
    <n v="1"/>
    <n v="0"/>
    <x v="0"/>
  </r>
  <r>
    <x v="4"/>
    <x v="0"/>
    <n v="51"/>
    <s v="Oregon"/>
    <s v="Multnomah County"/>
    <n v="41051"/>
    <n v="53"/>
    <n v="53"/>
    <x v="28"/>
    <x v="43"/>
    <x v="64"/>
    <n v="392"/>
    <x v="203"/>
    <n v="5433100"/>
    <n v="41051"/>
    <n v="1"/>
    <n v="0"/>
    <x v="0"/>
  </r>
  <r>
    <x v="4"/>
    <x v="0"/>
    <n v="51"/>
    <s v="Oregon"/>
    <s v="Multnomah County"/>
    <n v="41051"/>
    <n v="53"/>
    <n v="63"/>
    <x v="28"/>
    <x v="45"/>
    <x v="66"/>
    <n v="399"/>
    <x v="12"/>
    <n v="10554500"/>
    <n v="41051"/>
    <n v="1"/>
    <n v="0"/>
    <x v="0"/>
  </r>
  <r>
    <x v="5"/>
    <x v="0"/>
    <n v="51"/>
    <s v="Oregon"/>
    <s v="Multnomah County"/>
    <n v="41051"/>
    <n v="1"/>
    <n v="0"/>
    <x v="0"/>
    <x v="0"/>
    <x v="0"/>
    <n v="191"/>
    <x v="203"/>
    <n v="11035000"/>
    <n v="41051"/>
    <n v="1"/>
    <n v="0"/>
    <x v="0"/>
  </r>
  <r>
    <x v="5"/>
    <x v="0"/>
    <n v="51"/>
    <s v="Oregon"/>
    <s v="Multnomah County"/>
    <n v="41051"/>
    <n v="4"/>
    <n v="13"/>
    <x v="2"/>
    <x v="1"/>
    <x v="3"/>
    <n v="587"/>
    <x v="204"/>
    <n v="13930000"/>
    <n v="41051"/>
    <n v="1"/>
    <n v="0"/>
    <x v="0"/>
  </r>
  <r>
    <x v="5"/>
    <x v="0"/>
    <n v="51"/>
    <s v="Oregon"/>
    <s v="Multnomah County"/>
    <n v="41051"/>
    <n v="6"/>
    <n v="0"/>
    <x v="3"/>
    <x v="0"/>
    <x v="4"/>
    <n v="566"/>
    <x v="79"/>
    <n v="3047400"/>
    <n v="41051"/>
    <n v="1"/>
    <n v="0"/>
    <x v="0"/>
  </r>
  <r>
    <x v="5"/>
    <x v="0"/>
    <n v="51"/>
    <s v="Oregon"/>
    <s v="Multnomah County"/>
    <n v="41051"/>
    <n v="6"/>
    <n v="1"/>
    <x v="3"/>
    <x v="2"/>
    <x v="5"/>
    <n v="196"/>
    <x v="1"/>
    <n v="15680000"/>
    <n v="41051"/>
    <n v="1"/>
    <n v="0"/>
    <x v="0"/>
  </r>
  <r>
    <x v="5"/>
    <x v="0"/>
    <n v="51"/>
    <s v="Oregon"/>
    <s v="Multnomah County"/>
    <n v="41051"/>
    <n v="6"/>
    <n v="37"/>
    <x v="3"/>
    <x v="6"/>
    <x v="9"/>
    <n v="1366"/>
    <x v="205"/>
    <n v="65530500"/>
    <n v="41051"/>
    <n v="1"/>
    <n v="0"/>
    <x v="0"/>
  </r>
  <r>
    <x v="5"/>
    <x v="0"/>
    <n v="51"/>
    <s v="Oregon"/>
    <s v="Multnomah County"/>
    <n v="41051"/>
    <n v="6"/>
    <n v="59"/>
    <x v="3"/>
    <x v="7"/>
    <x v="10"/>
    <n v="432"/>
    <x v="177"/>
    <n v="4625000"/>
    <n v="41051"/>
    <n v="1"/>
    <n v="0"/>
    <x v="0"/>
  </r>
  <r>
    <x v="5"/>
    <x v="0"/>
    <n v="51"/>
    <s v="Oregon"/>
    <s v="Multnomah County"/>
    <n v="41051"/>
    <n v="6"/>
    <n v="65"/>
    <x v="3"/>
    <x v="83"/>
    <x v="113"/>
    <n v="192"/>
    <x v="133"/>
    <n v="8011700"/>
    <n v="41051"/>
    <n v="1"/>
    <n v="0"/>
    <x v="0"/>
  </r>
  <r>
    <x v="5"/>
    <x v="0"/>
    <n v="51"/>
    <s v="Oregon"/>
    <s v="Multnomah County"/>
    <n v="41051"/>
    <n v="6"/>
    <n v="67"/>
    <x v="3"/>
    <x v="9"/>
    <x v="12"/>
    <n v="105"/>
    <x v="78"/>
    <n v="4294500"/>
    <n v="41051"/>
    <n v="1"/>
    <n v="0"/>
    <x v="0"/>
  </r>
  <r>
    <x v="5"/>
    <x v="0"/>
    <n v="51"/>
    <s v="Oregon"/>
    <s v="Multnomah County"/>
    <n v="41051"/>
    <n v="6"/>
    <n v="75"/>
    <x v="3"/>
    <x v="11"/>
    <x v="14"/>
    <n v="940"/>
    <x v="1"/>
    <n v="106850000"/>
    <n v="41051"/>
    <n v="1"/>
    <n v="0"/>
    <x v="0"/>
  </r>
  <r>
    <x v="5"/>
    <x v="0"/>
    <n v="51"/>
    <s v="Oregon"/>
    <s v="Multnomah County"/>
    <n v="41051"/>
    <n v="6"/>
    <n v="111"/>
    <x v="3"/>
    <x v="53"/>
    <x v="74"/>
    <n v="109"/>
    <x v="1"/>
    <n v="599500"/>
    <n v="41051"/>
    <n v="1"/>
    <n v="0"/>
    <x v="0"/>
  </r>
  <r>
    <x v="5"/>
    <x v="0"/>
    <n v="51"/>
    <s v="Oregon"/>
    <s v="Multnomah County"/>
    <n v="41051"/>
    <n v="8"/>
    <n v="0"/>
    <x v="4"/>
    <x v="0"/>
    <x v="16"/>
    <n v="556"/>
    <x v="206"/>
    <n v="11651000"/>
    <n v="41051"/>
    <n v="1"/>
    <n v="0"/>
    <x v="0"/>
  </r>
  <r>
    <x v="5"/>
    <x v="0"/>
    <n v="51"/>
    <s v="Oregon"/>
    <s v="Multnomah County"/>
    <n v="41051"/>
    <n v="9"/>
    <n v="3"/>
    <x v="5"/>
    <x v="85"/>
    <x v="115"/>
    <n v="26"/>
    <x v="207"/>
    <n v="3380000"/>
    <n v="41051"/>
    <n v="1"/>
    <n v="0"/>
    <x v="0"/>
  </r>
  <r>
    <x v="5"/>
    <x v="0"/>
    <n v="51"/>
    <s v="Oregon"/>
    <s v="Multnomah County"/>
    <n v="41051"/>
    <n v="9"/>
    <n v="9"/>
    <x v="5"/>
    <x v="13"/>
    <x v="17"/>
    <n v="181"/>
    <x v="183"/>
    <n v="1810000"/>
    <n v="41051"/>
    <n v="1"/>
    <n v="0"/>
    <x v="0"/>
  </r>
  <r>
    <x v="5"/>
    <x v="0"/>
    <n v="51"/>
    <s v="Oregon"/>
    <s v="Multnomah County"/>
    <n v="41051"/>
    <n v="13"/>
    <n v="0"/>
    <x v="7"/>
    <x v="0"/>
    <x v="21"/>
    <n v="1814"/>
    <x v="208"/>
    <n v="36963850"/>
    <n v="41051"/>
    <n v="1"/>
    <n v="0"/>
    <x v="0"/>
  </r>
  <r>
    <x v="5"/>
    <x v="0"/>
    <n v="51"/>
    <s v="Oregon"/>
    <s v="Multnomah County"/>
    <n v="41051"/>
    <n v="13"/>
    <n v="59"/>
    <x v="7"/>
    <x v="129"/>
    <x v="173"/>
    <n v="277"/>
    <x v="209"/>
    <n v="21302400"/>
    <n v="41051"/>
    <n v="1"/>
    <n v="0"/>
    <x v="0"/>
  </r>
  <r>
    <x v="5"/>
    <x v="0"/>
    <n v="51"/>
    <s v="Oregon"/>
    <s v="Multnomah County"/>
    <n v="41051"/>
    <n v="15"/>
    <n v="0"/>
    <x v="8"/>
    <x v="0"/>
    <x v="22"/>
    <n v="295"/>
    <x v="210"/>
    <n v="3746500"/>
    <n v="41051"/>
    <n v="1"/>
    <n v="0"/>
    <x v="0"/>
  </r>
  <r>
    <x v="5"/>
    <x v="0"/>
    <n v="51"/>
    <s v="Oregon"/>
    <s v="Multnomah County"/>
    <n v="41051"/>
    <n v="15"/>
    <n v="3"/>
    <x v="8"/>
    <x v="16"/>
    <x v="23"/>
    <n v="154"/>
    <x v="1"/>
    <n v="4620000"/>
    <n v="41051"/>
    <n v="1"/>
    <n v="0"/>
    <x v="0"/>
  </r>
  <r>
    <x v="5"/>
    <x v="0"/>
    <n v="51"/>
    <s v="Oregon"/>
    <s v="Multnomah County"/>
    <n v="41051"/>
    <n v="16"/>
    <n v="0"/>
    <x v="9"/>
    <x v="0"/>
    <x v="24"/>
    <n v="819"/>
    <x v="211"/>
    <n v="20588000"/>
    <n v="41051"/>
    <n v="1"/>
    <n v="0"/>
    <x v="0"/>
  </r>
  <r>
    <x v="5"/>
    <x v="0"/>
    <n v="51"/>
    <s v="Oregon"/>
    <s v="Multnomah County"/>
    <n v="41051"/>
    <n v="17"/>
    <n v="31"/>
    <x v="10"/>
    <x v="89"/>
    <x v="119"/>
    <n v="290"/>
    <x v="1"/>
    <n v="6220000"/>
    <n v="41051"/>
    <n v="1"/>
    <n v="0"/>
    <x v="0"/>
  </r>
  <r>
    <x v="5"/>
    <x v="0"/>
    <n v="51"/>
    <s v="Oregon"/>
    <s v="Multnomah County"/>
    <n v="41051"/>
    <n v="17"/>
    <n v="43"/>
    <x v="10"/>
    <x v="109"/>
    <x v="143"/>
    <n v="91"/>
    <x v="184"/>
    <n v="3185000"/>
    <n v="41051"/>
    <n v="1"/>
    <n v="0"/>
    <x v="0"/>
  </r>
  <r>
    <x v="5"/>
    <x v="0"/>
    <n v="51"/>
    <s v="Oregon"/>
    <s v="Multnomah County"/>
    <n v="41051"/>
    <n v="17"/>
    <n v="119"/>
    <x v="10"/>
    <x v="130"/>
    <x v="174"/>
    <n v="79"/>
    <x v="212"/>
    <n v="2418980"/>
    <n v="41051"/>
    <n v="1"/>
    <n v="0"/>
    <x v="0"/>
  </r>
  <r>
    <x v="5"/>
    <x v="0"/>
    <n v="51"/>
    <s v="Oregon"/>
    <s v="Multnomah County"/>
    <n v="41051"/>
    <n v="20"/>
    <n v="91"/>
    <x v="11"/>
    <x v="131"/>
    <x v="175"/>
    <n v="120"/>
    <x v="1"/>
    <n v="3360000"/>
    <n v="41051"/>
    <n v="1"/>
    <n v="0"/>
    <x v="0"/>
  </r>
  <r>
    <x v="5"/>
    <x v="0"/>
    <n v="51"/>
    <s v="Oregon"/>
    <s v="Multnomah County"/>
    <n v="41051"/>
    <n v="21"/>
    <n v="227"/>
    <x v="31"/>
    <x v="132"/>
    <x v="176"/>
    <n v="148"/>
    <x v="54"/>
    <n v="2220000"/>
    <n v="41051"/>
    <n v="1"/>
    <n v="0"/>
    <x v="0"/>
  </r>
  <r>
    <x v="5"/>
    <x v="0"/>
    <n v="51"/>
    <s v="Oregon"/>
    <s v="Multnomah County"/>
    <n v="41051"/>
    <n v="23"/>
    <n v="0"/>
    <x v="13"/>
    <x v="0"/>
    <x v="28"/>
    <n v="73"/>
    <x v="1"/>
    <n v="781100"/>
    <n v="41051"/>
    <n v="1"/>
    <n v="0"/>
    <x v="0"/>
  </r>
  <r>
    <x v="5"/>
    <x v="0"/>
    <n v="51"/>
    <s v="Oregon"/>
    <s v="Multnomah County"/>
    <n v="41051"/>
    <n v="24"/>
    <n v="510"/>
    <x v="14"/>
    <x v="19"/>
    <x v="29"/>
    <n v="96"/>
    <x v="188"/>
    <n v="460800"/>
    <n v="41051"/>
    <n v="1"/>
    <n v="0"/>
    <x v="0"/>
  </r>
  <r>
    <x v="5"/>
    <x v="0"/>
    <n v="51"/>
    <s v="Oregon"/>
    <s v="Multnomah County"/>
    <n v="41051"/>
    <n v="25"/>
    <n v="0"/>
    <x v="15"/>
    <x v="0"/>
    <x v="30"/>
    <n v="629"/>
    <x v="213"/>
    <n v="40502750"/>
    <n v="41051"/>
    <n v="1"/>
    <n v="0"/>
    <x v="0"/>
  </r>
  <r>
    <x v="5"/>
    <x v="0"/>
    <n v="51"/>
    <s v="Oregon"/>
    <s v="Multnomah County"/>
    <n v="41051"/>
    <n v="25"/>
    <n v="25"/>
    <x v="15"/>
    <x v="20"/>
    <x v="31"/>
    <n v="353"/>
    <x v="214"/>
    <n v="12183000"/>
    <n v="41051"/>
    <n v="1"/>
    <n v="0"/>
    <x v="0"/>
  </r>
  <r>
    <x v="5"/>
    <x v="0"/>
    <n v="51"/>
    <s v="Oregon"/>
    <s v="Multnomah County"/>
    <n v="41051"/>
    <n v="26"/>
    <n v="121"/>
    <x v="16"/>
    <x v="133"/>
    <x v="177"/>
    <n v="112"/>
    <x v="179"/>
    <n v="36848000"/>
    <n v="41051"/>
    <n v="1"/>
    <n v="0"/>
    <x v="0"/>
  </r>
  <r>
    <x v="5"/>
    <x v="0"/>
    <n v="51"/>
    <s v="Oregon"/>
    <s v="Multnomah County"/>
    <n v="41051"/>
    <n v="30"/>
    <n v="0"/>
    <x v="33"/>
    <x v="0"/>
    <x v="89"/>
    <n v="273"/>
    <x v="215"/>
    <n v="43236300"/>
    <n v="41051"/>
    <n v="1"/>
    <n v="0"/>
    <x v="0"/>
  </r>
  <r>
    <x v="5"/>
    <x v="0"/>
    <n v="51"/>
    <s v="Oregon"/>
    <s v="Multnomah County"/>
    <n v="41051"/>
    <n v="34"/>
    <n v="5"/>
    <x v="35"/>
    <x v="134"/>
    <x v="178"/>
    <n v="200"/>
    <x v="76"/>
    <n v="18399200"/>
    <n v="41051"/>
    <n v="1"/>
    <n v="0"/>
    <x v="0"/>
  </r>
  <r>
    <x v="5"/>
    <x v="0"/>
    <n v="51"/>
    <s v="Oregon"/>
    <s v="Multnomah County"/>
    <n v="41051"/>
    <n v="34"/>
    <n v="17"/>
    <x v="35"/>
    <x v="135"/>
    <x v="179"/>
    <n v="128"/>
    <x v="1"/>
    <n v="7808000"/>
    <n v="41051"/>
    <n v="1"/>
    <n v="0"/>
    <x v="0"/>
  </r>
  <r>
    <x v="5"/>
    <x v="0"/>
    <n v="51"/>
    <s v="Oregon"/>
    <s v="Multnomah County"/>
    <n v="41051"/>
    <n v="34"/>
    <n v="23"/>
    <x v="35"/>
    <x v="93"/>
    <x v="123"/>
    <n v="257"/>
    <x v="216"/>
    <n v="8225000"/>
    <n v="41051"/>
    <n v="1"/>
    <n v="0"/>
    <x v="0"/>
  </r>
  <r>
    <x v="5"/>
    <x v="0"/>
    <n v="51"/>
    <s v="Oregon"/>
    <s v="Multnomah County"/>
    <n v="41051"/>
    <n v="35"/>
    <n v="0"/>
    <x v="20"/>
    <x v="0"/>
    <x v="37"/>
    <n v="512"/>
    <x v="217"/>
    <n v="4739200"/>
    <n v="41051"/>
    <n v="1"/>
    <n v="0"/>
    <x v="0"/>
  </r>
  <r>
    <x v="5"/>
    <x v="0"/>
    <n v="51"/>
    <s v="Oregon"/>
    <s v="Multnomah County"/>
    <n v="41051"/>
    <n v="36"/>
    <n v="0"/>
    <x v="21"/>
    <x v="0"/>
    <x v="38"/>
    <n v="351"/>
    <x v="218"/>
    <n v="1268400"/>
    <n v="41051"/>
    <n v="1"/>
    <n v="0"/>
    <x v="0"/>
  </r>
  <r>
    <x v="5"/>
    <x v="0"/>
    <n v="51"/>
    <s v="Oregon"/>
    <s v="Multnomah County"/>
    <n v="41051"/>
    <n v="36"/>
    <n v="61"/>
    <x v="21"/>
    <x v="24"/>
    <x v="40"/>
    <n v="308"/>
    <x v="199"/>
    <n v="63460000"/>
    <n v="41051"/>
    <n v="1"/>
    <n v="0"/>
    <x v="0"/>
  </r>
  <r>
    <x v="5"/>
    <x v="0"/>
    <n v="51"/>
    <s v="Oregon"/>
    <s v="Multnomah County"/>
    <n v="41051"/>
    <n v="36"/>
    <n v="71"/>
    <x v="21"/>
    <x v="7"/>
    <x v="180"/>
    <n v="366"/>
    <x v="135"/>
    <n v="13056000"/>
    <n v="41051"/>
    <n v="1"/>
    <n v="0"/>
    <x v="0"/>
  </r>
  <r>
    <x v="5"/>
    <x v="0"/>
    <n v="51"/>
    <s v="Oregon"/>
    <s v="Multnomah County"/>
    <n v="41051"/>
    <n v="37"/>
    <n v="0"/>
    <x v="22"/>
    <x v="0"/>
    <x v="43"/>
    <n v="106"/>
    <x v="42"/>
    <n v="4240"/>
    <n v="41051"/>
    <n v="1"/>
    <n v="0"/>
    <x v="0"/>
  </r>
  <r>
    <x v="5"/>
    <x v="0"/>
    <n v="51"/>
    <s v="Oregon"/>
    <s v="Multnomah County"/>
    <n v="41051"/>
    <n v="37"/>
    <n v="63"/>
    <x v="22"/>
    <x v="69"/>
    <x v="96"/>
    <n v="74"/>
    <x v="1"/>
    <n v="8880000"/>
    <n v="41051"/>
    <n v="1"/>
    <n v="0"/>
    <x v="0"/>
  </r>
  <r>
    <x v="5"/>
    <x v="0"/>
    <n v="51"/>
    <s v="Oregon"/>
    <s v="Multnomah County"/>
    <n v="41051"/>
    <n v="39"/>
    <n v="35"/>
    <x v="23"/>
    <x v="95"/>
    <x v="126"/>
    <n v="61"/>
    <x v="1"/>
    <n v="0"/>
    <n v="41051"/>
    <n v="1"/>
    <n v="0"/>
    <x v="0"/>
  </r>
  <r>
    <x v="5"/>
    <x v="0"/>
    <n v="51"/>
    <s v="Oregon"/>
    <s v="Multnomah County"/>
    <n v="41051"/>
    <n v="39"/>
    <n v="49"/>
    <x v="23"/>
    <x v="26"/>
    <x v="44"/>
    <n v="187"/>
    <x v="219"/>
    <n v="3553000"/>
    <n v="41051"/>
    <n v="1"/>
    <n v="0"/>
    <x v="0"/>
  </r>
  <r>
    <x v="5"/>
    <x v="0"/>
    <n v="51"/>
    <s v="Oregon"/>
    <s v="Multnomah County"/>
    <n v="41051"/>
    <n v="41"/>
    <n v="0"/>
    <x v="24"/>
    <x v="0"/>
    <x v="45"/>
    <n v="1573"/>
    <x v="220"/>
    <n v="42345800"/>
    <n v="41051"/>
    <n v="1"/>
    <n v="0"/>
    <x v="0"/>
  </r>
  <r>
    <x v="5"/>
    <x v="0"/>
    <n v="51"/>
    <s v="Oregon"/>
    <s v="Multnomah County"/>
    <n v="41051"/>
    <n v="41"/>
    <n v="5"/>
    <x v="24"/>
    <x v="27"/>
    <x v="46"/>
    <n v="5595"/>
    <x v="221"/>
    <n v="267203760"/>
    <n v="41051"/>
    <n v="1"/>
    <n v="0"/>
    <x v="0"/>
  </r>
  <r>
    <x v="5"/>
    <x v="0"/>
    <n v="51"/>
    <s v="Oregon"/>
    <s v="Multnomah County"/>
    <n v="41051"/>
    <n v="41"/>
    <n v="17"/>
    <x v="24"/>
    <x v="28"/>
    <x v="47"/>
    <n v="967"/>
    <x v="222"/>
    <n v="16486550"/>
    <n v="41051"/>
    <n v="1"/>
    <n v="0"/>
    <x v="0"/>
  </r>
  <r>
    <x v="5"/>
    <x v="0"/>
    <n v="51"/>
    <s v="Oregon"/>
    <s v="Multnomah County"/>
    <n v="41051"/>
    <n v="41"/>
    <n v="19"/>
    <x v="24"/>
    <x v="29"/>
    <x v="48"/>
    <n v="103"/>
    <x v="103"/>
    <n v="1236000"/>
    <n v="41051"/>
    <n v="1"/>
    <n v="0"/>
    <x v="0"/>
  </r>
  <r>
    <x v="5"/>
    <x v="0"/>
    <n v="51"/>
    <s v="Oregon"/>
    <s v="Multnomah County"/>
    <n v="41051"/>
    <n v="41"/>
    <n v="29"/>
    <x v="24"/>
    <x v="30"/>
    <x v="49"/>
    <n v="809"/>
    <x v="223"/>
    <n v="34479600"/>
    <n v="41051"/>
    <n v="1"/>
    <n v="0"/>
    <x v="0"/>
  </r>
  <r>
    <x v="5"/>
    <x v="0"/>
    <n v="51"/>
    <s v="Oregon"/>
    <s v="Multnomah County"/>
    <n v="41051"/>
    <n v="41"/>
    <n v="39"/>
    <x v="24"/>
    <x v="31"/>
    <x v="50"/>
    <n v="1045"/>
    <x v="224"/>
    <n v="49152200"/>
    <n v="41051"/>
    <n v="1"/>
    <n v="0"/>
    <x v="0"/>
  </r>
  <r>
    <x v="5"/>
    <x v="0"/>
    <n v="51"/>
    <s v="Oregon"/>
    <s v="Multnomah County"/>
    <n v="41051"/>
    <n v="41"/>
    <n v="47"/>
    <x v="24"/>
    <x v="32"/>
    <x v="51"/>
    <n v="1089"/>
    <x v="225"/>
    <n v="41188400"/>
    <n v="41051"/>
    <n v="1"/>
    <n v="0"/>
    <x v="0"/>
  </r>
  <r>
    <x v="5"/>
    <x v="0"/>
    <n v="51"/>
    <s v="Oregon"/>
    <s v="Multnomah County"/>
    <n v="41051"/>
    <n v="41"/>
    <n v="51"/>
    <x v="24"/>
    <x v="33"/>
    <x v="52"/>
    <n v="596774"/>
    <x v="226"/>
    <n v="34804726934"/>
    <n v="41051"/>
    <n v="1"/>
    <n v="1"/>
    <x v="1"/>
  </r>
  <r>
    <x v="5"/>
    <x v="0"/>
    <n v="51"/>
    <s v="Oregon"/>
    <s v="Multnomah County"/>
    <n v="41051"/>
    <n v="41"/>
    <n v="67"/>
    <x v="24"/>
    <x v="34"/>
    <x v="53"/>
    <n v="9636"/>
    <x v="227"/>
    <n v="479537820"/>
    <n v="41051"/>
    <n v="1"/>
    <n v="0"/>
    <x v="0"/>
  </r>
  <r>
    <x v="5"/>
    <x v="0"/>
    <n v="51"/>
    <s v="Oregon"/>
    <s v="Multnomah County"/>
    <n v="41051"/>
    <n v="42"/>
    <n v="0"/>
    <x v="25"/>
    <x v="0"/>
    <x v="150"/>
    <n v="32"/>
    <x v="106"/>
    <n v="373440"/>
    <n v="41051"/>
    <n v="1"/>
    <n v="0"/>
    <x v="0"/>
  </r>
  <r>
    <x v="5"/>
    <x v="0"/>
    <n v="51"/>
    <s v="Oregon"/>
    <s v="Multnomah County"/>
    <n v="41051"/>
    <n v="42"/>
    <n v="3"/>
    <x v="25"/>
    <x v="35"/>
    <x v="54"/>
    <n v="143"/>
    <x v="14"/>
    <n v="7759600"/>
    <n v="41051"/>
    <n v="1"/>
    <n v="0"/>
    <x v="0"/>
  </r>
  <r>
    <x v="5"/>
    <x v="0"/>
    <n v="51"/>
    <s v="Oregon"/>
    <s v="Multnomah County"/>
    <n v="41051"/>
    <n v="42"/>
    <n v="27"/>
    <x v="25"/>
    <x v="136"/>
    <x v="181"/>
    <n v="179"/>
    <x v="112"/>
    <n v="7658000"/>
    <n v="41051"/>
    <n v="1"/>
    <n v="0"/>
    <x v="0"/>
  </r>
  <r>
    <x v="5"/>
    <x v="0"/>
    <n v="51"/>
    <s v="Oregon"/>
    <s v="Multnomah County"/>
    <n v="41051"/>
    <n v="47"/>
    <n v="0"/>
    <x v="38"/>
    <x v="0"/>
    <x v="103"/>
    <n v="192"/>
    <x v="190"/>
    <n v="12963000"/>
    <n v="41051"/>
    <n v="1"/>
    <n v="0"/>
    <x v="0"/>
  </r>
  <r>
    <x v="5"/>
    <x v="0"/>
    <n v="51"/>
    <s v="Oregon"/>
    <s v="Multnomah County"/>
    <n v="41051"/>
    <n v="47"/>
    <n v="187"/>
    <x v="38"/>
    <x v="137"/>
    <x v="182"/>
    <n v="249"/>
    <x v="228"/>
    <n v="15164100"/>
    <n v="41051"/>
    <n v="1"/>
    <n v="0"/>
    <x v="0"/>
  </r>
  <r>
    <x v="5"/>
    <x v="0"/>
    <n v="51"/>
    <s v="Oregon"/>
    <s v="Multnomah County"/>
    <n v="41051"/>
    <n v="48"/>
    <n v="113"/>
    <x v="26"/>
    <x v="77"/>
    <x v="106"/>
    <n v="181"/>
    <x v="172"/>
    <n v="10303500"/>
    <n v="41051"/>
    <n v="1"/>
    <n v="0"/>
    <x v="0"/>
  </r>
  <r>
    <x v="5"/>
    <x v="0"/>
    <n v="51"/>
    <s v="Oregon"/>
    <s v="Multnomah County"/>
    <n v="41051"/>
    <n v="48"/>
    <n v="215"/>
    <x v="26"/>
    <x v="97"/>
    <x v="129"/>
    <n v="132"/>
    <x v="1"/>
    <n v="858000"/>
    <n v="41051"/>
    <n v="1"/>
    <n v="0"/>
    <x v="0"/>
  </r>
  <r>
    <x v="5"/>
    <x v="0"/>
    <n v="51"/>
    <s v="Oregon"/>
    <s v="Multnomah County"/>
    <n v="41051"/>
    <n v="48"/>
    <n v="303"/>
    <x v="26"/>
    <x v="138"/>
    <x v="183"/>
    <n v="253"/>
    <x v="229"/>
    <n v="4098600"/>
    <n v="41051"/>
    <n v="1"/>
    <n v="0"/>
    <x v="0"/>
  </r>
  <r>
    <x v="5"/>
    <x v="0"/>
    <n v="51"/>
    <s v="Oregon"/>
    <s v="Multnomah County"/>
    <n v="41051"/>
    <n v="48"/>
    <n v="453"/>
    <x v="26"/>
    <x v="38"/>
    <x v="57"/>
    <n v="410"/>
    <x v="220"/>
    <n v="2730000"/>
    <n v="41051"/>
    <n v="1"/>
    <n v="0"/>
    <x v="0"/>
  </r>
  <r>
    <x v="5"/>
    <x v="0"/>
    <n v="51"/>
    <s v="Oregon"/>
    <s v="Multnomah County"/>
    <n v="41051"/>
    <n v="49"/>
    <n v="0"/>
    <x v="27"/>
    <x v="0"/>
    <x v="152"/>
    <n v="20"/>
    <x v="1"/>
    <n v="800000"/>
    <n v="41051"/>
    <n v="1"/>
    <n v="0"/>
    <x v="0"/>
  </r>
  <r>
    <x v="5"/>
    <x v="0"/>
    <n v="51"/>
    <s v="Oregon"/>
    <s v="Multnomah County"/>
    <n v="41051"/>
    <n v="49"/>
    <n v="11"/>
    <x v="27"/>
    <x v="139"/>
    <x v="184"/>
    <n v="103"/>
    <x v="1"/>
    <n v="2090900"/>
    <n v="41051"/>
    <n v="1"/>
    <n v="0"/>
    <x v="0"/>
  </r>
  <r>
    <x v="5"/>
    <x v="0"/>
    <n v="51"/>
    <s v="Oregon"/>
    <s v="Multnomah County"/>
    <n v="41051"/>
    <n v="51"/>
    <n v="810"/>
    <x v="39"/>
    <x v="80"/>
    <x v="110"/>
    <n v="158"/>
    <x v="230"/>
    <n v="5670000"/>
    <n v="41051"/>
    <n v="1"/>
    <n v="0"/>
    <x v="0"/>
  </r>
  <r>
    <x v="5"/>
    <x v="0"/>
    <n v="51"/>
    <s v="Oregon"/>
    <s v="Multnomah County"/>
    <n v="41051"/>
    <n v="53"/>
    <n v="0"/>
    <x v="28"/>
    <x v="0"/>
    <x v="60"/>
    <n v="2209"/>
    <x v="231"/>
    <n v="99271220"/>
    <n v="41051"/>
    <n v="1"/>
    <n v="0"/>
    <x v="0"/>
  </r>
  <r>
    <x v="5"/>
    <x v="0"/>
    <n v="51"/>
    <s v="Oregon"/>
    <s v="Multnomah County"/>
    <n v="41051"/>
    <n v="53"/>
    <n v="11"/>
    <x v="28"/>
    <x v="22"/>
    <x v="61"/>
    <n v="4756"/>
    <x v="232"/>
    <n v="168310540"/>
    <n v="41051"/>
    <n v="1"/>
    <n v="0"/>
    <x v="0"/>
  </r>
  <r>
    <x v="5"/>
    <x v="0"/>
    <n v="51"/>
    <s v="Oregon"/>
    <s v="Multnomah County"/>
    <n v="41051"/>
    <n v="53"/>
    <n v="33"/>
    <x v="28"/>
    <x v="41"/>
    <x v="62"/>
    <n v="944"/>
    <x v="59"/>
    <n v="97152580"/>
    <n v="41051"/>
    <n v="1"/>
    <n v="0"/>
    <x v="0"/>
  </r>
  <r>
    <x v="5"/>
    <x v="0"/>
    <n v="51"/>
    <s v="Oregon"/>
    <s v="Multnomah County"/>
    <n v="41051"/>
    <n v="53"/>
    <n v="53"/>
    <x v="28"/>
    <x v="43"/>
    <x v="64"/>
    <n v="362"/>
    <x v="57"/>
    <n v="13594500"/>
    <n v="41051"/>
    <n v="1"/>
    <n v="0"/>
    <x v="0"/>
  </r>
  <r>
    <x v="5"/>
    <x v="0"/>
    <n v="51"/>
    <s v="Oregon"/>
    <s v="Multnomah County"/>
    <n v="41051"/>
    <n v="53"/>
    <n v="61"/>
    <x v="28"/>
    <x v="44"/>
    <x v="65"/>
    <n v="228"/>
    <x v="96"/>
    <n v="15987000"/>
    <n v="41051"/>
    <n v="1"/>
    <n v="0"/>
    <x v="0"/>
  </r>
  <r>
    <x v="5"/>
    <x v="0"/>
    <n v="51"/>
    <s v="Oregon"/>
    <s v="Multnomah County"/>
    <n v="41051"/>
    <n v="53"/>
    <n v="63"/>
    <x v="28"/>
    <x v="45"/>
    <x v="66"/>
    <n v="669"/>
    <x v="233"/>
    <n v="11321000"/>
    <n v="41051"/>
    <n v="1"/>
    <n v="0"/>
    <x v="0"/>
  </r>
  <r>
    <x v="5"/>
    <x v="0"/>
    <n v="51"/>
    <s v="Oregon"/>
    <s v="Multnomah County"/>
    <n v="41051"/>
    <n v="53"/>
    <n v="67"/>
    <x v="28"/>
    <x v="81"/>
    <x v="111"/>
    <n v="430"/>
    <x v="234"/>
    <n v="23593600"/>
    <n v="41051"/>
    <n v="1"/>
    <n v="0"/>
    <x v="0"/>
  </r>
  <r>
    <x v="5"/>
    <x v="0"/>
    <n v="51"/>
    <s v="Oregon"/>
    <s v="Multnomah County"/>
    <n v="41051"/>
    <n v="53"/>
    <n v="73"/>
    <x v="28"/>
    <x v="140"/>
    <x v="185"/>
    <n v="413"/>
    <x v="1"/>
    <n v="13020000"/>
    <n v="41051"/>
    <n v="1"/>
    <n v="0"/>
    <x v="0"/>
  </r>
  <r>
    <x v="5"/>
    <x v="0"/>
    <n v="51"/>
    <s v="Oregon"/>
    <s v="Multnomah County"/>
    <n v="41051"/>
    <n v="56"/>
    <n v="0"/>
    <x v="43"/>
    <x v="0"/>
    <x v="133"/>
    <n v="473"/>
    <x v="1"/>
    <n v="10455000"/>
    <n v="41051"/>
    <n v="1"/>
    <n v="0"/>
    <x v="0"/>
  </r>
  <r>
    <x v="6"/>
    <x v="0"/>
    <n v="51"/>
    <s v="Oregon"/>
    <s v="Multnomah County"/>
    <n v="41051"/>
    <n v="4"/>
    <n v="0"/>
    <x v="2"/>
    <x v="0"/>
    <x v="2"/>
    <n v="356"/>
    <x v="100"/>
    <n v="8491200"/>
    <n v="41051"/>
    <n v="1"/>
    <n v="0"/>
    <x v="0"/>
  </r>
  <r>
    <x v="6"/>
    <x v="0"/>
    <n v="51"/>
    <s v="Oregon"/>
    <s v="Multnomah County"/>
    <n v="41051"/>
    <n v="4"/>
    <n v="13"/>
    <x v="2"/>
    <x v="1"/>
    <x v="3"/>
    <n v="746"/>
    <x v="235"/>
    <n v="66366600"/>
    <n v="41051"/>
    <n v="1"/>
    <n v="0"/>
    <x v="0"/>
  </r>
  <r>
    <x v="6"/>
    <x v="0"/>
    <n v="51"/>
    <s v="Oregon"/>
    <s v="Multnomah County"/>
    <n v="41051"/>
    <n v="4"/>
    <n v="19"/>
    <x v="2"/>
    <x v="47"/>
    <x v="68"/>
    <n v="166"/>
    <x v="1"/>
    <n v="1660000"/>
    <n v="41051"/>
    <n v="1"/>
    <n v="0"/>
    <x v="0"/>
  </r>
  <r>
    <x v="6"/>
    <x v="0"/>
    <n v="51"/>
    <s v="Oregon"/>
    <s v="Multnomah County"/>
    <n v="41051"/>
    <n v="4"/>
    <n v="27"/>
    <x v="2"/>
    <x v="141"/>
    <x v="186"/>
    <n v="59"/>
    <x v="19"/>
    <n v="1684800"/>
    <n v="41051"/>
    <n v="1"/>
    <n v="0"/>
    <x v="0"/>
  </r>
  <r>
    <x v="6"/>
    <x v="0"/>
    <n v="51"/>
    <s v="Oregon"/>
    <s v="Multnomah County"/>
    <n v="41051"/>
    <n v="6"/>
    <n v="0"/>
    <x v="3"/>
    <x v="0"/>
    <x v="4"/>
    <n v="330"/>
    <x v="1"/>
    <n v="7195000"/>
    <n v="41051"/>
    <n v="1"/>
    <n v="0"/>
    <x v="0"/>
  </r>
  <r>
    <x v="6"/>
    <x v="0"/>
    <n v="51"/>
    <s v="Oregon"/>
    <s v="Multnomah County"/>
    <n v="41051"/>
    <n v="6"/>
    <n v="1"/>
    <x v="3"/>
    <x v="2"/>
    <x v="5"/>
    <n v="132"/>
    <x v="38"/>
    <n v="1048800"/>
    <n v="41051"/>
    <n v="1"/>
    <n v="0"/>
    <x v="0"/>
  </r>
  <r>
    <x v="6"/>
    <x v="0"/>
    <n v="51"/>
    <s v="Oregon"/>
    <s v="Multnomah County"/>
    <n v="41051"/>
    <n v="6"/>
    <n v="13"/>
    <x v="3"/>
    <x v="3"/>
    <x v="6"/>
    <n v="243"/>
    <x v="80"/>
    <n v="6941000"/>
    <n v="41051"/>
    <n v="1"/>
    <n v="0"/>
    <x v="0"/>
  </r>
  <r>
    <x v="6"/>
    <x v="0"/>
    <n v="51"/>
    <s v="Oregon"/>
    <s v="Multnomah County"/>
    <n v="41051"/>
    <n v="6"/>
    <n v="17"/>
    <x v="3"/>
    <x v="102"/>
    <x v="136"/>
    <n v="82"/>
    <x v="1"/>
    <n v="0"/>
    <n v="41051"/>
    <n v="1"/>
    <n v="0"/>
    <x v="0"/>
  </r>
  <r>
    <x v="6"/>
    <x v="0"/>
    <n v="51"/>
    <s v="Oregon"/>
    <s v="Multnomah County"/>
    <n v="41051"/>
    <n v="6"/>
    <n v="29"/>
    <x v="3"/>
    <x v="103"/>
    <x v="137"/>
    <n v="115"/>
    <x v="49"/>
    <n v="89700"/>
    <n v="41051"/>
    <n v="1"/>
    <n v="0"/>
    <x v="0"/>
  </r>
  <r>
    <x v="6"/>
    <x v="0"/>
    <n v="51"/>
    <s v="Oregon"/>
    <s v="Multnomah County"/>
    <n v="41051"/>
    <n v="6"/>
    <n v="37"/>
    <x v="3"/>
    <x v="6"/>
    <x v="9"/>
    <n v="1507"/>
    <x v="236"/>
    <n v="75150980"/>
    <n v="41051"/>
    <n v="1"/>
    <n v="0"/>
    <x v="0"/>
  </r>
  <r>
    <x v="6"/>
    <x v="0"/>
    <n v="51"/>
    <s v="Oregon"/>
    <s v="Multnomah County"/>
    <n v="41051"/>
    <n v="6"/>
    <n v="59"/>
    <x v="3"/>
    <x v="7"/>
    <x v="10"/>
    <n v="743"/>
    <x v="237"/>
    <n v="46855200"/>
    <n v="41051"/>
    <n v="1"/>
    <n v="0"/>
    <x v="0"/>
  </r>
  <r>
    <x v="6"/>
    <x v="0"/>
    <n v="51"/>
    <s v="Oregon"/>
    <s v="Multnomah County"/>
    <n v="41051"/>
    <n v="6"/>
    <n v="61"/>
    <x v="3"/>
    <x v="8"/>
    <x v="11"/>
    <n v="195"/>
    <x v="1"/>
    <n v="0"/>
    <n v="41051"/>
    <n v="1"/>
    <n v="0"/>
    <x v="0"/>
  </r>
  <r>
    <x v="6"/>
    <x v="0"/>
    <n v="51"/>
    <s v="Oregon"/>
    <s v="Multnomah County"/>
    <n v="41051"/>
    <n v="6"/>
    <n v="65"/>
    <x v="3"/>
    <x v="83"/>
    <x v="113"/>
    <n v="15"/>
    <x v="160"/>
    <n v="510000"/>
    <n v="41051"/>
    <n v="1"/>
    <n v="0"/>
    <x v="0"/>
  </r>
  <r>
    <x v="6"/>
    <x v="0"/>
    <n v="51"/>
    <s v="Oregon"/>
    <s v="Multnomah County"/>
    <n v="41051"/>
    <n v="6"/>
    <n v="67"/>
    <x v="3"/>
    <x v="9"/>
    <x v="12"/>
    <n v="52"/>
    <x v="130"/>
    <n v="5200000"/>
    <n v="41051"/>
    <n v="1"/>
    <n v="0"/>
    <x v="0"/>
  </r>
  <r>
    <x v="6"/>
    <x v="0"/>
    <n v="51"/>
    <s v="Oregon"/>
    <s v="Multnomah County"/>
    <n v="41051"/>
    <n v="6"/>
    <n v="73"/>
    <x v="3"/>
    <x v="10"/>
    <x v="13"/>
    <n v="1239"/>
    <x v="238"/>
    <n v="49753900"/>
    <n v="41051"/>
    <n v="1"/>
    <n v="0"/>
    <x v="0"/>
  </r>
  <r>
    <x v="6"/>
    <x v="0"/>
    <n v="51"/>
    <s v="Oregon"/>
    <s v="Multnomah County"/>
    <n v="41051"/>
    <n v="6"/>
    <n v="75"/>
    <x v="3"/>
    <x v="11"/>
    <x v="14"/>
    <n v="865"/>
    <x v="239"/>
    <n v="51380700"/>
    <n v="41051"/>
    <n v="1"/>
    <n v="0"/>
    <x v="0"/>
  </r>
  <r>
    <x v="6"/>
    <x v="0"/>
    <n v="51"/>
    <s v="Oregon"/>
    <s v="Multnomah County"/>
    <n v="41051"/>
    <n v="6"/>
    <n v="83"/>
    <x v="3"/>
    <x v="49"/>
    <x v="70"/>
    <n v="169"/>
    <x v="190"/>
    <n v="8886800"/>
    <n v="41051"/>
    <n v="1"/>
    <n v="0"/>
    <x v="0"/>
  </r>
  <r>
    <x v="6"/>
    <x v="0"/>
    <n v="51"/>
    <s v="Oregon"/>
    <s v="Multnomah County"/>
    <n v="41051"/>
    <n v="6"/>
    <n v="85"/>
    <x v="3"/>
    <x v="50"/>
    <x v="71"/>
    <n v="89"/>
    <x v="1"/>
    <n v="17800000"/>
    <n v="41051"/>
    <n v="1"/>
    <n v="0"/>
    <x v="0"/>
  </r>
  <r>
    <x v="6"/>
    <x v="0"/>
    <n v="51"/>
    <s v="Oregon"/>
    <s v="Multnomah County"/>
    <n v="41051"/>
    <n v="6"/>
    <n v="87"/>
    <x v="3"/>
    <x v="142"/>
    <x v="187"/>
    <n v="28"/>
    <x v="1"/>
    <n v="56000"/>
    <n v="41051"/>
    <n v="1"/>
    <n v="0"/>
    <x v="0"/>
  </r>
  <r>
    <x v="6"/>
    <x v="0"/>
    <n v="51"/>
    <s v="Oregon"/>
    <s v="Multnomah County"/>
    <n v="41051"/>
    <n v="6"/>
    <n v="95"/>
    <x v="3"/>
    <x v="51"/>
    <x v="72"/>
    <n v="321"/>
    <x v="1"/>
    <n v="21060000"/>
    <n v="41051"/>
    <n v="1"/>
    <n v="0"/>
    <x v="0"/>
  </r>
  <r>
    <x v="6"/>
    <x v="0"/>
    <n v="51"/>
    <s v="Oregon"/>
    <s v="Multnomah County"/>
    <n v="41051"/>
    <n v="6"/>
    <n v="111"/>
    <x v="3"/>
    <x v="53"/>
    <x v="74"/>
    <n v="166"/>
    <x v="1"/>
    <n v="7005200"/>
    <n v="41051"/>
    <n v="1"/>
    <n v="0"/>
    <x v="0"/>
  </r>
  <r>
    <x v="6"/>
    <x v="0"/>
    <n v="51"/>
    <s v="Oregon"/>
    <s v="Multnomah County"/>
    <n v="41051"/>
    <n v="8"/>
    <n v="0"/>
    <x v="4"/>
    <x v="0"/>
    <x v="16"/>
    <n v="290"/>
    <x v="138"/>
    <n v="12168200"/>
    <n v="41051"/>
    <n v="1"/>
    <n v="0"/>
    <x v="0"/>
  </r>
  <r>
    <x v="6"/>
    <x v="0"/>
    <n v="51"/>
    <s v="Oregon"/>
    <s v="Multnomah County"/>
    <n v="41051"/>
    <n v="9"/>
    <n v="3"/>
    <x v="5"/>
    <x v="85"/>
    <x v="115"/>
    <n v="56"/>
    <x v="1"/>
    <n v="196000"/>
    <n v="41051"/>
    <n v="1"/>
    <n v="0"/>
    <x v="0"/>
  </r>
  <r>
    <x v="6"/>
    <x v="0"/>
    <n v="51"/>
    <s v="Oregon"/>
    <s v="Multnomah County"/>
    <n v="41051"/>
    <n v="11"/>
    <n v="1"/>
    <x v="29"/>
    <x v="55"/>
    <x v="76"/>
    <n v="91"/>
    <x v="184"/>
    <n v="2275000"/>
    <n v="41051"/>
    <n v="1"/>
    <n v="0"/>
    <x v="0"/>
  </r>
  <r>
    <x v="6"/>
    <x v="0"/>
    <n v="51"/>
    <s v="Oregon"/>
    <s v="Multnomah County"/>
    <n v="41051"/>
    <n v="12"/>
    <n v="0"/>
    <x v="6"/>
    <x v="0"/>
    <x v="18"/>
    <n v="75"/>
    <x v="1"/>
    <n v="900000"/>
    <n v="41051"/>
    <n v="1"/>
    <n v="0"/>
    <x v="0"/>
  </r>
  <r>
    <x v="6"/>
    <x v="0"/>
    <n v="51"/>
    <s v="Oregon"/>
    <s v="Multnomah County"/>
    <n v="41051"/>
    <n v="12"/>
    <n v="57"/>
    <x v="6"/>
    <x v="87"/>
    <x v="117"/>
    <n v="54"/>
    <x v="73"/>
    <n v="2586600"/>
    <n v="41051"/>
    <n v="1"/>
    <n v="0"/>
    <x v="0"/>
  </r>
  <r>
    <x v="6"/>
    <x v="0"/>
    <n v="51"/>
    <s v="Oregon"/>
    <s v="Multnomah County"/>
    <n v="41051"/>
    <n v="12"/>
    <n v="95"/>
    <x v="6"/>
    <x v="7"/>
    <x v="159"/>
    <n v="158"/>
    <x v="1"/>
    <n v="5190000"/>
    <n v="41051"/>
    <n v="1"/>
    <n v="0"/>
    <x v="0"/>
  </r>
  <r>
    <x v="6"/>
    <x v="0"/>
    <n v="51"/>
    <s v="Oregon"/>
    <s v="Multnomah County"/>
    <n v="41051"/>
    <n v="12"/>
    <n v="99"/>
    <x v="6"/>
    <x v="143"/>
    <x v="188"/>
    <n v="328"/>
    <x v="240"/>
    <n v="4608000"/>
    <n v="41051"/>
    <n v="1"/>
    <n v="0"/>
    <x v="0"/>
  </r>
  <r>
    <x v="6"/>
    <x v="0"/>
    <n v="51"/>
    <s v="Oregon"/>
    <s v="Multnomah County"/>
    <n v="41051"/>
    <n v="12"/>
    <n v="101"/>
    <x v="6"/>
    <x v="88"/>
    <x v="118"/>
    <n v="282"/>
    <x v="241"/>
    <n v="18894000"/>
    <n v="41051"/>
    <n v="1"/>
    <n v="0"/>
    <x v="0"/>
  </r>
  <r>
    <x v="6"/>
    <x v="0"/>
    <n v="51"/>
    <s v="Oregon"/>
    <s v="Multnomah County"/>
    <n v="41051"/>
    <n v="13"/>
    <n v="0"/>
    <x v="7"/>
    <x v="0"/>
    <x v="21"/>
    <n v="936"/>
    <x v="242"/>
    <n v="28435000"/>
    <n v="41051"/>
    <n v="1"/>
    <n v="0"/>
    <x v="0"/>
  </r>
  <r>
    <x v="6"/>
    <x v="0"/>
    <n v="51"/>
    <s v="Oregon"/>
    <s v="Multnomah County"/>
    <n v="41051"/>
    <n v="16"/>
    <n v="0"/>
    <x v="9"/>
    <x v="0"/>
    <x v="24"/>
    <n v="182"/>
    <x v="78"/>
    <n v="7665000"/>
    <n v="41051"/>
    <n v="1"/>
    <n v="0"/>
    <x v="0"/>
  </r>
  <r>
    <x v="6"/>
    <x v="0"/>
    <n v="51"/>
    <s v="Oregon"/>
    <s v="Multnomah County"/>
    <n v="41051"/>
    <n v="17"/>
    <n v="0"/>
    <x v="10"/>
    <x v="0"/>
    <x v="78"/>
    <n v="93"/>
    <x v="172"/>
    <n v="7161000"/>
    <n v="41051"/>
    <n v="1"/>
    <n v="0"/>
    <x v="0"/>
  </r>
  <r>
    <x v="6"/>
    <x v="0"/>
    <n v="51"/>
    <s v="Oregon"/>
    <s v="Multnomah County"/>
    <n v="41051"/>
    <n v="17"/>
    <n v="31"/>
    <x v="10"/>
    <x v="89"/>
    <x v="119"/>
    <n v="252"/>
    <x v="189"/>
    <n v="3999000"/>
    <n v="41051"/>
    <n v="1"/>
    <n v="0"/>
    <x v="0"/>
  </r>
  <r>
    <x v="6"/>
    <x v="0"/>
    <n v="51"/>
    <s v="Oregon"/>
    <s v="Multnomah County"/>
    <n v="41051"/>
    <n v="18"/>
    <n v="97"/>
    <x v="30"/>
    <x v="32"/>
    <x v="189"/>
    <n v="456"/>
    <x v="243"/>
    <n v="10972000"/>
    <n v="41051"/>
    <n v="1"/>
    <n v="0"/>
    <x v="0"/>
  </r>
  <r>
    <x v="6"/>
    <x v="0"/>
    <n v="51"/>
    <s v="Oregon"/>
    <s v="Multnomah County"/>
    <n v="41051"/>
    <n v="19"/>
    <n v="0"/>
    <x v="47"/>
    <x v="0"/>
    <x v="166"/>
    <n v="135"/>
    <x v="187"/>
    <n v="5737500"/>
    <n v="41051"/>
    <n v="1"/>
    <n v="0"/>
    <x v="0"/>
  </r>
  <r>
    <x v="6"/>
    <x v="0"/>
    <n v="51"/>
    <s v="Oregon"/>
    <s v="Multnomah County"/>
    <n v="41051"/>
    <n v="20"/>
    <n v="91"/>
    <x v="11"/>
    <x v="131"/>
    <x v="175"/>
    <n v="192"/>
    <x v="31"/>
    <n v="5659200"/>
    <n v="41051"/>
    <n v="1"/>
    <n v="0"/>
    <x v="0"/>
  </r>
  <r>
    <x v="6"/>
    <x v="0"/>
    <n v="51"/>
    <s v="Oregon"/>
    <s v="Multnomah County"/>
    <n v="41051"/>
    <n v="21"/>
    <n v="0"/>
    <x v="31"/>
    <x v="0"/>
    <x v="81"/>
    <n v="129"/>
    <x v="20"/>
    <n v="3979500"/>
    <n v="41051"/>
    <n v="1"/>
    <n v="0"/>
    <x v="0"/>
  </r>
  <r>
    <x v="6"/>
    <x v="0"/>
    <n v="51"/>
    <s v="Oregon"/>
    <s v="Multnomah County"/>
    <n v="41051"/>
    <n v="22"/>
    <n v="71"/>
    <x v="12"/>
    <x v="18"/>
    <x v="27"/>
    <n v="95"/>
    <x v="1"/>
    <n v="875000"/>
    <n v="41051"/>
    <n v="1"/>
    <n v="0"/>
    <x v="0"/>
  </r>
  <r>
    <x v="6"/>
    <x v="0"/>
    <n v="51"/>
    <s v="Oregon"/>
    <s v="Multnomah County"/>
    <n v="41051"/>
    <n v="23"/>
    <n v="0"/>
    <x v="13"/>
    <x v="0"/>
    <x v="28"/>
    <n v="75"/>
    <x v="1"/>
    <n v="6900000"/>
    <n v="41051"/>
    <n v="1"/>
    <n v="0"/>
    <x v="0"/>
  </r>
  <r>
    <x v="6"/>
    <x v="0"/>
    <n v="51"/>
    <s v="Oregon"/>
    <s v="Multnomah County"/>
    <n v="41051"/>
    <n v="25"/>
    <n v="0"/>
    <x v="15"/>
    <x v="0"/>
    <x v="30"/>
    <n v="89"/>
    <x v="87"/>
    <n v="1028840"/>
    <n v="41051"/>
    <n v="1"/>
    <n v="0"/>
    <x v="0"/>
  </r>
  <r>
    <x v="6"/>
    <x v="0"/>
    <n v="51"/>
    <s v="Oregon"/>
    <s v="Multnomah County"/>
    <n v="41051"/>
    <n v="25"/>
    <n v="25"/>
    <x v="15"/>
    <x v="20"/>
    <x v="31"/>
    <n v="100"/>
    <x v="126"/>
    <n v="9222400"/>
    <n v="41051"/>
    <n v="1"/>
    <n v="0"/>
    <x v="0"/>
  </r>
  <r>
    <x v="6"/>
    <x v="0"/>
    <n v="51"/>
    <s v="Oregon"/>
    <s v="Multnomah County"/>
    <n v="41051"/>
    <n v="26"/>
    <n v="0"/>
    <x v="16"/>
    <x v="0"/>
    <x v="32"/>
    <n v="217"/>
    <x v="1"/>
    <n v="9152400"/>
    <n v="41051"/>
    <n v="1"/>
    <n v="0"/>
    <x v="0"/>
  </r>
  <r>
    <x v="6"/>
    <x v="0"/>
    <n v="51"/>
    <s v="Oregon"/>
    <s v="Multnomah County"/>
    <n v="41051"/>
    <n v="26"/>
    <n v="99"/>
    <x v="16"/>
    <x v="110"/>
    <x v="145"/>
    <n v="280"/>
    <x v="1"/>
    <n v="35840000"/>
    <n v="41051"/>
    <n v="1"/>
    <n v="0"/>
    <x v="0"/>
  </r>
  <r>
    <x v="6"/>
    <x v="0"/>
    <n v="51"/>
    <s v="Oregon"/>
    <s v="Multnomah County"/>
    <n v="41051"/>
    <n v="27"/>
    <n v="0"/>
    <x v="17"/>
    <x v="0"/>
    <x v="87"/>
    <n v="483"/>
    <x v="244"/>
    <n v="12106800"/>
    <n v="41051"/>
    <n v="1"/>
    <n v="0"/>
    <x v="0"/>
  </r>
  <r>
    <x v="6"/>
    <x v="0"/>
    <n v="51"/>
    <s v="Oregon"/>
    <s v="Multnomah County"/>
    <n v="41051"/>
    <n v="28"/>
    <n v="0"/>
    <x v="32"/>
    <x v="0"/>
    <x v="88"/>
    <n v="71"/>
    <x v="50"/>
    <n v="127800"/>
    <n v="41051"/>
    <n v="1"/>
    <n v="0"/>
    <x v="0"/>
  </r>
  <r>
    <x v="6"/>
    <x v="0"/>
    <n v="51"/>
    <s v="Oregon"/>
    <s v="Multnomah County"/>
    <n v="41051"/>
    <n v="29"/>
    <n v="0"/>
    <x v="41"/>
    <x v="0"/>
    <x v="190"/>
    <n v="191"/>
    <x v="1"/>
    <n v="3302000"/>
    <n v="41051"/>
    <n v="1"/>
    <n v="0"/>
    <x v="0"/>
  </r>
  <r>
    <x v="6"/>
    <x v="0"/>
    <n v="51"/>
    <s v="Oregon"/>
    <s v="Multnomah County"/>
    <n v="41051"/>
    <n v="29"/>
    <n v="183"/>
    <x v="41"/>
    <x v="144"/>
    <x v="191"/>
    <n v="87"/>
    <x v="190"/>
    <n v="4437000"/>
    <n v="41051"/>
    <n v="1"/>
    <n v="0"/>
    <x v="0"/>
  </r>
  <r>
    <x v="6"/>
    <x v="0"/>
    <n v="51"/>
    <s v="Oregon"/>
    <s v="Multnomah County"/>
    <n v="41051"/>
    <n v="29"/>
    <n v="510"/>
    <x v="41"/>
    <x v="145"/>
    <x v="192"/>
    <n v="395"/>
    <x v="245"/>
    <n v="29507200"/>
    <n v="41051"/>
    <n v="1"/>
    <n v="0"/>
    <x v="0"/>
  </r>
  <r>
    <x v="6"/>
    <x v="0"/>
    <n v="51"/>
    <s v="Oregon"/>
    <s v="Multnomah County"/>
    <n v="41051"/>
    <n v="30"/>
    <n v="0"/>
    <x v="33"/>
    <x v="0"/>
    <x v="89"/>
    <n v="142"/>
    <x v="246"/>
    <n v="1334800"/>
    <n v="41051"/>
    <n v="1"/>
    <n v="0"/>
    <x v="0"/>
  </r>
  <r>
    <x v="6"/>
    <x v="0"/>
    <n v="51"/>
    <s v="Oregon"/>
    <s v="Multnomah County"/>
    <n v="41051"/>
    <n v="31"/>
    <n v="0"/>
    <x v="34"/>
    <x v="0"/>
    <x v="193"/>
    <n v="292"/>
    <x v="1"/>
    <n v="3957000"/>
    <n v="41051"/>
    <n v="1"/>
    <n v="0"/>
    <x v="0"/>
  </r>
  <r>
    <x v="6"/>
    <x v="0"/>
    <n v="51"/>
    <s v="Oregon"/>
    <s v="Multnomah County"/>
    <n v="41051"/>
    <n v="31"/>
    <n v="55"/>
    <x v="34"/>
    <x v="29"/>
    <x v="90"/>
    <n v="168"/>
    <x v="247"/>
    <n v="4732200"/>
    <n v="41051"/>
    <n v="1"/>
    <n v="0"/>
    <x v="0"/>
  </r>
  <r>
    <x v="6"/>
    <x v="0"/>
    <n v="51"/>
    <s v="Oregon"/>
    <s v="Multnomah County"/>
    <n v="41051"/>
    <n v="33"/>
    <n v="0"/>
    <x v="19"/>
    <x v="0"/>
    <x v="36"/>
    <n v="30"/>
    <x v="1"/>
    <n v="630000"/>
    <n v="41051"/>
    <n v="1"/>
    <n v="0"/>
    <x v="0"/>
  </r>
  <r>
    <x v="6"/>
    <x v="0"/>
    <n v="51"/>
    <s v="Oregon"/>
    <s v="Multnomah County"/>
    <n v="41051"/>
    <n v="35"/>
    <n v="0"/>
    <x v="20"/>
    <x v="0"/>
    <x v="37"/>
    <n v="707"/>
    <x v="248"/>
    <n v="51695000"/>
    <n v="41051"/>
    <n v="1"/>
    <n v="0"/>
    <x v="0"/>
  </r>
  <r>
    <x v="6"/>
    <x v="0"/>
    <n v="51"/>
    <s v="Oregon"/>
    <s v="Multnomah County"/>
    <n v="41051"/>
    <n v="36"/>
    <n v="1"/>
    <x v="21"/>
    <x v="146"/>
    <x v="194"/>
    <n v="47"/>
    <x v="1"/>
    <n v="517000"/>
    <n v="41051"/>
    <n v="1"/>
    <n v="0"/>
    <x v="0"/>
  </r>
  <r>
    <x v="6"/>
    <x v="0"/>
    <n v="51"/>
    <s v="Oregon"/>
    <s v="Multnomah County"/>
    <n v="41051"/>
    <n v="36"/>
    <n v="47"/>
    <x v="21"/>
    <x v="23"/>
    <x v="39"/>
    <n v="368"/>
    <x v="183"/>
    <n v="30100000"/>
    <n v="41051"/>
    <n v="1"/>
    <n v="0"/>
    <x v="0"/>
  </r>
  <r>
    <x v="6"/>
    <x v="0"/>
    <n v="51"/>
    <s v="Oregon"/>
    <s v="Multnomah County"/>
    <n v="41051"/>
    <n v="36"/>
    <n v="59"/>
    <x v="21"/>
    <x v="147"/>
    <x v="195"/>
    <n v="135"/>
    <x v="1"/>
    <n v="6075000"/>
    <n v="41051"/>
    <n v="1"/>
    <n v="0"/>
    <x v="0"/>
  </r>
  <r>
    <x v="6"/>
    <x v="0"/>
    <n v="51"/>
    <s v="Oregon"/>
    <s v="Multnomah County"/>
    <n v="41051"/>
    <n v="36"/>
    <n v="61"/>
    <x v="21"/>
    <x v="24"/>
    <x v="40"/>
    <n v="113"/>
    <x v="249"/>
    <n v="11300000"/>
    <n v="41051"/>
    <n v="1"/>
    <n v="0"/>
    <x v="0"/>
  </r>
  <r>
    <x v="6"/>
    <x v="0"/>
    <n v="51"/>
    <s v="Oregon"/>
    <s v="Multnomah County"/>
    <n v="41051"/>
    <n v="36"/>
    <n v="83"/>
    <x v="21"/>
    <x v="148"/>
    <x v="196"/>
    <n v="18"/>
    <x v="1"/>
    <n v="10800"/>
    <n v="41051"/>
    <n v="1"/>
    <n v="0"/>
    <x v="0"/>
  </r>
  <r>
    <x v="6"/>
    <x v="0"/>
    <n v="51"/>
    <s v="Oregon"/>
    <s v="Multnomah County"/>
    <n v="41051"/>
    <n v="36"/>
    <n v="103"/>
    <x v="21"/>
    <x v="20"/>
    <x v="42"/>
    <n v="158"/>
    <x v="80"/>
    <n v="7540000"/>
    <n v="41051"/>
    <n v="1"/>
    <n v="0"/>
    <x v="0"/>
  </r>
  <r>
    <x v="6"/>
    <x v="0"/>
    <n v="51"/>
    <s v="Oregon"/>
    <s v="Multnomah County"/>
    <n v="41051"/>
    <n v="36"/>
    <n v="109"/>
    <x v="21"/>
    <x v="68"/>
    <x v="95"/>
    <n v="207"/>
    <x v="250"/>
    <n v="20907000"/>
    <n v="41051"/>
    <n v="1"/>
    <n v="0"/>
    <x v="0"/>
  </r>
  <r>
    <x v="6"/>
    <x v="0"/>
    <n v="51"/>
    <s v="Oregon"/>
    <s v="Multnomah County"/>
    <n v="41051"/>
    <n v="37"/>
    <n v="21"/>
    <x v="22"/>
    <x v="149"/>
    <x v="197"/>
    <n v="72"/>
    <x v="4"/>
    <n v="8685000"/>
    <n v="41051"/>
    <n v="1"/>
    <n v="0"/>
    <x v="0"/>
  </r>
  <r>
    <x v="6"/>
    <x v="0"/>
    <n v="51"/>
    <s v="Oregon"/>
    <s v="Multnomah County"/>
    <n v="41051"/>
    <n v="37"/>
    <n v="135"/>
    <x v="22"/>
    <x v="7"/>
    <x v="198"/>
    <n v="98"/>
    <x v="73"/>
    <n v="889800"/>
    <n v="41051"/>
    <n v="1"/>
    <n v="0"/>
    <x v="0"/>
  </r>
  <r>
    <x v="6"/>
    <x v="0"/>
    <n v="51"/>
    <s v="Oregon"/>
    <s v="Multnomah County"/>
    <n v="41051"/>
    <n v="37"/>
    <n v="183"/>
    <x v="22"/>
    <x v="113"/>
    <x v="148"/>
    <n v="51"/>
    <x v="251"/>
    <n v="2764200"/>
    <n v="41051"/>
    <n v="1"/>
    <n v="0"/>
    <x v="0"/>
  </r>
  <r>
    <x v="6"/>
    <x v="0"/>
    <n v="51"/>
    <s v="Oregon"/>
    <s v="Multnomah County"/>
    <n v="41051"/>
    <n v="38"/>
    <n v="0"/>
    <x v="45"/>
    <x v="0"/>
    <x v="149"/>
    <n v="592"/>
    <x v="252"/>
    <n v="0"/>
    <n v="41051"/>
    <n v="1"/>
    <n v="0"/>
    <x v="0"/>
  </r>
  <r>
    <x v="6"/>
    <x v="0"/>
    <n v="51"/>
    <s v="Oregon"/>
    <s v="Multnomah County"/>
    <n v="41051"/>
    <n v="39"/>
    <n v="0"/>
    <x v="23"/>
    <x v="0"/>
    <x v="125"/>
    <n v="258"/>
    <x v="158"/>
    <n v="28014850"/>
    <n v="41051"/>
    <n v="1"/>
    <n v="0"/>
    <x v="0"/>
  </r>
  <r>
    <x v="6"/>
    <x v="0"/>
    <n v="51"/>
    <s v="Oregon"/>
    <s v="Multnomah County"/>
    <n v="41051"/>
    <n v="39"/>
    <n v="35"/>
    <x v="23"/>
    <x v="95"/>
    <x v="126"/>
    <n v="230"/>
    <x v="209"/>
    <n v="5230000"/>
    <n v="41051"/>
    <n v="1"/>
    <n v="0"/>
    <x v="0"/>
  </r>
  <r>
    <x v="6"/>
    <x v="0"/>
    <n v="51"/>
    <s v="Oregon"/>
    <s v="Multnomah County"/>
    <n v="41051"/>
    <n v="40"/>
    <n v="0"/>
    <x v="42"/>
    <x v="0"/>
    <x v="171"/>
    <n v="91"/>
    <x v="184"/>
    <n v="6370000"/>
    <n v="41051"/>
    <n v="1"/>
    <n v="0"/>
    <x v="0"/>
  </r>
  <r>
    <x v="6"/>
    <x v="0"/>
    <n v="51"/>
    <s v="Oregon"/>
    <s v="Multnomah County"/>
    <n v="41051"/>
    <n v="41"/>
    <n v="0"/>
    <x v="24"/>
    <x v="0"/>
    <x v="45"/>
    <n v="3864"/>
    <x v="253"/>
    <n v="148642730"/>
    <n v="41051"/>
    <n v="1"/>
    <n v="0"/>
    <x v="0"/>
  </r>
  <r>
    <x v="6"/>
    <x v="0"/>
    <n v="51"/>
    <s v="Oregon"/>
    <s v="Multnomah County"/>
    <n v="41051"/>
    <n v="41"/>
    <n v="5"/>
    <x v="24"/>
    <x v="27"/>
    <x v="46"/>
    <n v="7855"/>
    <x v="254"/>
    <n v="481246060"/>
    <n v="41051"/>
    <n v="1"/>
    <n v="0"/>
    <x v="0"/>
  </r>
  <r>
    <x v="6"/>
    <x v="0"/>
    <n v="51"/>
    <s v="Oregon"/>
    <s v="Multnomah County"/>
    <n v="41051"/>
    <n v="41"/>
    <n v="17"/>
    <x v="24"/>
    <x v="28"/>
    <x v="47"/>
    <n v="1949"/>
    <x v="255"/>
    <n v="133230200"/>
    <n v="41051"/>
    <n v="1"/>
    <n v="0"/>
    <x v="0"/>
  </r>
  <r>
    <x v="6"/>
    <x v="0"/>
    <n v="51"/>
    <s v="Oregon"/>
    <s v="Multnomah County"/>
    <n v="41051"/>
    <n v="41"/>
    <n v="19"/>
    <x v="24"/>
    <x v="29"/>
    <x v="48"/>
    <n v="348"/>
    <x v="256"/>
    <n v="18132000"/>
    <n v="41051"/>
    <n v="1"/>
    <n v="0"/>
    <x v="0"/>
  </r>
  <r>
    <x v="6"/>
    <x v="0"/>
    <n v="51"/>
    <s v="Oregon"/>
    <s v="Multnomah County"/>
    <n v="41051"/>
    <n v="41"/>
    <n v="39"/>
    <x v="24"/>
    <x v="31"/>
    <x v="50"/>
    <n v="1857"/>
    <x v="257"/>
    <n v="54825400"/>
    <n v="41051"/>
    <n v="1"/>
    <n v="0"/>
    <x v="0"/>
  </r>
  <r>
    <x v="6"/>
    <x v="0"/>
    <n v="51"/>
    <s v="Oregon"/>
    <s v="Multnomah County"/>
    <n v="41051"/>
    <n v="41"/>
    <n v="47"/>
    <x v="24"/>
    <x v="32"/>
    <x v="51"/>
    <n v="598"/>
    <x v="21"/>
    <n v="28209300"/>
    <n v="41051"/>
    <n v="1"/>
    <n v="0"/>
    <x v="0"/>
  </r>
  <r>
    <x v="6"/>
    <x v="0"/>
    <n v="51"/>
    <s v="Oregon"/>
    <s v="Multnomah County"/>
    <n v="41051"/>
    <n v="41"/>
    <n v="51"/>
    <x v="24"/>
    <x v="33"/>
    <x v="52"/>
    <n v="592986"/>
    <x v="258"/>
    <n v="33479016054"/>
    <n v="41051"/>
    <n v="1"/>
    <n v="1"/>
    <x v="1"/>
  </r>
  <r>
    <x v="6"/>
    <x v="0"/>
    <n v="51"/>
    <s v="Oregon"/>
    <s v="Multnomah County"/>
    <n v="41051"/>
    <n v="41"/>
    <n v="67"/>
    <x v="24"/>
    <x v="34"/>
    <x v="53"/>
    <n v="6706"/>
    <x v="259"/>
    <n v="387212130"/>
    <n v="41051"/>
    <n v="1"/>
    <n v="0"/>
    <x v="0"/>
  </r>
  <r>
    <x v="6"/>
    <x v="0"/>
    <n v="51"/>
    <s v="Oregon"/>
    <s v="Multnomah County"/>
    <n v="41051"/>
    <n v="42"/>
    <n v="17"/>
    <x v="25"/>
    <x v="150"/>
    <x v="199"/>
    <n v="89"/>
    <x v="260"/>
    <n v="2634400"/>
    <n v="41051"/>
    <n v="1"/>
    <n v="0"/>
    <x v="0"/>
  </r>
  <r>
    <x v="6"/>
    <x v="0"/>
    <n v="51"/>
    <s v="Oregon"/>
    <s v="Multnomah County"/>
    <n v="41051"/>
    <n v="42"/>
    <n v="101"/>
    <x v="25"/>
    <x v="36"/>
    <x v="55"/>
    <n v="94"/>
    <x v="56"/>
    <n v="10378900"/>
    <n v="41051"/>
    <n v="1"/>
    <n v="0"/>
    <x v="0"/>
  </r>
  <r>
    <x v="6"/>
    <x v="0"/>
    <n v="51"/>
    <s v="Oregon"/>
    <s v="Multnomah County"/>
    <n v="41051"/>
    <n v="45"/>
    <n v="0"/>
    <x v="37"/>
    <x v="0"/>
    <x v="102"/>
    <n v="69"/>
    <x v="1"/>
    <n v="2049300"/>
    <n v="41051"/>
    <n v="1"/>
    <n v="0"/>
    <x v="0"/>
  </r>
  <r>
    <x v="6"/>
    <x v="0"/>
    <n v="51"/>
    <s v="Oregon"/>
    <s v="Multnomah County"/>
    <n v="41051"/>
    <n v="45"/>
    <n v="51"/>
    <x v="37"/>
    <x v="151"/>
    <x v="200"/>
    <n v="296"/>
    <x v="1"/>
    <n v="10656000"/>
    <n v="41051"/>
    <n v="1"/>
    <n v="0"/>
    <x v="0"/>
  </r>
  <r>
    <x v="6"/>
    <x v="0"/>
    <n v="51"/>
    <s v="Oregon"/>
    <s v="Multnomah County"/>
    <n v="41051"/>
    <n v="47"/>
    <n v="0"/>
    <x v="38"/>
    <x v="0"/>
    <x v="103"/>
    <n v="353"/>
    <x v="30"/>
    <n v="24834500"/>
    <n v="41051"/>
    <n v="1"/>
    <n v="0"/>
    <x v="0"/>
  </r>
  <r>
    <x v="6"/>
    <x v="0"/>
    <n v="51"/>
    <s v="Oregon"/>
    <s v="Multnomah County"/>
    <n v="41051"/>
    <n v="47"/>
    <n v="149"/>
    <x v="38"/>
    <x v="152"/>
    <x v="201"/>
    <n v="54"/>
    <x v="1"/>
    <n v="383400"/>
    <n v="41051"/>
    <n v="1"/>
    <n v="0"/>
    <x v="0"/>
  </r>
  <r>
    <x v="6"/>
    <x v="0"/>
    <n v="51"/>
    <s v="Oregon"/>
    <s v="Multnomah County"/>
    <n v="41051"/>
    <n v="48"/>
    <n v="29"/>
    <x v="26"/>
    <x v="114"/>
    <x v="151"/>
    <n v="113"/>
    <x v="1"/>
    <n v="9040000"/>
    <n v="41051"/>
    <n v="1"/>
    <n v="0"/>
    <x v="0"/>
  </r>
  <r>
    <x v="6"/>
    <x v="0"/>
    <n v="51"/>
    <s v="Oregon"/>
    <s v="Multnomah County"/>
    <n v="41051"/>
    <n v="48"/>
    <n v="91"/>
    <x v="26"/>
    <x v="153"/>
    <x v="202"/>
    <n v="456"/>
    <x v="1"/>
    <n v="17533200"/>
    <n v="41051"/>
    <n v="1"/>
    <n v="0"/>
    <x v="0"/>
  </r>
  <r>
    <x v="6"/>
    <x v="0"/>
    <n v="51"/>
    <s v="Oregon"/>
    <s v="Multnomah County"/>
    <n v="41051"/>
    <n v="48"/>
    <n v="113"/>
    <x v="26"/>
    <x v="77"/>
    <x v="106"/>
    <n v="36"/>
    <x v="1"/>
    <n v="540000"/>
    <n v="41051"/>
    <n v="1"/>
    <n v="0"/>
    <x v="0"/>
  </r>
  <r>
    <x v="6"/>
    <x v="0"/>
    <n v="51"/>
    <s v="Oregon"/>
    <s v="Multnomah County"/>
    <n v="41051"/>
    <n v="48"/>
    <n v="201"/>
    <x v="26"/>
    <x v="154"/>
    <x v="203"/>
    <n v="59"/>
    <x v="98"/>
    <n v="7552000"/>
    <n v="41051"/>
    <n v="1"/>
    <n v="0"/>
    <x v="0"/>
  </r>
  <r>
    <x v="6"/>
    <x v="0"/>
    <n v="51"/>
    <s v="Oregon"/>
    <s v="Multnomah County"/>
    <n v="41051"/>
    <n v="48"/>
    <n v="439"/>
    <x v="26"/>
    <x v="78"/>
    <x v="107"/>
    <n v="137"/>
    <x v="56"/>
    <n v="14346000"/>
    <n v="41051"/>
    <n v="1"/>
    <n v="0"/>
    <x v="0"/>
  </r>
  <r>
    <x v="6"/>
    <x v="0"/>
    <n v="51"/>
    <s v="Oregon"/>
    <s v="Multnomah County"/>
    <n v="41051"/>
    <n v="48"/>
    <n v="453"/>
    <x v="26"/>
    <x v="38"/>
    <x v="57"/>
    <n v="254"/>
    <x v="229"/>
    <n v="9558800"/>
    <n v="41051"/>
    <n v="1"/>
    <n v="0"/>
    <x v="0"/>
  </r>
  <r>
    <x v="6"/>
    <x v="0"/>
    <n v="51"/>
    <s v="Oregon"/>
    <s v="Multnomah County"/>
    <n v="41051"/>
    <n v="49"/>
    <n v="0"/>
    <x v="27"/>
    <x v="0"/>
    <x v="152"/>
    <n v="41"/>
    <x v="25"/>
    <n v="246000"/>
    <n v="41051"/>
    <n v="1"/>
    <n v="0"/>
    <x v="0"/>
  </r>
  <r>
    <x v="6"/>
    <x v="0"/>
    <n v="51"/>
    <s v="Oregon"/>
    <s v="Multnomah County"/>
    <n v="41051"/>
    <n v="49"/>
    <n v="35"/>
    <x v="27"/>
    <x v="39"/>
    <x v="58"/>
    <n v="204"/>
    <x v="261"/>
    <n v="18360000"/>
    <n v="41051"/>
    <n v="1"/>
    <n v="0"/>
    <x v="0"/>
  </r>
  <r>
    <x v="6"/>
    <x v="0"/>
    <n v="51"/>
    <s v="Oregon"/>
    <s v="Multnomah County"/>
    <n v="41051"/>
    <n v="49"/>
    <n v="53"/>
    <x v="27"/>
    <x v="34"/>
    <x v="204"/>
    <n v="193"/>
    <x v="149"/>
    <n v="10771000"/>
    <n v="41051"/>
    <n v="1"/>
    <n v="0"/>
    <x v="0"/>
  </r>
  <r>
    <x v="6"/>
    <x v="0"/>
    <n v="51"/>
    <s v="Oregon"/>
    <s v="Multnomah County"/>
    <n v="41051"/>
    <n v="51"/>
    <n v="0"/>
    <x v="39"/>
    <x v="0"/>
    <x v="108"/>
    <n v="274"/>
    <x v="262"/>
    <n v="7293500"/>
    <n v="41051"/>
    <n v="1"/>
    <n v="0"/>
    <x v="0"/>
  </r>
  <r>
    <x v="6"/>
    <x v="0"/>
    <n v="51"/>
    <s v="Oregon"/>
    <s v="Multnomah County"/>
    <n v="41051"/>
    <n v="51"/>
    <n v="760"/>
    <x v="39"/>
    <x v="155"/>
    <x v="205"/>
    <n v="100"/>
    <x v="4"/>
    <n v="1355950"/>
    <n v="41051"/>
    <n v="1"/>
    <n v="0"/>
    <x v="0"/>
  </r>
  <r>
    <x v="6"/>
    <x v="0"/>
    <n v="51"/>
    <s v="Oregon"/>
    <s v="Multnomah County"/>
    <n v="41051"/>
    <n v="53"/>
    <n v="0"/>
    <x v="28"/>
    <x v="0"/>
    <x v="60"/>
    <n v="2032"/>
    <x v="263"/>
    <n v="89038600"/>
    <n v="41051"/>
    <n v="1"/>
    <n v="0"/>
    <x v="0"/>
  </r>
  <r>
    <x v="6"/>
    <x v="0"/>
    <n v="51"/>
    <s v="Oregon"/>
    <s v="Multnomah County"/>
    <n v="41051"/>
    <n v="53"/>
    <n v="11"/>
    <x v="28"/>
    <x v="22"/>
    <x v="61"/>
    <n v="4334"/>
    <x v="264"/>
    <n v="270756210"/>
    <n v="41051"/>
    <n v="1"/>
    <n v="0"/>
    <x v="0"/>
  </r>
  <r>
    <x v="6"/>
    <x v="0"/>
    <n v="51"/>
    <s v="Oregon"/>
    <s v="Multnomah County"/>
    <n v="41051"/>
    <n v="53"/>
    <n v="33"/>
    <x v="28"/>
    <x v="41"/>
    <x v="62"/>
    <n v="1095"/>
    <x v="265"/>
    <n v="75323900"/>
    <n v="41051"/>
    <n v="1"/>
    <n v="0"/>
    <x v="0"/>
  </r>
  <r>
    <x v="6"/>
    <x v="0"/>
    <n v="51"/>
    <s v="Oregon"/>
    <s v="Multnomah County"/>
    <n v="41051"/>
    <n v="53"/>
    <n v="35"/>
    <x v="28"/>
    <x v="42"/>
    <x v="63"/>
    <n v="688"/>
    <x v="266"/>
    <n v="103362250"/>
    <n v="41051"/>
    <n v="1"/>
    <n v="0"/>
    <x v="0"/>
  </r>
  <r>
    <x v="6"/>
    <x v="0"/>
    <n v="51"/>
    <s v="Oregon"/>
    <s v="Multnomah County"/>
    <n v="41051"/>
    <n v="53"/>
    <n v="53"/>
    <x v="28"/>
    <x v="43"/>
    <x v="64"/>
    <n v="221"/>
    <x v="147"/>
    <n v="6148600"/>
    <n v="41051"/>
    <n v="1"/>
    <n v="0"/>
    <x v="0"/>
  </r>
  <r>
    <x v="6"/>
    <x v="0"/>
    <n v="51"/>
    <s v="Oregon"/>
    <s v="Multnomah County"/>
    <n v="41051"/>
    <n v="53"/>
    <n v="61"/>
    <x v="28"/>
    <x v="44"/>
    <x v="65"/>
    <n v="238"/>
    <x v="1"/>
    <n v="7997500"/>
    <n v="41051"/>
    <n v="1"/>
    <n v="0"/>
    <x v="0"/>
  </r>
  <r>
    <x v="6"/>
    <x v="0"/>
    <n v="51"/>
    <s v="Oregon"/>
    <s v="Multnomah County"/>
    <n v="41051"/>
    <n v="53"/>
    <n v="63"/>
    <x v="28"/>
    <x v="45"/>
    <x v="66"/>
    <n v="110"/>
    <x v="118"/>
    <n v="2200000"/>
    <n v="41051"/>
    <n v="1"/>
    <n v="0"/>
    <x v="0"/>
  </r>
  <r>
    <x v="6"/>
    <x v="0"/>
    <n v="51"/>
    <s v="Oregon"/>
    <s v="Multnomah County"/>
    <n v="41051"/>
    <n v="53"/>
    <n v="67"/>
    <x v="28"/>
    <x v="81"/>
    <x v="111"/>
    <n v="315"/>
    <x v="267"/>
    <n v="9953600"/>
    <n v="41051"/>
    <n v="1"/>
    <n v="0"/>
    <x v="0"/>
  </r>
  <r>
    <x v="6"/>
    <x v="0"/>
    <n v="51"/>
    <s v="Oregon"/>
    <s v="Multnomah County"/>
    <n v="41051"/>
    <n v="53"/>
    <n v="73"/>
    <x v="28"/>
    <x v="140"/>
    <x v="185"/>
    <n v="66"/>
    <x v="13"/>
    <n v="0"/>
    <n v="41051"/>
    <n v="1"/>
    <n v="0"/>
    <x v="0"/>
  </r>
  <r>
    <x v="6"/>
    <x v="0"/>
    <n v="51"/>
    <s v="Oregon"/>
    <s v="Multnomah County"/>
    <n v="41051"/>
    <n v="53"/>
    <n v="77"/>
    <x v="28"/>
    <x v="156"/>
    <x v="206"/>
    <n v="66"/>
    <x v="69"/>
    <n v="118800"/>
    <n v="41051"/>
    <n v="1"/>
    <n v="0"/>
    <x v="0"/>
  </r>
  <r>
    <x v="6"/>
    <x v="0"/>
    <n v="51"/>
    <s v="Oregon"/>
    <s v="Multnomah County"/>
    <n v="41051"/>
    <n v="55"/>
    <n v="0"/>
    <x v="40"/>
    <x v="0"/>
    <x v="155"/>
    <n v="7"/>
    <x v="1"/>
    <n v="770000"/>
    <n v="41051"/>
    <n v="1"/>
    <n v="0"/>
    <x v="0"/>
  </r>
  <r>
    <x v="6"/>
    <x v="0"/>
    <n v="51"/>
    <s v="Oregon"/>
    <s v="Multnomah County"/>
    <n v="41051"/>
    <n v="55"/>
    <n v="25"/>
    <x v="40"/>
    <x v="82"/>
    <x v="112"/>
    <n v="311"/>
    <x v="1"/>
    <n v="32670550"/>
    <n v="41051"/>
    <n v="1"/>
    <n v="0"/>
    <x v="0"/>
  </r>
  <r>
    <x v="6"/>
    <x v="0"/>
    <n v="51"/>
    <s v="Oregon"/>
    <s v="Multnomah County"/>
    <n v="41051"/>
    <n v="56"/>
    <n v="0"/>
    <x v="43"/>
    <x v="0"/>
    <x v="133"/>
    <n v="189"/>
    <x v="29"/>
    <n v="8845200"/>
    <n v="41051"/>
    <n v="1"/>
    <n v="0"/>
    <x v="0"/>
  </r>
  <r>
    <x v="7"/>
    <x v="0"/>
    <n v="51"/>
    <s v="Oregon"/>
    <s v="Multnomah County"/>
    <n v="41051"/>
    <n v="2"/>
    <n v="0"/>
    <x v="1"/>
    <x v="0"/>
    <x v="1"/>
    <n v="228"/>
    <x v="268"/>
    <n v="8740000"/>
    <n v="41051"/>
    <n v="1"/>
    <n v="0"/>
    <x v="0"/>
  </r>
  <r>
    <x v="7"/>
    <x v="0"/>
    <n v="51"/>
    <s v="Oregon"/>
    <s v="Multnomah County"/>
    <n v="41051"/>
    <n v="2"/>
    <n v="20"/>
    <x v="1"/>
    <x v="157"/>
    <x v="207"/>
    <n v="474"/>
    <x v="1"/>
    <n v="7110000"/>
    <n v="41051"/>
    <n v="1"/>
    <n v="0"/>
    <x v="0"/>
  </r>
  <r>
    <x v="7"/>
    <x v="0"/>
    <n v="51"/>
    <s v="Oregon"/>
    <s v="Multnomah County"/>
    <n v="41051"/>
    <n v="4"/>
    <n v="0"/>
    <x v="2"/>
    <x v="0"/>
    <x v="2"/>
    <n v="797"/>
    <x v="141"/>
    <n v="95635890"/>
    <n v="41051"/>
    <n v="1"/>
    <n v="0"/>
    <x v="0"/>
  </r>
  <r>
    <x v="7"/>
    <x v="0"/>
    <n v="51"/>
    <s v="Oregon"/>
    <s v="Multnomah County"/>
    <n v="41051"/>
    <n v="4"/>
    <n v="13"/>
    <x v="2"/>
    <x v="1"/>
    <x v="3"/>
    <n v="509"/>
    <x v="269"/>
    <n v="43990700"/>
    <n v="41051"/>
    <n v="1"/>
    <n v="0"/>
    <x v="0"/>
  </r>
  <r>
    <x v="7"/>
    <x v="0"/>
    <n v="51"/>
    <s v="Oregon"/>
    <s v="Multnomah County"/>
    <n v="41051"/>
    <n v="4"/>
    <n v="25"/>
    <x v="2"/>
    <x v="158"/>
    <x v="208"/>
    <n v="38"/>
    <x v="1"/>
    <n v="2660000"/>
    <n v="41051"/>
    <n v="1"/>
    <n v="0"/>
    <x v="0"/>
  </r>
  <r>
    <x v="7"/>
    <x v="0"/>
    <n v="51"/>
    <s v="Oregon"/>
    <s v="Multnomah County"/>
    <n v="41051"/>
    <n v="6"/>
    <n v="0"/>
    <x v="3"/>
    <x v="0"/>
    <x v="4"/>
    <n v="217"/>
    <x v="12"/>
    <n v="8391900"/>
    <n v="41051"/>
    <n v="1"/>
    <n v="0"/>
    <x v="0"/>
  </r>
  <r>
    <x v="7"/>
    <x v="0"/>
    <n v="51"/>
    <s v="Oregon"/>
    <s v="Multnomah County"/>
    <n v="41051"/>
    <n v="6"/>
    <n v="1"/>
    <x v="3"/>
    <x v="2"/>
    <x v="5"/>
    <n v="149"/>
    <x v="31"/>
    <n v="7596200"/>
    <n v="41051"/>
    <n v="1"/>
    <n v="0"/>
    <x v="0"/>
  </r>
  <r>
    <x v="7"/>
    <x v="0"/>
    <n v="51"/>
    <s v="Oregon"/>
    <s v="Multnomah County"/>
    <n v="41051"/>
    <n v="6"/>
    <n v="13"/>
    <x v="3"/>
    <x v="3"/>
    <x v="6"/>
    <n v="79"/>
    <x v="212"/>
    <n v="3952370"/>
    <n v="41051"/>
    <n v="1"/>
    <n v="0"/>
    <x v="0"/>
  </r>
  <r>
    <x v="7"/>
    <x v="0"/>
    <n v="51"/>
    <s v="Oregon"/>
    <s v="Multnomah County"/>
    <n v="41051"/>
    <n v="6"/>
    <n v="23"/>
    <x v="3"/>
    <x v="5"/>
    <x v="8"/>
    <n v="72"/>
    <x v="1"/>
    <n v="1152000"/>
    <n v="41051"/>
    <n v="1"/>
    <n v="0"/>
    <x v="0"/>
  </r>
  <r>
    <x v="7"/>
    <x v="0"/>
    <n v="51"/>
    <s v="Oregon"/>
    <s v="Multnomah County"/>
    <n v="41051"/>
    <n v="6"/>
    <n v="37"/>
    <x v="3"/>
    <x v="6"/>
    <x v="9"/>
    <n v="2276"/>
    <x v="270"/>
    <n v="235063280"/>
    <n v="41051"/>
    <n v="1"/>
    <n v="0"/>
    <x v="0"/>
  </r>
  <r>
    <x v="7"/>
    <x v="0"/>
    <n v="51"/>
    <s v="Oregon"/>
    <s v="Multnomah County"/>
    <n v="41051"/>
    <n v="6"/>
    <n v="41"/>
    <x v="3"/>
    <x v="104"/>
    <x v="138"/>
    <n v="160"/>
    <x v="267"/>
    <n v="4730000"/>
    <n v="41051"/>
    <n v="1"/>
    <n v="0"/>
    <x v="0"/>
  </r>
  <r>
    <x v="7"/>
    <x v="0"/>
    <n v="51"/>
    <s v="Oregon"/>
    <s v="Multnomah County"/>
    <n v="41051"/>
    <n v="6"/>
    <n v="65"/>
    <x v="3"/>
    <x v="83"/>
    <x v="113"/>
    <n v="145"/>
    <x v="153"/>
    <n v="3789900"/>
    <n v="41051"/>
    <n v="1"/>
    <n v="0"/>
    <x v="0"/>
  </r>
  <r>
    <x v="7"/>
    <x v="0"/>
    <n v="51"/>
    <s v="Oregon"/>
    <s v="Multnomah County"/>
    <n v="41051"/>
    <n v="6"/>
    <n v="67"/>
    <x v="3"/>
    <x v="9"/>
    <x v="12"/>
    <n v="600"/>
    <x v="52"/>
    <n v="27640000"/>
    <n v="41051"/>
    <n v="1"/>
    <n v="0"/>
    <x v="0"/>
  </r>
  <r>
    <x v="7"/>
    <x v="0"/>
    <n v="51"/>
    <s v="Oregon"/>
    <s v="Multnomah County"/>
    <n v="41051"/>
    <n v="6"/>
    <n v="71"/>
    <x v="3"/>
    <x v="159"/>
    <x v="209"/>
    <n v="72"/>
    <x v="1"/>
    <n v="1800000"/>
    <n v="41051"/>
    <n v="1"/>
    <n v="0"/>
    <x v="0"/>
  </r>
  <r>
    <x v="7"/>
    <x v="0"/>
    <n v="51"/>
    <s v="Oregon"/>
    <s v="Multnomah County"/>
    <n v="41051"/>
    <n v="6"/>
    <n v="73"/>
    <x v="3"/>
    <x v="10"/>
    <x v="13"/>
    <n v="110"/>
    <x v="73"/>
    <n v="3850000"/>
    <n v="41051"/>
    <n v="1"/>
    <n v="0"/>
    <x v="0"/>
  </r>
  <r>
    <x v="7"/>
    <x v="0"/>
    <n v="51"/>
    <s v="Oregon"/>
    <s v="Multnomah County"/>
    <n v="41051"/>
    <n v="6"/>
    <n v="75"/>
    <x v="3"/>
    <x v="11"/>
    <x v="14"/>
    <n v="1368"/>
    <x v="271"/>
    <n v="58277600"/>
    <n v="41051"/>
    <n v="1"/>
    <n v="0"/>
    <x v="0"/>
  </r>
  <r>
    <x v="7"/>
    <x v="0"/>
    <n v="51"/>
    <s v="Oregon"/>
    <s v="Multnomah County"/>
    <n v="41051"/>
    <n v="6"/>
    <n v="77"/>
    <x v="3"/>
    <x v="116"/>
    <x v="156"/>
    <n v="67"/>
    <x v="1"/>
    <n v="1742000"/>
    <n v="41051"/>
    <n v="1"/>
    <n v="0"/>
    <x v="0"/>
  </r>
  <r>
    <x v="7"/>
    <x v="0"/>
    <n v="51"/>
    <s v="Oregon"/>
    <s v="Multnomah County"/>
    <n v="41051"/>
    <n v="6"/>
    <n v="83"/>
    <x v="3"/>
    <x v="49"/>
    <x v="70"/>
    <n v="56"/>
    <x v="1"/>
    <n v="84000"/>
    <n v="41051"/>
    <n v="1"/>
    <n v="0"/>
    <x v="0"/>
  </r>
  <r>
    <x v="7"/>
    <x v="0"/>
    <n v="51"/>
    <s v="Oregon"/>
    <s v="Multnomah County"/>
    <n v="41051"/>
    <n v="6"/>
    <n v="85"/>
    <x v="3"/>
    <x v="50"/>
    <x v="71"/>
    <n v="1878"/>
    <x v="272"/>
    <n v="228055000"/>
    <n v="41051"/>
    <n v="1"/>
    <n v="0"/>
    <x v="0"/>
  </r>
  <r>
    <x v="7"/>
    <x v="0"/>
    <n v="51"/>
    <s v="Oregon"/>
    <s v="Multnomah County"/>
    <n v="41051"/>
    <n v="6"/>
    <n v="89"/>
    <x v="3"/>
    <x v="160"/>
    <x v="210"/>
    <n v="255"/>
    <x v="273"/>
    <n v="10414000"/>
    <n v="41051"/>
    <n v="1"/>
    <n v="0"/>
    <x v="0"/>
  </r>
  <r>
    <x v="7"/>
    <x v="0"/>
    <n v="51"/>
    <s v="Oregon"/>
    <s v="Multnomah County"/>
    <n v="41051"/>
    <n v="8"/>
    <n v="0"/>
    <x v="4"/>
    <x v="0"/>
    <x v="16"/>
    <n v="1550"/>
    <x v="274"/>
    <n v="70226460"/>
    <n v="41051"/>
    <n v="1"/>
    <n v="0"/>
    <x v="0"/>
  </r>
  <r>
    <x v="7"/>
    <x v="0"/>
    <n v="51"/>
    <s v="Oregon"/>
    <s v="Multnomah County"/>
    <n v="41051"/>
    <n v="8"/>
    <n v="69"/>
    <x v="4"/>
    <x v="106"/>
    <x v="140"/>
    <n v="66"/>
    <x v="13"/>
    <n v="19800"/>
    <n v="41051"/>
    <n v="1"/>
    <n v="0"/>
    <x v="0"/>
  </r>
  <r>
    <x v="7"/>
    <x v="0"/>
    <n v="51"/>
    <s v="Oregon"/>
    <s v="Multnomah County"/>
    <n v="41051"/>
    <n v="12"/>
    <n v="57"/>
    <x v="6"/>
    <x v="87"/>
    <x v="117"/>
    <n v="179"/>
    <x v="87"/>
    <n v="8703200"/>
    <n v="41051"/>
    <n v="1"/>
    <n v="0"/>
    <x v="0"/>
  </r>
  <r>
    <x v="7"/>
    <x v="0"/>
    <n v="51"/>
    <s v="Oregon"/>
    <s v="Multnomah County"/>
    <n v="41051"/>
    <n v="12"/>
    <n v="85"/>
    <x v="6"/>
    <x v="161"/>
    <x v="211"/>
    <n v="100"/>
    <x v="1"/>
    <n v="10500000"/>
    <n v="41051"/>
    <n v="1"/>
    <n v="0"/>
    <x v="0"/>
  </r>
  <r>
    <x v="7"/>
    <x v="0"/>
    <n v="51"/>
    <s v="Oregon"/>
    <s v="Multnomah County"/>
    <n v="41051"/>
    <n v="13"/>
    <n v="0"/>
    <x v="7"/>
    <x v="0"/>
    <x v="21"/>
    <n v="78"/>
    <x v="1"/>
    <n v="3510000"/>
    <n v="41051"/>
    <n v="1"/>
    <n v="0"/>
    <x v="0"/>
  </r>
  <r>
    <x v="7"/>
    <x v="0"/>
    <n v="51"/>
    <s v="Oregon"/>
    <s v="Multnomah County"/>
    <n v="41051"/>
    <n v="15"/>
    <n v="1"/>
    <x v="8"/>
    <x v="122"/>
    <x v="163"/>
    <n v="165"/>
    <x v="275"/>
    <n v="48840000"/>
    <n v="41051"/>
    <n v="1"/>
    <n v="0"/>
    <x v="0"/>
  </r>
  <r>
    <x v="7"/>
    <x v="0"/>
    <n v="51"/>
    <s v="Oregon"/>
    <s v="Multnomah County"/>
    <n v="41051"/>
    <n v="15"/>
    <n v="3"/>
    <x v="8"/>
    <x v="16"/>
    <x v="23"/>
    <n v="447"/>
    <x v="276"/>
    <n v="1653900"/>
    <n v="41051"/>
    <n v="1"/>
    <n v="0"/>
    <x v="0"/>
  </r>
  <r>
    <x v="7"/>
    <x v="0"/>
    <n v="51"/>
    <s v="Oregon"/>
    <s v="Multnomah County"/>
    <n v="41051"/>
    <n v="16"/>
    <n v="0"/>
    <x v="9"/>
    <x v="0"/>
    <x v="24"/>
    <n v="397"/>
    <x v="51"/>
    <n v="10701300"/>
    <n v="41051"/>
    <n v="1"/>
    <n v="0"/>
    <x v="0"/>
  </r>
  <r>
    <x v="7"/>
    <x v="0"/>
    <n v="51"/>
    <s v="Oregon"/>
    <s v="Multnomah County"/>
    <n v="41051"/>
    <n v="17"/>
    <n v="31"/>
    <x v="10"/>
    <x v="89"/>
    <x v="119"/>
    <n v="242"/>
    <x v="277"/>
    <n v="9876000"/>
    <n v="41051"/>
    <n v="1"/>
    <n v="0"/>
    <x v="0"/>
  </r>
  <r>
    <x v="7"/>
    <x v="0"/>
    <n v="51"/>
    <s v="Oregon"/>
    <s v="Multnomah County"/>
    <n v="41051"/>
    <n v="17"/>
    <n v="43"/>
    <x v="10"/>
    <x v="109"/>
    <x v="143"/>
    <n v="177"/>
    <x v="278"/>
    <n v="109032000"/>
    <n v="41051"/>
    <n v="1"/>
    <n v="0"/>
    <x v="0"/>
  </r>
  <r>
    <x v="7"/>
    <x v="0"/>
    <n v="51"/>
    <s v="Oregon"/>
    <s v="Multnomah County"/>
    <n v="41051"/>
    <n v="18"/>
    <n v="97"/>
    <x v="30"/>
    <x v="32"/>
    <x v="189"/>
    <n v="650"/>
    <x v="279"/>
    <n v="5710920"/>
    <n v="41051"/>
    <n v="1"/>
    <n v="0"/>
    <x v="0"/>
  </r>
  <r>
    <x v="7"/>
    <x v="0"/>
    <n v="51"/>
    <s v="Oregon"/>
    <s v="Multnomah County"/>
    <n v="41051"/>
    <n v="21"/>
    <n v="111"/>
    <x v="31"/>
    <x v="60"/>
    <x v="83"/>
    <n v="100"/>
    <x v="1"/>
    <n v="790000"/>
    <n v="41051"/>
    <n v="1"/>
    <n v="0"/>
    <x v="0"/>
  </r>
  <r>
    <x v="7"/>
    <x v="0"/>
    <n v="51"/>
    <s v="Oregon"/>
    <s v="Multnomah County"/>
    <n v="41051"/>
    <n v="24"/>
    <n v="0"/>
    <x v="14"/>
    <x v="0"/>
    <x v="212"/>
    <n v="98"/>
    <x v="280"/>
    <n v="9778000"/>
    <n v="41051"/>
    <n v="1"/>
    <n v="0"/>
    <x v="0"/>
  </r>
  <r>
    <x v="7"/>
    <x v="0"/>
    <n v="51"/>
    <s v="Oregon"/>
    <s v="Multnomah County"/>
    <n v="41051"/>
    <n v="24"/>
    <n v="33"/>
    <x v="14"/>
    <x v="162"/>
    <x v="213"/>
    <n v="75"/>
    <x v="189"/>
    <n v="6000000"/>
    <n v="41051"/>
    <n v="1"/>
    <n v="0"/>
    <x v="0"/>
  </r>
  <r>
    <x v="7"/>
    <x v="0"/>
    <n v="51"/>
    <s v="Oregon"/>
    <s v="Multnomah County"/>
    <n v="41051"/>
    <n v="25"/>
    <n v="17"/>
    <x v="15"/>
    <x v="93"/>
    <x v="214"/>
    <n v="95"/>
    <x v="1"/>
    <n v="3135000"/>
    <n v="41051"/>
    <n v="1"/>
    <n v="0"/>
    <x v="0"/>
  </r>
  <r>
    <x v="7"/>
    <x v="0"/>
    <n v="51"/>
    <s v="Oregon"/>
    <s v="Multnomah County"/>
    <n v="41051"/>
    <n v="25"/>
    <n v="23"/>
    <x v="15"/>
    <x v="163"/>
    <x v="215"/>
    <n v="127"/>
    <x v="281"/>
    <n v="13470000"/>
    <n v="41051"/>
    <n v="1"/>
    <n v="0"/>
    <x v="0"/>
  </r>
  <r>
    <x v="7"/>
    <x v="0"/>
    <n v="51"/>
    <s v="Oregon"/>
    <s v="Multnomah County"/>
    <n v="41051"/>
    <n v="27"/>
    <n v="53"/>
    <x v="17"/>
    <x v="21"/>
    <x v="33"/>
    <n v="179"/>
    <x v="282"/>
    <n v="1074000"/>
    <n v="41051"/>
    <n v="1"/>
    <n v="0"/>
    <x v="0"/>
  </r>
  <r>
    <x v="7"/>
    <x v="0"/>
    <n v="51"/>
    <s v="Oregon"/>
    <s v="Multnomah County"/>
    <n v="41051"/>
    <n v="29"/>
    <n v="0"/>
    <x v="41"/>
    <x v="0"/>
    <x v="190"/>
    <n v="93"/>
    <x v="203"/>
    <n v="1069500"/>
    <n v="41051"/>
    <n v="1"/>
    <n v="0"/>
    <x v="0"/>
  </r>
  <r>
    <x v="7"/>
    <x v="0"/>
    <n v="51"/>
    <s v="Oregon"/>
    <s v="Multnomah County"/>
    <n v="41051"/>
    <n v="29"/>
    <n v="95"/>
    <x v="41"/>
    <x v="30"/>
    <x v="168"/>
    <n v="103"/>
    <x v="89"/>
    <n v="1236000"/>
    <n v="41051"/>
    <n v="1"/>
    <n v="0"/>
    <x v="0"/>
  </r>
  <r>
    <x v="7"/>
    <x v="0"/>
    <n v="51"/>
    <s v="Oregon"/>
    <s v="Multnomah County"/>
    <n v="41051"/>
    <n v="29"/>
    <n v="510"/>
    <x v="41"/>
    <x v="145"/>
    <x v="192"/>
    <n v="123"/>
    <x v="283"/>
    <n v="5359000"/>
    <n v="41051"/>
    <n v="1"/>
    <n v="0"/>
    <x v="0"/>
  </r>
  <r>
    <x v="7"/>
    <x v="0"/>
    <n v="51"/>
    <s v="Oregon"/>
    <s v="Multnomah County"/>
    <n v="41051"/>
    <n v="30"/>
    <n v="0"/>
    <x v="33"/>
    <x v="0"/>
    <x v="89"/>
    <n v="75"/>
    <x v="284"/>
    <n v="616000"/>
    <n v="41051"/>
    <n v="1"/>
    <n v="0"/>
    <x v="0"/>
  </r>
  <r>
    <x v="7"/>
    <x v="0"/>
    <n v="51"/>
    <s v="Oregon"/>
    <s v="Multnomah County"/>
    <n v="41051"/>
    <n v="32"/>
    <n v="0"/>
    <x v="18"/>
    <x v="0"/>
    <x v="34"/>
    <n v="141"/>
    <x v="1"/>
    <n v="561600"/>
    <n v="41051"/>
    <n v="1"/>
    <n v="0"/>
    <x v="0"/>
  </r>
  <r>
    <x v="7"/>
    <x v="0"/>
    <n v="51"/>
    <s v="Oregon"/>
    <s v="Multnomah County"/>
    <n v="41051"/>
    <n v="32"/>
    <n v="3"/>
    <x v="18"/>
    <x v="22"/>
    <x v="35"/>
    <n v="360"/>
    <x v="218"/>
    <n v="24940300"/>
    <n v="41051"/>
    <n v="1"/>
    <n v="0"/>
    <x v="0"/>
  </r>
  <r>
    <x v="7"/>
    <x v="0"/>
    <n v="51"/>
    <s v="Oregon"/>
    <s v="Multnomah County"/>
    <n v="41051"/>
    <n v="35"/>
    <n v="0"/>
    <x v="20"/>
    <x v="0"/>
    <x v="37"/>
    <n v="198"/>
    <x v="193"/>
    <n v="6393500"/>
    <n v="41051"/>
    <n v="1"/>
    <n v="0"/>
    <x v="0"/>
  </r>
  <r>
    <x v="7"/>
    <x v="0"/>
    <n v="51"/>
    <s v="Oregon"/>
    <s v="Multnomah County"/>
    <n v="41051"/>
    <n v="36"/>
    <n v="0"/>
    <x v="21"/>
    <x v="0"/>
    <x v="38"/>
    <n v="270"/>
    <x v="111"/>
    <n v="10635000"/>
    <n v="41051"/>
    <n v="1"/>
    <n v="0"/>
    <x v="0"/>
  </r>
  <r>
    <x v="7"/>
    <x v="0"/>
    <n v="51"/>
    <s v="Oregon"/>
    <s v="Multnomah County"/>
    <n v="41051"/>
    <n v="36"/>
    <n v="29"/>
    <x v="21"/>
    <x v="127"/>
    <x v="170"/>
    <n v="141"/>
    <x v="189"/>
    <n v="10815000"/>
    <n v="41051"/>
    <n v="1"/>
    <n v="0"/>
    <x v="0"/>
  </r>
  <r>
    <x v="7"/>
    <x v="0"/>
    <n v="51"/>
    <s v="Oregon"/>
    <s v="Multnomah County"/>
    <n v="41051"/>
    <n v="36"/>
    <n v="55"/>
    <x v="21"/>
    <x v="94"/>
    <x v="124"/>
    <n v="168"/>
    <x v="189"/>
    <n v="5311200"/>
    <n v="41051"/>
    <n v="1"/>
    <n v="0"/>
    <x v="0"/>
  </r>
  <r>
    <x v="7"/>
    <x v="0"/>
    <n v="51"/>
    <s v="Oregon"/>
    <s v="Multnomah County"/>
    <n v="41051"/>
    <n v="36"/>
    <n v="71"/>
    <x v="21"/>
    <x v="7"/>
    <x v="180"/>
    <n v="517"/>
    <x v="285"/>
    <n v="87890000"/>
    <n v="41051"/>
    <n v="1"/>
    <n v="0"/>
    <x v="0"/>
  </r>
  <r>
    <x v="7"/>
    <x v="0"/>
    <n v="51"/>
    <s v="Oregon"/>
    <s v="Multnomah County"/>
    <n v="41051"/>
    <n v="36"/>
    <n v="81"/>
    <x v="21"/>
    <x v="25"/>
    <x v="41"/>
    <n v="344"/>
    <x v="47"/>
    <n v="12285000"/>
    <n v="41051"/>
    <n v="1"/>
    <n v="0"/>
    <x v="0"/>
  </r>
  <r>
    <x v="7"/>
    <x v="0"/>
    <n v="51"/>
    <s v="Oregon"/>
    <s v="Multnomah County"/>
    <n v="41051"/>
    <n v="36"/>
    <n v="103"/>
    <x v="21"/>
    <x v="20"/>
    <x v="42"/>
    <n v="99"/>
    <x v="22"/>
    <n v="14250000"/>
    <n v="41051"/>
    <n v="1"/>
    <n v="0"/>
    <x v="0"/>
  </r>
  <r>
    <x v="7"/>
    <x v="0"/>
    <n v="51"/>
    <s v="Oregon"/>
    <s v="Multnomah County"/>
    <n v="41051"/>
    <n v="37"/>
    <n v="63"/>
    <x v="22"/>
    <x v="69"/>
    <x v="96"/>
    <n v="374"/>
    <x v="3"/>
    <n v="30503000"/>
    <n v="41051"/>
    <n v="1"/>
    <n v="0"/>
    <x v="0"/>
  </r>
  <r>
    <x v="7"/>
    <x v="0"/>
    <n v="51"/>
    <s v="Oregon"/>
    <s v="Multnomah County"/>
    <n v="41051"/>
    <n v="39"/>
    <n v="41"/>
    <x v="23"/>
    <x v="73"/>
    <x v="216"/>
    <n v="112"/>
    <x v="1"/>
    <n v="14000000"/>
    <n v="41051"/>
    <n v="1"/>
    <n v="0"/>
    <x v="0"/>
  </r>
  <r>
    <x v="7"/>
    <x v="0"/>
    <n v="51"/>
    <s v="Oregon"/>
    <s v="Multnomah County"/>
    <n v="41051"/>
    <n v="39"/>
    <n v="49"/>
    <x v="23"/>
    <x v="26"/>
    <x v="44"/>
    <n v="215"/>
    <x v="42"/>
    <n v="27311000"/>
    <n v="41051"/>
    <n v="1"/>
    <n v="0"/>
    <x v="0"/>
  </r>
  <r>
    <x v="7"/>
    <x v="0"/>
    <n v="51"/>
    <s v="Oregon"/>
    <s v="Multnomah County"/>
    <n v="41051"/>
    <n v="41"/>
    <n v="0"/>
    <x v="24"/>
    <x v="0"/>
    <x v="45"/>
    <n v="5600"/>
    <x v="286"/>
    <n v="293977600"/>
    <n v="41051"/>
    <n v="1"/>
    <n v="0"/>
    <x v="0"/>
  </r>
  <r>
    <x v="7"/>
    <x v="0"/>
    <n v="51"/>
    <s v="Oregon"/>
    <s v="Multnomah County"/>
    <n v="41051"/>
    <n v="41"/>
    <n v="5"/>
    <x v="24"/>
    <x v="27"/>
    <x v="46"/>
    <n v="12306"/>
    <x v="287"/>
    <n v="855801180"/>
    <n v="41051"/>
    <n v="1"/>
    <n v="0"/>
    <x v="0"/>
  </r>
  <r>
    <x v="7"/>
    <x v="0"/>
    <n v="51"/>
    <s v="Oregon"/>
    <s v="Multnomah County"/>
    <n v="41051"/>
    <n v="41"/>
    <n v="29"/>
    <x v="24"/>
    <x v="30"/>
    <x v="49"/>
    <n v="102"/>
    <x v="18"/>
    <n v="10200"/>
    <n v="41051"/>
    <n v="1"/>
    <n v="0"/>
    <x v="0"/>
  </r>
  <r>
    <x v="7"/>
    <x v="0"/>
    <n v="51"/>
    <s v="Oregon"/>
    <s v="Multnomah County"/>
    <n v="41051"/>
    <n v="41"/>
    <n v="39"/>
    <x v="24"/>
    <x v="31"/>
    <x v="50"/>
    <n v="854"/>
    <x v="288"/>
    <n v="24657540"/>
    <n v="41051"/>
    <n v="1"/>
    <n v="0"/>
    <x v="0"/>
  </r>
  <r>
    <x v="7"/>
    <x v="0"/>
    <n v="51"/>
    <s v="Oregon"/>
    <s v="Multnomah County"/>
    <n v="41051"/>
    <n v="41"/>
    <n v="47"/>
    <x v="24"/>
    <x v="32"/>
    <x v="51"/>
    <n v="723"/>
    <x v="88"/>
    <n v="27715250"/>
    <n v="41051"/>
    <n v="1"/>
    <n v="0"/>
    <x v="0"/>
  </r>
  <r>
    <x v="7"/>
    <x v="0"/>
    <n v="51"/>
    <s v="Oregon"/>
    <s v="Multnomah County"/>
    <n v="41051"/>
    <n v="41"/>
    <n v="51"/>
    <x v="24"/>
    <x v="33"/>
    <x v="52"/>
    <n v="585688"/>
    <x v="289"/>
    <n v="36109375112"/>
    <n v="41051"/>
    <n v="1"/>
    <n v="1"/>
    <x v="1"/>
  </r>
  <r>
    <x v="7"/>
    <x v="0"/>
    <n v="51"/>
    <s v="Oregon"/>
    <s v="Multnomah County"/>
    <n v="41051"/>
    <n v="41"/>
    <n v="67"/>
    <x v="24"/>
    <x v="34"/>
    <x v="53"/>
    <n v="8479"/>
    <x v="290"/>
    <n v="455523050"/>
    <n v="41051"/>
    <n v="1"/>
    <n v="0"/>
    <x v="0"/>
  </r>
  <r>
    <x v="7"/>
    <x v="0"/>
    <n v="51"/>
    <s v="Oregon"/>
    <s v="Multnomah County"/>
    <n v="41051"/>
    <n v="41"/>
    <n v="71"/>
    <x v="24"/>
    <x v="164"/>
    <x v="217"/>
    <n v="456"/>
    <x v="80"/>
    <n v="24040900"/>
    <n v="41051"/>
    <n v="1"/>
    <n v="0"/>
    <x v="0"/>
  </r>
  <r>
    <x v="7"/>
    <x v="0"/>
    <n v="51"/>
    <s v="Oregon"/>
    <s v="Multnomah County"/>
    <n v="41051"/>
    <n v="42"/>
    <n v="3"/>
    <x v="25"/>
    <x v="35"/>
    <x v="54"/>
    <n v="108"/>
    <x v="175"/>
    <n v="4330800"/>
    <n v="41051"/>
    <n v="1"/>
    <n v="0"/>
    <x v="0"/>
  </r>
  <r>
    <x v="7"/>
    <x v="0"/>
    <n v="51"/>
    <s v="Oregon"/>
    <s v="Multnomah County"/>
    <n v="41051"/>
    <n v="42"/>
    <n v="11"/>
    <x v="25"/>
    <x v="165"/>
    <x v="218"/>
    <n v="63"/>
    <x v="1"/>
    <n v="2835000"/>
    <n v="41051"/>
    <n v="1"/>
    <n v="0"/>
    <x v="0"/>
  </r>
  <r>
    <x v="7"/>
    <x v="0"/>
    <n v="51"/>
    <s v="Oregon"/>
    <s v="Multnomah County"/>
    <n v="41051"/>
    <n v="45"/>
    <n v="0"/>
    <x v="37"/>
    <x v="0"/>
    <x v="102"/>
    <n v="314"/>
    <x v="61"/>
    <n v="6280000"/>
    <n v="41051"/>
    <n v="1"/>
    <n v="0"/>
    <x v="0"/>
  </r>
  <r>
    <x v="7"/>
    <x v="0"/>
    <n v="51"/>
    <s v="Oregon"/>
    <s v="Multnomah County"/>
    <n v="41051"/>
    <n v="47"/>
    <n v="93"/>
    <x v="38"/>
    <x v="166"/>
    <x v="219"/>
    <n v="127"/>
    <x v="58"/>
    <n v="13905000"/>
    <n v="41051"/>
    <n v="1"/>
    <n v="0"/>
    <x v="0"/>
  </r>
  <r>
    <x v="7"/>
    <x v="0"/>
    <n v="51"/>
    <s v="Oregon"/>
    <s v="Multnomah County"/>
    <n v="41051"/>
    <n v="48"/>
    <n v="85"/>
    <x v="26"/>
    <x v="76"/>
    <x v="105"/>
    <n v="152"/>
    <x v="218"/>
    <n v="9128000"/>
    <n v="41051"/>
    <n v="1"/>
    <n v="0"/>
    <x v="0"/>
  </r>
  <r>
    <x v="7"/>
    <x v="0"/>
    <n v="51"/>
    <s v="Oregon"/>
    <s v="Multnomah County"/>
    <n v="41051"/>
    <n v="48"/>
    <n v="113"/>
    <x v="26"/>
    <x v="77"/>
    <x v="106"/>
    <n v="483"/>
    <x v="202"/>
    <n v="51267680"/>
    <n v="41051"/>
    <n v="1"/>
    <n v="0"/>
    <x v="0"/>
  </r>
  <r>
    <x v="7"/>
    <x v="0"/>
    <n v="51"/>
    <s v="Oregon"/>
    <s v="Multnomah County"/>
    <n v="41051"/>
    <n v="48"/>
    <n v="201"/>
    <x v="26"/>
    <x v="154"/>
    <x v="203"/>
    <n v="1040"/>
    <x v="291"/>
    <n v="15343300"/>
    <n v="41051"/>
    <n v="1"/>
    <n v="0"/>
    <x v="0"/>
  </r>
  <r>
    <x v="7"/>
    <x v="0"/>
    <n v="51"/>
    <s v="Oregon"/>
    <s v="Multnomah County"/>
    <n v="41051"/>
    <n v="48"/>
    <n v="209"/>
    <x v="26"/>
    <x v="167"/>
    <x v="220"/>
    <n v="86"/>
    <x v="8"/>
    <n v="2150000"/>
    <n v="41051"/>
    <n v="1"/>
    <n v="0"/>
    <x v="0"/>
  </r>
  <r>
    <x v="7"/>
    <x v="0"/>
    <n v="51"/>
    <s v="Oregon"/>
    <s v="Multnomah County"/>
    <n v="41051"/>
    <n v="48"/>
    <n v="439"/>
    <x v="26"/>
    <x v="78"/>
    <x v="107"/>
    <n v="241"/>
    <x v="135"/>
    <n v="16058000"/>
    <n v="41051"/>
    <n v="1"/>
    <n v="0"/>
    <x v="0"/>
  </r>
  <r>
    <x v="7"/>
    <x v="0"/>
    <n v="51"/>
    <s v="Oregon"/>
    <s v="Multnomah County"/>
    <n v="41051"/>
    <n v="48"/>
    <n v="453"/>
    <x v="26"/>
    <x v="38"/>
    <x v="57"/>
    <n v="49"/>
    <x v="292"/>
    <n v="5880000"/>
    <n v="41051"/>
    <n v="1"/>
    <n v="0"/>
    <x v="0"/>
  </r>
  <r>
    <x v="7"/>
    <x v="0"/>
    <n v="51"/>
    <s v="Oregon"/>
    <s v="Multnomah County"/>
    <n v="41051"/>
    <n v="48"/>
    <n v="491"/>
    <x v="26"/>
    <x v="137"/>
    <x v="221"/>
    <n v="366"/>
    <x v="293"/>
    <n v="24269000"/>
    <n v="41051"/>
    <n v="1"/>
    <n v="0"/>
    <x v="0"/>
  </r>
  <r>
    <x v="7"/>
    <x v="0"/>
    <n v="51"/>
    <s v="Oregon"/>
    <s v="Multnomah County"/>
    <n v="41051"/>
    <n v="49"/>
    <n v="49"/>
    <x v="27"/>
    <x v="40"/>
    <x v="59"/>
    <n v="102"/>
    <x v="1"/>
    <n v="204000"/>
    <n v="41051"/>
    <n v="1"/>
    <n v="0"/>
    <x v="0"/>
  </r>
  <r>
    <x v="7"/>
    <x v="0"/>
    <n v="51"/>
    <s v="Oregon"/>
    <s v="Multnomah County"/>
    <n v="41051"/>
    <n v="50"/>
    <n v="0"/>
    <x v="46"/>
    <x v="0"/>
    <x v="153"/>
    <n v="122"/>
    <x v="294"/>
    <n v="3642000"/>
    <n v="41051"/>
    <n v="1"/>
    <n v="0"/>
    <x v="0"/>
  </r>
  <r>
    <x v="7"/>
    <x v="0"/>
    <n v="51"/>
    <s v="Oregon"/>
    <s v="Multnomah County"/>
    <n v="41051"/>
    <n v="53"/>
    <n v="0"/>
    <x v="28"/>
    <x v="0"/>
    <x v="60"/>
    <n v="1324"/>
    <x v="295"/>
    <n v="73700760"/>
    <n v="41051"/>
    <n v="1"/>
    <n v="0"/>
    <x v="0"/>
  </r>
  <r>
    <x v="7"/>
    <x v="0"/>
    <n v="51"/>
    <s v="Oregon"/>
    <s v="Multnomah County"/>
    <n v="41051"/>
    <n v="53"/>
    <n v="11"/>
    <x v="28"/>
    <x v="22"/>
    <x v="61"/>
    <n v="6812"/>
    <x v="296"/>
    <n v="580602400"/>
    <n v="41051"/>
    <n v="1"/>
    <n v="0"/>
    <x v="0"/>
  </r>
  <r>
    <x v="7"/>
    <x v="0"/>
    <n v="51"/>
    <s v="Oregon"/>
    <s v="Multnomah County"/>
    <n v="41051"/>
    <n v="53"/>
    <n v="33"/>
    <x v="28"/>
    <x v="41"/>
    <x v="62"/>
    <n v="1724"/>
    <x v="297"/>
    <n v="153484000"/>
    <n v="41051"/>
    <n v="1"/>
    <n v="0"/>
    <x v="0"/>
  </r>
  <r>
    <x v="7"/>
    <x v="0"/>
    <n v="51"/>
    <s v="Oregon"/>
    <s v="Multnomah County"/>
    <n v="41051"/>
    <n v="53"/>
    <n v="53"/>
    <x v="28"/>
    <x v="43"/>
    <x v="64"/>
    <n v="356"/>
    <x v="224"/>
    <n v="23105000"/>
    <n v="41051"/>
    <n v="1"/>
    <n v="0"/>
    <x v="0"/>
  </r>
  <r>
    <x v="7"/>
    <x v="0"/>
    <n v="51"/>
    <s v="Oregon"/>
    <s v="Multnomah County"/>
    <n v="41051"/>
    <n v="53"/>
    <n v="57"/>
    <x v="28"/>
    <x v="168"/>
    <x v="222"/>
    <n v="275"/>
    <x v="107"/>
    <n v="8158650"/>
    <n v="41051"/>
    <n v="1"/>
    <n v="0"/>
    <x v="0"/>
  </r>
  <r>
    <x v="7"/>
    <x v="0"/>
    <n v="51"/>
    <s v="Oregon"/>
    <s v="Multnomah County"/>
    <n v="41051"/>
    <n v="53"/>
    <n v="61"/>
    <x v="28"/>
    <x v="44"/>
    <x v="65"/>
    <n v="215"/>
    <x v="298"/>
    <n v="23200000"/>
    <n v="41051"/>
    <n v="1"/>
    <n v="0"/>
    <x v="0"/>
  </r>
  <r>
    <x v="7"/>
    <x v="0"/>
    <n v="51"/>
    <s v="Oregon"/>
    <s v="Multnomah County"/>
    <n v="41051"/>
    <n v="53"/>
    <n v="63"/>
    <x v="28"/>
    <x v="45"/>
    <x v="66"/>
    <n v="307"/>
    <x v="219"/>
    <n v="7305600"/>
    <n v="41051"/>
    <n v="1"/>
    <n v="0"/>
    <x v="0"/>
  </r>
  <r>
    <x v="7"/>
    <x v="0"/>
    <n v="51"/>
    <s v="Oregon"/>
    <s v="Multnomah County"/>
    <n v="41051"/>
    <n v="53"/>
    <n v="67"/>
    <x v="28"/>
    <x v="81"/>
    <x v="111"/>
    <n v="96"/>
    <x v="31"/>
    <n v="7587840"/>
    <n v="41051"/>
    <n v="1"/>
    <n v="0"/>
    <x v="0"/>
  </r>
  <r>
    <x v="7"/>
    <x v="0"/>
    <n v="51"/>
    <s v="Oregon"/>
    <s v="Multnomah County"/>
    <n v="41051"/>
    <n v="54"/>
    <n v="0"/>
    <x v="48"/>
    <x v="0"/>
    <x v="223"/>
    <n v="158"/>
    <x v="1"/>
    <n v="7268000"/>
    <n v="41051"/>
    <n v="1"/>
    <n v="0"/>
    <x v="0"/>
  </r>
  <r>
    <x v="7"/>
    <x v="0"/>
    <n v="51"/>
    <s v="Oregon"/>
    <s v="Multnomah County"/>
    <n v="41051"/>
    <n v="55"/>
    <n v="25"/>
    <x v="40"/>
    <x v="82"/>
    <x v="112"/>
    <n v="217"/>
    <x v="151"/>
    <n v="19500000"/>
    <n v="41051"/>
    <n v="1"/>
    <n v="0"/>
    <x v="0"/>
  </r>
  <r>
    <x v="8"/>
    <x v="0"/>
    <n v="51"/>
    <s v="Oregon"/>
    <s v="Multnomah County"/>
    <n v="41051"/>
    <n v="1"/>
    <n v="0"/>
    <x v="0"/>
    <x v="0"/>
    <x v="0"/>
    <n v="560"/>
    <x v="299"/>
    <n v="2800000"/>
    <n v="41051"/>
    <n v="1"/>
    <n v="0"/>
    <x v="0"/>
  </r>
  <r>
    <x v="8"/>
    <x v="0"/>
    <n v="51"/>
    <s v="Oregon"/>
    <s v="Multnomah County"/>
    <n v="41051"/>
    <n v="1"/>
    <n v="97"/>
    <x v="0"/>
    <x v="46"/>
    <x v="67"/>
    <n v="237"/>
    <x v="300"/>
    <n v="11850000"/>
    <n v="41051"/>
    <n v="1"/>
    <n v="0"/>
    <x v="0"/>
  </r>
  <r>
    <x v="8"/>
    <x v="0"/>
    <n v="51"/>
    <s v="Oregon"/>
    <s v="Multnomah County"/>
    <n v="41051"/>
    <n v="2"/>
    <n v="0"/>
    <x v="1"/>
    <x v="0"/>
    <x v="1"/>
    <n v="192"/>
    <x v="301"/>
    <n v="7735400"/>
    <n v="41051"/>
    <n v="1"/>
    <n v="0"/>
    <x v="0"/>
  </r>
  <r>
    <x v="8"/>
    <x v="0"/>
    <n v="51"/>
    <s v="Oregon"/>
    <s v="Multnomah County"/>
    <n v="41051"/>
    <n v="4"/>
    <n v="0"/>
    <x v="2"/>
    <x v="0"/>
    <x v="2"/>
    <n v="596"/>
    <x v="262"/>
    <n v="90780100"/>
    <n v="41051"/>
    <n v="1"/>
    <n v="0"/>
    <x v="0"/>
  </r>
  <r>
    <x v="8"/>
    <x v="0"/>
    <n v="51"/>
    <s v="Oregon"/>
    <s v="Multnomah County"/>
    <n v="41051"/>
    <n v="4"/>
    <n v="13"/>
    <x v="2"/>
    <x v="1"/>
    <x v="3"/>
    <n v="511"/>
    <x v="302"/>
    <n v="46735890"/>
    <n v="41051"/>
    <n v="1"/>
    <n v="0"/>
    <x v="0"/>
  </r>
  <r>
    <x v="8"/>
    <x v="0"/>
    <n v="51"/>
    <s v="Oregon"/>
    <s v="Multnomah County"/>
    <n v="41051"/>
    <n v="4"/>
    <n v="15"/>
    <x v="2"/>
    <x v="169"/>
    <x v="224"/>
    <n v="96"/>
    <x v="188"/>
    <n v="2016000"/>
    <n v="41051"/>
    <n v="1"/>
    <n v="0"/>
    <x v="0"/>
  </r>
  <r>
    <x v="8"/>
    <x v="0"/>
    <n v="51"/>
    <s v="Oregon"/>
    <s v="Multnomah County"/>
    <n v="41051"/>
    <n v="4"/>
    <n v="25"/>
    <x v="2"/>
    <x v="158"/>
    <x v="208"/>
    <n v="637"/>
    <x v="303"/>
    <n v="15608600"/>
    <n v="41051"/>
    <n v="1"/>
    <n v="0"/>
    <x v="0"/>
  </r>
  <r>
    <x v="8"/>
    <x v="0"/>
    <n v="51"/>
    <s v="Oregon"/>
    <s v="Multnomah County"/>
    <n v="41051"/>
    <n v="6"/>
    <n v="0"/>
    <x v="3"/>
    <x v="0"/>
    <x v="4"/>
    <n v="116"/>
    <x v="25"/>
    <n v="2100600"/>
    <n v="41051"/>
    <n v="1"/>
    <n v="0"/>
    <x v="0"/>
  </r>
  <r>
    <x v="8"/>
    <x v="0"/>
    <n v="51"/>
    <s v="Oregon"/>
    <s v="Multnomah County"/>
    <n v="41051"/>
    <n v="6"/>
    <n v="1"/>
    <x v="3"/>
    <x v="2"/>
    <x v="5"/>
    <n v="37"/>
    <x v="4"/>
    <n v="4625000"/>
    <n v="41051"/>
    <n v="1"/>
    <n v="0"/>
    <x v="0"/>
  </r>
  <r>
    <x v="8"/>
    <x v="0"/>
    <n v="51"/>
    <s v="Oregon"/>
    <s v="Multnomah County"/>
    <n v="41051"/>
    <n v="6"/>
    <n v="7"/>
    <x v="3"/>
    <x v="170"/>
    <x v="225"/>
    <n v="42"/>
    <x v="1"/>
    <n v="0"/>
    <n v="41051"/>
    <n v="1"/>
    <n v="0"/>
    <x v="0"/>
  </r>
  <r>
    <x v="8"/>
    <x v="0"/>
    <n v="51"/>
    <s v="Oregon"/>
    <s v="Multnomah County"/>
    <n v="41051"/>
    <n v="6"/>
    <n v="37"/>
    <x v="3"/>
    <x v="6"/>
    <x v="9"/>
    <n v="1247"/>
    <x v="304"/>
    <n v="91099300"/>
    <n v="41051"/>
    <n v="1"/>
    <n v="0"/>
    <x v="0"/>
  </r>
  <r>
    <x v="8"/>
    <x v="0"/>
    <n v="51"/>
    <s v="Oregon"/>
    <s v="Multnomah County"/>
    <n v="41051"/>
    <n v="6"/>
    <n v="41"/>
    <x v="3"/>
    <x v="104"/>
    <x v="138"/>
    <n v="97"/>
    <x v="111"/>
    <n v="13211400"/>
    <n v="41051"/>
    <n v="1"/>
    <n v="0"/>
    <x v="0"/>
  </r>
  <r>
    <x v="8"/>
    <x v="0"/>
    <n v="51"/>
    <s v="Oregon"/>
    <s v="Multnomah County"/>
    <n v="41051"/>
    <n v="6"/>
    <n v="59"/>
    <x v="3"/>
    <x v="7"/>
    <x v="10"/>
    <n v="73"/>
    <x v="267"/>
    <n v="1825730"/>
    <n v="41051"/>
    <n v="1"/>
    <n v="0"/>
    <x v="0"/>
  </r>
  <r>
    <x v="8"/>
    <x v="0"/>
    <n v="51"/>
    <s v="Oregon"/>
    <s v="Multnomah County"/>
    <n v="41051"/>
    <n v="6"/>
    <n v="65"/>
    <x v="3"/>
    <x v="83"/>
    <x v="113"/>
    <n v="548"/>
    <x v="305"/>
    <n v="12929500"/>
    <n v="41051"/>
    <n v="1"/>
    <n v="0"/>
    <x v="0"/>
  </r>
  <r>
    <x v="8"/>
    <x v="0"/>
    <n v="51"/>
    <s v="Oregon"/>
    <s v="Multnomah County"/>
    <n v="41051"/>
    <n v="6"/>
    <n v="67"/>
    <x v="3"/>
    <x v="9"/>
    <x v="12"/>
    <n v="269"/>
    <x v="306"/>
    <n v="9105000"/>
    <n v="41051"/>
    <n v="1"/>
    <n v="0"/>
    <x v="0"/>
  </r>
  <r>
    <x v="8"/>
    <x v="0"/>
    <n v="51"/>
    <s v="Oregon"/>
    <s v="Multnomah County"/>
    <n v="41051"/>
    <n v="6"/>
    <n v="73"/>
    <x v="3"/>
    <x v="10"/>
    <x v="13"/>
    <n v="300"/>
    <x v="243"/>
    <n v="95059000"/>
    <n v="41051"/>
    <n v="1"/>
    <n v="0"/>
    <x v="0"/>
  </r>
  <r>
    <x v="8"/>
    <x v="0"/>
    <n v="51"/>
    <s v="Oregon"/>
    <s v="Multnomah County"/>
    <n v="41051"/>
    <n v="6"/>
    <n v="75"/>
    <x v="3"/>
    <x v="11"/>
    <x v="14"/>
    <n v="122"/>
    <x v="283"/>
    <n v="20350000"/>
    <n v="41051"/>
    <n v="1"/>
    <n v="0"/>
    <x v="0"/>
  </r>
  <r>
    <x v="8"/>
    <x v="0"/>
    <n v="51"/>
    <s v="Oregon"/>
    <s v="Multnomah County"/>
    <n v="41051"/>
    <n v="6"/>
    <n v="79"/>
    <x v="3"/>
    <x v="48"/>
    <x v="69"/>
    <n v="45"/>
    <x v="1"/>
    <n v="1350000"/>
    <n v="41051"/>
    <n v="1"/>
    <n v="0"/>
    <x v="0"/>
  </r>
  <r>
    <x v="8"/>
    <x v="0"/>
    <n v="51"/>
    <s v="Oregon"/>
    <s v="Multnomah County"/>
    <n v="41051"/>
    <n v="6"/>
    <n v="85"/>
    <x v="3"/>
    <x v="50"/>
    <x v="71"/>
    <n v="390"/>
    <x v="90"/>
    <n v="35460000"/>
    <n v="41051"/>
    <n v="1"/>
    <n v="0"/>
    <x v="0"/>
  </r>
  <r>
    <x v="8"/>
    <x v="0"/>
    <n v="51"/>
    <s v="Oregon"/>
    <s v="Multnomah County"/>
    <n v="41051"/>
    <n v="6"/>
    <n v="87"/>
    <x v="3"/>
    <x v="142"/>
    <x v="187"/>
    <n v="63"/>
    <x v="1"/>
    <n v="882000"/>
    <n v="41051"/>
    <n v="1"/>
    <n v="0"/>
    <x v="0"/>
  </r>
  <r>
    <x v="8"/>
    <x v="0"/>
    <n v="51"/>
    <s v="Oregon"/>
    <s v="Multnomah County"/>
    <n v="41051"/>
    <n v="6"/>
    <n v="89"/>
    <x v="3"/>
    <x v="160"/>
    <x v="210"/>
    <n v="227"/>
    <x v="307"/>
    <n v="48641000"/>
    <n v="41051"/>
    <n v="1"/>
    <n v="0"/>
    <x v="0"/>
  </r>
  <r>
    <x v="8"/>
    <x v="0"/>
    <n v="51"/>
    <s v="Oregon"/>
    <s v="Multnomah County"/>
    <n v="41051"/>
    <n v="6"/>
    <n v="97"/>
    <x v="3"/>
    <x v="52"/>
    <x v="73"/>
    <n v="414"/>
    <x v="249"/>
    <n v="33972000"/>
    <n v="41051"/>
    <n v="1"/>
    <n v="0"/>
    <x v="0"/>
  </r>
  <r>
    <x v="8"/>
    <x v="0"/>
    <n v="51"/>
    <s v="Oregon"/>
    <s v="Multnomah County"/>
    <n v="41051"/>
    <n v="6"/>
    <n v="99"/>
    <x v="3"/>
    <x v="171"/>
    <x v="226"/>
    <n v="72"/>
    <x v="1"/>
    <n v="1440000"/>
    <n v="41051"/>
    <n v="1"/>
    <n v="0"/>
    <x v="0"/>
  </r>
  <r>
    <x v="8"/>
    <x v="0"/>
    <n v="51"/>
    <s v="Oregon"/>
    <s v="Multnomah County"/>
    <n v="41051"/>
    <n v="8"/>
    <n v="0"/>
    <x v="4"/>
    <x v="0"/>
    <x v="16"/>
    <n v="513"/>
    <x v="308"/>
    <n v="29239600"/>
    <n v="41051"/>
    <n v="1"/>
    <n v="0"/>
    <x v="0"/>
  </r>
  <r>
    <x v="8"/>
    <x v="0"/>
    <n v="51"/>
    <s v="Oregon"/>
    <s v="Multnomah County"/>
    <n v="41051"/>
    <n v="11"/>
    <n v="1"/>
    <x v="29"/>
    <x v="55"/>
    <x v="76"/>
    <n v="60"/>
    <x v="71"/>
    <n v="3000000"/>
    <n v="41051"/>
    <n v="1"/>
    <n v="0"/>
    <x v="0"/>
  </r>
  <r>
    <x v="8"/>
    <x v="0"/>
    <n v="51"/>
    <s v="Oregon"/>
    <s v="Multnomah County"/>
    <n v="41051"/>
    <n v="12"/>
    <n v="57"/>
    <x v="6"/>
    <x v="87"/>
    <x v="117"/>
    <n v="176"/>
    <x v="69"/>
    <n v="12128000"/>
    <n v="41051"/>
    <n v="1"/>
    <n v="0"/>
    <x v="0"/>
  </r>
  <r>
    <x v="8"/>
    <x v="0"/>
    <n v="51"/>
    <s v="Oregon"/>
    <s v="Multnomah County"/>
    <n v="41051"/>
    <n v="12"/>
    <n v="71"/>
    <x v="6"/>
    <x v="172"/>
    <x v="227"/>
    <n v="161"/>
    <x v="212"/>
    <n v="15496000"/>
    <n v="41051"/>
    <n v="1"/>
    <n v="0"/>
    <x v="0"/>
  </r>
  <r>
    <x v="8"/>
    <x v="0"/>
    <n v="51"/>
    <s v="Oregon"/>
    <s v="Multnomah County"/>
    <n v="41051"/>
    <n v="12"/>
    <n v="83"/>
    <x v="6"/>
    <x v="32"/>
    <x v="228"/>
    <n v="180"/>
    <x v="190"/>
    <n v="16098000"/>
    <n v="41051"/>
    <n v="1"/>
    <n v="0"/>
    <x v="0"/>
  </r>
  <r>
    <x v="8"/>
    <x v="0"/>
    <n v="51"/>
    <s v="Oregon"/>
    <s v="Multnomah County"/>
    <n v="41051"/>
    <n v="12"/>
    <n v="99"/>
    <x v="6"/>
    <x v="143"/>
    <x v="188"/>
    <n v="48"/>
    <x v="80"/>
    <n v="4320000"/>
    <n v="41051"/>
    <n v="1"/>
    <n v="0"/>
    <x v="0"/>
  </r>
  <r>
    <x v="8"/>
    <x v="0"/>
    <n v="51"/>
    <s v="Oregon"/>
    <s v="Multnomah County"/>
    <n v="41051"/>
    <n v="12"/>
    <n v="127"/>
    <x v="6"/>
    <x v="173"/>
    <x v="229"/>
    <n v="40"/>
    <x v="309"/>
    <n v="448000"/>
    <n v="41051"/>
    <n v="1"/>
    <n v="0"/>
    <x v="0"/>
  </r>
  <r>
    <x v="8"/>
    <x v="0"/>
    <n v="51"/>
    <s v="Oregon"/>
    <s v="Multnomah County"/>
    <n v="41051"/>
    <n v="13"/>
    <n v="15"/>
    <x v="7"/>
    <x v="174"/>
    <x v="230"/>
    <n v="275"/>
    <x v="124"/>
    <n v="27145650"/>
    <n v="41051"/>
    <n v="1"/>
    <n v="0"/>
    <x v="0"/>
  </r>
  <r>
    <x v="8"/>
    <x v="0"/>
    <n v="51"/>
    <s v="Oregon"/>
    <s v="Multnomah County"/>
    <n v="41051"/>
    <n v="13"/>
    <n v="51"/>
    <x v="7"/>
    <x v="175"/>
    <x v="231"/>
    <n v="46"/>
    <x v="126"/>
    <n v="920000"/>
    <n v="41051"/>
    <n v="1"/>
    <n v="0"/>
    <x v="0"/>
  </r>
  <r>
    <x v="8"/>
    <x v="0"/>
    <n v="51"/>
    <s v="Oregon"/>
    <s v="Multnomah County"/>
    <n v="41051"/>
    <n v="13"/>
    <n v="121"/>
    <x v="7"/>
    <x v="176"/>
    <x v="232"/>
    <n v="84"/>
    <x v="1"/>
    <n v="6300000"/>
    <n v="41051"/>
    <n v="1"/>
    <n v="0"/>
    <x v="0"/>
  </r>
  <r>
    <x v="8"/>
    <x v="0"/>
    <n v="51"/>
    <s v="Oregon"/>
    <s v="Multnomah County"/>
    <n v="41051"/>
    <n v="13"/>
    <n v="135"/>
    <x v="7"/>
    <x v="121"/>
    <x v="162"/>
    <n v="173"/>
    <x v="41"/>
    <n v="9410000"/>
    <n v="41051"/>
    <n v="1"/>
    <n v="0"/>
    <x v="0"/>
  </r>
  <r>
    <x v="8"/>
    <x v="0"/>
    <n v="51"/>
    <s v="Oregon"/>
    <s v="Multnomah County"/>
    <n v="41051"/>
    <n v="15"/>
    <n v="3"/>
    <x v="8"/>
    <x v="16"/>
    <x v="23"/>
    <n v="79"/>
    <x v="1"/>
    <n v="18802000"/>
    <n v="41051"/>
    <n v="1"/>
    <n v="0"/>
    <x v="0"/>
  </r>
  <r>
    <x v="8"/>
    <x v="0"/>
    <n v="51"/>
    <s v="Oregon"/>
    <s v="Multnomah County"/>
    <n v="41051"/>
    <n v="16"/>
    <n v="0"/>
    <x v="9"/>
    <x v="0"/>
    <x v="24"/>
    <n v="323"/>
    <x v="146"/>
    <n v="10546900"/>
    <n v="41051"/>
    <n v="1"/>
    <n v="0"/>
    <x v="0"/>
  </r>
  <r>
    <x v="8"/>
    <x v="0"/>
    <n v="51"/>
    <s v="Oregon"/>
    <s v="Multnomah County"/>
    <n v="41051"/>
    <n v="17"/>
    <n v="0"/>
    <x v="10"/>
    <x v="0"/>
    <x v="78"/>
    <n v="269"/>
    <x v="1"/>
    <n v="3228000"/>
    <n v="41051"/>
    <n v="1"/>
    <n v="0"/>
    <x v="0"/>
  </r>
  <r>
    <x v="8"/>
    <x v="0"/>
    <n v="51"/>
    <s v="Oregon"/>
    <s v="Multnomah County"/>
    <n v="41051"/>
    <n v="17"/>
    <n v="31"/>
    <x v="10"/>
    <x v="89"/>
    <x v="119"/>
    <n v="240"/>
    <x v="204"/>
    <n v="33379200"/>
    <n v="41051"/>
    <n v="1"/>
    <n v="0"/>
    <x v="0"/>
  </r>
  <r>
    <x v="8"/>
    <x v="0"/>
    <n v="51"/>
    <s v="Oregon"/>
    <s v="Multnomah County"/>
    <n v="41051"/>
    <n v="18"/>
    <n v="97"/>
    <x v="30"/>
    <x v="32"/>
    <x v="189"/>
    <n v="168"/>
    <x v="267"/>
    <n v="11053500"/>
    <n v="41051"/>
    <n v="1"/>
    <n v="0"/>
    <x v="0"/>
  </r>
  <r>
    <x v="8"/>
    <x v="0"/>
    <n v="51"/>
    <s v="Oregon"/>
    <s v="Multnomah County"/>
    <n v="41051"/>
    <n v="18"/>
    <n v="141"/>
    <x v="30"/>
    <x v="58"/>
    <x v="80"/>
    <n v="38"/>
    <x v="1"/>
    <n v="3306000"/>
    <n v="41051"/>
    <n v="1"/>
    <n v="0"/>
    <x v="0"/>
  </r>
  <r>
    <x v="8"/>
    <x v="0"/>
    <n v="51"/>
    <s v="Oregon"/>
    <s v="Multnomah County"/>
    <n v="41051"/>
    <n v="19"/>
    <n v="0"/>
    <x v="47"/>
    <x v="0"/>
    <x v="166"/>
    <n v="33"/>
    <x v="310"/>
    <n v="4877000"/>
    <n v="41051"/>
    <n v="1"/>
    <n v="0"/>
    <x v="0"/>
  </r>
  <r>
    <x v="8"/>
    <x v="0"/>
    <n v="51"/>
    <s v="Oregon"/>
    <s v="Multnomah County"/>
    <n v="41051"/>
    <n v="24"/>
    <n v="0"/>
    <x v="14"/>
    <x v="0"/>
    <x v="212"/>
    <n v="436"/>
    <x v="97"/>
    <n v="23155000"/>
    <n v="41051"/>
    <n v="1"/>
    <n v="0"/>
    <x v="0"/>
  </r>
  <r>
    <x v="8"/>
    <x v="0"/>
    <n v="51"/>
    <s v="Oregon"/>
    <s v="Multnomah County"/>
    <n v="41051"/>
    <n v="24"/>
    <n v="31"/>
    <x v="14"/>
    <x v="63"/>
    <x v="86"/>
    <n v="125"/>
    <x v="119"/>
    <n v="3252500"/>
    <n v="41051"/>
    <n v="1"/>
    <n v="0"/>
    <x v="0"/>
  </r>
  <r>
    <x v="8"/>
    <x v="0"/>
    <n v="51"/>
    <s v="Oregon"/>
    <s v="Multnomah County"/>
    <n v="41051"/>
    <n v="24"/>
    <n v="510"/>
    <x v="14"/>
    <x v="19"/>
    <x v="29"/>
    <n v="78"/>
    <x v="1"/>
    <n v="9360000"/>
    <n v="41051"/>
    <n v="1"/>
    <n v="0"/>
    <x v="0"/>
  </r>
  <r>
    <x v="8"/>
    <x v="0"/>
    <n v="51"/>
    <s v="Oregon"/>
    <s v="Multnomah County"/>
    <n v="41051"/>
    <n v="25"/>
    <n v="9"/>
    <x v="15"/>
    <x v="126"/>
    <x v="233"/>
    <n v="126"/>
    <x v="27"/>
    <n v="10632200"/>
    <n v="41051"/>
    <n v="1"/>
    <n v="0"/>
    <x v="0"/>
  </r>
  <r>
    <x v="8"/>
    <x v="0"/>
    <n v="51"/>
    <s v="Oregon"/>
    <s v="Multnomah County"/>
    <n v="41051"/>
    <n v="26"/>
    <n v="0"/>
    <x v="16"/>
    <x v="0"/>
    <x v="32"/>
    <n v="127"/>
    <x v="58"/>
    <n v="1778000"/>
    <n v="41051"/>
    <n v="1"/>
    <n v="0"/>
    <x v="0"/>
  </r>
  <r>
    <x v="8"/>
    <x v="0"/>
    <n v="51"/>
    <s v="Oregon"/>
    <s v="Multnomah County"/>
    <n v="41051"/>
    <n v="26"/>
    <n v="77"/>
    <x v="16"/>
    <x v="177"/>
    <x v="234"/>
    <n v="70"/>
    <x v="105"/>
    <n v="3850000"/>
    <n v="41051"/>
    <n v="1"/>
    <n v="0"/>
    <x v="0"/>
  </r>
  <r>
    <x v="8"/>
    <x v="0"/>
    <n v="51"/>
    <s v="Oregon"/>
    <s v="Multnomah County"/>
    <n v="41051"/>
    <n v="26"/>
    <n v="125"/>
    <x v="16"/>
    <x v="178"/>
    <x v="235"/>
    <n v="91"/>
    <x v="184"/>
    <n v="4004000"/>
    <n v="41051"/>
    <n v="1"/>
    <n v="0"/>
    <x v="0"/>
  </r>
  <r>
    <x v="8"/>
    <x v="0"/>
    <n v="51"/>
    <s v="Oregon"/>
    <s v="Multnomah County"/>
    <n v="41051"/>
    <n v="27"/>
    <n v="0"/>
    <x v="17"/>
    <x v="0"/>
    <x v="87"/>
    <n v="69"/>
    <x v="311"/>
    <n v="2950000"/>
    <n v="41051"/>
    <n v="1"/>
    <n v="0"/>
    <x v="0"/>
  </r>
  <r>
    <x v="8"/>
    <x v="0"/>
    <n v="51"/>
    <s v="Oregon"/>
    <s v="Multnomah County"/>
    <n v="41051"/>
    <n v="27"/>
    <n v="53"/>
    <x v="17"/>
    <x v="21"/>
    <x v="33"/>
    <n v="415"/>
    <x v="312"/>
    <n v="39552000"/>
    <n v="41051"/>
    <n v="1"/>
    <n v="0"/>
    <x v="0"/>
  </r>
  <r>
    <x v="8"/>
    <x v="0"/>
    <n v="51"/>
    <s v="Oregon"/>
    <s v="Multnomah County"/>
    <n v="41051"/>
    <n v="27"/>
    <n v="163"/>
    <x v="17"/>
    <x v="34"/>
    <x v="236"/>
    <n v="106"/>
    <x v="1"/>
    <n v="0"/>
    <n v="41051"/>
    <n v="1"/>
    <n v="0"/>
    <x v="0"/>
  </r>
  <r>
    <x v="8"/>
    <x v="0"/>
    <n v="51"/>
    <s v="Oregon"/>
    <s v="Multnomah County"/>
    <n v="41051"/>
    <n v="29"/>
    <n v="95"/>
    <x v="41"/>
    <x v="30"/>
    <x v="168"/>
    <n v="100"/>
    <x v="1"/>
    <n v="3800000"/>
    <n v="41051"/>
    <n v="1"/>
    <n v="0"/>
    <x v="0"/>
  </r>
  <r>
    <x v="8"/>
    <x v="0"/>
    <n v="51"/>
    <s v="Oregon"/>
    <s v="Multnomah County"/>
    <n v="41051"/>
    <n v="30"/>
    <n v="31"/>
    <x v="33"/>
    <x v="179"/>
    <x v="237"/>
    <n v="170"/>
    <x v="262"/>
    <n v="5627000"/>
    <n v="41051"/>
    <n v="1"/>
    <n v="0"/>
    <x v="0"/>
  </r>
  <r>
    <x v="8"/>
    <x v="0"/>
    <n v="51"/>
    <s v="Oregon"/>
    <s v="Multnomah County"/>
    <n v="41051"/>
    <n v="31"/>
    <n v="55"/>
    <x v="34"/>
    <x v="29"/>
    <x v="90"/>
    <n v="81"/>
    <x v="1"/>
    <n v="1458000"/>
    <n v="41051"/>
    <n v="1"/>
    <n v="0"/>
    <x v="0"/>
  </r>
  <r>
    <x v="8"/>
    <x v="0"/>
    <n v="51"/>
    <s v="Oregon"/>
    <s v="Multnomah County"/>
    <n v="41051"/>
    <n v="32"/>
    <n v="3"/>
    <x v="18"/>
    <x v="22"/>
    <x v="35"/>
    <n v="667"/>
    <x v="313"/>
    <n v="11971600"/>
    <n v="41051"/>
    <n v="1"/>
    <n v="0"/>
    <x v="0"/>
  </r>
  <r>
    <x v="8"/>
    <x v="0"/>
    <n v="51"/>
    <s v="Oregon"/>
    <s v="Multnomah County"/>
    <n v="41051"/>
    <n v="34"/>
    <n v="7"/>
    <x v="35"/>
    <x v="180"/>
    <x v="238"/>
    <n v="49"/>
    <x v="292"/>
    <n v="1661100"/>
    <n v="41051"/>
    <n v="1"/>
    <n v="0"/>
    <x v="0"/>
  </r>
  <r>
    <x v="8"/>
    <x v="0"/>
    <n v="51"/>
    <s v="Oregon"/>
    <s v="Multnomah County"/>
    <n v="41051"/>
    <n v="34"/>
    <n v="19"/>
    <x v="35"/>
    <x v="181"/>
    <x v="239"/>
    <n v="46"/>
    <x v="301"/>
    <n v="1490000"/>
    <n v="41051"/>
    <n v="1"/>
    <n v="0"/>
    <x v="0"/>
  </r>
  <r>
    <x v="8"/>
    <x v="0"/>
    <n v="51"/>
    <s v="Oregon"/>
    <s v="Multnomah County"/>
    <n v="41051"/>
    <n v="36"/>
    <n v="13"/>
    <x v="21"/>
    <x v="182"/>
    <x v="240"/>
    <n v="93"/>
    <x v="314"/>
    <n v="3323000"/>
    <n v="41051"/>
    <n v="1"/>
    <n v="0"/>
    <x v="0"/>
  </r>
  <r>
    <x v="8"/>
    <x v="0"/>
    <n v="51"/>
    <s v="Oregon"/>
    <s v="Multnomah County"/>
    <n v="41051"/>
    <n v="36"/>
    <n v="47"/>
    <x v="21"/>
    <x v="23"/>
    <x v="39"/>
    <n v="120"/>
    <x v="315"/>
    <n v="22602000"/>
    <n v="41051"/>
    <n v="1"/>
    <n v="0"/>
    <x v="0"/>
  </r>
  <r>
    <x v="8"/>
    <x v="0"/>
    <n v="51"/>
    <s v="Oregon"/>
    <s v="Multnomah County"/>
    <n v="41051"/>
    <n v="36"/>
    <n v="59"/>
    <x v="21"/>
    <x v="147"/>
    <x v="195"/>
    <n v="80"/>
    <x v="15"/>
    <n v="21195000"/>
    <n v="41051"/>
    <n v="1"/>
    <n v="0"/>
    <x v="0"/>
  </r>
  <r>
    <x v="8"/>
    <x v="0"/>
    <n v="51"/>
    <s v="Oregon"/>
    <s v="Multnomah County"/>
    <n v="41051"/>
    <n v="36"/>
    <n v="61"/>
    <x v="21"/>
    <x v="24"/>
    <x v="40"/>
    <n v="49"/>
    <x v="80"/>
    <n v="1274000"/>
    <n v="41051"/>
    <n v="1"/>
    <n v="0"/>
    <x v="0"/>
  </r>
  <r>
    <x v="8"/>
    <x v="0"/>
    <n v="51"/>
    <s v="Oregon"/>
    <s v="Multnomah County"/>
    <n v="41051"/>
    <n v="37"/>
    <n v="21"/>
    <x v="22"/>
    <x v="149"/>
    <x v="197"/>
    <n v="274"/>
    <x v="316"/>
    <n v="21506500"/>
    <n v="41051"/>
    <n v="1"/>
    <n v="0"/>
    <x v="0"/>
  </r>
  <r>
    <x v="8"/>
    <x v="0"/>
    <n v="51"/>
    <s v="Oregon"/>
    <s v="Multnomah County"/>
    <n v="41051"/>
    <n v="37"/>
    <n v="63"/>
    <x v="22"/>
    <x v="69"/>
    <x v="96"/>
    <n v="51"/>
    <x v="251"/>
    <n v="2040000"/>
    <n v="41051"/>
    <n v="1"/>
    <n v="0"/>
    <x v="0"/>
  </r>
  <r>
    <x v="8"/>
    <x v="0"/>
    <n v="51"/>
    <s v="Oregon"/>
    <s v="Multnomah County"/>
    <n v="41051"/>
    <n v="40"/>
    <n v="0"/>
    <x v="42"/>
    <x v="0"/>
    <x v="171"/>
    <n v="64"/>
    <x v="1"/>
    <n v="307200"/>
    <n v="41051"/>
    <n v="1"/>
    <n v="0"/>
    <x v="0"/>
  </r>
  <r>
    <x v="8"/>
    <x v="0"/>
    <n v="51"/>
    <s v="Oregon"/>
    <s v="Multnomah County"/>
    <n v="41051"/>
    <n v="40"/>
    <n v="143"/>
    <x v="42"/>
    <x v="183"/>
    <x v="241"/>
    <n v="264"/>
    <x v="317"/>
    <n v="4130000"/>
    <n v="41051"/>
    <n v="1"/>
    <n v="0"/>
    <x v="0"/>
  </r>
  <r>
    <x v="8"/>
    <x v="0"/>
    <n v="51"/>
    <s v="Oregon"/>
    <s v="Multnomah County"/>
    <n v="41051"/>
    <n v="41"/>
    <n v="0"/>
    <x v="24"/>
    <x v="0"/>
    <x v="45"/>
    <n v="6123"/>
    <x v="318"/>
    <n v="417996300"/>
    <n v="41051"/>
    <n v="1"/>
    <n v="0"/>
    <x v="0"/>
  </r>
  <r>
    <x v="8"/>
    <x v="0"/>
    <n v="51"/>
    <s v="Oregon"/>
    <s v="Multnomah County"/>
    <n v="41051"/>
    <n v="41"/>
    <n v="5"/>
    <x v="24"/>
    <x v="27"/>
    <x v="46"/>
    <n v="5964"/>
    <x v="221"/>
    <n v="785269050"/>
    <n v="41051"/>
    <n v="1"/>
    <n v="0"/>
    <x v="0"/>
  </r>
  <r>
    <x v="8"/>
    <x v="0"/>
    <n v="51"/>
    <s v="Oregon"/>
    <s v="Multnomah County"/>
    <n v="41051"/>
    <n v="41"/>
    <n v="19"/>
    <x v="24"/>
    <x v="29"/>
    <x v="48"/>
    <n v="65"/>
    <x v="1"/>
    <n v="403000"/>
    <n v="41051"/>
    <n v="1"/>
    <n v="0"/>
    <x v="0"/>
  </r>
  <r>
    <x v="8"/>
    <x v="0"/>
    <n v="51"/>
    <s v="Oregon"/>
    <s v="Multnomah County"/>
    <n v="41051"/>
    <n v="41"/>
    <n v="29"/>
    <x v="24"/>
    <x v="30"/>
    <x v="49"/>
    <n v="159"/>
    <x v="57"/>
    <n v="9338600"/>
    <n v="41051"/>
    <n v="1"/>
    <n v="0"/>
    <x v="0"/>
  </r>
  <r>
    <x v="8"/>
    <x v="0"/>
    <n v="51"/>
    <s v="Oregon"/>
    <s v="Multnomah County"/>
    <n v="41051"/>
    <n v="41"/>
    <n v="39"/>
    <x v="24"/>
    <x v="31"/>
    <x v="50"/>
    <n v="671"/>
    <x v="319"/>
    <n v="57517200"/>
    <n v="41051"/>
    <n v="1"/>
    <n v="0"/>
    <x v="0"/>
  </r>
  <r>
    <x v="8"/>
    <x v="0"/>
    <n v="51"/>
    <s v="Oregon"/>
    <s v="Multnomah County"/>
    <n v="41051"/>
    <n v="41"/>
    <n v="47"/>
    <x v="24"/>
    <x v="32"/>
    <x v="51"/>
    <n v="808"/>
    <x v="320"/>
    <n v="27756000"/>
    <n v="41051"/>
    <n v="1"/>
    <n v="0"/>
    <x v="0"/>
  </r>
  <r>
    <x v="8"/>
    <x v="0"/>
    <n v="51"/>
    <s v="Oregon"/>
    <s v="Multnomah County"/>
    <n v="41051"/>
    <n v="41"/>
    <n v="51"/>
    <x v="24"/>
    <x v="33"/>
    <x v="52"/>
    <n v="580087"/>
    <x v="321"/>
    <n v="37462494354"/>
    <n v="41051"/>
    <n v="1"/>
    <n v="1"/>
    <x v="1"/>
  </r>
  <r>
    <x v="8"/>
    <x v="0"/>
    <n v="51"/>
    <s v="Oregon"/>
    <s v="Multnomah County"/>
    <n v="41051"/>
    <n v="41"/>
    <n v="67"/>
    <x v="24"/>
    <x v="34"/>
    <x v="53"/>
    <n v="5786"/>
    <x v="322"/>
    <n v="403495840"/>
    <n v="41051"/>
    <n v="1"/>
    <n v="0"/>
    <x v="0"/>
  </r>
  <r>
    <x v="8"/>
    <x v="0"/>
    <n v="51"/>
    <s v="Oregon"/>
    <s v="Multnomah County"/>
    <n v="41051"/>
    <n v="41"/>
    <n v="71"/>
    <x v="24"/>
    <x v="164"/>
    <x v="217"/>
    <n v="203"/>
    <x v="164"/>
    <n v="14102000"/>
    <n v="41051"/>
    <n v="1"/>
    <n v="0"/>
    <x v="0"/>
  </r>
  <r>
    <x v="8"/>
    <x v="0"/>
    <n v="51"/>
    <s v="Oregon"/>
    <s v="Multnomah County"/>
    <n v="41051"/>
    <n v="42"/>
    <n v="49"/>
    <x v="25"/>
    <x v="127"/>
    <x v="242"/>
    <n v="182"/>
    <x v="268"/>
    <n v="13286000"/>
    <n v="41051"/>
    <n v="1"/>
    <n v="0"/>
    <x v="0"/>
  </r>
  <r>
    <x v="8"/>
    <x v="0"/>
    <n v="51"/>
    <s v="Oregon"/>
    <s v="Multnomah County"/>
    <n v="41051"/>
    <n v="42"/>
    <n v="101"/>
    <x v="25"/>
    <x v="36"/>
    <x v="55"/>
    <n v="351"/>
    <x v="269"/>
    <n v="11583000"/>
    <n v="41051"/>
    <n v="1"/>
    <n v="0"/>
    <x v="0"/>
  </r>
  <r>
    <x v="8"/>
    <x v="0"/>
    <n v="51"/>
    <s v="Oregon"/>
    <s v="Multnomah County"/>
    <n v="41051"/>
    <n v="45"/>
    <n v="15"/>
    <x v="37"/>
    <x v="184"/>
    <x v="243"/>
    <n v="19"/>
    <x v="311"/>
    <n v="2109000"/>
    <n v="41051"/>
    <n v="1"/>
    <n v="0"/>
    <x v="0"/>
  </r>
  <r>
    <x v="8"/>
    <x v="0"/>
    <n v="51"/>
    <s v="Oregon"/>
    <s v="Multnomah County"/>
    <n v="41051"/>
    <n v="46"/>
    <n v="0"/>
    <x v="49"/>
    <x v="0"/>
    <x v="244"/>
    <n v="209"/>
    <x v="137"/>
    <n v="7315000"/>
    <n v="41051"/>
    <n v="1"/>
    <n v="0"/>
    <x v="0"/>
  </r>
  <r>
    <x v="8"/>
    <x v="0"/>
    <n v="51"/>
    <s v="Oregon"/>
    <s v="Multnomah County"/>
    <n v="41051"/>
    <n v="47"/>
    <n v="37"/>
    <x v="38"/>
    <x v="75"/>
    <x v="104"/>
    <n v="73"/>
    <x v="267"/>
    <n v="16060000"/>
    <n v="41051"/>
    <n v="1"/>
    <n v="0"/>
    <x v="0"/>
  </r>
  <r>
    <x v="8"/>
    <x v="0"/>
    <n v="51"/>
    <s v="Oregon"/>
    <s v="Multnomah County"/>
    <n v="41051"/>
    <n v="48"/>
    <n v="0"/>
    <x v="26"/>
    <x v="0"/>
    <x v="128"/>
    <n v="110"/>
    <x v="251"/>
    <n v="3018000"/>
    <n v="41051"/>
    <n v="1"/>
    <n v="0"/>
    <x v="0"/>
  </r>
  <r>
    <x v="8"/>
    <x v="0"/>
    <n v="51"/>
    <s v="Oregon"/>
    <s v="Multnomah County"/>
    <n v="41051"/>
    <n v="48"/>
    <n v="85"/>
    <x v="26"/>
    <x v="76"/>
    <x v="105"/>
    <n v="35"/>
    <x v="1"/>
    <n v="0"/>
    <n v="41051"/>
    <n v="1"/>
    <n v="0"/>
    <x v="0"/>
  </r>
  <r>
    <x v="8"/>
    <x v="0"/>
    <n v="51"/>
    <s v="Oregon"/>
    <s v="Multnomah County"/>
    <n v="41051"/>
    <n v="48"/>
    <n v="201"/>
    <x v="26"/>
    <x v="154"/>
    <x v="203"/>
    <n v="432"/>
    <x v="323"/>
    <n v="7746000"/>
    <n v="41051"/>
    <n v="1"/>
    <n v="0"/>
    <x v="0"/>
  </r>
  <r>
    <x v="8"/>
    <x v="0"/>
    <n v="51"/>
    <s v="Oregon"/>
    <s v="Multnomah County"/>
    <n v="41051"/>
    <n v="48"/>
    <n v="453"/>
    <x v="26"/>
    <x v="38"/>
    <x v="57"/>
    <n v="341"/>
    <x v="324"/>
    <n v="20369300"/>
    <n v="41051"/>
    <n v="1"/>
    <n v="0"/>
    <x v="0"/>
  </r>
  <r>
    <x v="8"/>
    <x v="0"/>
    <n v="51"/>
    <s v="Oregon"/>
    <s v="Multnomah County"/>
    <n v="41051"/>
    <n v="48"/>
    <n v="491"/>
    <x v="26"/>
    <x v="137"/>
    <x v="221"/>
    <n v="183"/>
    <x v="112"/>
    <n v="4716000"/>
    <n v="41051"/>
    <n v="1"/>
    <n v="0"/>
    <x v="0"/>
  </r>
  <r>
    <x v="8"/>
    <x v="0"/>
    <n v="51"/>
    <s v="Oregon"/>
    <s v="Multnomah County"/>
    <n v="41051"/>
    <n v="49"/>
    <n v="35"/>
    <x v="27"/>
    <x v="39"/>
    <x v="58"/>
    <n v="88"/>
    <x v="1"/>
    <n v="0"/>
    <n v="41051"/>
    <n v="1"/>
    <n v="0"/>
    <x v="0"/>
  </r>
  <r>
    <x v="8"/>
    <x v="0"/>
    <n v="51"/>
    <s v="Oregon"/>
    <s v="Multnomah County"/>
    <n v="41051"/>
    <n v="49"/>
    <n v="53"/>
    <x v="27"/>
    <x v="34"/>
    <x v="204"/>
    <n v="79"/>
    <x v="1"/>
    <n v="1185000"/>
    <n v="41051"/>
    <n v="1"/>
    <n v="0"/>
    <x v="0"/>
  </r>
  <r>
    <x v="8"/>
    <x v="0"/>
    <n v="51"/>
    <s v="Oregon"/>
    <s v="Multnomah County"/>
    <n v="41051"/>
    <n v="49"/>
    <n v="57"/>
    <x v="27"/>
    <x v="185"/>
    <x v="245"/>
    <n v="192"/>
    <x v="103"/>
    <n v="11148300"/>
    <n v="41051"/>
    <n v="1"/>
    <n v="0"/>
    <x v="0"/>
  </r>
  <r>
    <x v="8"/>
    <x v="0"/>
    <n v="51"/>
    <s v="Oregon"/>
    <s v="Multnomah County"/>
    <n v="41051"/>
    <n v="50"/>
    <n v="0"/>
    <x v="46"/>
    <x v="0"/>
    <x v="153"/>
    <n v="305"/>
    <x v="207"/>
    <n v="14963000"/>
    <n v="41051"/>
    <n v="1"/>
    <n v="0"/>
    <x v="0"/>
  </r>
  <r>
    <x v="8"/>
    <x v="0"/>
    <n v="51"/>
    <s v="Oregon"/>
    <s v="Multnomah County"/>
    <n v="41051"/>
    <n v="50"/>
    <n v="7"/>
    <x v="46"/>
    <x v="186"/>
    <x v="246"/>
    <n v="286"/>
    <x v="72"/>
    <n v="32640000"/>
    <n v="41051"/>
    <n v="1"/>
    <n v="0"/>
    <x v="0"/>
  </r>
  <r>
    <x v="8"/>
    <x v="0"/>
    <n v="51"/>
    <s v="Oregon"/>
    <s v="Multnomah County"/>
    <n v="41051"/>
    <n v="51"/>
    <n v="0"/>
    <x v="39"/>
    <x v="0"/>
    <x v="108"/>
    <n v="8"/>
    <x v="325"/>
    <n v="688000"/>
    <n v="41051"/>
    <n v="1"/>
    <n v="0"/>
    <x v="0"/>
  </r>
  <r>
    <x v="8"/>
    <x v="0"/>
    <n v="51"/>
    <s v="Oregon"/>
    <s v="Multnomah County"/>
    <n v="41051"/>
    <n v="51"/>
    <n v="13"/>
    <x v="39"/>
    <x v="115"/>
    <x v="154"/>
    <n v="120"/>
    <x v="314"/>
    <n v="10688000"/>
    <n v="41051"/>
    <n v="1"/>
    <n v="0"/>
    <x v="0"/>
  </r>
  <r>
    <x v="8"/>
    <x v="0"/>
    <n v="51"/>
    <s v="Oregon"/>
    <s v="Multnomah County"/>
    <n v="41051"/>
    <n v="51"/>
    <n v="87"/>
    <x v="39"/>
    <x v="187"/>
    <x v="247"/>
    <n v="39"/>
    <x v="1"/>
    <n v="2145000"/>
    <n v="41051"/>
    <n v="1"/>
    <n v="0"/>
    <x v="0"/>
  </r>
  <r>
    <x v="8"/>
    <x v="0"/>
    <n v="51"/>
    <s v="Oregon"/>
    <s v="Multnomah County"/>
    <n v="41051"/>
    <n v="51"/>
    <n v="510"/>
    <x v="39"/>
    <x v="188"/>
    <x v="248"/>
    <n v="157"/>
    <x v="1"/>
    <n v="2826000"/>
    <n v="41051"/>
    <n v="1"/>
    <n v="0"/>
    <x v="0"/>
  </r>
  <r>
    <x v="8"/>
    <x v="0"/>
    <n v="51"/>
    <s v="Oregon"/>
    <s v="Multnomah County"/>
    <n v="41051"/>
    <n v="51"/>
    <n v="650"/>
    <x v="39"/>
    <x v="189"/>
    <x v="249"/>
    <n v="99"/>
    <x v="1"/>
    <n v="3168000"/>
    <n v="41051"/>
    <n v="1"/>
    <n v="0"/>
    <x v="0"/>
  </r>
  <r>
    <x v="8"/>
    <x v="0"/>
    <n v="51"/>
    <s v="Oregon"/>
    <s v="Multnomah County"/>
    <n v="41051"/>
    <n v="53"/>
    <n v="0"/>
    <x v="28"/>
    <x v="0"/>
    <x v="60"/>
    <n v="1475"/>
    <x v="326"/>
    <n v="98830000"/>
    <n v="41051"/>
    <n v="1"/>
    <n v="0"/>
    <x v="0"/>
  </r>
  <r>
    <x v="8"/>
    <x v="0"/>
    <n v="51"/>
    <s v="Oregon"/>
    <s v="Multnomah County"/>
    <n v="41051"/>
    <n v="53"/>
    <n v="11"/>
    <x v="28"/>
    <x v="22"/>
    <x v="61"/>
    <n v="4137"/>
    <x v="327"/>
    <n v="407373830"/>
    <n v="41051"/>
    <n v="1"/>
    <n v="0"/>
    <x v="0"/>
  </r>
  <r>
    <x v="8"/>
    <x v="0"/>
    <n v="51"/>
    <s v="Oregon"/>
    <s v="Multnomah County"/>
    <n v="41051"/>
    <n v="53"/>
    <n v="33"/>
    <x v="28"/>
    <x v="41"/>
    <x v="62"/>
    <n v="1061"/>
    <x v="328"/>
    <n v="132166900"/>
    <n v="41051"/>
    <n v="1"/>
    <n v="0"/>
    <x v="0"/>
  </r>
  <r>
    <x v="8"/>
    <x v="0"/>
    <n v="51"/>
    <s v="Oregon"/>
    <s v="Multnomah County"/>
    <n v="41051"/>
    <n v="53"/>
    <n v="35"/>
    <x v="28"/>
    <x v="42"/>
    <x v="63"/>
    <n v="94"/>
    <x v="301"/>
    <n v="1598500"/>
    <n v="41051"/>
    <n v="1"/>
    <n v="0"/>
    <x v="0"/>
  </r>
  <r>
    <x v="8"/>
    <x v="0"/>
    <n v="51"/>
    <s v="Oregon"/>
    <s v="Multnomah County"/>
    <n v="41051"/>
    <n v="53"/>
    <n v="61"/>
    <x v="28"/>
    <x v="44"/>
    <x v="65"/>
    <n v="200"/>
    <x v="1"/>
    <n v="0"/>
    <n v="41051"/>
    <n v="1"/>
    <n v="0"/>
    <x v="0"/>
  </r>
  <r>
    <x v="8"/>
    <x v="0"/>
    <n v="51"/>
    <s v="Oregon"/>
    <s v="Multnomah County"/>
    <n v="41051"/>
    <n v="53"/>
    <n v="63"/>
    <x v="28"/>
    <x v="45"/>
    <x v="66"/>
    <n v="244"/>
    <x v="298"/>
    <n v="7771000"/>
    <n v="41051"/>
    <n v="1"/>
    <n v="0"/>
    <x v="0"/>
  </r>
  <r>
    <x v="8"/>
    <x v="0"/>
    <n v="51"/>
    <s v="Oregon"/>
    <s v="Multnomah County"/>
    <n v="41051"/>
    <n v="53"/>
    <n v="67"/>
    <x v="28"/>
    <x v="81"/>
    <x v="111"/>
    <n v="688"/>
    <x v="6"/>
    <n v="32560600"/>
    <n v="41051"/>
    <n v="1"/>
    <n v="0"/>
    <x v="0"/>
  </r>
  <r>
    <x v="8"/>
    <x v="0"/>
    <n v="51"/>
    <s v="Oregon"/>
    <s v="Multnomah County"/>
    <n v="41051"/>
    <n v="53"/>
    <n v="73"/>
    <x v="28"/>
    <x v="140"/>
    <x v="185"/>
    <n v="52"/>
    <x v="73"/>
    <n v="1560000"/>
    <n v="41051"/>
    <n v="1"/>
    <n v="0"/>
    <x v="0"/>
  </r>
  <r>
    <x v="8"/>
    <x v="0"/>
    <n v="51"/>
    <s v="Oregon"/>
    <s v="Multnomah County"/>
    <n v="41051"/>
    <n v="55"/>
    <n v="79"/>
    <x v="40"/>
    <x v="99"/>
    <x v="132"/>
    <n v="247"/>
    <x v="329"/>
    <n v="11856000"/>
    <n v="41051"/>
    <n v="1"/>
    <n v="0"/>
    <x v="0"/>
  </r>
  <r>
    <x v="8"/>
    <x v="0"/>
    <n v="51"/>
    <s v="Oregon"/>
    <s v="Multnomah County"/>
    <n v="41051"/>
    <n v="55"/>
    <n v="139"/>
    <x v="40"/>
    <x v="190"/>
    <x v="250"/>
    <n v="400"/>
    <x v="1"/>
    <n v="9200000"/>
    <n v="41051"/>
    <n v="1"/>
    <n v="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3">
  <r>
    <x v="0"/>
    <n v="2"/>
    <n v="0"/>
    <x v="0"/>
    <x v="0"/>
    <x v="0"/>
    <n v="41"/>
    <n v="51"/>
    <s v="Oregon"/>
    <s v="Multnomah County"/>
    <n v="41051"/>
    <n v="166"/>
    <x v="0"/>
    <n v="298800"/>
    <m/>
    <n v="0"/>
    <n v="1"/>
    <x v="0"/>
  </r>
  <r>
    <x v="0"/>
    <n v="2"/>
    <n v="20"/>
    <x v="0"/>
    <x v="1"/>
    <x v="1"/>
    <n v="41"/>
    <n v="51"/>
    <s v="Oregon"/>
    <s v="Multnomah County"/>
    <n v="41051"/>
    <n v="266"/>
    <x v="0"/>
    <n v="1096000"/>
    <n v="2020"/>
    <n v="0"/>
    <n v="1"/>
    <x v="0"/>
  </r>
  <r>
    <x v="0"/>
    <n v="4"/>
    <n v="0"/>
    <x v="1"/>
    <x v="0"/>
    <x v="2"/>
    <n v="41"/>
    <n v="51"/>
    <s v="Oregon"/>
    <s v="Multnomah County"/>
    <n v="41051"/>
    <n v="870"/>
    <x v="1"/>
    <n v="19421000"/>
    <m/>
    <n v="0"/>
    <n v="1"/>
    <x v="0"/>
  </r>
  <r>
    <x v="0"/>
    <n v="4"/>
    <n v="5"/>
    <x v="1"/>
    <x v="2"/>
    <x v="3"/>
    <n v="41"/>
    <n v="51"/>
    <s v="Oregon"/>
    <s v="Multnomah County"/>
    <n v="41051"/>
    <n v="174"/>
    <x v="2"/>
    <n v="4350000"/>
    <n v="4005"/>
    <n v="0"/>
    <n v="1"/>
    <x v="0"/>
  </r>
  <r>
    <x v="0"/>
    <n v="4"/>
    <n v="13"/>
    <x v="1"/>
    <x v="3"/>
    <x v="4"/>
    <n v="41"/>
    <n v="51"/>
    <s v="Oregon"/>
    <s v="Multnomah County"/>
    <n v="41051"/>
    <n v="1557"/>
    <x v="3"/>
    <n v="44026040"/>
    <n v="4013"/>
    <n v="0"/>
    <n v="1"/>
    <x v="0"/>
  </r>
  <r>
    <x v="0"/>
    <n v="5"/>
    <n v="0"/>
    <x v="2"/>
    <x v="0"/>
    <x v="5"/>
    <n v="41"/>
    <n v="51"/>
    <s v="Oregon"/>
    <s v="Multnomah County"/>
    <n v="41051"/>
    <n v="489"/>
    <x v="4"/>
    <n v="20347200"/>
    <m/>
    <n v="0"/>
    <n v="1"/>
    <x v="0"/>
  </r>
  <r>
    <x v="0"/>
    <n v="6"/>
    <n v="0"/>
    <x v="3"/>
    <x v="0"/>
    <x v="6"/>
    <n v="41"/>
    <n v="51"/>
    <s v="Oregon"/>
    <s v="Multnomah County"/>
    <n v="41051"/>
    <n v="202"/>
    <x v="5"/>
    <n v="3149000"/>
    <m/>
    <n v="0"/>
    <n v="1"/>
    <x v="0"/>
  </r>
  <r>
    <x v="0"/>
    <n v="6"/>
    <n v="1"/>
    <x v="3"/>
    <x v="4"/>
    <x v="7"/>
    <n v="41"/>
    <n v="51"/>
    <s v="Oregon"/>
    <s v="Multnomah County"/>
    <n v="41051"/>
    <n v="251"/>
    <x v="6"/>
    <n v="13664600"/>
    <n v="6001"/>
    <n v="0"/>
    <n v="1"/>
    <x v="0"/>
  </r>
  <r>
    <x v="0"/>
    <n v="6"/>
    <n v="13"/>
    <x v="3"/>
    <x v="5"/>
    <x v="8"/>
    <n v="41"/>
    <n v="51"/>
    <s v="Oregon"/>
    <s v="Multnomah County"/>
    <n v="41051"/>
    <n v="229"/>
    <x v="0"/>
    <n v="4787200"/>
    <n v="6013"/>
    <n v="0"/>
    <n v="1"/>
    <x v="0"/>
  </r>
  <r>
    <x v="0"/>
    <n v="6"/>
    <n v="19"/>
    <x v="3"/>
    <x v="6"/>
    <x v="9"/>
    <n v="41"/>
    <n v="51"/>
    <s v="Oregon"/>
    <s v="Multnomah County"/>
    <n v="41051"/>
    <n v="338"/>
    <x v="7"/>
    <n v="5617600"/>
    <n v="6019"/>
    <n v="0"/>
    <n v="1"/>
    <x v="0"/>
  </r>
  <r>
    <x v="0"/>
    <n v="6"/>
    <n v="29"/>
    <x v="3"/>
    <x v="7"/>
    <x v="10"/>
    <n v="41"/>
    <n v="51"/>
    <s v="Oregon"/>
    <s v="Multnomah County"/>
    <n v="41051"/>
    <n v="73"/>
    <x v="0"/>
    <n v="949000"/>
    <n v="6029"/>
    <n v="0"/>
    <n v="1"/>
    <x v="0"/>
  </r>
  <r>
    <x v="0"/>
    <n v="6"/>
    <n v="37"/>
    <x v="3"/>
    <x v="8"/>
    <x v="11"/>
    <n v="41"/>
    <n v="51"/>
    <s v="Oregon"/>
    <s v="Multnomah County"/>
    <n v="41051"/>
    <n v="1332"/>
    <x v="8"/>
    <n v="20827220"/>
    <n v="6037"/>
    <n v="0"/>
    <n v="1"/>
    <x v="0"/>
  </r>
  <r>
    <x v="0"/>
    <n v="6"/>
    <n v="55"/>
    <x v="3"/>
    <x v="9"/>
    <x v="12"/>
    <n v="41"/>
    <n v="51"/>
    <s v="Oregon"/>
    <s v="Multnomah County"/>
    <n v="41051"/>
    <n v="144"/>
    <x v="4"/>
    <n v="5368000"/>
    <n v="6055"/>
    <n v="0"/>
    <n v="1"/>
    <x v="0"/>
  </r>
  <r>
    <x v="0"/>
    <n v="6"/>
    <n v="59"/>
    <x v="3"/>
    <x v="10"/>
    <x v="13"/>
    <n v="41"/>
    <n v="51"/>
    <s v="Oregon"/>
    <s v="Multnomah County"/>
    <n v="41051"/>
    <n v="267"/>
    <x v="0"/>
    <n v="8856000"/>
    <n v="6059"/>
    <n v="0"/>
    <n v="1"/>
    <x v="0"/>
  </r>
  <r>
    <x v="0"/>
    <n v="6"/>
    <n v="67"/>
    <x v="3"/>
    <x v="11"/>
    <x v="14"/>
    <n v="41"/>
    <n v="51"/>
    <s v="Oregon"/>
    <s v="Multnomah County"/>
    <n v="41051"/>
    <n v="221"/>
    <x v="9"/>
    <n v="910000"/>
    <n v="6067"/>
    <n v="0"/>
    <n v="1"/>
    <x v="0"/>
  </r>
  <r>
    <x v="0"/>
    <n v="6"/>
    <n v="71"/>
    <x v="3"/>
    <x v="12"/>
    <x v="15"/>
    <n v="41"/>
    <n v="51"/>
    <s v="Oregon"/>
    <s v="Multnomah County"/>
    <n v="41051"/>
    <n v="117"/>
    <x v="0"/>
    <n v="7371000"/>
    <n v="6071"/>
    <n v="0"/>
    <n v="1"/>
    <x v="0"/>
  </r>
  <r>
    <x v="0"/>
    <n v="6"/>
    <n v="73"/>
    <x v="3"/>
    <x v="13"/>
    <x v="16"/>
    <n v="41"/>
    <n v="51"/>
    <s v="Oregon"/>
    <s v="Multnomah County"/>
    <n v="41051"/>
    <n v="309"/>
    <x v="10"/>
    <n v="8343000"/>
    <n v="6073"/>
    <n v="0"/>
    <n v="1"/>
    <x v="0"/>
  </r>
  <r>
    <x v="0"/>
    <n v="6"/>
    <n v="75"/>
    <x v="3"/>
    <x v="14"/>
    <x v="17"/>
    <n v="41"/>
    <n v="51"/>
    <s v="Oregon"/>
    <s v="Multnomah County"/>
    <n v="41051"/>
    <n v="574"/>
    <x v="11"/>
    <n v="30976300"/>
    <n v="6075"/>
    <n v="0"/>
    <n v="1"/>
    <x v="0"/>
  </r>
  <r>
    <x v="0"/>
    <n v="6"/>
    <n v="79"/>
    <x v="3"/>
    <x v="15"/>
    <x v="18"/>
    <n v="41"/>
    <n v="51"/>
    <s v="Oregon"/>
    <s v="Multnomah County"/>
    <n v="41051"/>
    <n v="53"/>
    <x v="12"/>
    <n v="816800"/>
    <n v="6079"/>
    <n v="0"/>
    <n v="1"/>
    <x v="0"/>
  </r>
  <r>
    <x v="0"/>
    <n v="6"/>
    <n v="83"/>
    <x v="3"/>
    <x v="16"/>
    <x v="19"/>
    <n v="41"/>
    <n v="51"/>
    <s v="Oregon"/>
    <s v="Multnomah County"/>
    <n v="41051"/>
    <n v="86"/>
    <x v="0"/>
    <n v="2270400"/>
    <n v="6083"/>
    <n v="0"/>
    <n v="1"/>
    <x v="0"/>
  </r>
  <r>
    <x v="0"/>
    <n v="6"/>
    <n v="85"/>
    <x v="3"/>
    <x v="17"/>
    <x v="20"/>
    <n v="41"/>
    <n v="51"/>
    <s v="Oregon"/>
    <s v="Multnomah County"/>
    <n v="41051"/>
    <n v="281"/>
    <x v="13"/>
    <n v="5646100"/>
    <n v="6085"/>
    <n v="0"/>
    <n v="1"/>
    <x v="0"/>
  </r>
  <r>
    <x v="0"/>
    <n v="6"/>
    <n v="97"/>
    <x v="3"/>
    <x v="18"/>
    <x v="21"/>
    <n v="41"/>
    <n v="51"/>
    <s v="Oregon"/>
    <s v="Multnomah County"/>
    <n v="41051"/>
    <n v="242"/>
    <x v="14"/>
    <n v="19360000"/>
    <n v="6097"/>
    <n v="0"/>
    <n v="1"/>
    <x v="0"/>
  </r>
  <r>
    <x v="0"/>
    <n v="6"/>
    <n v="99"/>
    <x v="3"/>
    <x v="19"/>
    <x v="22"/>
    <n v="41"/>
    <n v="51"/>
    <s v="Oregon"/>
    <s v="Multnomah County"/>
    <n v="41051"/>
    <n v="262"/>
    <x v="15"/>
    <n v="16086000"/>
    <n v="6099"/>
    <n v="0"/>
    <n v="1"/>
    <x v="0"/>
  </r>
  <r>
    <x v="0"/>
    <n v="6"/>
    <n v="107"/>
    <x v="3"/>
    <x v="20"/>
    <x v="23"/>
    <n v="41"/>
    <n v="51"/>
    <s v="Oregon"/>
    <s v="Multnomah County"/>
    <n v="41051"/>
    <n v="195"/>
    <x v="0"/>
    <n v="3607500"/>
    <n v="6107"/>
    <n v="0"/>
    <n v="1"/>
    <x v="0"/>
  </r>
  <r>
    <x v="0"/>
    <n v="8"/>
    <n v="0"/>
    <x v="4"/>
    <x v="0"/>
    <x v="24"/>
    <n v="41"/>
    <n v="51"/>
    <s v="Oregon"/>
    <s v="Multnomah County"/>
    <n v="41051"/>
    <n v="198"/>
    <x v="16"/>
    <n v="10353000"/>
    <m/>
    <n v="0"/>
    <n v="1"/>
    <x v="0"/>
  </r>
  <r>
    <x v="0"/>
    <n v="11"/>
    <n v="1"/>
    <x v="5"/>
    <x v="21"/>
    <x v="25"/>
    <n v="41"/>
    <n v="51"/>
    <s v="Oregon"/>
    <s v="Multnomah County"/>
    <n v="41051"/>
    <n v="277"/>
    <x v="17"/>
    <n v="28804550"/>
    <n v="11001"/>
    <n v="0"/>
    <n v="1"/>
    <x v="0"/>
  </r>
  <r>
    <x v="0"/>
    <n v="12"/>
    <n v="0"/>
    <x v="6"/>
    <x v="0"/>
    <x v="26"/>
    <n v="41"/>
    <n v="51"/>
    <s v="Oregon"/>
    <s v="Multnomah County"/>
    <n v="41051"/>
    <n v="382"/>
    <x v="18"/>
    <n v="14592000"/>
    <m/>
    <n v="0"/>
    <n v="1"/>
    <x v="0"/>
  </r>
  <r>
    <x v="0"/>
    <n v="12"/>
    <n v="31"/>
    <x v="6"/>
    <x v="22"/>
    <x v="27"/>
    <n v="41"/>
    <n v="51"/>
    <s v="Oregon"/>
    <s v="Multnomah County"/>
    <n v="41051"/>
    <n v="268"/>
    <x v="19"/>
    <n v="86610600"/>
    <n v="12031"/>
    <n v="0"/>
    <n v="1"/>
    <x v="0"/>
  </r>
  <r>
    <x v="0"/>
    <n v="12"/>
    <n v="71"/>
    <x v="6"/>
    <x v="23"/>
    <x v="28"/>
    <n v="41"/>
    <n v="51"/>
    <s v="Oregon"/>
    <s v="Multnomah County"/>
    <n v="41051"/>
    <n v="133"/>
    <x v="0"/>
    <n v="1143800"/>
    <n v="12071"/>
    <n v="0"/>
    <n v="1"/>
    <x v="0"/>
  </r>
  <r>
    <x v="0"/>
    <n v="13"/>
    <n v="135"/>
    <x v="7"/>
    <x v="24"/>
    <x v="29"/>
    <n v="41"/>
    <n v="51"/>
    <s v="Oregon"/>
    <s v="Multnomah County"/>
    <n v="41051"/>
    <n v="116"/>
    <x v="0"/>
    <n v="3828000"/>
    <n v="13135"/>
    <n v="0"/>
    <n v="1"/>
    <x v="0"/>
  </r>
  <r>
    <x v="0"/>
    <n v="15"/>
    <n v="1"/>
    <x v="8"/>
    <x v="25"/>
    <x v="30"/>
    <n v="41"/>
    <n v="51"/>
    <s v="Oregon"/>
    <s v="Multnomah County"/>
    <n v="41051"/>
    <n v="78"/>
    <x v="0"/>
    <n v="78000"/>
    <n v="15001"/>
    <n v="0"/>
    <n v="1"/>
    <x v="0"/>
  </r>
  <r>
    <x v="0"/>
    <n v="15"/>
    <n v="3"/>
    <x v="8"/>
    <x v="26"/>
    <x v="31"/>
    <n v="41"/>
    <n v="51"/>
    <s v="Oregon"/>
    <s v="Multnomah County"/>
    <n v="41051"/>
    <n v="204"/>
    <x v="20"/>
    <n v="4092000"/>
    <n v="15003"/>
    <n v="0"/>
    <n v="1"/>
    <x v="0"/>
  </r>
  <r>
    <x v="0"/>
    <n v="16"/>
    <n v="0"/>
    <x v="9"/>
    <x v="0"/>
    <x v="32"/>
    <n v="41"/>
    <n v="51"/>
    <s v="Oregon"/>
    <s v="Multnomah County"/>
    <n v="41051"/>
    <n v="66"/>
    <x v="21"/>
    <n v="2772000"/>
    <m/>
    <n v="0"/>
    <n v="1"/>
    <x v="0"/>
  </r>
  <r>
    <x v="0"/>
    <n v="16"/>
    <n v="19"/>
    <x v="9"/>
    <x v="27"/>
    <x v="33"/>
    <n v="41"/>
    <n v="51"/>
    <s v="Oregon"/>
    <s v="Multnomah County"/>
    <n v="41051"/>
    <n v="235"/>
    <x v="0"/>
    <n v="7825500"/>
    <n v="16019"/>
    <n v="0"/>
    <n v="1"/>
    <x v="0"/>
  </r>
  <r>
    <x v="0"/>
    <n v="17"/>
    <n v="31"/>
    <x v="10"/>
    <x v="28"/>
    <x v="34"/>
    <n v="41"/>
    <n v="51"/>
    <s v="Oregon"/>
    <s v="Multnomah County"/>
    <n v="41051"/>
    <n v="137"/>
    <x v="22"/>
    <n v="6579000"/>
    <n v="17031"/>
    <n v="0"/>
    <n v="1"/>
    <x v="0"/>
  </r>
  <r>
    <x v="0"/>
    <n v="17"/>
    <n v="113"/>
    <x v="10"/>
    <x v="29"/>
    <x v="35"/>
    <n v="41"/>
    <n v="51"/>
    <s v="Oregon"/>
    <s v="Multnomah County"/>
    <n v="41051"/>
    <n v="208"/>
    <x v="23"/>
    <n v="4657610"/>
    <n v="17113"/>
    <n v="0"/>
    <n v="1"/>
    <x v="0"/>
  </r>
  <r>
    <x v="0"/>
    <n v="18"/>
    <n v="0"/>
    <x v="11"/>
    <x v="0"/>
    <x v="36"/>
    <n v="41"/>
    <n v="51"/>
    <s v="Oregon"/>
    <s v="Multnomah County"/>
    <n v="41051"/>
    <n v="203"/>
    <x v="16"/>
    <n v="41387000"/>
    <m/>
    <n v="0"/>
    <n v="1"/>
    <x v="0"/>
  </r>
  <r>
    <x v="0"/>
    <n v="18"/>
    <n v="105"/>
    <x v="11"/>
    <x v="30"/>
    <x v="37"/>
    <n v="41"/>
    <n v="51"/>
    <s v="Oregon"/>
    <s v="Multnomah County"/>
    <n v="41051"/>
    <n v="131"/>
    <x v="24"/>
    <n v="366800"/>
    <n v="18105"/>
    <n v="0"/>
    <n v="1"/>
    <x v="0"/>
  </r>
  <r>
    <x v="0"/>
    <n v="18"/>
    <n v="157"/>
    <x v="11"/>
    <x v="31"/>
    <x v="38"/>
    <n v="41"/>
    <n v="51"/>
    <s v="Oregon"/>
    <s v="Multnomah County"/>
    <n v="41051"/>
    <n v="128"/>
    <x v="25"/>
    <n v="6400000"/>
    <n v="18157"/>
    <n v="0"/>
    <n v="1"/>
    <x v="0"/>
  </r>
  <r>
    <x v="0"/>
    <n v="19"/>
    <n v="103"/>
    <x v="12"/>
    <x v="32"/>
    <x v="39"/>
    <n v="41"/>
    <n v="51"/>
    <s v="Oregon"/>
    <s v="Multnomah County"/>
    <n v="41051"/>
    <n v="586"/>
    <x v="26"/>
    <n v="24471020"/>
    <n v="19103"/>
    <n v="0"/>
    <n v="1"/>
    <x v="0"/>
  </r>
  <r>
    <x v="0"/>
    <n v="22"/>
    <n v="0"/>
    <x v="13"/>
    <x v="0"/>
    <x v="40"/>
    <n v="41"/>
    <n v="51"/>
    <s v="Oregon"/>
    <s v="Multnomah County"/>
    <n v="41051"/>
    <n v="152"/>
    <x v="0"/>
    <n v="3496000"/>
    <m/>
    <n v="0"/>
    <n v="1"/>
    <x v="0"/>
  </r>
  <r>
    <x v="0"/>
    <n v="24"/>
    <n v="27"/>
    <x v="14"/>
    <x v="33"/>
    <x v="41"/>
    <n v="41"/>
    <n v="51"/>
    <s v="Oregon"/>
    <s v="Multnomah County"/>
    <n v="41051"/>
    <n v="275"/>
    <x v="17"/>
    <n v="19386200"/>
    <n v="24027"/>
    <n v="0"/>
    <n v="1"/>
    <x v="0"/>
  </r>
  <r>
    <x v="0"/>
    <n v="24"/>
    <n v="510"/>
    <x v="14"/>
    <x v="34"/>
    <x v="42"/>
    <n v="41"/>
    <n v="51"/>
    <s v="Oregon"/>
    <s v="Multnomah County"/>
    <n v="41051"/>
    <n v="137"/>
    <x v="0"/>
    <n v="6970000"/>
    <n v="24510"/>
    <n v="0"/>
    <n v="1"/>
    <x v="0"/>
  </r>
  <r>
    <x v="0"/>
    <n v="25"/>
    <n v="0"/>
    <x v="15"/>
    <x v="0"/>
    <x v="43"/>
    <n v="41"/>
    <n v="51"/>
    <s v="Oregon"/>
    <s v="Multnomah County"/>
    <n v="41051"/>
    <n v="1480"/>
    <x v="27"/>
    <n v="28855000"/>
    <m/>
    <n v="0"/>
    <n v="1"/>
    <x v="0"/>
  </r>
  <r>
    <x v="0"/>
    <n v="25"/>
    <n v="25"/>
    <x v="15"/>
    <x v="35"/>
    <x v="44"/>
    <n v="41"/>
    <n v="51"/>
    <s v="Oregon"/>
    <s v="Multnomah County"/>
    <n v="41051"/>
    <n v="71"/>
    <x v="0"/>
    <n v="852000"/>
    <n v="25025"/>
    <n v="0"/>
    <n v="1"/>
    <x v="0"/>
  </r>
  <r>
    <x v="0"/>
    <n v="27"/>
    <n v="53"/>
    <x v="16"/>
    <x v="36"/>
    <x v="45"/>
    <n v="41"/>
    <n v="51"/>
    <s v="Oregon"/>
    <s v="Multnomah County"/>
    <n v="41051"/>
    <n v="273"/>
    <x v="28"/>
    <n v="12904500"/>
    <n v="27053"/>
    <n v="0"/>
    <n v="1"/>
    <x v="0"/>
  </r>
  <r>
    <x v="0"/>
    <n v="29"/>
    <n v="183"/>
    <x v="17"/>
    <x v="37"/>
    <x v="46"/>
    <n v="41"/>
    <n v="51"/>
    <s v="Oregon"/>
    <s v="Multnomah County"/>
    <n v="41051"/>
    <n v="167"/>
    <x v="29"/>
    <n v="10892000"/>
    <n v="29183"/>
    <n v="0"/>
    <n v="1"/>
    <x v="0"/>
  </r>
  <r>
    <x v="0"/>
    <n v="32"/>
    <n v="3"/>
    <x v="18"/>
    <x v="38"/>
    <x v="47"/>
    <n v="41"/>
    <n v="51"/>
    <s v="Oregon"/>
    <s v="Multnomah County"/>
    <n v="41051"/>
    <n v="676"/>
    <x v="30"/>
    <n v="14384200"/>
    <n v="32003"/>
    <n v="0"/>
    <n v="1"/>
    <x v="0"/>
  </r>
  <r>
    <x v="0"/>
    <n v="33"/>
    <n v="0"/>
    <x v="19"/>
    <x v="0"/>
    <x v="48"/>
    <n v="41"/>
    <n v="51"/>
    <s v="Oregon"/>
    <s v="Multnomah County"/>
    <n v="41051"/>
    <n v="247"/>
    <x v="31"/>
    <n v="16992600"/>
    <m/>
    <n v="0"/>
    <n v="1"/>
    <x v="0"/>
  </r>
  <r>
    <x v="0"/>
    <n v="36"/>
    <n v="5"/>
    <x v="20"/>
    <x v="39"/>
    <x v="49"/>
    <n v="41"/>
    <n v="51"/>
    <s v="Oregon"/>
    <s v="Multnomah County"/>
    <n v="41051"/>
    <n v="297"/>
    <x v="32"/>
    <n v="7233200"/>
    <n v="36005"/>
    <n v="0"/>
    <n v="1"/>
    <x v="0"/>
  </r>
  <r>
    <x v="0"/>
    <n v="36"/>
    <n v="47"/>
    <x v="20"/>
    <x v="40"/>
    <x v="50"/>
    <n v="41"/>
    <n v="51"/>
    <s v="Oregon"/>
    <s v="Multnomah County"/>
    <n v="41051"/>
    <n v="240"/>
    <x v="33"/>
    <n v="12955200"/>
    <n v="36047"/>
    <n v="0"/>
    <n v="1"/>
    <x v="0"/>
  </r>
  <r>
    <x v="0"/>
    <n v="36"/>
    <n v="55"/>
    <x v="20"/>
    <x v="30"/>
    <x v="51"/>
    <n v="41"/>
    <n v="51"/>
    <s v="Oregon"/>
    <s v="Multnomah County"/>
    <n v="41051"/>
    <n v="87"/>
    <x v="0"/>
    <n v="348870"/>
    <n v="36055"/>
    <n v="0"/>
    <n v="1"/>
    <x v="0"/>
  </r>
  <r>
    <x v="0"/>
    <n v="36"/>
    <n v="61"/>
    <x v="20"/>
    <x v="41"/>
    <x v="52"/>
    <n v="41"/>
    <n v="51"/>
    <s v="Oregon"/>
    <s v="Multnomah County"/>
    <n v="41051"/>
    <n v="82"/>
    <x v="34"/>
    <n v="8200000"/>
    <n v="36061"/>
    <n v="0"/>
    <n v="1"/>
    <x v="0"/>
  </r>
  <r>
    <x v="0"/>
    <n v="37"/>
    <n v="135"/>
    <x v="21"/>
    <x v="10"/>
    <x v="53"/>
    <n v="41"/>
    <n v="51"/>
    <s v="Oregon"/>
    <s v="Multnomah County"/>
    <n v="41051"/>
    <n v="251"/>
    <x v="35"/>
    <n v="14848000"/>
    <n v="37135"/>
    <n v="0"/>
    <n v="1"/>
    <x v="0"/>
  </r>
  <r>
    <x v="0"/>
    <n v="39"/>
    <n v="0"/>
    <x v="22"/>
    <x v="0"/>
    <x v="54"/>
    <n v="41"/>
    <n v="51"/>
    <s v="Oregon"/>
    <s v="Multnomah County"/>
    <n v="41051"/>
    <n v="112"/>
    <x v="36"/>
    <n v="9520000"/>
    <m/>
    <n v="0"/>
    <n v="1"/>
    <x v="0"/>
  </r>
  <r>
    <x v="0"/>
    <n v="39"/>
    <n v="49"/>
    <x v="22"/>
    <x v="42"/>
    <x v="55"/>
    <n v="41"/>
    <n v="51"/>
    <s v="Oregon"/>
    <s v="Multnomah County"/>
    <n v="41051"/>
    <n v="672"/>
    <x v="37"/>
    <n v="16780800"/>
    <n v="39049"/>
    <n v="0"/>
    <n v="1"/>
    <x v="0"/>
  </r>
  <r>
    <x v="0"/>
    <n v="39"/>
    <n v="153"/>
    <x v="22"/>
    <x v="43"/>
    <x v="56"/>
    <n v="41"/>
    <n v="51"/>
    <s v="Oregon"/>
    <s v="Multnomah County"/>
    <n v="41051"/>
    <n v="99"/>
    <x v="0"/>
    <n v="831600"/>
    <n v="39153"/>
    <n v="0"/>
    <n v="1"/>
    <x v="0"/>
  </r>
  <r>
    <x v="0"/>
    <n v="41"/>
    <n v="0"/>
    <x v="23"/>
    <x v="0"/>
    <x v="57"/>
    <n v="41"/>
    <n v="51"/>
    <s v="Oregon"/>
    <s v="Multnomah County"/>
    <n v="41051"/>
    <n v="1546"/>
    <x v="38"/>
    <n v="46983710"/>
    <m/>
    <n v="0"/>
    <n v="1"/>
    <x v="0"/>
  </r>
  <r>
    <x v="0"/>
    <n v="41"/>
    <n v="5"/>
    <x v="23"/>
    <x v="44"/>
    <x v="58"/>
    <n v="41"/>
    <n v="51"/>
    <s v="Oregon"/>
    <s v="Multnomah County"/>
    <n v="41051"/>
    <n v="6012"/>
    <x v="39"/>
    <n v="168582200"/>
    <n v="41005"/>
    <n v="0"/>
    <n v="1"/>
    <x v="0"/>
  </r>
  <r>
    <x v="0"/>
    <n v="41"/>
    <n v="17"/>
    <x v="23"/>
    <x v="45"/>
    <x v="59"/>
    <n v="41"/>
    <n v="51"/>
    <s v="Oregon"/>
    <s v="Multnomah County"/>
    <n v="41051"/>
    <n v="436"/>
    <x v="40"/>
    <n v="13352150"/>
    <n v="41017"/>
    <n v="0"/>
    <n v="1"/>
    <x v="0"/>
  </r>
  <r>
    <x v="0"/>
    <n v="41"/>
    <n v="29"/>
    <x v="23"/>
    <x v="46"/>
    <x v="60"/>
    <n v="41"/>
    <n v="51"/>
    <s v="Oregon"/>
    <s v="Multnomah County"/>
    <n v="41051"/>
    <n v="501"/>
    <x v="41"/>
    <n v="6957400"/>
    <n v="41029"/>
    <n v="0"/>
    <n v="1"/>
    <x v="0"/>
  </r>
  <r>
    <x v="0"/>
    <n v="41"/>
    <n v="39"/>
    <x v="23"/>
    <x v="47"/>
    <x v="61"/>
    <n v="41"/>
    <n v="51"/>
    <s v="Oregon"/>
    <s v="Multnomah County"/>
    <n v="41051"/>
    <n v="793"/>
    <x v="42"/>
    <n v="25690950"/>
    <n v="41039"/>
    <n v="0"/>
    <n v="1"/>
    <x v="0"/>
  </r>
  <r>
    <x v="0"/>
    <n v="41"/>
    <n v="47"/>
    <x v="23"/>
    <x v="48"/>
    <x v="62"/>
    <n v="41"/>
    <n v="51"/>
    <s v="Oregon"/>
    <s v="Multnomah County"/>
    <n v="41051"/>
    <n v="318"/>
    <x v="43"/>
    <n v="9950200"/>
    <n v="41047"/>
    <n v="0"/>
    <n v="1"/>
    <x v="0"/>
  </r>
  <r>
    <x v="0"/>
    <n v="41"/>
    <n v="51"/>
    <x v="23"/>
    <x v="49"/>
    <x v="63"/>
    <n v="41"/>
    <n v="51"/>
    <s v="Oregon"/>
    <s v="Multnomah County"/>
    <n v="41051"/>
    <n v="571896"/>
    <x v="44"/>
    <n v="24467590794"/>
    <n v="41051"/>
    <n v="1"/>
    <n v="1"/>
    <x v="1"/>
  </r>
  <r>
    <x v="0"/>
    <n v="41"/>
    <n v="67"/>
    <x v="23"/>
    <x v="50"/>
    <x v="64"/>
    <n v="41"/>
    <n v="51"/>
    <s v="Oregon"/>
    <s v="Multnomah County"/>
    <n v="41051"/>
    <n v="4421"/>
    <x v="45"/>
    <n v="168963280"/>
    <n v="41067"/>
    <n v="0"/>
    <n v="1"/>
    <x v="0"/>
  </r>
  <r>
    <x v="0"/>
    <n v="42"/>
    <n v="0"/>
    <x v="24"/>
    <x v="0"/>
    <x v="65"/>
    <n v="41"/>
    <n v="51"/>
    <s v="Oregon"/>
    <s v="Multnomah County"/>
    <n v="41051"/>
    <n v="108"/>
    <x v="46"/>
    <n v="2700000"/>
    <m/>
    <n v="0"/>
    <n v="1"/>
    <x v="0"/>
  </r>
  <r>
    <x v="0"/>
    <n v="42"/>
    <n v="27"/>
    <x v="24"/>
    <x v="51"/>
    <x v="66"/>
    <n v="41"/>
    <n v="51"/>
    <s v="Oregon"/>
    <s v="Multnomah County"/>
    <n v="41051"/>
    <n v="103"/>
    <x v="47"/>
    <n v="1599500"/>
    <n v="42027"/>
    <n v="0"/>
    <n v="1"/>
    <x v="0"/>
  </r>
  <r>
    <x v="0"/>
    <n v="42"/>
    <n v="91"/>
    <x v="24"/>
    <x v="52"/>
    <x v="67"/>
    <n v="41"/>
    <n v="51"/>
    <s v="Oregon"/>
    <s v="Multnomah County"/>
    <n v="41051"/>
    <n v="60"/>
    <x v="0"/>
    <n v="720000"/>
    <n v="42091"/>
    <n v="0"/>
    <n v="1"/>
    <x v="0"/>
  </r>
  <r>
    <x v="0"/>
    <n v="42"/>
    <n v="101"/>
    <x v="24"/>
    <x v="53"/>
    <x v="68"/>
    <n v="41"/>
    <n v="51"/>
    <s v="Oregon"/>
    <s v="Multnomah County"/>
    <n v="41051"/>
    <n v="174"/>
    <x v="48"/>
    <n v="10440000"/>
    <n v="42101"/>
    <n v="0"/>
    <n v="1"/>
    <x v="0"/>
  </r>
  <r>
    <x v="0"/>
    <n v="44"/>
    <n v="7"/>
    <x v="25"/>
    <x v="54"/>
    <x v="69"/>
    <n v="41"/>
    <n v="51"/>
    <s v="Oregon"/>
    <s v="Multnomah County"/>
    <n v="41051"/>
    <n v="132"/>
    <x v="49"/>
    <n v="2640000"/>
    <n v="44007"/>
    <n v="0"/>
    <n v="1"/>
    <x v="0"/>
  </r>
  <r>
    <x v="0"/>
    <n v="47"/>
    <n v="37"/>
    <x v="26"/>
    <x v="55"/>
    <x v="70"/>
    <n v="41"/>
    <n v="51"/>
    <s v="Oregon"/>
    <s v="Multnomah County"/>
    <n v="41051"/>
    <n v="149"/>
    <x v="50"/>
    <n v="894000"/>
    <n v="47037"/>
    <n v="0"/>
    <n v="1"/>
    <x v="0"/>
  </r>
  <r>
    <x v="0"/>
    <n v="48"/>
    <n v="85"/>
    <x v="27"/>
    <x v="56"/>
    <x v="71"/>
    <n v="41"/>
    <n v="51"/>
    <s v="Oregon"/>
    <s v="Multnomah County"/>
    <n v="41051"/>
    <n v="128"/>
    <x v="51"/>
    <n v="2752000"/>
    <n v="48085"/>
    <n v="0"/>
    <n v="1"/>
    <x v="0"/>
  </r>
  <r>
    <x v="0"/>
    <n v="48"/>
    <n v="453"/>
    <x v="27"/>
    <x v="57"/>
    <x v="72"/>
    <n v="41"/>
    <n v="51"/>
    <s v="Oregon"/>
    <s v="Multnomah County"/>
    <n v="41051"/>
    <n v="389"/>
    <x v="52"/>
    <n v="28152000"/>
    <n v="48453"/>
    <n v="0"/>
    <n v="1"/>
    <x v="0"/>
  </r>
  <r>
    <x v="0"/>
    <n v="49"/>
    <n v="35"/>
    <x v="28"/>
    <x v="58"/>
    <x v="73"/>
    <n v="41"/>
    <n v="51"/>
    <s v="Oregon"/>
    <s v="Multnomah County"/>
    <n v="41051"/>
    <n v="81"/>
    <x v="34"/>
    <n v="324000"/>
    <n v="49035"/>
    <n v="0"/>
    <n v="1"/>
    <x v="0"/>
  </r>
  <r>
    <x v="0"/>
    <n v="50"/>
    <n v="0"/>
    <x v="29"/>
    <x v="0"/>
    <x v="74"/>
    <n v="41"/>
    <n v="51"/>
    <s v="Oregon"/>
    <s v="Multnomah County"/>
    <n v="41051"/>
    <n v="481"/>
    <x v="53"/>
    <n v="15038000"/>
    <m/>
    <n v="0"/>
    <n v="1"/>
    <x v="0"/>
  </r>
  <r>
    <x v="0"/>
    <n v="51"/>
    <n v="0"/>
    <x v="30"/>
    <x v="0"/>
    <x v="75"/>
    <n v="41"/>
    <n v="51"/>
    <s v="Oregon"/>
    <s v="Multnomah County"/>
    <n v="41051"/>
    <n v="505"/>
    <x v="54"/>
    <n v="4131800"/>
    <m/>
    <n v="0"/>
    <n v="1"/>
    <x v="0"/>
  </r>
  <r>
    <x v="0"/>
    <n v="53"/>
    <n v="0"/>
    <x v="31"/>
    <x v="0"/>
    <x v="76"/>
    <n v="41"/>
    <n v="51"/>
    <s v="Oregon"/>
    <s v="Multnomah County"/>
    <n v="41051"/>
    <n v="1482"/>
    <x v="26"/>
    <n v="25097620"/>
    <m/>
    <n v="0"/>
    <n v="1"/>
    <x v="0"/>
  </r>
  <r>
    <x v="0"/>
    <n v="53"/>
    <n v="11"/>
    <x v="31"/>
    <x v="38"/>
    <x v="77"/>
    <n v="41"/>
    <n v="51"/>
    <s v="Oregon"/>
    <s v="Multnomah County"/>
    <n v="41051"/>
    <n v="3456"/>
    <x v="55"/>
    <n v="179952000"/>
    <n v="53011"/>
    <n v="0"/>
    <n v="1"/>
    <x v="0"/>
  </r>
  <r>
    <x v="0"/>
    <n v="53"/>
    <n v="33"/>
    <x v="31"/>
    <x v="59"/>
    <x v="78"/>
    <n v="41"/>
    <n v="51"/>
    <s v="Oregon"/>
    <s v="Multnomah County"/>
    <n v="41051"/>
    <n v="1541"/>
    <x v="56"/>
    <n v="46472000"/>
    <n v="53033"/>
    <n v="0"/>
    <n v="1"/>
    <x v="0"/>
  </r>
  <r>
    <x v="0"/>
    <n v="53"/>
    <n v="35"/>
    <x v="31"/>
    <x v="60"/>
    <x v="79"/>
    <n v="41"/>
    <n v="51"/>
    <s v="Oregon"/>
    <s v="Multnomah County"/>
    <n v="41051"/>
    <n v="126"/>
    <x v="57"/>
    <n v="1646100"/>
    <n v="53035"/>
    <n v="0"/>
    <n v="1"/>
    <x v="0"/>
  </r>
  <r>
    <x v="0"/>
    <n v="53"/>
    <n v="53"/>
    <x v="31"/>
    <x v="61"/>
    <x v="80"/>
    <n v="41"/>
    <n v="51"/>
    <s v="Oregon"/>
    <s v="Multnomah County"/>
    <n v="41051"/>
    <n v="482"/>
    <x v="58"/>
    <n v="2393100"/>
    <n v="53053"/>
    <n v="0"/>
    <n v="1"/>
    <x v="0"/>
  </r>
  <r>
    <x v="0"/>
    <n v="53"/>
    <n v="61"/>
    <x v="31"/>
    <x v="62"/>
    <x v="81"/>
    <n v="41"/>
    <n v="51"/>
    <s v="Oregon"/>
    <s v="Multnomah County"/>
    <n v="41051"/>
    <n v="1401"/>
    <x v="59"/>
    <n v="36384000"/>
    <n v="53061"/>
    <n v="0"/>
    <n v="1"/>
    <x v="0"/>
  </r>
  <r>
    <x v="0"/>
    <n v="53"/>
    <n v="63"/>
    <x v="31"/>
    <x v="63"/>
    <x v="82"/>
    <n v="41"/>
    <n v="51"/>
    <s v="Oregon"/>
    <s v="Multnomah County"/>
    <n v="41051"/>
    <n v="112"/>
    <x v="60"/>
    <n v="2016000"/>
    <n v="53063"/>
    <n v="0"/>
    <n v="1"/>
    <x v="0"/>
  </r>
  <r>
    <x v="0"/>
    <n v="53"/>
    <n v="67"/>
    <x v="31"/>
    <x v="64"/>
    <x v="83"/>
    <n v="41"/>
    <n v="51"/>
    <s v="Oregon"/>
    <s v="Multnomah County"/>
    <n v="41051"/>
    <n v="64"/>
    <x v="61"/>
    <n v="2784000"/>
    <n v="53067"/>
    <n v="0"/>
    <n v="1"/>
    <x v="0"/>
  </r>
  <r>
    <x v="0"/>
    <n v="55"/>
    <n v="0"/>
    <x v="32"/>
    <x v="0"/>
    <x v="84"/>
    <n v="41"/>
    <n v="51"/>
    <s v="Oregon"/>
    <s v="Multnomah County"/>
    <n v="41051"/>
    <n v="306"/>
    <x v="62"/>
    <n v="3250000"/>
    <m/>
    <n v="0"/>
    <n v="1"/>
    <x v="0"/>
  </r>
  <r>
    <x v="0"/>
    <n v="55"/>
    <n v="79"/>
    <x v="32"/>
    <x v="65"/>
    <x v="85"/>
    <n v="41"/>
    <n v="51"/>
    <s v="Oregon"/>
    <s v="Multnomah County"/>
    <n v="41051"/>
    <n v="232"/>
    <x v="63"/>
    <n v="2905640"/>
    <n v="55079"/>
    <n v="0"/>
    <n v="1"/>
    <x v="0"/>
  </r>
  <r>
    <x v="1"/>
    <n v="4"/>
    <n v="13"/>
    <x v="1"/>
    <x v="3"/>
    <x v="4"/>
    <n v="41"/>
    <n v="51"/>
    <s v="Oregon"/>
    <s v="Multnomah County"/>
    <n v="41051"/>
    <n v="531"/>
    <x v="64"/>
    <n v="19576500"/>
    <n v="4013"/>
    <n v="0"/>
    <n v="1"/>
    <x v="0"/>
  </r>
  <r>
    <x v="1"/>
    <n v="5"/>
    <n v="0"/>
    <x v="2"/>
    <x v="0"/>
    <x v="5"/>
    <n v="41"/>
    <n v="51"/>
    <s v="Oregon"/>
    <s v="Multnomah County"/>
    <n v="41051"/>
    <n v="207"/>
    <x v="0"/>
    <n v="4140000"/>
    <m/>
    <n v="0"/>
    <n v="1"/>
    <x v="0"/>
  </r>
  <r>
    <x v="1"/>
    <n v="5"/>
    <n v="119"/>
    <x v="2"/>
    <x v="66"/>
    <x v="86"/>
    <n v="41"/>
    <n v="51"/>
    <s v="Oregon"/>
    <s v="Multnomah County"/>
    <n v="41051"/>
    <n v="420"/>
    <x v="65"/>
    <n v="19569700"/>
    <n v="5119"/>
    <n v="0"/>
    <n v="1"/>
    <x v="0"/>
  </r>
  <r>
    <x v="1"/>
    <n v="6"/>
    <n v="0"/>
    <x v="3"/>
    <x v="0"/>
    <x v="6"/>
    <n v="41"/>
    <n v="51"/>
    <s v="Oregon"/>
    <s v="Multnomah County"/>
    <n v="41051"/>
    <n v="770"/>
    <x v="66"/>
    <n v="34757200"/>
    <m/>
    <n v="0"/>
    <n v="1"/>
    <x v="0"/>
  </r>
  <r>
    <x v="1"/>
    <n v="6"/>
    <n v="1"/>
    <x v="3"/>
    <x v="4"/>
    <x v="7"/>
    <n v="41"/>
    <n v="51"/>
    <s v="Oregon"/>
    <s v="Multnomah County"/>
    <n v="41051"/>
    <n v="1014"/>
    <x v="67"/>
    <n v="80011000"/>
    <n v="6001"/>
    <n v="0"/>
    <n v="1"/>
    <x v="0"/>
  </r>
  <r>
    <x v="1"/>
    <n v="6"/>
    <n v="7"/>
    <x v="3"/>
    <x v="67"/>
    <x v="87"/>
    <n v="41"/>
    <n v="51"/>
    <s v="Oregon"/>
    <s v="Multnomah County"/>
    <n v="41051"/>
    <n v="354"/>
    <x v="68"/>
    <n v="15650000"/>
    <n v="6007"/>
    <n v="0"/>
    <n v="1"/>
    <x v="0"/>
  </r>
  <r>
    <x v="1"/>
    <n v="6"/>
    <n v="13"/>
    <x v="3"/>
    <x v="5"/>
    <x v="8"/>
    <n v="41"/>
    <n v="51"/>
    <s v="Oregon"/>
    <s v="Multnomah County"/>
    <n v="41051"/>
    <n v="76"/>
    <x v="0"/>
    <n v="380000"/>
    <n v="6013"/>
    <n v="0"/>
    <n v="1"/>
    <x v="0"/>
  </r>
  <r>
    <x v="1"/>
    <n v="6"/>
    <n v="19"/>
    <x v="3"/>
    <x v="6"/>
    <x v="9"/>
    <n v="41"/>
    <n v="51"/>
    <s v="Oregon"/>
    <s v="Multnomah County"/>
    <n v="41051"/>
    <n v="200"/>
    <x v="69"/>
    <n v="26490000"/>
    <n v="6019"/>
    <n v="0"/>
    <n v="1"/>
    <x v="0"/>
  </r>
  <r>
    <x v="1"/>
    <n v="6"/>
    <n v="23"/>
    <x v="3"/>
    <x v="68"/>
    <x v="88"/>
    <n v="41"/>
    <n v="51"/>
    <s v="Oregon"/>
    <s v="Multnomah County"/>
    <n v="41051"/>
    <n v="129"/>
    <x v="0"/>
    <n v="6708000"/>
    <n v="6023"/>
    <n v="0"/>
    <n v="1"/>
    <x v="0"/>
  </r>
  <r>
    <x v="1"/>
    <n v="6"/>
    <n v="29"/>
    <x v="3"/>
    <x v="7"/>
    <x v="10"/>
    <n v="41"/>
    <n v="51"/>
    <s v="Oregon"/>
    <s v="Multnomah County"/>
    <n v="41051"/>
    <n v="126"/>
    <x v="70"/>
    <n v="1827000"/>
    <n v="6029"/>
    <n v="0"/>
    <n v="1"/>
    <x v="0"/>
  </r>
  <r>
    <x v="1"/>
    <n v="6"/>
    <n v="31"/>
    <x v="3"/>
    <x v="40"/>
    <x v="89"/>
    <n v="41"/>
    <n v="51"/>
    <s v="Oregon"/>
    <s v="Multnomah County"/>
    <n v="41051"/>
    <n v="69"/>
    <x v="0"/>
    <n v="552000"/>
    <n v="6031"/>
    <n v="0"/>
    <n v="1"/>
    <x v="0"/>
  </r>
  <r>
    <x v="1"/>
    <n v="6"/>
    <n v="37"/>
    <x v="3"/>
    <x v="8"/>
    <x v="11"/>
    <n v="41"/>
    <n v="51"/>
    <s v="Oregon"/>
    <s v="Multnomah County"/>
    <n v="41051"/>
    <n v="1893"/>
    <x v="71"/>
    <n v="60683650"/>
    <n v="6037"/>
    <n v="0"/>
    <n v="1"/>
    <x v="0"/>
  </r>
  <r>
    <x v="1"/>
    <n v="6"/>
    <n v="55"/>
    <x v="3"/>
    <x v="9"/>
    <x v="12"/>
    <n v="41"/>
    <n v="51"/>
    <s v="Oregon"/>
    <s v="Multnomah County"/>
    <n v="41051"/>
    <n v="43"/>
    <x v="72"/>
    <n v="421400"/>
    <n v="6055"/>
    <n v="0"/>
    <n v="1"/>
    <x v="0"/>
  </r>
  <r>
    <x v="1"/>
    <n v="6"/>
    <n v="59"/>
    <x v="3"/>
    <x v="10"/>
    <x v="13"/>
    <n v="41"/>
    <n v="51"/>
    <s v="Oregon"/>
    <s v="Multnomah County"/>
    <n v="41051"/>
    <n v="68"/>
    <x v="73"/>
    <n v="544000"/>
    <n v="6059"/>
    <n v="0"/>
    <n v="1"/>
    <x v="0"/>
  </r>
  <r>
    <x v="1"/>
    <n v="6"/>
    <n v="61"/>
    <x v="3"/>
    <x v="69"/>
    <x v="90"/>
    <n v="41"/>
    <n v="51"/>
    <s v="Oregon"/>
    <s v="Multnomah County"/>
    <n v="41051"/>
    <n v="82"/>
    <x v="0"/>
    <n v="1558000"/>
    <n v="6061"/>
    <n v="0"/>
    <n v="1"/>
    <x v="0"/>
  </r>
  <r>
    <x v="1"/>
    <n v="6"/>
    <n v="65"/>
    <x v="3"/>
    <x v="70"/>
    <x v="91"/>
    <n v="41"/>
    <n v="51"/>
    <s v="Oregon"/>
    <s v="Multnomah County"/>
    <n v="41051"/>
    <n v="231"/>
    <x v="52"/>
    <n v="6922500"/>
    <n v="6065"/>
    <n v="0"/>
    <n v="1"/>
    <x v="0"/>
  </r>
  <r>
    <x v="1"/>
    <n v="6"/>
    <n v="67"/>
    <x v="3"/>
    <x v="11"/>
    <x v="14"/>
    <n v="41"/>
    <n v="51"/>
    <s v="Oregon"/>
    <s v="Multnomah County"/>
    <n v="41051"/>
    <n v="190"/>
    <x v="20"/>
    <n v="8911000"/>
    <n v="6067"/>
    <n v="0"/>
    <n v="1"/>
    <x v="0"/>
  </r>
  <r>
    <x v="1"/>
    <n v="6"/>
    <n v="73"/>
    <x v="3"/>
    <x v="13"/>
    <x v="16"/>
    <n v="41"/>
    <n v="51"/>
    <s v="Oregon"/>
    <s v="Multnomah County"/>
    <n v="41051"/>
    <n v="870"/>
    <x v="74"/>
    <n v="28164220"/>
    <n v="6073"/>
    <n v="0"/>
    <n v="1"/>
    <x v="0"/>
  </r>
  <r>
    <x v="1"/>
    <n v="6"/>
    <n v="75"/>
    <x v="3"/>
    <x v="14"/>
    <x v="17"/>
    <n v="41"/>
    <n v="51"/>
    <s v="Oregon"/>
    <s v="Multnomah County"/>
    <n v="41051"/>
    <n v="1242"/>
    <x v="75"/>
    <n v="91328500"/>
    <n v="6075"/>
    <n v="0"/>
    <n v="1"/>
    <x v="0"/>
  </r>
  <r>
    <x v="1"/>
    <n v="6"/>
    <n v="83"/>
    <x v="3"/>
    <x v="16"/>
    <x v="19"/>
    <n v="41"/>
    <n v="51"/>
    <s v="Oregon"/>
    <s v="Multnomah County"/>
    <n v="41051"/>
    <n v="52"/>
    <x v="0"/>
    <n v="2912000"/>
    <n v="6083"/>
    <n v="0"/>
    <n v="1"/>
    <x v="0"/>
  </r>
  <r>
    <x v="1"/>
    <n v="6"/>
    <n v="85"/>
    <x v="3"/>
    <x v="17"/>
    <x v="20"/>
    <n v="41"/>
    <n v="51"/>
    <s v="Oregon"/>
    <s v="Multnomah County"/>
    <n v="41051"/>
    <n v="583"/>
    <x v="76"/>
    <n v="59679900"/>
    <n v="6085"/>
    <n v="0"/>
    <n v="1"/>
    <x v="0"/>
  </r>
  <r>
    <x v="1"/>
    <n v="6"/>
    <n v="87"/>
    <x v="3"/>
    <x v="71"/>
    <x v="92"/>
    <n v="41"/>
    <n v="51"/>
    <s v="Oregon"/>
    <s v="Multnomah County"/>
    <n v="41051"/>
    <n v="164"/>
    <x v="0"/>
    <n v="3526000"/>
    <n v="6087"/>
    <n v="0"/>
    <n v="1"/>
    <x v="0"/>
  </r>
  <r>
    <x v="1"/>
    <n v="6"/>
    <n v="97"/>
    <x v="3"/>
    <x v="18"/>
    <x v="21"/>
    <n v="41"/>
    <n v="51"/>
    <s v="Oregon"/>
    <s v="Multnomah County"/>
    <n v="41051"/>
    <n v="442"/>
    <x v="77"/>
    <n v="15579000"/>
    <n v="6097"/>
    <n v="0"/>
    <n v="1"/>
    <x v="0"/>
  </r>
  <r>
    <x v="1"/>
    <n v="6"/>
    <n v="111"/>
    <x v="3"/>
    <x v="72"/>
    <x v="93"/>
    <n v="41"/>
    <n v="51"/>
    <s v="Oregon"/>
    <s v="Multnomah County"/>
    <n v="41051"/>
    <n v="379"/>
    <x v="78"/>
    <n v="12479000"/>
    <n v="6111"/>
    <n v="0"/>
    <n v="1"/>
    <x v="0"/>
  </r>
  <r>
    <x v="1"/>
    <n v="8"/>
    <n v="0"/>
    <x v="4"/>
    <x v="0"/>
    <x v="24"/>
    <n v="41"/>
    <n v="51"/>
    <s v="Oregon"/>
    <s v="Multnomah County"/>
    <n v="41051"/>
    <n v="679"/>
    <x v="79"/>
    <n v="16909500"/>
    <m/>
    <n v="0"/>
    <n v="1"/>
    <x v="0"/>
  </r>
  <r>
    <x v="1"/>
    <n v="8"/>
    <n v="69"/>
    <x v="4"/>
    <x v="73"/>
    <x v="94"/>
    <n v="41"/>
    <n v="51"/>
    <s v="Oregon"/>
    <s v="Multnomah County"/>
    <n v="41051"/>
    <n v="263"/>
    <x v="41"/>
    <n v="12386900"/>
    <n v="8069"/>
    <n v="0"/>
    <n v="1"/>
    <x v="0"/>
  </r>
  <r>
    <x v="1"/>
    <n v="9"/>
    <n v="9"/>
    <x v="33"/>
    <x v="74"/>
    <x v="95"/>
    <n v="41"/>
    <n v="51"/>
    <s v="Oregon"/>
    <s v="Multnomah County"/>
    <n v="41051"/>
    <n v="94"/>
    <x v="80"/>
    <n v="1438200"/>
    <n v="9009"/>
    <n v="0"/>
    <n v="1"/>
    <x v="0"/>
  </r>
  <r>
    <x v="1"/>
    <n v="11"/>
    <n v="1"/>
    <x v="5"/>
    <x v="21"/>
    <x v="25"/>
    <n v="41"/>
    <n v="51"/>
    <s v="Oregon"/>
    <s v="Multnomah County"/>
    <n v="41051"/>
    <n v="329"/>
    <x v="64"/>
    <n v="14983760"/>
    <n v="11001"/>
    <n v="0"/>
    <n v="1"/>
    <x v="0"/>
  </r>
  <r>
    <x v="1"/>
    <n v="12"/>
    <n v="0"/>
    <x v="6"/>
    <x v="0"/>
    <x v="26"/>
    <n v="41"/>
    <n v="51"/>
    <s v="Oregon"/>
    <s v="Multnomah County"/>
    <n v="41051"/>
    <n v="112"/>
    <x v="60"/>
    <n v="3046400"/>
    <m/>
    <n v="0"/>
    <n v="1"/>
    <x v="0"/>
  </r>
  <r>
    <x v="1"/>
    <n v="12"/>
    <n v="1"/>
    <x v="6"/>
    <x v="75"/>
    <x v="96"/>
    <n v="41"/>
    <n v="51"/>
    <s v="Oregon"/>
    <s v="Multnomah County"/>
    <n v="41051"/>
    <n v="150"/>
    <x v="81"/>
    <n v="2976000"/>
    <n v="12001"/>
    <n v="0"/>
    <n v="1"/>
    <x v="0"/>
  </r>
  <r>
    <x v="1"/>
    <n v="12"/>
    <n v="9"/>
    <x v="6"/>
    <x v="76"/>
    <x v="97"/>
    <n v="41"/>
    <n v="51"/>
    <s v="Oregon"/>
    <s v="Multnomah County"/>
    <n v="41051"/>
    <n v="199"/>
    <x v="15"/>
    <n v="10382000"/>
    <n v="12009"/>
    <n v="0"/>
    <n v="1"/>
    <x v="0"/>
  </r>
  <r>
    <x v="1"/>
    <n v="12"/>
    <n v="11"/>
    <x v="6"/>
    <x v="77"/>
    <x v="98"/>
    <n v="41"/>
    <n v="51"/>
    <s v="Oregon"/>
    <s v="Multnomah County"/>
    <n v="41051"/>
    <n v="111"/>
    <x v="82"/>
    <n v="1733200"/>
    <n v="12011"/>
    <n v="0"/>
    <n v="1"/>
    <x v="0"/>
  </r>
  <r>
    <x v="1"/>
    <n v="12"/>
    <n v="95"/>
    <x v="6"/>
    <x v="10"/>
    <x v="99"/>
    <n v="41"/>
    <n v="51"/>
    <s v="Oregon"/>
    <s v="Multnomah County"/>
    <n v="41051"/>
    <n v="90"/>
    <x v="83"/>
    <n v="1800000"/>
    <n v="12095"/>
    <n v="0"/>
    <n v="1"/>
    <x v="0"/>
  </r>
  <r>
    <x v="1"/>
    <n v="13"/>
    <n v="0"/>
    <x v="7"/>
    <x v="0"/>
    <x v="100"/>
    <n v="41"/>
    <n v="51"/>
    <s v="Oregon"/>
    <s v="Multnomah County"/>
    <n v="41051"/>
    <n v="62"/>
    <x v="49"/>
    <n v="2480000"/>
    <m/>
    <n v="0"/>
    <n v="1"/>
    <x v="0"/>
  </r>
  <r>
    <x v="1"/>
    <n v="15"/>
    <n v="3"/>
    <x v="8"/>
    <x v="26"/>
    <x v="31"/>
    <n v="41"/>
    <n v="51"/>
    <s v="Oregon"/>
    <s v="Multnomah County"/>
    <n v="41051"/>
    <n v="546"/>
    <x v="67"/>
    <n v="18895000"/>
    <n v="15003"/>
    <n v="0"/>
    <n v="1"/>
    <x v="0"/>
  </r>
  <r>
    <x v="1"/>
    <n v="16"/>
    <n v="0"/>
    <x v="9"/>
    <x v="0"/>
    <x v="32"/>
    <n v="41"/>
    <n v="51"/>
    <s v="Oregon"/>
    <s v="Multnomah County"/>
    <n v="41051"/>
    <n v="146"/>
    <x v="81"/>
    <n v="3658000"/>
    <m/>
    <n v="0"/>
    <n v="1"/>
    <x v="0"/>
  </r>
  <r>
    <x v="1"/>
    <n v="17"/>
    <n v="31"/>
    <x v="10"/>
    <x v="28"/>
    <x v="34"/>
    <n v="41"/>
    <n v="51"/>
    <s v="Oregon"/>
    <s v="Multnomah County"/>
    <n v="41051"/>
    <n v="745"/>
    <x v="84"/>
    <n v="32676700"/>
    <n v="17031"/>
    <n v="0"/>
    <n v="1"/>
    <x v="0"/>
  </r>
  <r>
    <x v="1"/>
    <n v="17"/>
    <n v="97"/>
    <x v="10"/>
    <x v="78"/>
    <x v="101"/>
    <n v="41"/>
    <n v="51"/>
    <s v="Oregon"/>
    <s v="Multnomah County"/>
    <n v="41051"/>
    <n v="229"/>
    <x v="85"/>
    <n v="26262280"/>
    <n v="17097"/>
    <n v="0"/>
    <n v="1"/>
    <x v="0"/>
  </r>
  <r>
    <x v="1"/>
    <n v="17"/>
    <n v="113"/>
    <x v="10"/>
    <x v="29"/>
    <x v="35"/>
    <n v="41"/>
    <n v="51"/>
    <s v="Oregon"/>
    <s v="Multnomah County"/>
    <n v="41051"/>
    <n v="89"/>
    <x v="0"/>
    <n v="1602000"/>
    <n v="17113"/>
    <n v="0"/>
    <n v="1"/>
    <x v="0"/>
  </r>
  <r>
    <x v="1"/>
    <n v="18"/>
    <n v="97"/>
    <x v="11"/>
    <x v="48"/>
    <x v="102"/>
    <n v="41"/>
    <n v="51"/>
    <s v="Oregon"/>
    <s v="Multnomah County"/>
    <n v="41051"/>
    <n v="177"/>
    <x v="86"/>
    <n v="6018000"/>
    <n v="18097"/>
    <n v="0"/>
    <n v="1"/>
    <x v="0"/>
  </r>
  <r>
    <x v="1"/>
    <n v="20"/>
    <n v="0"/>
    <x v="34"/>
    <x v="0"/>
    <x v="103"/>
    <n v="41"/>
    <n v="51"/>
    <s v="Oregon"/>
    <s v="Multnomah County"/>
    <n v="41051"/>
    <n v="78"/>
    <x v="0"/>
    <n v="195000"/>
    <m/>
    <n v="0"/>
    <n v="1"/>
    <x v="0"/>
  </r>
  <r>
    <x v="1"/>
    <n v="20"/>
    <n v="45"/>
    <x v="34"/>
    <x v="79"/>
    <x v="104"/>
    <n v="41"/>
    <n v="51"/>
    <s v="Oregon"/>
    <s v="Multnomah County"/>
    <n v="41051"/>
    <n v="71"/>
    <x v="0"/>
    <n v="2130000"/>
    <n v="20045"/>
    <n v="0"/>
    <n v="1"/>
    <x v="0"/>
  </r>
  <r>
    <x v="1"/>
    <n v="22"/>
    <n v="0"/>
    <x v="13"/>
    <x v="0"/>
    <x v="40"/>
    <n v="41"/>
    <n v="51"/>
    <s v="Oregon"/>
    <s v="Multnomah County"/>
    <n v="41051"/>
    <n v="83"/>
    <x v="0"/>
    <n v="1145400"/>
    <m/>
    <n v="0"/>
    <n v="1"/>
    <x v="0"/>
  </r>
  <r>
    <x v="1"/>
    <n v="23"/>
    <n v="0"/>
    <x v="35"/>
    <x v="0"/>
    <x v="105"/>
    <n v="41"/>
    <n v="51"/>
    <s v="Oregon"/>
    <s v="Multnomah County"/>
    <n v="41051"/>
    <n v="79"/>
    <x v="0"/>
    <n v="2607000"/>
    <m/>
    <n v="0"/>
    <n v="1"/>
    <x v="0"/>
  </r>
  <r>
    <x v="1"/>
    <n v="24"/>
    <n v="5"/>
    <x v="14"/>
    <x v="80"/>
    <x v="106"/>
    <n v="41"/>
    <n v="51"/>
    <s v="Oregon"/>
    <s v="Multnomah County"/>
    <n v="41051"/>
    <n v="71"/>
    <x v="87"/>
    <n v="284000"/>
    <n v="24005"/>
    <n v="0"/>
    <n v="1"/>
    <x v="0"/>
  </r>
  <r>
    <x v="1"/>
    <n v="24"/>
    <n v="510"/>
    <x v="14"/>
    <x v="34"/>
    <x v="42"/>
    <n v="41"/>
    <n v="51"/>
    <s v="Oregon"/>
    <s v="Multnomah County"/>
    <n v="41051"/>
    <n v="73"/>
    <x v="0"/>
    <n v="1314000"/>
    <n v="24510"/>
    <n v="0"/>
    <n v="1"/>
    <x v="0"/>
  </r>
  <r>
    <x v="1"/>
    <n v="25"/>
    <n v="0"/>
    <x v="15"/>
    <x v="0"/>
    <x v="43"/>
    <n v="41"/>
    <n v="51"/>
    <s v="Oregon"/>
    <s v="Multnomah County"/>
    <n v="41051"/>
    <n v="256"/>
    <x v="18"/>
    <n v="5669000"/>
    <m/>
    <n v="0"/>
    <n v="1"/>
    <x v="0"/>
  </r>
  <r>
    <x v="1"/>
    <n v="25"/>
    <n v="25"/>
    <x v="15"/>
    <x v="35"/>
    <x v="44"/>
    <n v="41"/>
    <n v="51"/>
    <s v="Oregon"/>
    <s v="Multnomah County"/>
    <n v="41051"/>
    <n v="84"/>
    <x v="88"/>
    <n v="504000"/>
    <n v="25025"/>
    <n v="0"/>
    <n v="1"/>
    <x v="0"/>
  </r>
  <r>
    <x v="1"/>
    <n v="26"/>
    <n v="161"/>
    <x v="36"/>
    <x v="81"/>
    <x v="107"/>
    <n v="41"/>
    <n v="51"/>
    <s v="Oregon"/>
    <s v="Multnomah County"/>
    <n v="41051"/>
    <n v="253"/>
    <x v="89"/>
    <n v="11684000"/>
    <n v="26161"/>
    <n v="0"/>
    <n v="1"/>
    <x v="0"/>
  </r>
  <r>
    <x v="1"/>
    <n v="26"/>
    <n v="163"/>
    <x v="36"/>
    <x v="82"/>
    <x v="108"/>
    <n v="41"/>
    <n v="51"/>
    <s v="Oregon"/>
    <s v="Multnomah County"/>
    <n v="41051"/>
    <n v="65"/>
    <x v="61"/>
    <n v="2119000"/>
    <n v="26163"/>
    <n v="0"/>
    <n v="1"/>
    <x v="0"/>
  </r>
  <r>
    <x v="1"/>
    <n v="27"/>
    <n v="0"/>
    <x v="16"/>
    <x v="0"/>
    <x v="109"/>
    <n v="41"/>
    <n v="51"/>
    <s v="Oregon"/>
    <s v="Multnomah County"/>
    <n v="41051"/>
    <n v="85"/>
    <x v="90"/>
    <n v="3400000"/>
    <m/>
    <n v="0"/>
    <n v="1"/>
    <x v="0"/>
  </r>
  <r>
    <x v="1"/>
    <n v="29"/>
    <n v="189"/>
    <x v="17"/>
    <x v="83"/>
    <x v="110"/>
    <n v="41"/>
    <n v="51"/>
    <s v="Oregon"/>
    <s v="Multnomah County"/>
    <n v="41051"/>
    <n v="217"/>
    <x v="91"/>
    <n v="6379200"/>
    <n v="29189"/>
    <n v="0"/>
    <n v="1"/>
    <x v="0"/>
  </r>
  <r>
    <x v="1"/>
    <n v="30"/>
    <n v="0"/>
    <x v="37"/>
    <x v="0"/>
    <x v="111"/>
    <n v="41"/>
    <n v="51"/>
    <s v="Oregon"/>
    <s v="Multnomah County"/>
    <n v="41051"/>
    <n v="540"/>
    <x v="92"/>
    <n v="4977500"/>
    <m/>
    <n v="0"/>
    <n v="1"/>
    <x v="0"/>
  </r>
  <r>
    <x v="1"/>
    <n v="32"/>
    <n v="3"/>
    <x v="18"/>
    <x v="38"/>
    <x v="47"/>
    <n v="41"/>
    <n v="51"/>
    <s v="Oregon"/>
    <s v="Multnomah County"/>
    <n v="41051"/>
    <n v="64"/>
    <x v="0"/>
    <n v="1536000"/>
    <n v="32003"/>
    <n v="0"/>
    <n v="1"/>
    <x v="0"/>
  </r>
  <r>
    <x v="1"/>
    <n v="34"/>
    <n v="17"/>
    <x v="38"/>
    <x v="84"/>
    <x v="112"/>
    <n v="41"/>
    <n v="51"/>
    <s v="Oregon"/>
    <s v="Multnomah County"/>
    <n v="41051"/>
    <n v="387"/>
    <x v="93"/>
    <n v="29055000"/>
    <n v="34017"/>
    <n v="0"/>
    <n v="1"/>
    <x v="0"/>
  </r>
  <r>
    <x v="1"/>
    <n v="35"/>
    <n v="0"/>
    <x v="39"/>
    <x v="0"/>
    <x v="113"/>
    <n v="41"/>
    <n v="51"/>
    <s v="Oregon"/>
    <s v="Multnomah County"/>
    <n v="41051"/>
    <n v="278"/>
    <x v="24"/>
    <n v="2146200"/>
    <m/>
    <n v="0"/>
    <n v="1"/>
    <x v="0"/>
  </r>
  <r>
    <x v="1"/>
    <n v="35"/>
    <n v="49"/>
    <x v="39"/>
    <x v="85"/>
    <x v="114"/>
    <n v="41"/>
    <n v="51"/>
    <s v="Oregon"/>
    <s v="Multnomah County"/>
    <n v="41051"/>
    <n v="279"/>
    <x v="46"/>
    <n v="4938600"/>
    <n v="35049"/>
    <n v="0"/>
    <n v="1"/>
    <x v="0"/>
  </r>
  <r>
    <x v="1"/>
    <n v="36"/>
    <n v="29"/>
    <x v="20"/>
    <x v="86"/>
    <x v="115"/>
    <n v="41"/>
    <n v="51"/>
    <s v="Oregon"/>
    <s v="Multnomah County"/>
    <n v="41051"/>
    <n v="82"/>
    <x v="94"/>
    <n v="4743200"/>
    <n v="36029"/>
    <n v="0"/>
    <n v="1"/>
    <x v="0"/>
  </r>
  <r>
    <x v="1"/>
    <n v="36"/>
    <n v="47"/>
    <x v="20"/>
    <x v="40"/>
    <x v="50"/>
    <n v="41"/>
    <n v="51"/>
    <s v="Oregon"/>
    <s v="Multnomah County"/>
    <n v="41051"/>
    <n v="321"/>
    <x v="95"/>
    <n v="36122000"/>
    <n v="36047"/>
    <n v="0"/>
    <n v="1"/>
    <x v="0"/>
  </r>
  <r>
    <x v="1"/>
    <n v="36"/>
    <n v="61"/>
    <x v="20"/>
    <x v="41"/>
    <x v="52"/>
    <n v="41"/>
    <n v="51"/>
    <s v="Oregon"/>
    <s v="Multnomah County"/>
    <n v="41051"/>
    <n v="186"/>
    <x v="29"/>
    <n v="18220800"/>
    <n v="36061"/>
    <n v="0"/>
    <n v="1"/>
    <x v="0"/>
  </r>
  <r>
    <x v="1"/>
    <n v="37"/>
    <n v="183"/>
    <x v="21"/>
    <x v="87"/>
    <x v="116"/>
    <n v="41"/>
    <n v="51"/>
    <s v="Oregon"/>
    <s v="Multnomah County"/>
    <n v="41051"/>
    <n v="103"/>
    <x v="96"/>
    <n v="3871600"/>
    <n v="37183"/>
    <n v="0"/>
    <n v="1"/>
    <x v="0"/>
  </r>
  <r>
    <x v="1"/>
    <n v="39"/>
    <n v="0"/>
    <x v="22"/>
    <x v="0"/>
    <x v="54"/>
    <n v="41"/>
    <n v="51"/>
    <s v="Oregon"/>
    <s v="Multnomah County"/>
    <n v="41051"/>
    <n v="156"/>
    <x v="0"/>
    <n v="1560000"/>
    <m/>
    <n v="0"/>
    <n v="1"/>
    <x v="0"/>
  </r>
  <r>
    <x v="1"/>
    <n v="40"/>
    <n v="0"/>
    <x v="40"/>
    <x v="0"/>
    <x v="117"/>
    <n v="41"/>
    <n v="51"/>
    <s v="Oregon"/>
    <s v="Multnomah County"/>
    <n v="41051"/>
    <n v="357"/>
    <x v="0"/>
    <n v="2824500"/>
    <m/>
    <n v="0"/>
    <n v="1"/>
    <x v="0"/>
  </r>
  <r>
    <x v="1"/>
    <n v="41"/>
    <n v="0"/>
    <x v="23"/>
    <x v="0"/>
    <x v="57"/>
    <n v="41"/>
    <n v="51"/>
    <s v="Oregon"/>
    <s v="Multnomah County"/>
    <n v="41051"/>
    <n v="3438"/>
    <x v="97"/>
    <n v="156645200"/>
    <m/>
    <n v="0"/>
    <n v="1"/>
    <x v="0"/>
  </r>
  <r>
    <x v="1"/>
    <n v="41"/>
    <n v="5"/>
    <x v="23"/>
    <x v="44"/>
    <x v="58"/>
    <n v="41"/>
    <n v="51"/>
    <s v="Oregon"/>
    <s v="Multnomah County"/>
    <n v="41051"/>
    <n v="3949"/>
    <x v="98"/>
    <n v="118655350"/>
    <n v="41005"/>
    <n v="0"/>
    <n v="1"/>
    <x v="0"/>
  </r>
  <r>
    <x v="1"/>
    <n v="41"/>
    <n v="17"/>
    <x v="23"/>
    <x v="45"/>
    <x v="59"/>
    <n v="41"/>
    <n v="51"/>
    <s v="Oregon"/>
    <s v="Multnomah County"/>
    <n v="41051"/>
    <n v="98"/>
    <x v="23"/>
    <n v="2577400"/>
    <n v="41017"/>
    <n v="0"/>
    <n v="1"/>
    <x v="0"/>
  </r>
  <r>
    <x v="1"/>
    <n v="41"/>
    <n v="29"/>
    <x v="23"/>
    <x v="46"/>
    <x v="60"/>
    <n v="41"/>
    <n v="51"/>
    <s v="Oregon"/>
    <s v="Multnomah County"/>
    <n v="41051"/>
    <n v="201"/>
    <x v="0"/>
    <n v="2599900"/>
    <n v="41029"/>
    <n v="0"/>
    <n v="1"/>
    <x v="0"/>
  </r>
  <r>
    <x v="1"/>
    <n v="41"/>
    <n v="39"/>
    <x v="23"/>
    <x v="47"/>
    <x v="61"/>
    <n v="41"/>
    <n v="51"/>
    <s v="Oregon"/>
    <s v="Multnomah County"/>
    <n v="41051"/>
    <n v="1870"/>
    <x v="99"/>
    <n v="29719100"/>
    <n v="41039"/>
    <n v="0"/>
    <n v="1"/>
    <x v="0"/>
  </r>
  <r>
    <x v="1"/>
    <n v="41"/>
    <n v="47"/>
    <x v="23"/>
    <x v="48"/>
    <x v="62"/>
    <n v="41"/>
    <n v="51"/>
    <s v="Oregon"/>
    <s v="Multnomah County"/>
    <n v="41051"/>
    <n v="1267"/>
    <x v="100"/>
    <n v="12962500"/>
    <n v="41047"/>
    <n v="0"/>
    <n v="1"/>
    <x v="0"/>
  </r>
  <r>
    <x v="1"/>
    <n v="41"/>
    <n v="51"/>
    <x v="23"/>
    <x v="49"/>
    <x v="63"/>
    <n v="41"/>
    <n v="51"/>
    <s v="Oregon"/>
    <s v="Multnomah County"/>
    <n v="41051"/>
    <n v="576083"/>
    <x v="101"/>
    <n v="26250490371"/>
    <n v="41051"/>
    <n v="1"/>
    <n v="1"/>
    <x v="1"/>
  </r>
  <r>
    <x v="1"/>
    <n v="41"/>
    <n v="67"/>
    <x v="23"/>
    <x v="50"/>
    <x v="64"/>
    <n v="41"/>
    <n v="51"/>
    <s v="Oregon"/>
    <s v="Multnomah County"/>
    <n v="41051"/>
    <n v="5657"/>
    <x v="102"/>
    <n v="221058486"/>
    <n v="41067"/>
    <n v="0"/>
    <n v="1"/>
    <x v="0"/>
  </r>
  <r>
    <x v="1"/>
    <n v="42"/>
    <n v="101"/>
    <x v="24"/>
    <x v="53"/>
    <x v="68"/>
    <n v="41"/>
    <n v="51"/>
    <s v="Oregon"/>
    <s v="Multnomah County"/>
    <n v="41051"/>
    <n v="206"/>
    <x v="29"/>
    <n v="34587000"/>
    <n v="42101"/>
    <n v="0"/>
    <n v="1"/>
    <x v="0"/>
  </r>
  <r>
    <x v="1"/>
    <n v="44"/>
    <n v="0"/>
    <x v="25"/>
    <x v="0"/>
    <x v="118"/>
    <n v="41"/>
    <n v="51"/>
    <s v="Oregon"/>
    <s v="Multnomah County"/>
    <n v="41051"/>
    <n v="205"/>
    <x v="0"/>
    <n v="10250000"/>
    <m/>
    <n v="0"/>
    <n v="1"/>
    <x v="0"/>
  </r>
  <r>
    <x v="1"/>
    <n v="45"/>
    <n v="0"/>
    <x v="41"/>
    <x v="0"/>
    <x v="119"/>
    <n v="41"/>
    <n v="51"/>
    <s v="Oregon"/>
    <s v="Multnomah County"/>
    <n v="41051"/>
    <n v="474"/>
    <x v="18"/>
    <n v="45005780"/>
    <m/>
    <n v="0"/>
    <n v="1"/>
    <x v="0"/>
  </r>
  <r>
    <x v="1"/>
    <n v="46"/>
    <n v="0"/>
    <x v="42"/>
    <x v="0"/>
    <x v="120"/>
    <n v="41"/>
    <n v="51"/>
    <s v="Oregon"/>
    <s v="Multnomah County"/>
    <n v="41051"/>
    <n v="138"/>
    <x v="103"/>
    <n v="4690000"/>
    <m/>
    <n v="0"/>
    <n v="1"/>
    <x v="0"/>
  </r>
  <r>
    <x v="1"/>
    <n v="47"/>
    <n v="0"/>
    <x v="26"/>
    <x v="0"/>
    <x v="121"/>
    <n v="41"/>
    <n v="51"/>
    <s v="Oregon"/>
    <s v="Multnomah County"/>
    <n v="41051"/>
    <n v="123"/>
    <x v="104"/>
    <n v="984000"/>
    <m/>
    <n v="0"/>
    <n v="1"/>
    <x v="0"/>
  </r>
  <r>
    <x v="1"/>
    <n v="48"/>
    <n v="113"/>
    <x v="27"/>
    <x v="88"/>
    <x v="122"/>
    <n v="41"/>
    <n v="51"/>
    <s v="Oregon"/>
    <s v="Multnomah County"/>
    <n v="41051"/>
    <n v="360"/>
    <x v="105"/>
    <n v="22425600"/>
    <n v="48113"/>
    <n v="0"/>
    <n v="1"/>
    <x v="0"/>
  </r>
  <r>
    <x v="1"/>
    <n v="48"/>
    <n v="121"/>
    <x v="27"/>
    <x v="89"/>
    <x v="123"/>
    <n v="41"/>
    <n v="51"/>
    <s v="Oregon"/>
    <s v="Multnomah County"/>
    <n v="41051"/>
    <n v="214"/>
    <x v="46"/>
    <n v="9776000"/>
    <n v="48121"/>
    <n v="0"/>
    <n v="1"/>
    <x v="0"/>
  </r>
  <r>
    <x v="1"/>
    <n v="48"/>
    <n v="439"/>
    <x v="27"/>
    <x v="90"/>
    <x v="124"/>
    <n v="41"/>
    <n v="51"/>
    <s v="Oregon"/>
    <s v="Multnomah County"/>
    <n v="41051"/>
    <n v="552"/>
    <x v="106"/>
    <n v="9062200"/>
    <n v="48439"/>
    <n v="0"/>
    <n v="1"/>
    <x v="0"/>
  </r>
  <r>
    <x v="1"/>
    <n v="48"/>
    <n v="453"/>
    <x v="27"/>
    <x v="57"/>
    <x v="72"/>
    <n v="41"/>
    <n v="51"/>
    <s v="Oregon"/>
    <s v="Multnomah County"/>
    <n v="41051"/>
    <n v="151"/>
    <x v="81"/>
    <n v="577500"/>
    <n v="48453"/>
    <n v="0"/>
    <n v="1"/>
    <x v="0"/>
  </r>
  <r>
    <x v="1"/>
    <n v="49"/>
    <n v="0"/>
    <x v="28"/>
    <x v="0"/>
    <x v="125"/>
    <n v="41"/>
    <n v="51"/>
    <s v="Oregon"/>
    <s v="Multnomah County"/>
    <n v="41051"/>
    <n v="220"/>
    <x v="107"/>
    <n v="5406000"/>
    <m/>
    <n v="0"/>
    <n v="1"/>
    <x v="0"/>
  </r>
  <r>
    <x v="1"/>
    <n v="49"/>
    <n v="35"/>
    <x v="28"/>
    <x v="58"/>
    <x v="73"/>
    <n v="41"/>
    <n v="51"/>
    <s v="Oregon"/>
    <s v="Multnomah County"/>
    <n v="41051"/>
    <n v="832"/>
    <x v="108"/>
    <n v="56058800"/>
    <n v="49035"/>
    <n v="0"/>
    <n v="1"/>
    <x v="0"/>
  </r>
  <r>
    <x v="1"/>
    <n v="51"/>
    <n v="0"/>
    <x v="30"/>
    <x v="0"/>
    <x v="75"/>
    <n v="41"/>
    <n v="51"/>
    <s v="Oregon"/>
    <s v="Multnomah County"/>
    <n v="41051"/>
    <n v="140"/>
    <x v="52"/>
    <n v="1537500"/>
    <m/>
    <n v="0"/>
    <n v="1"/>
    <x v="0"/>
  </r>
  <r>
    <x v="1"/>
    <n v="51"/>
    <n v="13"/>
    <x v="30"/>
    <x v="91"/>
    <x v="126"/>
    <n v="41"/>
    <n v="51"/>
    <s v="Oregon"/>
    <s v="Multnomah County"/>
    <n v="41051"/>
    <n v="63"/>
    <x v="61"/>
    <n v="9639000"/>
    <n v="51013"/>
    <n v="0"/>
    <n v="1"/>
    <x v="0"/>
  </r>
  <r>
    <x v="1"/>
    <n v="51"/>
    <n v="510"/>
    <x v="30"/>
    <x v="92"/>
    <x v="127"/>
    <n v="41"/>
    <n v="51"/>
    <s v="Oregon"/>
    <s v="Multnomah County"/>
    <n v="41051"/>
    <n v="127"/>
    <x v="106"/>
    <n v="7239000"/>
    <n v="51510"/>
    <n v="0"/>
    <n v="1"/>
    <x v="0"/>
  </r>
  <r>
    <x v="1"/>
    <n v="53"/>
    <n v="0"/>
    <x v="31"/>
    <x v="0"/>
    <x v="76"/>
    <n v="41"/>
    <n v="51"/>
    <s v="Oregon"/>
    <s v="Multnomah County"/>
    <n v="41051"/>
    <n v="793"/>
    <x v="73"/>
    <n v="9830200"/>
    <m/>
    <n v="0"/>
    <n v="1"/>
    <x v="0"/>
  </r>
  <r>
    <x v="1"/>
    <n v="53"/>
    <n v="11"/>
    <x v="31"/>
    <x v="38"/>
    <x v="77"/>
    <n v="41"/>
    <n v="51"/>
    <s v="Oregon"/>
    <s v="Multnomah County"/>
    <n v="41051"/>
    <n v="2114"/>
    <x v="109"/>
    <n v="138079340"/>
    <n v="53011"/>
    <n v="0"/>
    <n v="1"/>
    <x v="0"/>
  </r>
  <r>
    <x v="1"/>
    <n v="53"/>
    <n v="33"/>
    <x v="31"/>
    <x v="59"/>
    <x v="78"/>
    <n v="41"/>
    <n v="51"/>
    <s v="Oregon"/>
    <s v="Multnomah County"/>
    <n v="41051"/>
    <n v="1299"/>
    <x v="110"/>
    <n v="42593100"/>
    <n v="53033"/>
    <n v="0"/>
    <n v="1"/>
    <x v="0"/>
  </r>
  <r>
    <x v="1"/>
    <n v="53"/>
    <n v="53"/>
    <x v="31"/>
    <x v="61"/>
    <x v="80"/>
    <n v="41"/>
    <n v="51"/>
    <s v="Oregon"/>
    <s v="Multnomah County"/>
    <n v="41051"/>
    <n v="363"/>
    <x v="15"/>
    <n v="4894400"/>
    <n v="53053"/>
    <n v="0"/>
    <n v="1"/>
    <x v="0"/>
  </r>
  <r>
    <x v="1"/>
    <n v="53"/>
    <n v="67"/>
    <x v="31"/>
    <x v="64"/>
    <x v="83"/>
    <n v="41"/>
    <n v="51"/>
    <s v="Oregon"/>
    <s v="Multnomah County"/>
    <n v="41051"/>
    <n v="240"/>
    <x v="111"/>
    <n v="14101152"/>
    <n v="53067"/>
    <n v="0"/>
    <n v="1"/>
    <x v="0"/>
  </r>
  <r>
    <x v="1"/>
    <n v="53"/>
    <n v="73"/>
    <x v="31"/>
    <x v="93"/>
    <x v="128"/>
    <n v="41"/>
    <n v="51"/>
    <s v="Oregon"/>
    <s v="Multnomah County"/>
    <n v="41051"/>
    <n v="53"/>
    <x v="112"/>
    <n v="2756000"/>
    <n v="53073"/>
    <n v="0"/>
    <n v="1"/>
    <x v="0"/>
  </r>
  <r>
    <x v="1"/>
    <n v="53"/>
    <n v="77"/>
    <x v="31"/>
    <x v="94"/>
    <x v="129"/>
    <n v="41"/>
    <n v="51"/>
    <s v="Oregon"/>
    <s v="Multnomah County"/>
    <n v="41051"/>
    <n v="364"/>
    <x v="113"/>
    <n v="11640000"/>
    <n v="53077"/>
    <n v="0"/>
    <n v="1"/>
    <x v="0"/>
  </r>
  <r>
    <x v="1"/>
    <n v="55"/>
    <n v="79"/>
    <x v="32"/>
    <x v="65"/>
    <x v="85"/>
    <n v="41"/>
    <n v="51"/>
    <s v="Oregon"/>
    <s v="Multnomah County"/>
    <n v="41051"/>
    <n v="189"/>
    <x v="114"/>
    <n v="6978000"/>
    <n v="55079"/>
    <n v="0"/>
    <n v="1"/>
    <x v="0"/>
  </r>
  <r>
    <x v="2"/>
    <n v="2"/>
    <n v="20"/>
    <x v="0"/>
    <x v="1"/>
    <x v="1"/>
    <n v="41"/>
    <n v="51"/>
    <s v="Oregon"/>
    <s v="Multnomah County"/>
    <n v="41051"/>
    <n v="104"/>
    <x v="63"/>
    <n v="10098400"/>
    <n v="2020"/>
    <n v="0"/>
    <n v="1"/>
    <x v="0"/>
  </r>
  <r>
    <x v="2"/>
    <n v="4"/>
    <n v="0"/>
    <x v="1"/>
    <x v="0"/>
    <x v="2"/>
    <n v="41"/>
    <n v="51"/>
    <s v="Oregon"/>
    <s v="Multnomah County"/>
    <n v="41051"/>
    <n v="73"/>
    <x v="0"/>
    <n v="613200"/>
    <m/>
    <n v="0"/>
    <n v="1"/>
    <x v="0"/>
  </r>
  <r>
    <x v="2"/>
    <n v="4"/>
    <n v="5"/>
    <x v="1"/>
    <x v="2"/>
    <x v="3"/>
    <n v="41"/>
    <n v="51"/>
    <s v="Oregon"/>
    <s v="Multnomah County"/>
    <n v="41051"/>
    <n v="242"/>
    <x v="0"/>
    <n v="12826000"/>
    <n v="4005"/>
    <n v="0"/>
    <n v="1"/>
    <x v="0"/>
  </r>
  <r>
    <x v="2"/>
    <n v="4"/>
    <n v="13"/>
    <x v="1"/>
    <x v="3"/>
    <x v="4"/>
    <n v="41"/>
    <n v="51"/>
    <s v="Oregon"/>
    <s v="Multnomah County"/>
    <n v="41051"/>
    <n v="544"/>
    <x v="115"/>
    <n v="15248500"/>
    <n v="4013"/>
    <n v="0"/>
    <n v="1"/>
    <x v="0"/>
  </r>
  <r>
    <x v="2"/>
    <n v="4"/>
    <n v="19"/>
    <x v="1"/>
    <x v="95"/>
    <x v="130"/>
    <n v="41"/>
    <n v="51"/>
    <s v="Oregon"/>
    <s v="Multnomah County"/>
    <n v="41051"/>
    <n v="716"/>
    <x v="116"/>
    <n v="31243400"/>
    <n v="4019"/>
    <n v="0"/>
    <n v="1"/>
    <x v="0"/>
  </r>
  <r>
    <x v="2"/>
    <n v="4"/>
    <n v="25"/>
    <x v="1"/>
    <x v="96"/>
    <x v="131"/>
    <n v="41"/>
    <n v="51"/>
    <s v="Oregon"/>
    <s v="Multnomah County"/>
    <n v="41051"/>
    <n v="254"/>
    <x v="42"/>
    <n v="4240600"/>
    <n v="4025"/>
    <n v="0"/>
    <n v="1"/>
    <x v="0"/>
  </r>
  <r>
    <x v="2"/>
    <n v="4"/>
    <n v="27"/>
    <x v="1"/>
    <x v="97"/>
    <x v="132"/>
    <n v="41"/>
    <n v="51"/>
    <s v="Oregon"/>
    <s v="Multnomah County"/>
    <n v="41051"/>
    <n v="158"/>
    <x v="0"/>
    <n v="1898020"/>
    <n v="4027"/>
    <n v="0"/>
    <n v="1"/>
    <x v="0"/>
  </r>
  <r>
    <x v="2"/>
    <n v="6"/>
    <n v="0"/>
    <x v="3"/>
    <x v="0"/>
    <x v="6"/>
    <n v="41"/>
    <n v="51"/>
    <s v="Oregon"/>
    <s v="Multnomah County"/>
    <n v="41051"/>
    <n v="51"/>
    <x v="117"/>
    <n v="382500"/>
    <m/>
    <n v="0"/>
    <n v="1"/>
    <x v="0"/>
  </r>
  <r>
    <x v="2"/>
    <n v="6"/>
    <n v="1"/>
    <x v="3"/>
    <x v="4"/>
    <x v="7"/>
    <n v="41"/>
    <n v="51"/>
    <s v="Oregon"/>
    <s v="Multnomah County"/>
    <n v="41051"/>
    <n v="1205"/>
    <x v="118"/>
    <n v="57599080"/>
    <n v="6001"/>
    <n v="0"/>
    <n v="1"/>
    <x v="0"/>
  </r>
  <r>
    <x v="2"/>
    <n v="6"/>
    <n v="37"/>
    <x v="3"/>
    <x v="8"/>
    <x v="11"/>
    <n v="41"/>
    <n v="51"/>
    <s v="Oregon"/>
    <s v="Multnomah County"/>
    <n v="41051"/>
    <n v="2250"/>
    <x v="119"/>
    <n v="119307230"/>
    <n v="6037"/>
    <n v="0"/>
    <n v="1"/>
    <x v="0"/>
  </r>
  <r>
    <x v="2"/>
    <n v="6"/>
    <n v="41"/>
    <x v="3"/>
    <x v="98"/>
    <x v="133"/>
    <n v="41"/>
    <n v="51"/>
    <s v="Oregon"/>
    <s v="Multnomah County"/>
    <n v="41051"/>
    <n v="140"/>
    <x v="32"/>
    <n v="9968000"/>
    <n v="6041"/>
    <n v="0"/>
    <n v="1"/>
    <x v="0"/>
  </r>
  <r>
    <x v="2"/>
    <n v="6"/>
    <n v="59"/>
    <x v="3"/>
    <x v="10"/>
    <x v="13"/>
    <n v="41"/>
    <n v="51"/>
    <s v="Oregon"/>
    <s v="Multnomah County"/>
    <n v="41051"/>
    <n v="289"/>
    <x v="120"/>
    <n v="22589000"/>
    <n v="6059"/>
    <n v="0"/>
    <n v="1"/>
    <x v="0"/>
  </r>
  <r>
    <x v="2"/>
    <n v="6"/>
    <n v="71"/>
    <x v="3"/>
    <x v="12"/>
    <x v="15"/>
    <n v="41"/>
    <n v="51"/>
    <s v="Oregon"/>
    <s v="Multnomah County"/>
    <n v="41051"/>
    <n v="119"/>
    <x v="0"/>
    <n v="1498800"/>
    <n v="6071"/>
    <n v="0"/>
    <n v="1"/>
    <x v="0"/>
  </r>
  <r>
    <x v="2"/>
    <n v="6"/>
    <n v="73"/>
    <x v="3"/>
    <x v="13"/>
    <x v="16"/>
    <n v="41"/>
    <n v="51"/>
    <s v="Oregon"/>
    <s v="Multnomah County"/>
    <n v="41051"/>
    <n v="931"/>
    <x v="121"/>
    <n v="16708200"/>
    <n v="6073"/>
    <n v="0"/>
    <n v="1"/>
    <x v="0"/>
  </r>
  <r>
    <x v="2"/>
    <n v="6"/>
    <n v="75"/>
    <x v="3"/>
    <x v="14"/>
    <x v="17"/>
    <n v="41"/>
    <n v="51"/>
    <s v="Oregon"/>
    <s v="Multnomah County"/>
    <n v="41051"/>
    <n v="1395"/>
    <x v="122"/>
    <n v="117290000"/>
    <n v="6075"/>
    <n v="0"/>
    <n v="1"/>
    <x v="0"/>
  </r>
  <r>
    <x v="2"/>
    <n v="6"/>
    <n v="77"/>
    <x v="3"/>
    <x v="99"/>
    <x v="134"/>
    <n v="41"/>
    <n v="51"/>
    <s v="Oregon"/>
    <s v="Multnomah County"/>
    <n v="41051"/>
    <n v="86"/>
    <x v="90"/>
    <n v="1806000"/>
    <n v="6077"/>
    <n v="0"/>
    <n v="1"/>
    <x v="0"/>
  </r>
  <r>
    <x v="2"/>
    <n v="6"/>
    <n v="81"/>
    <x v="3"/>
    <x v="100"/>
    <x v="135"/>
    <n v="41"/>
    <n v="51"/>
    <s v="Oregon"/>
    <s v="Multnomah County"/>
    <n v="41051"/>
    <n v="478"/>
    <x v="123"/>
    <n v="12280500"/>
    <n v="6081"/>
    <n v="0"/>
    <n v="1"/>
    <x v="0"/>
  </r>
  <r>
    <x v="2"/>
    <n v="6"/>
    <n v="85"/>
    <x v="3"/>
    <x v="17"/>
    <x v="20"/>
    <n v="41"/>
    <n v="51"/>
    <s v="Oregon"/>
    <s v="Multnomah County"/>
    <n v="41051"/>
    <n v="429"/>
    <x v="1"/>
    <n v="45680400"/>
    <n v="6085"/>
    <n v="0"/>
    <n v="1"/>
    <x v="0"/>
  </r>
  <r>
    <x v="2"/>
    <n v="6"/>
    <n v="87"/>
    <x v="3"/>
    <x v="71"/>
    <x v="92"/>
    <n v="41"/>
    <n v="51"/>
    <s v="Oregon"/>
    <s v="Multnomah County"/>
    <n v="41051"/>
    <n v="75"/>
    <x v="52"/>
    <n v="3690000"/>
    <n v="6087"/>
    <n v="0"/>
    <n v="1"/>
    <x v="0"/>
  </r>
  <r>
    <x v="2"/>
    <n v="6"/>
    <n v="89"/>
    <x v="3"/>
    <x v="101"/>
    <x v="136"/>
    <n v="41"/>
    <n v="51"/>
    <s v="Oregon"/>
    <s v="Multnomah County"/>
    <n v="41051"/>
    <n v="254"/>
    <x v="70"/>
    <n v="6556000"/>
    <n v="6089"/>
    <n v="0"/>
    <n v="1"/>
    <x v="0"/>
  </r>
  <r>
    <x v="2"/>
    <n v="6"/>
    <n v="95"/>
    <x v="3"/>
    <x v="102"/>
    <x v="137"/>
    <n v="41"/>
    <n v="51"/>
    <s v="Oregon"/>
    <s v="Multnomah County"/>
    <n v="41051"/>
    <n v="198"/>
    <x v="124"/>
    <n v="13860000"/>
    <n v="6095"/>
    <n v="0"/>
    <n v="1"/>
    <x v="0"/>
  </r>
  <r>
    <x v="2"/>
    <n v="6"/>
    <n v="107"/>
    <x v="3"/>
    <x v="20"/>
    <x v="23"/>
    <n v="41"/>
    <n v="51"/>
    <s v="Oregon"/>
    <s v="Multnomah County"/>
    <n v="41051"/>
    <n v="155"/>
    <x v="22"/>
    <n v="8890000"/>
    <n v="6107"/>
    <n v="0"/>
    <n v="1"/>
    <x v="0"/>
  </r>
  <r>
    <x v="2"/>
    <n v="6"/>
    <n v="113"/>
    <x v="3"/>
    <x v="103"/>
    <x v="138"/>
    <n v="41"/>
    <n v="51"/>
    <s v="Oregon"/>
    <s v="Multnomah County"/>
    <n v="41051"/>
    <n v="294"/>
    <x v="125"/>
    <n v="443900"/>
    <n v="6113"/>
    <n v="0"/>
    <n v="1"/>
    <x v="0"/>
  </r>
  <r>
    <x v="2"/>
    <n v="8"/>
    <n v="69"/>
    <x v="4"/>
    <x v="73"/>
    <x v="94"/>
    <n v="41"/>
    <n v="51"/>
    <s v="Oregon"/>
    <s v="Multnomah County"/>
    <n v="41051"/>
    <n v="219"/>
    <x v="107"/>
    <n v="8267500"/>
    <n v="8069"/>
    <n v="0"/>
    <n v="1"/>
    <x v="0"/>
  </r>
  <r>
    <x v="2"/>
    <n v="9"/>
    <n v="3"/>
    <x v="33"/>
    <x v="104"/>
    <x v="139"/>
    <n v="41"/>
    <n v="51"/>
    <s v="Oregon"/>
    <s v="Multnomah County"/>
    <n v="41051"/>
    <n v="216"/>
    <x v="126"/>
    <n v="25200000"/>
    <n v="9003"/>
    <n v="0"/>
    <n v="1"/>
    <x v="0"/>
  </r>
  <r>
    <x v="2"/>
    <n v="12"/>
    <n v="0"/>
    <x v="6"/>
    <x v="0"/>
    <x v="26"/>
    <n v="41"/>
    <n v="51"/>
    <s v="Oregon"/>
    <s v="Multnomah County"/>
    <n v="41051"/>
    <n v="421"/>
    <x v="127"/>
    <n v="10323500"/>
    <m/>
    <n v="0"/>
    <n v="1"/>
    <x v="0"/>
  </r>
  <r>
    <x v="2"/>
    <n v="12"/>
    <n v="11"/>
    <x v="6"/>
    <x v="77"/>
    <x v="98"/>
    <n v="41"/>
    <n v="51"/>
    <s v="Oregon"/>
    <s v="Multnomah County"/>
    <n v="41051"/>
    <n v="133"/>
    <x v="17"/>
    <n v="199500"/>
    <n v="12011"/>
    <n v="0"/>
    <n v="1"/>
    <x v="0"/>
  </r>
  <r>
    <x v="2"/>
    <n v="12"/>
    <n v="99"/>
    <x v="6"/>
    <x v="105"/>
    <x v="140"/>
    <n v="41"/>
    <n v="51"/>
    <s v="Oregon"/>
    <s v="Multnomah County"/>
    <n v="41051"/>
    <n v="175"/>
    <x v="0"/>
    <n v="595000"/>
    <n v="12099"/>
    <n v="0"/>
    <n v="1"/>
    <x v="0"/>
  </r>
  <r>
    <x v="2"/>
    <n v="13"/>
    <n v="0"/>
    <x v="7"/>
    <x v="0"/>
    <x v="100"/>
    <n v="41"/>
    <n v="51"/>
    <s v="Oregon"/>
    <s v="Multnomah County"/>
    <n v="41051"/>
    <n v="117"/>
    <x v="128"/>
    <n v="11210000"/>
    <m/>
    <n v="0"/>
    <n v="1"/>
    <x v="0"/>
  </r>
  <r>
    <x v="2"/>
    <n v="15"/>
    <n v="0"/>
    <x v="8"/>
    <x v="0"/>
    <x v="141"/>
    <n v="41"/>
    <n v="51"/>
    <s v="Oregon"/>
    <s v="Multnomah County"/>
    <n v="41051"/>
    <n v="102"/>
    <x v="129"/>
    <n v="2376600"/>
    <m/>
    <n v="0"/>
    <n v="1"/>
    <x v="0"/>
  </r>
  <r>
    <x v="2"/>
    <n v="15"/>
    <n v="3"/>
    <x v="8"/>
    <x v="26"/>
    <x v="31"/>
    <n v="41"/>
    <n v="51"/>
    <s v="Oregon"/>
    <s v="Multnomah County"/>
    <n v="41051"/>
    <n v="61"/>
    <x v="57"/>
    <n v="793000"/>
    <n v="15003"/>
    <n v="0"/>
    <n v="1"/>
    <x v="0"/>
  </r>
  <r>
    <x v="2"/>
    <n v="16"/>
    <n v="0"/>
    <x v="9"/>
    <x v="0"/>
    <x v="32"/>
    <n v="41"/>
    <n v="51"/>
    <s v="Oregon"/>
    <s v="Multnomah County"/>
    <n v="41051"/>
    <n v="293"/>
    <x v="130"/>
    <n v="16415000"/>
    <m/>
    <n v="0"/>
    <n v="1"/>
    <x v="0"/>
  </r>
  <r>
    <x v="2"/>
    <n v="17"/>
    <n v="0"/>
    <x v="10"/>
    <x v="0"/>
    <x v="142"/>
    <n v="41"/>
    <n v="51"/>
    <s v="Oregon"/>
    <s v="Multnomah County"/>
    <n v="41051"/>
    <n v="424"/>
    <x v="0"/>
    <n v="5240000"/>
    <m/>
    <n v="0"/>
    <n v="1"/>
    <x v="0"/>
  </r>
  <r>
    <x v="2"/>
    <n v="17"/>
    <n v="31"/>
    <x v="10"/>
    <x v="28"/>
    <x v="34"/>
    <n v="41"/>
    <n v="51"/>
    <s v="Oregon"/>
    <s v="Multnomah County"/>
    <n v="41051"/>
    <n v="394"/>
    <x v="33"/>
    <n v="20336600"/>
    <n v="17031"/>
    <n v="0"/>
    <n v="1"/>
    <x v="0"/>
  </r>
  <r>
    <x v="2"/>
    <n v="17"/>
    <n v="89"/>
    <x v="10"/>
    <x v="106"/>
    <x v="143"/>
    <n v="41"/>
    <n v="51"/>
    <s v="Oregon"/>
    <s v="Multnomah County"/>
    <n v="41051"/>
    <n v="316"/>
    <x v="131"/>
    <n v="14480070"/>
    <n v="17089"/>
    <n v="0"/>
    <n v="1"/>
    <x v="0"/>
  </r>
  <r>
    <x v="2"/>
    <n v="18"/>
    <n v="3"/>
    <x v="11"/>
    <x v="107"/>
    <x v="144"/>
    <n v="41"/>
    <n v="51"/>
    <s v="Oregon"/>
    <s v="Multnomah County"/>
    <n v="41051"/>
    <n v="195"/>
    <x v="132"/>
    <n v="9750000"/>
    <n v="18003"/>
    <n v="0"/>
    <n v="1"/>
    <x v="0"/>
  </r>
  <r>
    <x v="2"/>
    <n v="18"/>
    <n v="81"/>
    <x v="11"/>
    <x v="32"/>
    <x v="145"/>
    <n v="41"/>
    <n v="51"/>
    <s v="Oregon"/>
    <s v="Multnomah County"/>
    <n v="41051"/>
    <n v="172"/>
    <x v="29"/>
    <n v="5826000"/>
    <n v="18081"/>
    <n v="0"/>
    <n v="1"/>
    <x v="0"/>
  </r>
  <r>
    <x v="2"/>
    <n v="19"/>
    <n v="13"/>
    <x v="12"/>
    <x v="108"/>
    <x v="146"/>
    <n v="41"/>
    <n v="51"/>
    <s v="Oregon"/>
    <s v="Multnomah County"/>
    <n v="41051"/>
    <n v="62"/>
    <x v="49"/>
    <n v="452600"/>
    <n v="19013"/>
    <n v="0"/>
    <n v="1"/>
    <x v="0"/>
  </r>
  <r>
    <x v="2"/>
    <n v="20"/>
    <n v="0"/>
    <x v="34"/>
    <x v="0"/>
    <x v="103"/>
    <n v="41"/>
    <n v="51"/>
    <s v="Oregon"/>
    <s v="Multnomah County"/>
    <n v="41051"/>
    <n v="129"/>
    <x v="0"/>
    <n v="5676000"/>
    <m/>
    <n v="0"/>
    <n v="1"/>
    <x v="0"/>
  </r>
  <r>
    <x v="2"/>
    <n v="20"/>
    <n v="45"/>
    <x v="34"/>
    <x v="79"/>
    <x v="104"/>
    <n v="41"/>
    <n v="51"/>
    <s v="Oregon"/>
    <s v="Multnomah County"/>
    <n v="41051"/>
    <n v="107"/>
    <x v="133"/>
    <n v="5350000"/>
    <n v="20045"/>
    <n v="0"/>
    <n v="1"/>
    <x v="0"/>
  </r>
  <r>
    <x v="2"/>
    <n v="22"/>
    <n v="0"/>
    <x v="13"/>
    <x v="0"/>
    <x v="40"/>
    <n v="41"/>
    <n v="51"/>
    <s v="Oregon"/>
    <s v="Multnomah County"/>
    <n v="41051"/>
    <n v="219"/>
    <x v="134"/>
    <n v="3506400"/>
    <m/>
    <n v="0"/>
    <n v="1"/>
    <x v="0"/>
  </r>
  <r>
    <x v="2"/>
    <n v="22"/>
    <n v="17"/>
    <x v="13"/>
    <x v="109"/>
    <x v="147"/>
    <n v="41"/>
    <n v="51"/>
    <s v="Oregon"/>
    <s v="Multnomah County"/>
    <n v="41051"/>
    <n v="148"/>
    <x v="34"/>
    <n v="1523900"/>
    <n v="22017"/>
    <n v="0"/>
    <n v="1"/>
    <x v="0"/>
  </r>
  <r>
    <x v="2"/>
    <n v="22"/>
    <n v="33"/>
    <x v="13"/>
    <x v="110"/>
    <x v="148"/>
    <n v="41"/>
    <n v="51"/>
    <s v="Oregon"/>
    <s v="Multnomah County"/>
    <n v="41051"/>
    <n v="77"/>
    <x v="0"/>
    <n v="2002000"/>
    <n v="22033"/>
    <n v="0"/>
    <n v="1"/>
    <x v="0"/>
  </r>
  <r>
    <x v="2"/>
    <n v="23"/>
    <n v="11"/>
    <x v="35"/>
    <x v="111"/>
    <x v="149"/>
    <n v="41"/>
    <n v="51"/>
    <s v="Oregon"/>
    <s v="Multnomah County"/>
    <n v="41051"/>
    <n v="40"/>
    <x v="135"/>
    <n v="400000"/>
    <n v="23011"/>
    <n v="0"/>
    <n v="1"/>
    <x v="0"/>
  </r>
  <r>
    <x v="2"/>
    <n v="25"/>
    <n v="0"/>
    <x v="15"/>
    <x v="0"/>
    <x v="43"/>
    <n v="41"/>
    <n v="51"/>
    <s v="Oregon"/>
    <s v="Multnomah County"/>
    <n v="41051"/>
    <n v="658"/>
    <x v="17"/>
    <n v="51292000"/>
    <m/>
    <n v="0"/>
    <n v="1"/>
    <x v="0"/>
  </r>
  <r>
    <x v="2"/>
    <n v="25"/>
    <n v="25"/>
    <x v="15"/>
    <x v="35"/>
    <x v="44"/>
    <n v="41"/>
    <n v="51"/>
    <s v="Oregon"/>
    <s v="Multnomah County"/>
    <n v="41051"/>
    <n v="140"/>
    <x v="0"/>
    <n v="5180000"/>
    <n v="25025"/>
    <n v="0"/>
    <n v="1"/>
    <x v="0"/>
  </r>
  <r>
    <x v="2"/>
    <n v="26"/>
    <n v="65"/>
    <x v="36"/>
    <x v="112"/>
    <x v="150"/>
    <n v="41"/>
    <n v="51"/>
    <s v="Oregon"/>
    <s v="Multnomah County"/>
    <n v="41051"/>
    <n v="155"/>
    <x v="127"/>
    <n v="7285000"/>
    <n v="26065"/>
    <n v="0"/>
    <n v="1"/>
    <x v="0"/>
  </r>
  <r>
    <x v="2"/>
    <n v="26"/>
    <n v="81"/>
    <x v="36"/>
    <x v="113"/>
    <x v="151"/>
    <n v="41"/>
    <n v="51"/>
    <s v="Oregon"/>
    <s v="Multnomah County"/>
    <n v="41051"/>
    <n v="134"/>
    <x v="136"/>
    <n v="3963200"/>
    <n v="26081"/>
    <n v="0"/>
    <n v="1"/>
    <x v="0"/>
  </r>
  <r>
    <x v="2"/>
    <n v="26"/>
    <n v="125"/>
    <x v="36"/>
    <x v="114"/>
    <x v="152"/>
    <n v="41"/>
    <n v="51"/>
    <s v="Oregon"/>
    <s v="Multnomah County"/>
    <n v="41051"/>
    <n v="187"/>
    <x v="137"/>
    <n v="5450000"/>
    <n v="26125"/>
    <n v="0"/>
    <n v="1"/>
    <x v="0"/>
  </r>
  <r>
    <x v="2"/>
    <n v="26"/>
    <n v="163"/>
    <x v="36"/>
    <x v="82"/>
    <x v="108"/>
    <n v="41"/>
    <n v="51"/>
    <s v="Oregon"/>
    <s v="Multnomah County"/>
    <n v="41051"/>
    <n v="96"/>
    <x v="0"/>
    <n v="5952000"/>
    <n v="26163"/>
    <n v="0"/>
    <n v="1"/>
    <x v="0"/>
  </r>
  <r>
    <x v="2"/>
    <n v="27"/>
    <n v="53"/>
    <x v="16"/>
    <x v="36"/>
    <x v="45"/>
    <n v="41"/>
    <n v="51"/>
    <s v="Oregon"/>
    <s v="Multnomah County"/>
    <n v="41051"/>
    <n v="126"/>
    <x v="138"/>
    <n v="4151700"/>
    <n v="27053"/>
    <n v="0"/>
    <n v="1"/>
    <x v="0"/>
  </r>
  <r>
    <x v="2"/>
    <n v="28"/>
    <n v="0"/>
    <x v="43"/>
    <x v="0"/>
    <x v="153"/>
    <n v="41"/>
    <n v="51"/>
    <s v="Oregon"/>
    <s v="Multnomah County"/>
    <n v="41051"/>
    <n v="344"/>
    <x v="139"/>
    <n v="17290000"/>
    <m/>
    <n v="0"/>
    <n v="1"/>
    <x v="0"/>
  </r>
  <r>
    <x v="2"/>
    <n v="29"/>
    <n v="189"/>
    <x v="17"/>
    <x v="83"/>
    <x v="110"/>
    <n v="41"/>
    <n v="51"/>
    <s v="Oregon"/>
    <s v="Multnomah County"/>
    <n v="41051"/>
    <n v="159"/>
    <x v="0"/>
    <n v="238500"/>
    <n v="29189"/>
    <n v="0"/>
    <n v="1"/>
    <x v="0"/>
  </r>
  <r>
    <x v="2"/>
    <n v="29"/>
    <n v="510"/>
    <x v="17"/>
    <x v="115"/>
    <x v="154"/>
    <n v="41"/>
    <n v="51"/>
    <s v="Oregon"/>
    <s v="Multnomah County"/>
    <n v="41051"/>
    <n v="302"/>
    <x v="70"/>
    <n v="8327620"/>
    <n v="29510"/>
    <n v="0"/>
    <n v="1"/>
    <x v="0"/>
  </r>
  <r>
    <x v="2"/>
    <n v="30"/>
    <n v="0"/>
    <x v="37"/>
    <x v="0"/>
    <x v="111"/>
    <n v="41"/>
    <n v="51"/>
    <s v="Oregon"/>
    <s v="Multnomah County"/>
    <n v="41051"/>
    <n v="150"/>
    <x v="46"/>
    <n v="4366200"/>
    <m/>
    <n v="0"/>
    <n v="1"/>
    <x v="0"/>
  </r>
  <r>
    <x v="2"/>
    <n v="32"/>
    <n v="3"/>
    <x v="18"/>
    <x v="38"/>
    <x v="47"/>
    <n v="41"/>
    <n v="51"/>
    <s v="Oregon"/>
    <s v="Multnomah County"/>
    <n v="41051"/>
    <n v="485"/>
    <x v="18"/>
    <n v="26921000"/>
    <n v="32003"/>
    <n v="0"/>
    <n v="1"/>
    <x v="0"/>
  </r>
  <r>
    <x v="2"/>
    <n v="32"/>
    <n v="31"/>
    <x v="18"/>
    <x v="116"/>
    <x v="155"/>
    <n v="41"/>
    <n v="51"/>
    <s v="Oregon"/>
    <s v="Multnomah County"/>
    <n v="41051"/>
    <n v="322"/>
    <x v="111"/>
    <n v="8477900"/>
    <n v="32031"/>
    <n v="0"/>
    <n v="1"/>
    <x v="0"/>
  </r>
  <r>
    <x v="2"/>
    <n v="33"/>
    <n v="0"/>
    <x v="19"/>
    <x v="0"/>
    <x v="48"/>
    <n v="41"/>
    <n v="51"/>
    <s v="Oregon"/>
    <s v="Multnomah County"/>
    <n v="41051"/>
    <n v="124"/>
    <x v="38"/>
    <n v="4028800"/>
    <m/>
    <n v="0"/>
    <n v="1"/>
    <x v="0"/>
  </r>
  <r>
    <x v="2"/>
    <n v="34"/>
    <n v="13"/>
    <x v="38"/>
    <x v="117"/>
    <x v="156"/>
    <n v="41"/>
    <n v="51"/>
    <s v="Oregon"/>
    <s v="Multnomah County"/>
    <n v="41051"/>
    <n v="164"/>
    <x v="0"/>
    <n v="0"/>
    <n v="34013"/>
    <n v="0"/>
    <n v="1"/>
    <x v="0"/>
  </r>
  <r>
    <x v="2"/>
    <n v="35"/>
    <n v="0"/>
    <x v="39"/>
    <x v="0"/>
    <x v="113"/>
    <n v="41"/>
    <n v="51"/>
    <s v="Oregon"/>
    <s v="Multnomah County"/>
    <n v="41051"/>
    <n v="259"/>
    <x v="10"/>
    <n v="39483600"/>
    <m/>
    <n v="0"/>
    <n v="1"/>
    <x v="0"/>
  </r>
  <r>
    <x v="2"/>
    <n v="36"/>
    <n v="0"/>
    <x v="20"/>
    <x v="0"/>
    <x v="157"/>
    <n v="41"/>
    <n v="51"/>
    <s v="Oregon"/>
    <s v="Multnomah County"/>
    <n v="41051"/>
    <n v="231"/>
    <x v="103"/>
    <n v="21367200"/>
    <m/>
    <n v="0"/>
    <n v="1"/>
    <x v="0"/>
  </r>
  <r>
    <x v="2"/>
    <n v="36"/>
    <n v="5"/>
    <x v="20"/>
    <x v="39"/>
    <x v="49"/>
    <n v="41"/>
    <n v="51"/>
    <s v="Oregon"/>
    <s v="Multnomah County"/>
    <n v="41051"/>
    <n v="448"/>
    <x v="0"/>
    <n v="18510000"/>
    <n v="36005"/>
    <n v="0"/>
    <n v="1"/>
    <x v="0"/>
  </r>
  <r>
    <x v="2"/>
    <n v="36"/>
    <n v="27"/>
    <x v="20"/>
    <x v="118"/>
    <x v="158"/>
    <n v="41"/>
    <n v="51"/>
    <s v="Oregon"/>
    <s v="Multnomah County"/>
    <n v="41051"/>
    <n v="93"/>
    <x v="0"/>
    <n v="1915800"/>
    <n v="36027"/>
    <n v="0"/>
    <n v="1"/>
    <x v="0"/>
  </r>
  <r>
    <x v="2"/>
    <n v="36"/>
    <n v="47"/>
    <x v="20"/>
    <x v="40"/>
    <x v="50"/>
    <n v="41"/>
    <n v="51"/>
    <s v="Oregon"/>
    <s v="Multnomah County"/>
    <n v="41051"/>
    <n v="324"/>
    <x v="124"/>
    <n v="30151300"/>
    <n v="36047"/>
    <n v="0"/>
    <n v="1"/>
    <x v="0"/>
  </r>
  <r>
    <x v="2"/>
    <n v="36"/>
    <n v="81"/>
    <x v="20"/>
    <x v="119"/>
    <x v="159"/>
    <n v="41"/>
    <n v="51"/>
    <s v="Oregon"/>
    <s v="Multnomah County"/>
    <n v="41051"/>
    <n v="160"/>
    <x v="34"/>
    <n v="8488430"/>
    <n v="36081"/>
    <n v="0"/>
    <n v="1"/>
    <x v="0"/>
  </r>
  <r>
    <x v="2"/>
    <n v="36"/>
    <n v="103"/>
    <x v="20"/>
    <x v="35"/>
    <x v="160"/>
    <n v="41"/>
    <n v="51"/>
    <s v="Oregon"/>
    <s v="Multnomah County"/>
    <n v="41051"/>
    <n v="138"/>
    <x v="0"/>
    <n v="19596000"/>
    <n v="36103"/>
    <n v="0"/>
    <n v="1"/>
    <x v="0"/>
  </r>
  <r>
    <x v="2"/>
    <n v="37"/>
    <n v="183"/>
    <x v="21"/>
    <x v="87"/>
    <x v="116"/>
    <n v="41"/>
    <n v="51"/>
    <s v="Oregon"/>
    <s v="Multnomah County"/>
    <n v="41051"/>
    <n v="63"/>
    <x v="138"/>
    <n v="6426000"/>
    <n v="37183"/>
    <n v="0"/>
    <n v="1"/>
    <x v="0"/>
  </r>
  <r>
    <x v="2"/>
    <n v="39"/>
    <n v="113"/>
    <x v="22"/>
    <x v="52"/>
    <x v="161"/>
    <n v="41"/>
    <n v="51"/>
    <s v="Oregon"/>
    <s v="Multnomah County"/>
    <n v="41051"/>
    <n v="112"/>
    <x v="36"/>
    <n v="5824000"/>
    <n v="39113"/>
    <n v="0"/>
    <n v="1"/>
    <x v="0"/>
  </r>
  <r>
    <x v="2"/>
    <n v="40"/>
    <n v="109"/>
    <x v="40"/>
    <x v="120"/>
    <x v="162"/>
    <n v="41"/>
    <n v="51"/>
    <s v="Oregon"/>
    <s v="Multnomah County"/>
    <n v="41051"/>
    <n v="76"/>
    <x v="0"/>
    <n v="106400"/>
    <n v="40109"/>
    <n v="0"/>
    <n v="1"/>
    <x v="0"/>
  </r>
  <r>
    <x v="2"/>
    <n v="41"/>
    <n v="0"/>
    <x v="23"/>
    <x v="0"/>
    <x v="57"/>
    <n v="41"/>
    <n v="51"/>
    <s v="Oregon"/>
    <s v="Multnomah County"/>
    <n v="41051"/>
    <n v="3913"/>
    <x v="140"/>
    <n v="116060780"/>
    <m/>
    <n v="0"/>
    <n v="1"/>
    <x v="0"/>
  </r>
  <r>
    <x v="2"/>
    <n v="41"/>
    <n v="5"/>
    <x v="23"/>
    <x v="44"/>
    <x v="58"/>
    <n v="41"/>
    <n v="51"/>
    <s v="Oregon"/>
    <s v="Multnomah County"/>
    <n v="41051"/>
    <n v="4522"/>
    <x v="141"/>
    <n v="169485050"/>
    <n v="41005"/>
    <n v="0"/>
    <n v="1"/>
    <x v="0"/>
  </r>
  <r>
    <x v="2"/>
    <n v="41"/>
    <n v="17"/>
    <x v="23"/>
    <x v="45"/>
    <x v="59"/>
    <n v="41"/>
    <n v="51"/>
    <s v="Oregon"/>
    <s v="Multnomah County"/>
    <n v="41051"/>
    <n v="89"/>
    <x v="0"/>
    <n v="1922400"/>
    <n v="41017"/>
    <n v="0"/>
    <n v="1"/>
    <x v="0"/>
  </r>
  <r>
    <x v="2"/>
    <n v="41"/>
    <n v="19"/>
    <x v="23"/>
    <x v="79"/>
    <x v="163"/>
    <n v="41"/>
    <n v="51"/>
    <s v="Oregon"/>
    <s v="Multnomah County"/>
    <n v="41051"/>
    <n v="152"/>
    <x v="0"/>
    <n v="2426800"/>
    <n v="41019"/>
    <n v="0"/>
    <n v="1"/>
    <x v="0"/>
  </r>
  <r>
    <x v="2"/>
    <n v="41"/>
    <n v="29"/>
    <x v="23"/>
    <x v="46"/>
    <x v="60"/>
    <n v="41"/>
    <n v="51"/>
    <s v="Oregon"/>
    <s v="Multnomah County"/>
    <n v="41051"/>
    <n v="383"/>
    <x v="0"/>
    <n v="21416000"/>
    <n v="41029"/>
    <n v="0"/>
    <n v="1"/>
    <x v="0"/>
  </r>
  <r>
    <x v="2"/>
    <n v="41"/>
    <n v="39"/>
    <x v="23"/>
    <x v="47"/>
    <x v="61"/>
    <n v="41"/>
    <n v="51"/>
    <s v="Oregon"/>
    <s v="Multnomah County"/>
    <n v="41051"/>
    <n v="1405"/>
    <x v="142"/>
    <n v="39397300"/>
    <n v="41039"/>
    <n v="0"/>
    <n v="1"/>
    <x v="0"/>
  </r>
  <r>
    <x v="2"/>
    <n v="41"/>
    <n v="47"/>
    <x v="23"/>
    <x v="48"/>
    <x v="62"/>
    <n v="41"/>
    <n v="51"/>
    <s v="Oregon"/>
    <s v="Multnomah County"/>
    <n v="41051"/>
    <n v="3462"/>
    <x v="143"/>
    <n v="96462650"/>
    <n v="41047"/>
    <n v="0"/>
    <n v="1"/>
    <x v="0"/>
  </r>
  <r>
    <x v="2"/>
    <n v="41"/>
    <n v="51"/>
    <x v="23"/>
    <x v="49"/>
    <x v="63"/>
    <n v="41"/>
    <n v="51"/>
    <s v="Oregon"/>
    <s v="Multnomah County"/>
    <n v="41051"/>
    <n v="581400"/>
    <x v="144"/>
    <n v="26819594030"/>
    <n v="41051"/>
    <n v="1"/>
    <n v="1"/>
    <x v="1"/>
  </r>
  <r>
    <x v="2"/>
    <n v="41"/>
    <n v="67"/>
    <x v="23"/>
    <x v="50"/>
    <x v="64"/>
    <n v="41"/>
    <n v="51"/>
    <s v="Oregon"/>
    <s v="Multnomah County"/>
    <n v="41051"/>
    <n v="5300"/>
    <x v="145"/>
    <n v="308235410"/>
    <n v="41067"/>
    <n v="0"/>
    <n v="1"/>
    <x v="0"/>
  </r>
  <r>
    <x v="2"/>
    <n v="42"/>
    <n v="0"/>
    <x v="24"/>
    <x v="0"/>
    <x v="65"/>
    <n v="41"/>
    <n v="51"/>
    <s v="Oregon"/>
    <s v="Multnomah County"/>
    <n v="41051"/>
    <n v="94"/>
    <x v="0"/>
    <n v="89300"/>
    <m/>
    <n v="0"/>
    <n v="1"/>
    <x v="0"/>
  </r>
  <r>
    <x v="2"/>
    <n v="42"/>
    <n v="3"/>
    <x v="24"/>
    <x v="121"/>
    <x v="164"/>
    <n v="41"/>
    <n v="51"/>
    <s v="Oregon"/>
    <s v="Multnomah County"/>
    <n v="41051"/>
    <n v="98"/>
    <x v="146"/>
    <n v="12250000"/>
    <n v="42003"/>
    <n v="0"/>
    <n v="1"/>
    <x v="0"/>
  </r>
  <r>
    <x v="2"/>
    <n v="42"/>
    <n v="45"/>
    <x v="24"/>
    <x v="122"/>
    <x v="165"/>
    <n v="41"/>
    <n v="51"/>
    <s v="Oregon"/>
    <s v="Multnomah County"/>
    <n v="41051"/>
    <n v="115"/>
    <x v="117"/>
    <n v="24331000"/>
    <n v="42045"/>
    <n v="0"/>
    <n v="1"/>
    <x v="0"/>
  </r>
  <r>
    <x v="2"/>
    <n v="44"/>
    <n v="3"/>
    <x v="25"/>
    <x v="113"/>
    <x v="166"/>
    <n v="41"/>
    <n v="51"/>
    <s v="Oregon"/>
    <s v="Multnomah County"/>
    <n v="41051"/>
    <n v="71"/>
    <x v="0"/>
    <n v="923000"/>
    <n v="44003"/>
    <n v="0"/>
    <n v="1"/>
    <x v="0"/>
  </r>
  <r>
    <x v="2"/>
    <n v="46"/>
    <n v="0"/>
    <x v="42"/>
    <x v="0"/>
    <x v="120"/>
    <n v="41"/>
    <n v="51"/>
    <s v="Oregon"/>
    <s v="Multnomah County"/>
    <n v="41051"/>
    <n v="131"/>
    <x v="128"/>
    <n v="1255000"/>
    <m/>
    <n v="0"/>
    <n v="1"/>
    <x v="0"/>
  </r>
  <r>
    <x v="2"/>
    <n v="48"/>
    <n v="29"/>
    <x v="27"/>
    <x v="123"/>
    <x v="167"/>
    <n v="41"/>
    <n v="51"/>
    <s v="Oregon"/>
    <s v="Multnomah County"/>
    <n v="41051"/>
    <n v="56"/>
    <x v="47"/>
    <n v="1876000"/>
    <n v="48029"/>
    <n v="0"/>
    <n v="1"/>
    <x v="0"/>
  </r>
  <r>
    <x v="2"/>
    <n v="48"/>
    <n v="113"/>
    <x v="27"/>
    <x v="88"/>
    <x v="122"/>
    <n v="41"/>
    <n v="51"/>
    <s v="Oregon"/>
    <s v="Multnomah County"/>
    <n v="41051"/>
    <n v="111"/>
    <x v="147"/>
    <n v="976800"/>
    <n v="48113"/>
    <n v="0"/>
    <n v="1"/>
    <x v="0"/>
  </r>
  <r>
    <x v="2"/>
    <n v="48"/>
    <n v="453"/>
    <x v="27"/>
    <x v="57"/>
    <x v="72"/>
    <n v="41"/>
    <n v="51"/>
    <s v="Oregon"/>
    <s v="Multnomah County"/>
    <n v="41051"/>
    <n v="489"/>
    <x v="148"/>
    <n v="12683000"/>
    <n v="48453"/>
    <n v="0"/>
    <n v="1"/>
    <x v="0"/>
  </r>
  <r>
    <x v="2"/>
    <n v="49"/>
    <n v="35"/>
    <x v="28"/>
    <x v="58"/>
    <x v="73"/>
    <n v="41"/>
    <n v="51"/>
    <s v="Oregon"/>
    <s v="Multnomah County"/>
    <n v="41051"/>
    <n v="1085"/>
    <x v="149"/>
    <n v="64598700"/>
    <n v="49035"/>
    <n v="0"/>
    <n v="1"/>
    <x v="0"/>
  </r>
  <r>
    <x v="2"/>
    <n v="51"/>
    <n v="0"/>
    <x v="30"/>
    <x v="0"/>
    <x v="75"/>
    <n v="41"/>
    <n v="51"/>
    <s v="Oregon"/>
    <s v="Multnomah County"/>
    <n v="41051"/>
    <n v="150"/>
    <x v="128"/>
    <n v="3600000"/>
    <m/>
    <n v="0"/>
    <n v="1"/>
    <x v="0"/>
  </r>
  <r>
    <x v="2"/>
    <n v="51"/>
    <n v="810"/>
    <x v="30"/>
    <x v="124"/>
    <x v="168"/>
    <n v="41"/>
    <n v="51"/>
    <s v="Oregon"/>
    <s v="Multnomah County"/>
    <n v="41051"/>
    <n v="214"/>
    <x v="0"/>
    <n v="4498000"/>
    <n v="51810"/>
    <n v="0"/>
    <n v="1"/>
    <x v="0"/>
  </r>
  <r>
    <x v="2"/>
    <n v="53"/>
    <n v="0"/>
    <x v="31"/>
    <x v="0"/>
    <x v="76"/>
    <n v="41"/>
    <n v="51"/>
    <s v="Oregon"/>
    <s v="Multnomah County"/>
    <n v="41051"/>
    <n v="590"/>
    <x v="30"/>
    <n v="21159900"/>
    <m/>
    <n v="0"/>
    <n v="1"/>
    <x v="0"/>
  </r>
  <r>
    <x v="2"/>
    <n v="53"/>
    <n v="11"/>
    <x v="31"/>
    <x v="38"/>
    <x v="77"/>
    <n v="41"/>
    <n v="51"/>
    <s v="Oregon"/>
    <s v="Multnomah County"/>
    <n v="41051"/>
    <n v="1975"/>
    <x v="150"/>
    <n v="104052300"/>
    <n v="53011"/>
    <n v="0"/>
    <n v="1"/>
    <x v="0"/>
  </r>
  <r>
    <x v="2"/>
    <n v="53"/>
    <n v="33"/>
    <x v="31"/>
    <x v="59"/>
    <x v="78"/>
    <n v="41"/>
    <n v="51"/>
    <s v="Oregon"/>
    <s v="Multnomah County"/>
    <n v="41051"/>
    <n v="1624"/>
    <x v="151"/>
    <n v="72174530"/>
    <n v="53033"/>
    <n v="0"/>
    <n v="1"/>
    <x v="0"/>
  </r>
  <r>
    <x v="2"/>
    <n v="53"/>
    <n v="53"/>
    <x v="31"/>
    <x v="61"/>
    <x v="80"/>
    <n v="41"/>
    <n v="51"/>
    <s v="Oregon"/>
    <s v="Multnomah County"/>
    <n v="41051"/>
    <n v="652"/>
    <x v="152"/>
    <n v="14107600"/>
    <n v="53053"/>
    <n v="0"/>
    <n v="1"/>
    <x v="0"/>
  </r>
  <r>
    <x v="2"/>
    <n v="53"/>
    <n v="61"/>
    <x v="31"/>
    <x v="62"/>
    <x v="81"/>
    <n v="41"/>
    <n v="51"/>
    <s v="Oregon"/>
    <s v="Multnomah County"/>
    <n v="41051"/>
    <n v="144"/>
    <x v="52"/>
    <n v="9400000"/>
    <n v="53061"/>
    <n v="0"/>
    <n v="1"/>
    <x v="0"/>
  </r>
  <r>
    <x v="2"/>
    <n v="53"/>
    <n v="67"/>
    <x v="31"/>
    <x v="64"/>
    <x v="83"/>
    <n v="41"/>
    <n v="51"/>
    <s v="Oregon"/>
    <s v="Multnomah County"/>
    <n v="41051"/>
    <n v="87"/>
    <x v="89"/>
    <n v="3915000"/>
    <n v="53067"/>
    <n v="0"/>
    <n v="1"/>
    <x v="0"/>
  </r>
  <r>
    <x v="2"/>
    <n v="53"/>
    <n v="77"/>
    <x v="31"/>
    <x v="94"/>
    <x v="129"/>
    <n v="41"/>
    <n v="51"/>
    <s v="Oregon"/>
    <s v="Multnomah County"/>
    <n v="41051"/>
    <n v="114"/>
    <x v="123"/>
    <n v="10317000"/>
    <n v="53077"/>
    <n v="0"/>
    <n v="1"/>
    <x v="0"/>
  </r>
  <r>
    <x v="2"/>
    <n v="54"/>
    <n v="0"/>
    <x v="44"/>
    <x v="0"/>
    <x v="169"/>
    <n v="41"/>
    <n v="51"/>
    <s v="Oregon"/>
    <s v="Multnomah County"/>
    <n v="41051"/>
    <n v="160"/>
    <x v="5"/>
    <n v="5144000"/>
    <m/>
    <n v="0"/>
    <n v="1"/>
    <x v="0"/>
  </r>
  <r>
    <x v="2"/>
    <n v="55"/>
    <n v="79"/>
    <x v="32"/>
    <x v="65"/>
    <x v="85"/>
    <n v="41"/>
    <n v="51"/>
    <s v="Oregon"/>
    <s v="Multnomah County"/>
    <n v="41051"/>
    <n v="276"/>
    <x v="153"/>
    <n v="6630400"/>
    <n v="55079"/>
    <n v="0"/>
    <n v="1"/>
    <x v="0"/>
  </r>
  <r>
    <x v="3"/>
    <n v="2"/>
    <n v="0"/>
    <x v="0"/>
    <x v="0"/>
    <x v="0"/>
    <n v="41"/>
    <n v="51"/>
    <s v="Oregon"/>
    <s v="Multnomah County"/>
    <n v="41051"/>
    <n v="125"/>
    <x v="154"/>
    <n v="1355500"/>
    <m/>
    <n v="0"/>
    <n v="1"/>
    <x v="0"/>
  </r>
  <r>
    <x v="3"/>
    <n v="4"/>
    <n v="13"/>
    <x v="1"/>
    <x v="3"/>
    <x v="4"/>
    <n v="41"/>
    <n v="51"/>
    <s v="Oregon"/>
    <s v="Multnomah County"/>
    <n v="41051"/>
    <n v="310"/>
    <x v="155"/>
    <n v="12562600"/>
    <n v="4013"/>
    <n v="0"/>
    <n v="1"/>
    <x v="0"/>
  </r>
  <r>
    <x v="3"/>
    <n v="4"/>
    <n v="25"/>
    <x v="1"/>
    <x v="96"/>
    <x v="131"/>
    <n v="41"/>
    <n v="51"/>
    <s v="Oregon"/>
    <s v="Multnomah County"/>
    <n v="41051"/>
    <n v="267"/>
    <x v="156"/>
    <n v="4143000"/>
    <n v="4025"/>
    <n v="0"/>
    <n v="1"/>
    <x v="0"/>
  </r>
  <r>
    <x v="3"/>
    <n v="5"/>
    <n v="119"/>
    <x v="2"/>
    <x v="66"/>
    <x v="86"/>
    <n v="41"/>
    <n v="51"/>
    <s v="Oregon"/>
    <s v="Multnomah County"/>
    <n v="41051"/>
    <n v="180"/>
    <x v="130"/>
    <n v="13764000"/>
    <n v="5119"/>
    <n v="0"/>
    <n v="1"/>
    <x v="0"/>
  </r>
  <r>
    <x v="3"/>
    <n v="6"/>
    <n v="0"/>
    <x v="3"/>
    <x v="0"/>
    <x v="6"/>
    <n v="41"/>
    <n v="51"/>
    <s v="Oregon"/>
    <s v="Multnomah County"/>
    <n v="41051"/>
    <n v="233"/>
    <x v="0"/>
    <n v="1467900"/>
    <m/>
    <n v="0"/>
    <n v="1"/>
    <x v="0"/>
  </r>
  <r>
    <x v="3"/>
    <n v="6"/>
    <n v="1"/>
    <x v="3"/>
    <x v="4"/>
    <x v="7"/>
    <n v="41"/>
    <n v="51"/>
    <s v="Oregon"/>
    <s v="Multnomah County"/>
    <n v="41051"/>
    <n v="831"/>
    <x v="157"/>
    <n v="30249700"/>
    <n v="6001"/>
    <n v="0"/>
    <n v="1"/>
    <x v="0"/>
  </r>
  <r>
    <x v="3"/>
    <n v="6"/>
    <n v="13"/>
    <x v="3"/>
    <x v="5"/>
    <x v="8"/>
    <n v="41"/>
    <n v="51"/>
    <s v="Oregon"/>
    <s v="Multnomah County"/>
    <n v="41051"/>
    <n v="102"/>
    <x v="129"/>
    <n v="3876000"/>
    <n v="6013"/>
    <n v="0"/>
    <n v="1"/>
    <x v="0"/>
  </r>
  <r>
    <x v="3"/>
    <n v="6"/>
    <n v="19"/>
    <x v="3"/>
    <x v="6"/>
    <x v="9"/>
    <n v="41"/>
    <n v="51"/>
    <s v="Oregon"/>
    <s v="Multnomah County"/>
    <n v="41051"/>
    <n v="147"/>
    <x v="73"/>
    <n v="2679600"/>
    <n v="6019"/>
    <n v="0"/>
    <n v="1"/>
    <x v="0"/>
  </r>
  <r>
    <x v="3"/>
    <n v="6"/>
    <n v="23"/>
    <x v="3"/>
    <x v="68"/>
    <x v="88"/>
    <n v="41"/>
    <n v="51"/>
    <s v="Oregon"/>
    <s v="Multnomah County"/>
    <n v="41051"/>
    <n v="330"/>
    <x v="158"/>
    <n v="13928890"/>
    <n v="6023"/>
    <n v="0"/>
    <n v="1"/>
    <x v="0"/>
  </r>
  <r>
    <x v="3"/>
    <n v="6"/>
    <n v="37"/>
    <x v="3"/>
    <x v="8"/>
    <x v="11"/>
    <n v="41"/>
    <n v="51"/>
    <s v="Oregon"/>
    <s v="Multnomah County"/>
    <n v="41051"/>
    <n v="1261"/>
    <x v="159"/>
    <n v="52682670"/>
    <n v="6037"/>
    <n v="0"/>
    <n v="1"/>
    <x v="0"/>
  </r>
  <r>
    <x v="3"/>
    <n v="6"/>
    <n v="41"/>
    <x v="3"/>
    <x v="98"/>
    <x v="133"/>
    <n v="41"/>
    <n v="51"/>
    <s v="Oregon"/>
    <s v="Multnomah County"/>
    <n v="41051"/>
    <n v="152"/>
    <x v="42"/>
    <n v="4764000"/>
    <n v="6041"/>
    <n v="0"/>
    <n v="1"/>
    <x v="0"/>
  </r>
  <r>
    <x v="3"/>
    <n v="6"/>
    <n v="67"/>
    <x v="3"/>
    <x v="11"/>
    <x v="14"/>
    <n v="41"/>
    <n v="51"/>
    <s v="Oregon"/>
    <s v="Multnomah County"/>
    <n v="41051"/>
    <n v="859"/>
    <x v="108"/>
    <n v="36001100"/>
    <n v="6067"/>
    <n v="0"/>
    <n v="1"/>
    <x v="0"/>
  </r>
  <r>
    <x v="3"/>
    <n v="6"/>
    <n v="73"/>
    <x v="3"/>
    <x v="13"/>
    <x v="16"/>
    <n v="41"/>
    <n v="51"/>
    <s v="Oregon"/>
    <s v="Multnomah County"/>
    <n v="41051"/>
    <n v="679"/>
    <x v="84"/>
    <n v="21157400"/>
    <n v="6073"/>
    <n v="0"/>
    <n v="1"/>
    <x v="0"/>
  </r>
  <r>
    <x v="3"/>
    <n v="6"/>
    <n v="75"/>
    <x v="3"/>
    <x v="14"/>
    <x v="17"/>
    <n v="41"/>
    <n v="51"/>
    <s v="Oregon"/>
    <s v="Multnomah County"/>
    <n v="41051"/>
    <n v="474"/>
    <x v="160"/>
    <n v="44831000"/>
    <n v="6075"/>
    <n v="0"/>
    <n v="1"/>
    <x v="0"/>
  </r>
  <r>
    <x v="3"/>
    <n v="6"/>
    <n v="81"/>
    <x v="3"/>
    <x v="100"/>
    <x v="135"/>
    <n v="41"/>
    <n v="51"/>
    <s v="Oregon"/>
    <s v="Multnomah County"/>
    <n v="41051"/>
    <n v="101"/>
    <x v="47"/>
    <n v="7227000"/>
    <n v="6081"/>
    <n v="0"/>
    <n v="1"/>
    <x v="0"/>
  </r>
  <r>
    <x v="3"/>
    <n v="6"/>
    <n v="83"/>
    <x v="3"/>
    <x v="16"/>
    <x v="19"/>
    <n v="41"/>
    <n v="51"/>
    <s v="Oregon"/>
    <s v="Multnomah County"/>
    <n v="41051"/>
    <n v="405"/>
    <x v="161"/>
    <n v="15640000"/>
    <n v="6083"/>
    <n v="0"/>
    <n v="1"/>
    <x v="0"/>
  </r>
  <r>
    <x v="3"/>
    <n v="6"/>
    <n v="85"/>
    <x v="3"/>
    <x v="17"/>
    <x v="20"/>
    <n v="41"/>
    <n v="51"/>
    <s v="Oregon"/>
    <s v="Multnomah County"/>
    <n v="41051"/>
    <n v="639"/>
    <x v="162"/>
    <n v="37985000"/>
    <n v="6085"/>
    <n v="0"/>
    <n v="1"/>
    <x v="0"/>
  </r>
  <r>
    <x v="3"/>
    <n v="6"/>
    <n v="87"/>
    <x v="3"/>
    <x v="71"/>
    <x v="92"/>
    <n v="41"/>
    <n v="51"/>
    <s v="Oregon"/>
    <s v="Multnomah County"/>
    <n v="41051"/>
    <n v="66"/>
    <x v="21"/>
    <n v="4620000"/>
    <n v="6087"/>
    <n v="0"/>
    <n v="1"/>
    <x v="0"/>
  </r>
  <r>
    <x v="3"/>
    <n v="6"/>
    <n v="89"/>
    <x v="3"/>
    <x v="101"/>
    <x v="136"/>
    <n v="41"/>
    <n v="51"/>
    <s v="Oregon"/>
    <s v="Multnomah County"/>
    <n v="41051"/>
    <n v="99"/>
    <x v="0"/>
    <n v="6435000"/>
    <n v="6089"/>
    <n v="0"/>
    <n v="1"/>
    <x v="0"/>
  </r>
  <r>
    <x v="3"/>
    <n v="6"/>
    <n v="97"/>
    <x v="3"/>
    <x v="18"/>
    <x v="21"/>
    <n v="41"/>
    <n v="51"/>
    <s v="Oregon"/>
    <s v="Multnomah County"/>
    <n v="41051"/>
    <n v="361"/>
    <x v="163"/>
    <n v="14085000"/>
    <n v="6097"/>
    <n v="0"/>
    <n v="1"/>
    <x v="0"/>
  </r>
  <r>
    <x v="3"/>
    <n v="6"/>
    <n v="111"/>
    <x v="3"/>
    <x v="72"/>
    <x v="93"/>
    <n v="41"/>
    <n v="51"/>
    <s v="Oregon"/>
    <s v="Multnomah County"/>
    <n v="41051"/>
    <n v="88"/>
    <x v="0"/>
    <n v="4840000"/>
    <n v="6111"/>
    <n v="0"/>
    <n v="1"/>
    <x v="0"/>
  </r>
  <r>
    <x v="3"/>
    <n v="8"/>
    <n v="0"/>
    <x v="4"/>
    <x v="0"/>
    <x v="24"/>
    <n v="41"/>
    <n v="51"/>
    <s v="Oregon"/>
    <s v="Multnomah County"/>
    <n v="41051"/>
    <n v="204"/>
    <x v="114"/>
    <n v="24579000"/>
    <m/>
    <n v="0"/>
    <n v="1"/>
    <x v="0"/>
  </r>
  <r>
    <x v="3"/>
    <n v="11"/>
    <n v="1"/>
    <x v="5"/>
    <x v="21"/>
    <x v="25"/>
    <n v="41"/>
    <n v="51"/>
    <s v="Oregon"/>
    <s v="Multnomah County"/>
    <n v="41051"/>
    <n v="268"/>
    <x v="164"/>
    <n v="3928370"/>
    <n v="11001"/>
    <n v="0"/>
    <n v="1"/>
    <x v="0"/>
  </r>
  <r>
    <x v="3"/>
    <n v="12"/>
    <n v="11"/>
    <x v="6"/>
    <x v="77"/>
    <x v="98"/>
    <n v="41"/>
    <n v="51"/>
    <s v="Oregon"/>
    <s v="Multnomah County"/>
    <n v="41051"/>
    <n v="442"/>
    <x v="165"/>
    <n v="26933100"/>
    <n v="12011"/>
    <n v="0"/>
    <n v="1"/>
    <x v="0"/>
  </r>
  <r>
    <x v="3"/>
    <n v="12"/>
    <n v="105"/>
    <x v="6"/>
    <x v="125"/>
    <x v="170"/>
    <n v="41"/>
    <n v="51"/>
    <s v="Oregon"/>
    <s v="Multnomah County"/>
    <n v="41051"/>
    <n v="189"/>
    <x v="0"/>
    <n v="5670000"/>
    <n v="12105"/>
    <n v="0"/>
    <n v="1"/>
    <x v="0"/>
  </r>
  <r>
    <x v="3"/>
    <n v="13"/>
    <n v="0"/>
    <x v="7"/>
    <x v="0"/>
    <x v="100"/>
    <n v="41"/>
    <n v="51"/>
    <s v="Oregon"/>
    <s v="Multnomah County"/>
    <n v="41051"/>
    <n v="189"/>
    <x v="70"/>
    <n v="6764760"/>
    <m/>
    <n v="0"/>
    <n v="1"/>
    <x v="0"/>
  </r>
  <r>
    <x v="3"/>
    <n v="13"/>
    <n v="67"/>
    <x v="7"/>
    <x v="126"/>
    <x v="171"/>
    <n v="41"/>
    <n v="51"/>
    <s v="Oregon"/>
    <s v="Multnomah County"/>
    <n v="41051"/>
    <n v="140"/>
    <x v="81"/>
    <n v="6615000"/>
    <n v="13067"/>
    <n v="0"/>
    <n v="1"/>
    <x v="0"/>
  </r>
  <r>
    <x v="3"/>
    <n v="13"/>
    <n v="135"/>
    <x v="7"/>
    <x v="24"/>
    <x v="29"/>
    <n v="41"/>
    <n v="51"/>
    <s v="Oregon"/>
    <s v="Multnomah County"/>
    <n v="41051"/>
    <n v="255"/>
    <x v="0"/>
    <n v="1642740"/>
    <n v="13135"/>
    <n v="0"/>
    <n v="1"/>
    <x v="0"/>
  </r>
  <r>
    <x v="3"/>
    <n v="15"/>
    <n v="0"/>
    <x v="8"/>
    <x v="0"/>
    <x v="141"/>
    <n v="41"/>
    <n v="51"/>
    <s v="Oregon"/>
    <s v="Multnomah County"/>
    <n v="41051"/>
    <n v="186"/>
    <x v="0"/>
    <n v="4650000"/>
    <m/>
    <n v="0"/>
    <n v="1"/>
    <x v="0"/>
  </r>
  <r>
    <x v="3"/>
    <n v="15"/>
    <n v="1"/>
    <x v="8"/>
    <x v="25"/>
    <x v="30"/>
    <n v="41"/>
    <n v="51"/>
    <s v="Oregon"/>
    <s v="Multnomah County"/>
    <n v="41051"/>
    <n v="185"/>
    <x v="166"/>
    <n v="3447200"/>
    <n v="15001"/>
    <n v="0"/>
    <n v="1"/>
    <x v="0"/>
  </r>
  <r>
    <x v="3"/>
    <n v="16"/>
    <n v="0"/>
    <x v="9"/>
    <x v="0"/>
    <x v="32"/>
    <n v="41"/>
    <n v="51"/>
    <s v="Oregon"/>
    <s v="Multnomah County"/>
    <n v="41051"/>
    <n v="376"/>
    <x v="167"/>
    <n v="5050000"/>
    <m/>
    <n v="0"/>
    <n v="1"/>
    <x v="0"/>
  </r>
  <r>
    <x v="3"/>
    <n v="17"/>
    <n v="31"/>
    <x v="10"/>
    <x v="28"/>
    <x v="34"/>
    <n v="41"/>
    <n v="51"/>
    <s v="Oregon"/>
    <s v="Multnomah County"/>
    <n v="41051"/>
    <n v="790"/>
    <x v="168"/>
    <n v="125588000"/>
    <n v="17031"/>
    <n v="0"/>
    <n v="1"/>
    <x v="0"/>
  </r>
  <r>
    <x v="3"/>
    <n v="19"/>
    <n v="13"/>
    <x v="12"/>
    <x v="108"/>
    <x v="146"/>
    <n v="41"/>
    <n v="51"/>
    <s v="Oregon"/>
    <s v="Multnomah County"/>
    <n v="41051"/>
    <n v="136"/>
    <x v="169"/>
    <n v="4760000"/>
    <n v="19013"/>
    <n v="0"/>
    <n v="1"/>
    <x v="0"/>
  </r>
  <r>
    <x v="3"/>
    <n v="20"/>
    <n v="91"/>
    <x v="34"/>
    <x v="32"/>
    <x v="172"/>
    <n v="41"/>
    <n v="51"/>
    <s v="Oregon"/>
    <s v="Multnomah County"/>
    <n v="41051"/>
    <n v="161"/>
    <x v="147"/>
    <n v="10025000"/>
    <n v="20091"/>
    <n v="0"/>
    <n v="1"/>
    <x v="0"/>
  </r>
  <r>
    <x v="3"/>
    <n v="22"/>
    <n v="103"/>
    <x v="13"/>
    <x v="127"/>
    <x v="173"/>
    <n v="41"/>
    <n v="51"/>
    <s v="Oregon"/>
    <s v="Multnomah County"/>
    <n v="41051"/>
    <n v="287"/>
    <x v="170"/>
    <n v="8610000"/>
    <n v="22103"/>
    <n v="0"/>
    <n v="1"/>
    <x v="0"/>
  </r>
  <r>
    <x v="3"/>
    <n v="23"/>
    <n v="0"/>
    <x v="35"/>
    <x v="0"/>
    <x v="105"/>
    <n v="41"/>
    <n v="51"/>
    <s v="Oregon"/>
    <s v="Multnomah County"/>
    <n v="41051"/>
    <n v="359"/>
    <x v="105"/>
    <n v="0"/>
    <m/>
    <n v="0"/>
    <n v="1"/>
    <x v="0"/>
  </r>
  <r>
    <x v="3"/>
    <n v="24"/>
    <n v="31"/>
    <x v="14"/>
    <x v="52"/>
    <x v="174"/>
    <n v="41"/>
    <n v="51"/>
    <s v="Oregon"/>
    <s v="Multnomah County"/>
    <n v="41051"/>
    <n v="119"/>
    <x v="0"/>
    <n v="7735000"/>
    <n v="24031"/>
    <n v="0"/>
    <n v="1"/>
    <x v="0"/>
  </r>
  <r>
    <x v="3"/>
    <n v="25"/>
    <n v="0"/>
    <x v="15"/>
    <x v="0"/>
    <x v="43"/>
    <n v="41"/>
    <n v="51"/>
    <s v="Oregon"/>
    <s v="Multnomah County"/>
    <n v="41051"/>
    <n v="155"/>
    <x v="0"/>
    <n v="5425000"/>
    <m/>
    <n v="0"/>
    <n v="1"/>
    <x v="0"/>
  </r>
  <r>
    <x v="3"/>
    <n v="25"/>
    <n v="25"/>
    <x v="15"/>
    <x v="35"/>
    <x v="44"/>
    <n v="41"/>
    <n v="51"/>
    <s v="Oregon"/>
    <s v="Multnomah County"/>
    <n v="41051"/>
    <n v="354"/>
    <x v="70"/>
    <n v="21515360"/>
    <n v="25025"/>
    <n v="0"/>
    <n v="1"/>
    <x v="0"/>
  </r>
  <r>
    <x v="3"/>
    <n v="27"/>
    <n v="53"/>
    <x v="16"/>
    <x v="36"/>
    <x v="45"/>
    <n v="41"/>
    <n v="51"/>
    <s v="Oregon"/>
    <s v="Multnomah County"/>
    <n v="41051"/>
    <n v="81"/>
    <x v="34"/>
    <n v="6075000"/>
    <n v="27053"/>
    <n v="0"/>
    <n v="1"/>
    <x v="0"/>
  </r>
  <r>
    <x v="3"/>
    <n v="27"/>
    <n v="123"/>
    <x v="16"/>
    <x v="128"/>
    <x v="175"/>
    <n v="41"/>
    <n v="51"/>
    <s v="Oregon"/>
    <s v="Multnomah County"/>
    <n v="41051"/>
    <n v="220"/>
    <x v="171"/>
    <n v="17484000"/>
    <n v="27123"/>
    <n v="0"/>
    <n v="1"/>
    <x v="0"/>
  </r>
  <r>
    <x v="3"/>
    <n v="29"/>
    <n v="0"/>
    <x v="17"/>
    <x v="0"/>
    <x v="176"/>
    <n v="41"/>
    <n v="51"/>
    <s v="Oregon"/>
    <s v="Multnomah County"/>
    <n v="41051"/>
    <n v="235"/>
    <x v="172"/>
    <n v="8066900"/>
    <m/>
    <n v="0"/>
    <n v="1"/>
    <x v="0"/>
  </r>
  <r>
    <x v="3"/>
    <n v="30"/>
    <n v="0"/>
    <x v="37"/>
    <x v="0"/>
    <x v="111"/>
    <n v="41"/>
    <n v="51"/>
    <s v="Oregon"/>
    <s v="Multnomah County"/>
    <n v="41051"/>
    <n v="454"/>
    <x v="173"/>
    <n v="16193200"/>
    <m/>
    <n v="0"/>
    <n v="1"/>
    <x v="0"/>
  </r>
  <r>
    <x v="3"/>
    <n v="32"/>
    <n v="31"/>
    <x v="18"/>
    <x v="116"/>
    <x v="155"/>
    <n v="41"/>
    <n v="51"/>
    <s v="Oregon"/>
    <s v="Multnomah County"/>
    <n v="41051"/>
    <n v="308"/>
    <x v="0"/>
    <n v="13305600"/>
    <n v="32031"/>
    <n v="0"/>
    <n v="1"/>
    <x v="0"/>
  </r>
  <r>
    <x v="3"/>
    <n v="34"/>
    <n v="17"/>
    <x v="38"/>
    <x v="84"/>
    <x v="112"/>
    <n v="41"/>
    <n v="51"/>
    <s v="Oregon"/>
    <s v="Multnomah County"/>
    <n v="41051"/>
    <n v="240"/>
    <x v="80"/>
    <n v="4778800"/>
    <n v="34017"/>
    <n v="0"/>
    <n v="1"/>
    <x v="0"/>
  </r>
  <r>
    <x v="3"/>
    <n v="34"/>
    <n v="21"/>
    <x v="38"/>
    <x v="129"/>
    <x v="177"/>
    <n v="41"/>
    <n v="51"/>
    <s v="Oregon"/>
    <s v="Multnomah County"/>
    <n v="41051"/>
    <n v="78"/>
    <x v="0"/>
    <n v="187200"/>
    <n v="34021"/>
    <n v="0"/>
    <n v="1"/>
    <x v="0"/>
  </r>
  <r>
    <x v="3"/>
    <n v="34"/>
    <n v="23"/>
    <x v="38"/>
    <x v="130"/>
    <x v="178"/>
    <n v="41"/>
    <n v="51"/>
    <s v="Oregon"/>
    <s v="Multnomah County"/>
    <n v="41051"/>
    <n v="180"/>
    <x v="35"/>
    <n v="3308000"/>
    <n v="34023"/>
    <n v="0"/>
    <n v="1"/>
    <x v="0"/>
  </r>
  <r>
    <x v="3"/>
    <n v="35"/>
    <n v="0"/>
    <x v="39"/>
    <x v="0"/>
    <x v="113"/>
    <n v="41"/>
    <n v="51"/>
    <s v="Oregon"/>
    <s v="Multnomah County"/>
    <n v="41051"/>
    <n v="315"/>
    <x v="16"/>
    <n v="14993100"/>
    <m/>
    <n v="0"/>
    <n v="1"/>
    <x v="0"/>
  </r>
  <r>
    <x v="3"/>
    <n v="36"/>
    <n v="0"/>
    <x v="20"/>
    <x v="0"/>
    <x v="157"/>
    <n v="41"/>
    <n v="51"/>
    <s v="Oregon"/>
    <s v="Multnomah County"/>
    <n v="41051"/>
    <n v="65"/>
    <x v="51"/>
    <n v="2210000"/>
    <m/>
    <n v="0"/>
    <n v="1"/>
    <x v="0"/>
  </r>
  <r>
    <x v="3"/>
    <n v="36"/>
    <n v="47"/>
    <x v="20"/>
    <x v="40"/>
    <x v="50"/>
    <n v="41"/>
    <n v="51"/>
    <s v="Oregon"/>
    <s v="Multnomah County"/>
    <n v="41051"/>
    <n v="316"/>
    <x v="174"/>
    <n v="20342000"/>
    <n v="36047"/>
    <n v="0"/>
    <n v="1"/>
    <x v="0"/>
  </r>
  <r>
    <x v="3"/>
    <n v="37"/>
    <n v="0"/>
    <x v="21"/>
    <x v="0"/>
    <x v="179"/>
    <n v="41"/>
    <n v="51"/>
    <s v="Oregon"/>
    <s v="Multnomah County"/>
    <n v="41051"/>
    <n v="611"/>
    <x v="95"/>
    <n v="26822440"/>
    <m/>
    <n v="0"/>
    <n v="1"/>
    <x v="0"/>
  </r>
  <r>
    <x v="3"/>
    <n v="37"/>
    <n v="21"/>
    <x v="21"/>
    <x v="131"/>
    <x v="180"/>
    <n v="41"/>
    <n v="51"/>
    <s v="Oregon"/>
    <s v="Multnomah County"/>
    <n v="41051"/>
    <n v="321"/>
    <x v="175"/>
    <n v="5745000"/>
    <n v="37021"/>
    <n v="0"/>
    <n v="1"/>
    <x v="0"/>
  </r>
  <r>
    <x v="3"/>
    <n v="37"/>
    <n v="35"/>
    <x v="21"/>
    <x v="132"/>
    <x v="181"/>
    <n v="41"/>
    <n v="51"/>
    <s v="Oregon"/>
    <s v="Multnomah County"/>
    <n v="41051"/>
    <n v="632"/>
    <x v="123"/>
    <n v="21826000"/>
    <n v="37035"/>
    <n v="0"/>
    <n v="1"/>
    <x v="0"/>
  </r>
  <r>
    <x v="3"/>
    <n v="37"/>
    <n v="81"/>
    <x v="21"/>
    <x v="133"/>
    <x v="182"/>
    <n v="41"/>
    <n v="51"/>
    <s v="Oregon"/>
    <s v="Multnomah County"/>
    <n v="41051"/>
    <n v="236"/>
    <x v="15"/>
    <n v="12242560"/>
    <n v="37081"/>
    <n v="0"/>
    <n v="1"/>
    <x v="0"/>
  </r>
  <r>
    <x v="3"/>
    <n v="37"/>
    <n v="119"/>
    <x v="21"/>
    <x v="134"/>
    <x v="183"/>
    <n v="41"/>
    <n v="51"/>
    <s v="Oregon"/>
    <s v="Multnomah County"/>
    <n v="41051"/>
    <n v="182"/>
    <x v="158"/>
    <n v="27509000"/>
    <n v="37119"/>
    <n v="0"/>
    <n v="1"/>
    <x v="0"/>
  </r>
  <r>
    <x v="3"/>
    <n v="37"/>
    <n v="183"/>
    <x v="21"/>
    <x v="87"/>
    <x v="116"/>
    <n v="41"/>
    <n v="51"/>
    <s v="Oregon"/>
    <s v="Multnomah County"/>
    <n v="41051"/>
    <n v="503"/>
    <x v="114"/>
    <n v="28580000"/>
    <n v="37183"/>
    <n v="0"/>
    <n v="1"/>
    <x v="0"/>
  </r>
  <r>
    <x v="3"/>
    <n v="38"/>
    <n v="0"/>
    <x v="45"/>
    <x v="0"/>
    <x v="184"/>
    <n v="41"/>
    <n v="51"/>
    <s v="Oregon"/>
    <s v="Multnomah County"/>
    <n v="41051"/>
    <n v="100"/>
    <x v="0"/>
    <n v="4000000"/>
    <m/>
    <n v="0"/>
    <n v="1"/>
    <x v="0"/>
  </r>
  <r>
    <x v="3"/>
    <n v="41"/>
    <n v="0"/>
    <x v="23"/>
    <x v="0"/>
    <x v="57"/>
    <n v="41"/>
    <n v="51"/>
    <s v="Oregon"/>
    <s v="Multnomah County"/>
    <n v="41051"/>
    <n v="3397"/>
    <x v="176"/>
    <n v="199785610"/>
    <m/>
    <n v="0"/>
    <n v="1"/>
    <x v="0"/>
  </r>
  <r>
    <x v="3"/>
    <n v="41"/>
    <n v="5"/>
    <x v="23"/>
    <x v="44"/>
    <x v="58"/>
    <n v="41"/>
    <n v="51"/>
    <s v="Oregon"/>
    <s v="Multnomah County"/>
    <n v="41051"/>
    <n v="7441"/>
    <x v="177"/>
    <n v="278359710"/>
    <n v="41005"/>
    <n v="0"/>
    <n v="1"/>
    <x v="0"/>
  </r>
  <r>
    <x v="3"/>
    <n v="41"/>
    <n v="17"/>
    <x v="23"/>
    <x v="45"/>
    <x v="59"/>
    <n v="41"/>
    <n v="51"/>
    <s v="Oregon"/>
    <s v="Multnomah County"/>
    <n v="41051"/>
    <n v="281"/>
    <x v="48"/>
    <n v="3904400"/>
    <n v="41017"/>
    <n v="0"/>
    <n v="1"/>
    <x v="0"/>
  </r>
  <r>
    <x v="3"/>
    <n v="41"/>
    <n v="19"/>
    <x v="23"/>
    <x v="79"/>
    <x v="163"/>
    <n v="41"/>
    <n v="51"/>
    <s v="Oregon"/>
    <s v="Multnomah County"/>
    <n v="41051"/>
    <n v="84"/>
    <x v="178"/>
    <n v="1165800"/>
    <n v="41019"/>
    <n v="0"/>
    <n v="1"/>
    <x v="0"/>
  </r>
  <r>
    <x v="3"/>
    <n v="41"/>
    <n v="29"/>
    <x v="23"/>
    <x v="46"/>
    <x v="60"/>
    <n v="41"/>
    <n v="51"/>
    <s v="Oregon"/>
    <s v="Multnomah County"/>
    <n v="41051"/>
    <n v="166"/>
    <x v="179"/>
    <n v="5500000"/>
    <n v="41029"/>
    <n v="0"/>
    <n v="1"/>
    <x v="0"/>
  </r>
  <r>
    <x v="3"/>
    <n v="41"/>
    <n v="39"/>
    <x v="23"/>
    <x v="47"/>
    <x v="61"/>
    <n v="41"/>
    <n v="51"/>
    <s v="Oregon"/>
    <s v="Multnomah County"/>
    <n v="41051"/>
    <n v="332"/>
    <x v="0"/>
    <n v="3458800"/>
    <n v="41039"/>
    <n v="0"/>
    <n v="1"/>
    <x v="0"/>
  </r>
  <r>
    <x v="3"/>
    <n v="41"/>
    <n v="47"/>
    <x v="23"/>
    <x v="48"/>
    <x v="62"/>
    <n v="41"/>
    <n v="51"/>
    <s v="Oregon"/>
    <s v="Multnomah County"/>
    <n v="41051"/>
    <n v="753"/>
    <x v="100"/>
    <n v="38764200"/>
    <n v="41047"/>
    <n v="0"/>
    <n v="1"/>
    <x v="0"/>
  </r>
  <r>
    <x v="3"/>
    <n v="41"/>
    <n v="51"/>
    <x v="23"/>
    <x v="49"/>
    <x v="63"/>
    <n v="41"/>
    <n v="51"/>
    <s v="Oregon"/>
    <s v="Multnomah County"/>
    <n v="41051"/>
    <n v="589695"/>
    <x v="180"/>
    <n v="30113894328"/>
    <n v="41051"/>
    <n v="1"/>
    <n v="1"/>
    <x v="1"/>
  </r>
  <r>
    <x v="3"/>
    <n v="41"/>
    <n v="67"/>
    <x v="23"/>
    <x v="50"/>
    <x v="64"/>
    <n v="41"/>
    <n v="51"/>
    <s v="Oregon"/>
    <s v="Multnomah County"/>
    <n v="41051"/>
    <n v="6255"/>
    <x v="181"/>
    <n v="240578126"/>
    <n v="41067"/>
    <n v="0"/>
    <n v="1"/>
    <x v="0"/>
  </r>
  <r>
    <x v="3"/>
    <n v="42"/>
    <n v="0"/>
    <x v="24"/>
    <x v="0"/>
    <x v="65"/>
    <n v="41"/>
    <n v="51"/>
    <s v="Oregon"/>
    <s v="Multnomah County"/>
    <n v="41051"/>
    <n v="116"/>
    <x v="182"/>
    <n v="15800000"/>
    <m/>
    <n v="0"/>
    <n v="1"/>
    <x v="0"/>
  </r>
  <r>
    <x v="3"/>
    <n v="42"/>
    <n v="3"/>
    <x v="24"/>
    <x v="121"/>
    <x v="164"/>
    <n v="41"/>
    <n v="51"/>
    <s v="Oregon"/>
    <s v="Multnomah County"/>
    <n v="41051"/>
    <n v="158"/>
    <x v="107"/>
    <n v="12659000"/>
    <n v="42003"/>
    <n v="0"/>
    <n v="1"/>
    <x v="0"/>
  </r>
  <r>
    <x v="3"/>
    <n v="42"/>
    <n v="17"/>
    <x v="24"/>
    <x v="135"/>
    <x v="185"/>
    <n v="41"/>
    <n v="51"/>
    <s v="Oregon"/>
    <s v="Multnomah County"/>
    <n v="41051"/>
    <n v="279"/>
    <x v="0"/>
    <n v="4185000"/>
    <n v="42017"/>
    <n v="0"/>
    <n v="1"/>
    <x v="0"/>
  </r>
  <r>
    <x v="3"/>
    <n v="45"/>
    <n v="0"/>
    <x v="41"/>
    <x v="0"/>
    <x v="119"/>
    <n v="41"/>
    <n v="51"/>
    <s v="Oregon"/>
    <s v="Multnomah County"/>
    <n v="41051"/>
    <n v="125"/>
    <x v="106"/>
    <n v="4375000"/>
    <m/>
    <n v="0"/>
    <n v="1"/>
    <x v="0"/>
  </r>
  <r>
    <x v="3"/>
    <n v="47"/>
    <n v="0"/>
    <x v="26"/>
    <x v="0"/>
    <x v="121"/>
    <n v="41"/>
    <n v="51"/>
    <s v="Oregon"/>
    <s v="Multnomah County"/>
    <n v="41051"/>
    <n v="153"/>
    <x v="20"/>
    <n v="6249000"/>
    <m/>
    <n v="0"/>
    <n v="1"/>
    <x v="0"/>
  </r>
  <r>
    <x v="3"/>
    <n v="47"/>
    <n v="187"/>
    <x v="26"/>
    <x v="136"/>
    <x v="186"/>
    <n v="41"/>
    <n v="51"/>
    <s v="Oregon"/>
    <s v="Multnomah County"/>
    <n v="41051"/>
    <n v="98"/>
    <x v="23"/>
    <n v="1362200"/>
    <n v="47187"/>
    <n v="0"/>
    <n v="1"/>
    <x v="0"/>
  </r>
  <r>
    <x v="3"/>
    <n v="48"/>
    <n v="113"/>
    <x v="27"/>
    <x v="88"/>
    <x v="122"/>
    <n v="41"/>
    <n v="51"/>
    <s v="Oregon"/>
    <s v="Multnomah County"/>
    <n v="41051"/>
    <n v="171"/>
    <x v="0"/>
    <n v="3334500"/>
    <n v="48113"/>
    <n v="0"/>
    <n v="1"/>
    <x v="0"/>
  </r>
  <r>
    <x v="3"/>
    <n v="48"/>
    <n v="245"/>
    <x v="27"/>
    <x v="137"/>
    <x v="187"/>
    <n v="41"/>
    <n v="51"/>
    <s v="Oregon"/>
    <s v="Multnomah County"/>
    <n v="41051"/>
    <n v="256"/>
    <x v="0"/>
    <n v="6630300"/>
    <n v="48245"/>
    <n v="0"/>
    <n v="1"/>
    <x v="0"/>
  </r>
  <r>
    <x v="3"/>
    <n v="48"/>
    <n v="439"/>
    <x v="27"/>
    <x v="90"/>
    <x v="124"/>
    <n v="41"/>
    <n v="51"/>
    <s v="Oregon"/>
    <s v="Multnomah County"/>
    <n v="41051"/>
    <n v="88"/>
    <x v="29"/>
    <n v="396000"/>
    <n v="48439"/>
    <n v="0"/>
    <n v="1"/>
    <x v="0"/>
  </r>
  <r>
    <x v="3"/>
    <n v="48"/>
    <n v="441"/>
    <x v="27"/>
    <x v="138"/>
    <x v="188"/>
    <n v="41"/>
    <n v="51"/>
    <s v="Oregon"/>
    <s v="Multnomah County"/>
    <n v="41051"/>
    <n v="72"/>
    <x v="0"/>
    <n v="4320000"/>
    <n v="48441"/>
    <n v="0"/>
    <n v="1"/>
    <x v="0"/>
  </r>
  <r>
    <x v="3"/>
    <n v="48"/>
    <n v="453"/>
    <x v="27"/>
    <x v="57"/>
    <x v="72"/>
    <n v="41"/>
    <n v="51"/>
    <s v="Oregon"/>
    <s v="Multnomah County"/>
    <n v="41051"/>
    <n v="126"/>
    <x v="73"/>
    <n v="11067900"/>
    <n v="48453"/>
    <n v="0"/>
    <n v="1"/>
    <x v="0"/>
  </r>
  <r>
    <x v="3"/>
    <n v="49"/>
    <n v="49"/>
    <x v="28"/>
    <x v="139"/>
    <x v="189"/>
    <n v="41"/>
    <n v="51"/>
    <s v="Oregon"/>
    <s v="Multnomah County"/>
    <n v="41051"/>
    <n v="266"/>
    <x v="42"/>
    <n v="4803600"/>
    <n v="49049"/>
    <n v="0"/>
    <n v="1"/>
    <x v="0"/>
  </r>
  <r>
    <x v="3"/>
    <n v="49"/>
    <n v="53"/>
    <x v="28"/>
    <x v="50"/>
    <x v="190"/>
    <n v="41"/>
    <n v="51"/>
    <s v="Oregon"/>
    <s v="Multnomah County"/>
    <n v="41051"/>
    <n v="262"/>
    <x v="0"/>
    <n v="4845650"/>
    <n v="49053"/>
    <n v="0"/>
    <n v="1"/>
    <x v="0"/>
  </r>
  <r>
    <x v="3"/>
    <n v="50"/>
    <n v="0"/>
    <x v="29"/>
    <x v="0"/>
    <x v="74"/>
    <n v="41"/>
    <n v="51"/>
    <s v="Oregon"/>
    <s v="Multnomah County"/>
    <n v="41051"/>
    <n v="43"/>
    <x v="0"/>
    <n v="1384600"/>
    <m/>
    <n v="0"/>
    <n v="1"/>
    <x v="0"/>
  </r>
  <r>
    <x v="3"/>
    <n v="51"/>
    <n v="0"/>
    <x v="30"/>
    <x v="0"/>
    <x v="75"/>
    <n v="41"/>
    <n v="51"/>
    <s v="Oregon"/>
    <s v="Multnomah County"/>
    <n v="41051"/>
    <n v="84"/>
    <x v="0"/>
    <n v="84000"/>
    <m/>
    <n v="0"/>
    <n v="1"/>
    <x v="0"/>
  </r>
  <r>
    <x v="3"/>
    <n v="51"/>
    <n v="760"/>
    <x v="30"/>
    <x v="140"/>
    <x v="191"/>
    <n v="41"/>
    <n v="51"/>
    <s v="Oregon"/>
    <s v="Multnomah County"/>
    <n v="41051"/>
    <n v="500"/>
    <x v="47"/>
    <n v="18380000"/>
    <n v="51760"/>
    <n v="0"/>
    <n v="1"/>
    <x v="0"/>
  </r>
  <r>
    <x v="3"/>
    <n v="51"/>
    <n v="810"/>
    <x v="30"/>
    <x v="124"/>
    <x v="168"/>
    <n v="41"/>
    <n v="51"/>
    <s v="Oregon"/>
    <s v="Multnomah County"/>
    <n v="41051"/>
    <n v="249"/>
    <x v="131"/>
    <n v="1937760"/>
    <n v="51810"/>
    <n v="0"/>
    <n v="1"/>
    <x v="0"/>
  </r>
  <r>
    <x v="3"/>
    <n v="53"/>
    <n v="0"/>
    <x v="31"/>
    <x v="0"/>
    <x v="76"/>
    <n v="41"/>
    <n v="51"/>
    <s v="Oregon"/>
    <s v="Multnomah County"/>
    <n v="41051"/>
    <n v="1431"/>
    <x v="183"/>
    <n v="42426310"/>
    <m/>
    <n v="0"/>
    <n v="1"/>
    <x v="0"/>
  </r>
  <r>
    <x v="3"/>
    <n v="53"/>
    <n v="11"/>
    <x v="31"/>
    <x v="38"/>
    <x v="77"/>
    <n v="41"/>
    <n v="51"/>
    <s v="Oregon"/>
    <s v="Multnomah County"/>
    <n v="41051"/>
    <n v="1422"/>
    <x v="184"/>
    <n v="49560700"/>
    <n v="53011"/>
    <n v="0"/>
    <n v="1"/>
    <x v="0"/>
  </r>
  <r>
    <x v="3"/>
    <n v="53"/>
    <n v="33"/>
    <x v="31"/>
    <x v="59"/>
    <x v="78"/>
    <n v="41"/>
    <n v="51"/>
    <s v="Oregon"/>
    <s v="Multnomah County"/>
    <n v="41051"/>
    <n v="2181"/>
    <x v="185"/>
    <n v="80733200"/>
    <n v="53033"/>
    <n v="0"/>
    <n v="1"/>
    <x v="0"/>
  </r>
  <r>
    <x v="3"/>
    <n v="53"/>
    <n v="53"/>
    <x v="31"/>
    <x v="61"/>
    <x v="80"/>
    <n v="41"/>
    <n v="51"/>
    <s v="Oregon"/>
    <s v="Multnomah County"/>
    <n v="41051"/>
    <n v="456"/>
    <x v="106"/>
    <n v="16939800"/>
    <n v="53053"/>
    <n v="0"/>
    <n v="1"/>
    <x v="0"/>
  </r>
  <r>
    <x v="3"/>
    <n v="53"/>
    <n v="61"/>
    <x v="31"/>
    <x v="62"/>
    <x v="81"/>
    <n v="41"/>
    <n v="51"/>
    <s v="Oregon"/>
    <s v="Multnomah County"/>
    <n v="41051"/>
    <n v="478"/>
    <x v="146"/>
    <n v="25686100"/>
    <n v="53061"/>
    <n v="0"/>
    <n v="1"/>
    <x v="0"/>
  </r>
  <r>
    <x v="3"/>
    <n v="53"/>
    <n v="63"/>
    <x v="31"/>
    <x v="63"/>
    <x v="82"/>
    <n v="41"/>
    <n v="51"/>
    <s v="Oregon"/>
    <s v="Multnomah County"/>
    <n v="41051"/>
    <n v="712"/>
    <x v="186"/>
    <n v="35819800"/>
    <n v="53063"/>
    <n v="0"/>
    <n v="1"/>
    <x v="0"/>
  </r>
  <r>
    <x v="3"/>
    <n v="53"/>
    <n v="67"/>
    <x v="31"/>
    <x v="64"/>
    <x v="83"/>
    <n v="41"/>
    <n v="51"/>
    <s v="Oregon"/>
    <s v="Multnomah County"/>
    <n v="41051"/>
    <n v="390"/>
    <x v="187"/>
    <n v="7528000"/>
    <n v="53067"/>
    <n v="0"/>
    <n v="1"/>
    <x v="0"/>
  </r>
  <r>
    <x v="3"/>
    <n v="53"/>
    <n v="77"/>
    <x v="31"/>
    <x v="94"/>
    <x v="129"/>
    <n v="41"/>
    <n v="51"/>
    <s v="Oregon"/>
    <s v="Multnomah County"/>
    <n v="41051"/>
    <n v="129"/>
    <x v="0"/>
    <n v="0"/>
    <n v="53077"/>
    <n v="0"/>
    <n v="1"/>
    <x v="0"/>
  </r>
  <r>
    <x v="3"/>
    <n v="55"/>
    <n v="25"/>
    <x v="32"/>
    <x v="141"/>
    <x v="192"/>
    <n v="41"/>
    <n v="51"/>
    <s v="Oregon"/>
    <s v="Multnomah County"/>
    <n v="41051"/>
    <n v="139"/>
    <x v="73"/>
    <n v="11840000"/>
    <n v="55025"/>
    <n v="0"/>
    <n v="1"/>
    <x v="0"/>
  </r>
  <r>
    <x v="3"/>
    <n v="55"/>
    <n v="133"/>
    <x v="32"/>
    <x v="142"/>
    <x v="193"/>
    <n v="41"/>
    <n v="51"/>
    <s v="Oregon"/>
    <s v="Multnomah County"/>
    <n v="41051"/>
    <n v="172"/>
    <x v="0"/>
    <n v="11271160"/>
    <n v="55133"/>
    <n v="0"/>
    <n v="1"/>
    <x v="0"/>
  </r>
  <r>
    <x v="3"/>
    <n v="56"/>
    <n v="0"/>
    <x v="46"/>
    <x v="0"/>
    <x v="194"/>
    <n v="41"/>
    <n v="51"/>
    <s v="Oregon"/>
    <s v="Multnomah County"/>
    <n v="41051"/>
    <n v="176"/>
    <x v="0"/>
    <n v="880000"/>
    <m/>
    <n v="0"/>
    <n v="1"/>
    <x v="0"/>
  </r>
  <r>
    <x v="4"/>
    <n v="2"/>
    <n v="20"/>
    <x v="0"/>
    <x v="1"/>
    <x v="1"/>
    <n v="41"/>
    <n v="51"/>
    <s v="Oregon"/>
    <s v="Multnomah County"/>
    <n v="41051"/>
    <n v="461"/>
    <x v="188"/>
    <n v="3330400"/>
    <n v="2020"/>
    <n v="0"/>
    <n v="1"/>
    <x v="0"/>
  </r>
  <r>
    <x v="4"/>
    <n v="4"/>
    <n v="0"/>
    <x v="1"/>
    <x v="0"/>
    <x v="2"/>
    <n v="41"/>
    <n v="51"/>
    <s v="Oregon"/>
    <s v="Multnomah County"/>
    <n v="41051"/>
    <n v="63"/>
    <x v="12"/>
    <n v="1220400"/>
    <m/>
    <n v="0"/>
    <n v="1"/>
    <x v="0"/>
  </r>
  <r>
    <x v="4"/>
    <n v="4"/>
    <n v="13"/>
    <x v="1"/>
    <x v="3"/>
    <x v="4"/>
    <n v="41"/>
    <n v="51"/>
    <s v="Oregon"/>
    <s v="Multnomah County"/>
    <n v="41051"/>
    <n v="1293"/>
    <x v="189"/>
    <n v="54234200"/>
    <n v="4013"/>
    <n v="0"/>
    <n v="1"/>
    <x v="0"/>
  </r>
  <r>
    <x v="4"/>
    <n v="5"/>
    <n v="143"/>
    <x v="2"/>
    <x v="50"/>
    <x v="195"/>
    <n v="41"/>
    <n v="51"/>
    <s v="Oregon"/>
    <s v="Multnomah County"/>
    <n v="41051"/>
    <n v="175"/>
    <x v="2"/>
    <n v="1050000"/>
    <n v="5143"/>
    <n v="0"/>
    <n v="1"/>
    <x v="0"/>
  </r>
  <r>
    <x v="4"/>
    <n v="6"/>
    <n v="0"/>
    <x v="3"/>
    <x v="0"/>
    <x v="6"/>
    <n v="41"/>
    <n v="51"/>
    <s v="Oregon"/>
    <s v="Multnomah County"/>
    <n v="41051"/>
    <n v="102"/>
    <x v="125"/>
    <n v="3876000"/>
    <m/>
    <n v="0"/>
    <n v="1"/>
    <x v="0"/>
  </r>
  <r>
    <x v="4"/>
    <n v="6"/>
    <n v="1"/>
    <x v="3"/>
    <x v="4"/>
    <x v="7"/>
    <n v="41"/>
    <n v="51"/>
    <s v="Oregon"/>
    <s v="Multnomah County"/>
    <n v="41051"/>
    <n v="746"/>
    <x v="190"/>
    <n v="21442600"/>
    <n v="6001"/>
    <n v="0"/>
    <n v="1"/>
    <x v="0"/>
  </r>
  <r>
    <x v="4"/>
    <n v="6"/>
    <n v="19"/>
    <x v="3"/>
    <x v="6"/>
    <x v="9"/>
    <n v="41"/>
    <n v="51"/>
    <s v="Oregon"/>
    <s v="Multnomah County"/>
    <n v="41051"/>
    <n v="465"/>
    <x v="0"/>
    <n v="0"/>
    <n v="6019"/>
    <n v="0"/>
    <n v="1"/>
    <x v="0"/>
  </r>
  <r>
    <x v="4"/>
    <n v="6"/>
    <n v="23"/>
    <x v="3"/>
    <x v="68"/>
    <x v="88"/>
    <n v="41"/>
    <n v="51"/>
    <s v="Oregon"/>
    <s v="Multnomah County"/>
    <n v="41051"/>
    <n v="46"/>
    <x v="178"/>
    <n v="1012000"/>
    <n v="6023"/>
    <n v="0"/>
    <n v="1"/>
    <x v="0"/>
  </r>
  <r>
    <x v="4"/>
    <n v="6"/>
    <n v="37"/>
    <x v="3"/>
    <x v="8"/>
    <x v="11"/>
    <n v="41"/>
    <n v="51"/>
    <s v="Oregon"/>
    <s v="Multnomah County"/>
    <n v="41051"/>
    <n v="1072"/>
    <x v="191"/>
    <n v="72416700"/>
    <n v="6037"/>
    <n v="0"/>
    <n v="1"/>
    <x v="0"/>
  </r>
  <r>
    <x v="4"/>
    <n v="6"/>
    <n v="41"/>
    <x v="3"/>
    <x v="98"/>
    <x v="133"/>
    <n v="41"/>
    <n v="51"/>
    <s v="Oregon"/>
    <s v="Multnomah County"/>
    <n v="41051"/>
    <n v="221"/>
    <x v="80"/>
    <n v="23604000"/>
    <n v="6041"/>
    <n v="0"/>
    <n v="1"/>
    <x v="0"/>
  </r>
  <r>
    <x v="4"/>
    <n v="6"/>
    <n v="47"/>
    <x v="3"/>
    <x v="143"/>
    <x v="196"/>
    <n v="41"/>
    <n v="51"/>
    <s v="Oregon"/>
    <s v="Multnomah County"/>
    <n v="41051"/>
    <n v="73"/>
    <x v="192"/>
    <n v="859920"/>
    <n v="6047"/>
    <n v="0"/>
    <n v="1"/>
    <x v="0"/>
  </r>
  <r>
    <x v="4"/>
    <n v="6"/>
    <n v="59"/>
    <x v="3"/>
    <x v="10"/>
    <x v="13"/>
    <n v="41"/>
    <n v="51"/>
    <s v="Oregon"/>
    <s v="Multnomah County"/>
    <n v="41051"/>
    <n v="355"/>
    <x v="193"/>
    <n v="11806000"/>
    <n v="6059"/>
    <n v="0"/>
    <n v="1"/>
    <x v="0"/>
  </r>
  <r>
    <x v="4"/>
    <n v="6"/>
    <n v="61"/>
    <x v="3"/>
    <x v="69"/>
    <x v="90"/>
    <n v="41"/>
    <n v="51"/>
    <s v="Oregon"/>
    <s v="Multnomah County"/>
    <n v="41051"/>
    <n v="609"/>
    <x v="78"/>
    <n v="26488000"/>
    <n v="6061"/>
    <n v="0"/>
    <n v="1"/>
    <x v="0"/>
  </r>
  <r>
    <x v="4"/>
    <n v="6"/>
    <n v="65"/>
    <x v="3"/>
    <x v="70"/>
    <x v="91"/>
    <n v="41"/>
    <n v="51"/>
    <s v="Oregon"/>
    <s v="Multnomah County"/>
    <n v="41051"/>
    <n v="199"/>
    <x v="124"/>
    <n v="39800"/>
    <n v="6065"/>
    <n v="0"/>
    <n v="1"/>
    <x v="0"/>
  </r>
  <r>
    <x v="4"/>
    <n v="6"/>
    <n v="71"/>
    <x v="3"/>
    <x v="12"/>
    <x v="15"/>
    <n v="41"/>
    <n v="51"/>
    <s v="Oregon"/>
    <s v="Multnomah County"/>
    <n v="41051"/>
    <n v="414"/>
    <x v="194"/>
    <n v="8280000"/>
    <n v="6071"/>
    <n v="0"/>
    <n v="1"/>
    <x v="0"/>
  </r>
  <r>
    <x v="4"/>
    <n v="6"/>
    <n v="73"/>
    <x v="3"/>
    <x v="13"/>
    <x v="16"/>
    <n v="41"/>
    <n v="51"/>
    <s v="Oregon"/>
    <s v="Multnomah County"/>
    <n v="41051"/>
    <n v="374"/>
    <x v="195"/>
    <n v="20631000"/>
    <n v="6073"/>
    <n v="0"/>
    <n v="1"/>
    <x v="0"/>
  </r>
  <r>
    <x v="4"/>
    <n v="6"/>
    <n v="75"/>
    <x v="3"/>
    <x v="14"/>
    <x v="17"/>
    <n v="41"/>
    <n v="51"/>
    <s v="Oregon"/>
    <s v="Multnomah County"/>
    <n v="41051"/>
    <n v="807"/>
    <x v="196"/>
    <n v="51520100"/>
    <n v="6075"/>
    <n v="0"/>
    <n v="1"/>
    <x v="0"/>
  </r>
  <r>
    <x v="4"/>
    <n v="6"/>
    <n v="81"/>
    <x v="3"/>
    <x v="100"/>
    <x v="135"/>
    <n v="41"/>
    <n v="51"/>
    <s v="Oregon"/>
    <s v="Multnomah County"/>
    <n v="41051"/>
    <n v="419"/>
    <x v="103"/>
    <n v="30369000"/>
    <n v="6081"/>
    <n v="0"/>
    <n v="1"/>
    <x v="0"/>
  </r>
  <r>
    <x v="4"/>
    <n v="6"/>
    <n v="85"/>
    <x v="3"/>
    <x v="17"/>
    <x v="20"/>
    <n v="41"/>
    <n v="51"/>
    <s v="Oregon"/>
    <s v="Multnomah County"/>
    <n v="41051"/>
    <n v="167"/>
    <x v="0"/>
    <n v="6883800"/>
    <n v="6085"/>
    <n v="0"/>
    <n v="1"/>
    <x v="0"/>
  </r>
  <r>
    <x v="4"/>
    <n v="6"/>
    <n v="95"/>
    <x v="3"/>
    <x v="102"/>
    <x v="137"/>
    <n v="41"/>
    <n v="51"/>
    <s v="Oregon"/>
    <s v="Multnomah County"/>
    <n v="41051"/>
    <n v="103"/>
    <x v="129"/>
    <n v="6180000"/>
    <n v="6095"/>
    <n v="0"/>
    <n v="1"/>
    <x v="0"/>
  </r>
  <r>
    <x v="4"/>
    <n v="6"/>
    <n v="97"/>
    <x v="3"/>
    <x v="18"/>
    <x v="21"/>
    <n v="41"/>
    <n v="51"/>
    <s v="Oregon"/>
    <s v="Multnomah County"/>
    <n v="41051"/>
    <n v="288"/>
    <x v="194"/>
    <n v="15563000"/>
    <n v="6097"/>
    <n v="0"/>
    <n v="1"/>
    <x v="0"/>
  </r>
  <r>
    <x v="4"/>
    <n v="6"/>
    <n v="99"/>
    <x v="3"/>
    <x v="19"/>
    <x v="22"/>
    <n v="41"/>
    <n v="51"/>
    <s v="Oregon"/>
    <s v="Multnomah County"/>
    <n v="41051"/>
    <n v="264"/>
    <x v="197"/>
    <n v="10585600"/>
    <n v="6099"/>
    <n v="0"/>
    <n v="1"/>
    <x v="0"/>
  </r>
  <r>
    <x v="4"/>
    <n v="6"/>
    <n v="111"/>
    <x v="3"/>
    <x v="72"/>
    <x v="93"/>
    <n v="41"/>
    <n v="51"/>
    <s v="Oregon"/>
    <s v="Multnomah County"/>
    <n v="41051"/>
    <n v="112"/>
    <x v="0"/>
    <n v="5600000"/>
    <n v="6111"/>
    <n v="0"/>
    <n v="1"/>
    <x v="0"/>
  </r>
  <r>
    <x v="4"/>
    <n v="8"/>
    <n v="0"/>
    <x v="4"/>
    <x v="0"/>
    <x v="24"/>
    <n v="41"/>
    <n v="51"/>
    <s v="Oregon"/>
    <s v="Multnomah County"/>
    <n v="41051"/>
    <n v="1236"/>
    <x v="198"/>
    <n v="38377600"/>
    <m/>
    <n v="0"/>
    <n v="1"/>
    <x v="0"/>
  </r>
  <r>
    <x v="4"/>
    <n v="8"/>
    <n v="69"/>
    <x v="4"/>
    <x v="73"/>
    <x v="94"/>
    <n v="41"/>
    <n v="51"/>
    <s v="Oregon"/>
    <s v="Multnomah County"/>
    <n v="41051"/>
    <n v="50"/>
    <x v="199"/>
    <n v="486000"/>
    <n v="8069"/>
    <n v="0"/>
    <n v="1"/>
    <x v="0"/>
  </r>
  <r>
    <x v="4"/>
    <n v="11"/>
    <n v="1"/>
    <x v="5"/>
    <x v="21"/>
    <x v="25"/>
    <n v="41"/>
    <n v="51"/>
    <s v="Oregon"/>
    <s v="Multnomah County"/>
    <n v="41051"/>
    <n v="73"/>
    <x v="0"/>
    <n v="949000"/>
    <n v="11001"/>
    <n v="0"/>
    <n v="1"/>
    <x v="0"/>
  </r>
  <r>
    <x v="4"/>
    <n v="12"/>
    <n v="11"/>
    <x v="6"/>
    <x v="77"/>
    <x v="98"/>
    <n v="41"/>
    <n v="51"/>
    <s v="Oregon"/>
    <s v="Multnomah County"/>
    <n v="41051"/>
    <n v="288"/>
    <x v="0"/>
    <n v="2764800"/>
    <n v="12011"/>
    <n v="0"/>
    <n v="1"/>
    <x v="0"/>
  </r>
  <r>
    <x v="4"/>
    <n v="12"/>
    <n v="83"/>
    <x v="6"/>
    <x v="48"/>
    <x v="197"/>
    <n v="41"/>
    <n v="51"/>
    <s v="Oregon"/>
    <s v="Multnomah County"/>
    <n v="41051"/>
    <n v="195"/>
    <x v="200"/>
    <n v="2106000"/>
    <n v="12083"/>
    <n v="0"/>
    <n v="1"/>
    <x v="0"/>
  </r>
  <r>
    <x v="4"/>
    <n v="12"/>
    <n v="91"/>
    <x v="6"/>
    <x v="144"/>
    <x v="198"/>
    <n v="41"/>
    <n v="51"/>
    <s v="Oregon"/>
    <s v="Multnomah County"/>
    <n v="41051"/>
    <n v="780"/>
    <x v="201"/>
    <n v="90500000"/>
    <n v="12091"/>
    <n v="0"/>
    <n v="1"/>
    <x v="0"/>
  </r>
  <r>
    <x v="4"/>
    <n v="12"/>
    <n v="115"/>
    <x v="6"/>
    <x v="145"/>
    <x v="199"/>
    <n v="41"/>
    <n v="51"/>
    <s v="Oregon"/>
    <s v="Multnomah County"/>
    <n v="41051"/>
    <n v="41"/>
    <x v="0"/>
    <n v="1132420"/>
    <n v="12115"/>
    <n v="0"/>
    <n v="1"/>
    <x v="0"/>
  </r>
  <r>
    <x v="4"/>
    <n v="13"/>
    <n v="0"/>
    <x v="7"/>
    <x v="0"/>
    <x v="100"/>
    <n v="41"/>
    <n v="51"/>
    <s v="Oregon"/>
    <s v="Multnomah County"/>
    <n v="41051"/>
    <n v="103"/>
    <x v="0"/>
    <n v="1730400"/>
    <m/>
    <n v="0"/>
    <n v="1"/>
    <x v="0"/>
  </r>
  <r>
    <x v="4"/>
    <n v="15"/>
    <n v="0"/>
    <x v="8"/>
    <x v="0"/>
    <x v="141"/>
    <n v="41"/>
    <n v="51"/>
    <s v="Oregon"/>
    <s v="Multnomah County"/>
    <n v="41051"/>
    <n v="698"/>
    <x v="202"/>
    <n v="12190000"/>
    <m/>
    <n v="0"/>
    <n v="1"/>
    <x v="0"/>
  </r>
  <r>
    <x v="4"/>
    <n v="15"/>
    <n v="3"/>
    <x v="8"/>
    <x v="26"/>
    <x v="31"/>
    <n v="41"/>
    <n v="51"/>
    <s v="Oregon"/>
    <s v="Multnomah County"/>
    <n v="41051"/>
    <n v="453"/>
    <x v="85"/>
    <n v="19038000"/>
    <n v="15003"/>
    <n v="0"/>
    <n v="1"/>
    <x v="0"/>
  </r>
  <r>
    <x v="4"/>
    <n v="16"/>
    <n v="0"/>
    <x v="9"/>
    <x v="0"/>
    <x v="32"/>
    <n v="41"/>
    <n v="51"/>
    <s v="Oregon"/>
    <s v="Multnomah County"/>
    <n v="41051"/>
    <n v="179"/>
    <x v="4"/>
    <n v="901440"/>
    <m/>
    <n v="0"/>
    <n v="1"/>
    <x v="0"/>
  </r>
  <r>
    <x v="4"/>
    <n v="17"/>
    <n v="31"/>
    <x v="10"/>
    <x v="28"/>
    <x v="34"/>
    <n v="41"/>
    <n v="51"/>
    <s v="Oregon"/>
    <s v="Multnomah County"/>
    <n v="41051"/>
    <n v="594"/>
    <x v="203"/>
    <n v="64717040"/>
    <n v="17031"/>
    <n v="0"/>
    <n v="1"/>
    <x v="0"/>
  </r>
  <r>
    <x v="4"/>
    <n v="17"/>
    <n v="43"/>
    <x v="10"/>
    <x v="146"/>
    <x v="200"/>
    <n v="41"/>
    <n v="51"/>
    <s v="Oregon"/>
    <s v="Multnomah County"/>
    <n v="41051"/>
    <n v="137"/>
    <x v="73"/>
    <n v="1201800"/>
    <n v="17043"/>
    <n v="0"/>
    <n v="1"/>
    <x v="0"/>
  </r>
  <r>
    <x v="4"/>
    <n v="19"/>
    <n v="0"/>
    <x v="12"/>
    <x v="0"/>
    <x v="201"/>
    <n v="41"/>
    <n v="51"/>
    <s v="Oregon"/>
    <s v="Multnomah County"/>
    <n v="41051"/>
    <n v="421"/>
    <x v="127"/>
    <n v="11855000"/>
    <m/>
    <n v="0"/>
    <n v="1"/>
    <x v="0"/>
  </r>
  <r>
    <x v="4"/>
    <n v="20"/>
    <n v="45"/>
    <x v="34"/>
    <x v="79"/>
    <x v="104"/>
    <n v="41"/>
    <n v="51"/>
    <s v="Oregon"/>
    <s v="Multnomah County"/>
    <n v="41051"/>
    <n v="81"/>
    <x v="34"/>
    <n v="162000"/>
    <n v="20045"/>
    <n v="0"/>
    <n v="1"/>
    <x v="0"/>
  </r>
  <r>
    <x v="4"/>
    <n v="22"/>
    <n v="71"/>
    <x v="13"/>
    <x v="147"/>
    <x v="202"/>
    <n v="41"/>
    <n v="51"/>
    <s v="Oregon"/>
    <s v="Multnomah County"/>
    <n v="41051"/>
    <n v="117"/>
    <x v="0"/>
    <n v="4680000"/>
    <n v="22071"/>
    <n v="0"/>
    <n v="1"/>
    <x v="0"/>
  </r>
  <r>
    <x v="4"/>
    <n v="24"/>
    <n v="27"/>
    <x v="14"/>
    <x v="33"/>
    <x v="41"/>
    <n v="41"/>
    <n v="51"/>
    <s v="Oregon"/>
    <s v="Multnomah County"/>
    <n v="41051"/>
    <n v="44"/>
    <x v="204"/>
    <n v="369600"/>
    <n v="24027"/>
    <n v="0"/>
    <n v="1"/>
    <x v="0"/>
  </r>
  <r>
    <x v="4"/>
    <n v="24"/>
    <n v="510"/>
    <x v="14"/>
    <x v="34"/>
    <x v="42"/>
    <n v="41"/>
    <n v="51"/>
    <s v="Oregon"/>
    <s v="Multnomah County"/>
    <n v="41051"/>
    <n v="52"/>
    <x v="0"/>
    <n v="182000"/>
    <n v="24510"/>
    <n v="0"/>
    <n v="1"/>
    <x v="0"/>
  </r>
  <r>
    <x v="4"/>
    <n v="25"/>
    <n v="0"/>
    <x v="15"/>
    <x v="0"/>
    <x v="43"/>
    <n v="41"/>
    <n v="51"/>
    <s v="Oregon"/>
    <s v="Multnomah County"/>
    <n v="41051"/>
    <n v="281"/>
    <x v="158"/>
    <n v="21319000"/>
    <m/>
    <n v="0"/>
    <n v="1"/>
    <x v="0"/>
  </r>
  <r>
    <x v="4"/>
    <n v="25"/>
    <n v="25"/>
    <x v="15"/>
    <x v="35"/>
    <x v="44"/>
    <n v="41"/>
    <n v="51"/>
    <s v="Oregon"/>
    <s v="Multnomah County"/>
    <n v="41051"/>
    <n v="205"/>
    <x v="104"/>
    <n v="15558000"/>
    <n v="25025"/>
    <n v="0"/>
    <n v="1"/>
    <x v="0"/>
  </r>
  <r>
    <x v="4"/>
    <n v="26"/>
    <n v="77"/>
    <x v="36"/>
    <x v="148"/>
    <x v="203"/>
    <n v="41"/>
    <n v="51"/>
    <s v="Oregon"/>
    <s v="Multnomah County"/>
    <n v="41051"/>
    <n v="48"/>
    <x v="0"/>
    <n v="2400000"/>
    <n v="26077"/>
    <n v="0"/>
    <n v="1"/>
    <x v="0"/>
  </r>
  <r>
    <x v="4"/>
    <n v="26"/>
    <n v="125"/>
    <x v="36"/>
    <x v="114"/>
    <x v="152"/>
    <n v="41"/>
    <n v="51"/>
    <s v="Oregon"/>
    <s v="Multnomah County"/>
    <n v="41051"/>
    <n v="56"/>
    <x v="205"/>
    <n v="5488000"/>
    <n v="26125"/>
    <n v="0"/>
    <n v="1"/>
    <x v="0"/>
  </r>
  <r>
    <x v="4"/>
    <n v="27"/>
    <n v="53"/>
    <x v="16"/>
    <x v="36"/>
    <x v="45"/>
    <n v="41"/>
    <n v="51"/>
    <s v="Oregon"/>
    <s v="Multnomah County"/>
    <n v="41051"/>
    <n v="205"/>
    <x v="68"/>
    <n v="11337000"/>
    <n v="27053"/>
    <n v="0"/>
    <n v="1"/>
    <x v="0"/>
  </r>
  <r>
    <x v="4"/>
    <n v="27"/>
    <n v="163"/>
    <x v="16"/>
    <x v="50"/>
    <x v="204"/>
    <n v="41"/>
    <n v="51"/>
    <s v="Oregon"/>
    <s v="Multnomah County"/>
    <n v="41051"/>
    <n v="134"/>
    <x v="17"/>
    <n v="17420000"/>
    <n v="27163"/>
    <n v="0"/>
    <n v="1"/>
    <x v="0"/>
  </r>
  <r>
    <x v="4"/>
    <n v="29"/>
    <n v="189"/>
    <x v="17"/>
    <x v="83"/>
    <x v="110"/>
    <n v="41"/>
    <n v="51"/>
    <s v="Oregon"/>
    <s v="Multnomah County"/>
    <n v="41051"/>
    <n v="59"/>
    <x v="128"/>
    <n v="31565000"/>
    <n v="29189"/>
    <n v="0"/>
    <n v="1"/>
    <x v="0"/>
  </r>
  <r>
    <x v="4"/>
    <n v="30"/>
    <n v="0"/>
    <x v="37"/>
    <x v="0"/>
    <x v="111"/>
    <n v="41"/>
    <n v="51"/>
    <s v="Oregon"/>
    <s v="Multnomah County"/>
    <n v="41051"/>
    <n v="436"/>
    <x v="206"/>
    <n v="11886000"/>
    <m/>
    <n v="0"/>
    <n v="1"/>
    <x v="0"/>
  </r>
  <r>
    <x v="4"/>
    <n v="32"/>
    <n v="3"/>
    <x v="18"/>
    <x v="38"/>
    <x v="47"/>
    <n v="41"/>
    <n v="51"/>
    <s v="Oregon"/>
    <s v="Multnomah County"/>
    <n v="41051"/>
    <n v="874"/>
    <x v="207"/>
    <n v="39950200"/>
    <n v="32003"/>
    <n v="0"/>
    <n v="1"/>
    <x v="0"/>
  </r>
  <r>
    <x v="4"/>
    <n v="34"/>
    <n v="0"/>
    <x v="38"/>
    <x v="0"/>
    <x v="205"/>
    <n v="41"/>
    <n v="51"/>
    <s v="Oregon"/>
    <s v="Multnomah County"/>
    <n v="41051"/>
    <n v="230"/>
    <x v="60"/>
    <n v="8970000"/>
    <m/>
    <n v="0"/>
    <n v="1"/>
    <x v="0"/>
  </r>
  <r>
    <x v="4"/>
    <n v="36"/>
    <n v="1"/>
    <x v="20"/>
    <x v="149"/>
    <x v="206"/>
    <n v="41"/>
    <n v="51"/>
    <s v="Oregon"/>
    <s v="Multnomah County"/>
    <n v="41051"/>
    <n v="131"/>
    <x v="208"/>
    <n v="0"/>
    <n v="36001"/>
    <n v="0"/>
    <n v="1"/>
    <x v="0"/>
  </r>
  <r>
    <x v="4"/>
    <n v="36"/>
    <n v="47"/>
    <x v="20"/>
    <x v="40"/>
    <x v="50"/>
    <n v="41"/>
    <n v="51"/>
    <s v="Oregon"/>
    <s v="Multnomah County"/>
    <n v="41051"/>
    <n v="349"/>
    <x v="209"/>
    <n v="20315600"/>
    <n v="36047"/>
    <n v="0"/>
    <n v="1"/>
    <x v="0"/>
  </r>
  <r>
    <x v="4"/>
    <n v="36"/>
    <n v="81"/>
    <x v="20"/>
    <x v="119"/>
    <x v="159"/>
    <n v="41"/>
    <n v="51"/>
    <s v="Oregon"/>
    <s v="Multnomah County"/>
    <n v="41051"/>
    <n v="522"/>
    <x v="210"/>
    <n v="46222150"/>
    <n v="36081"/>
    <n v="0"/>
    <n v="1"/>
    <x v="0"/>
  </r>
  <r>
    <x v="4"/>
    <n v="37"/>
    <n v="183"/>
    <x v="21"/>
    <x v="87"/>
    <x v="116"/>
    <n v="41"/>
    <n v="51"/>
    <s v="Oregon"/>
    <s v="Multnomah County"/>
    <n v="41051"/>
    <n v="85"/>
    <x v="0"/>
    <n v="7565000"/>
    <n v="37183"/>
    <n v="0"/>
    <n v="1"/>
    <x v="0"/>
  </r>
  <r>
    <x v="4"/>
    <n v="39"/>
    <n v="17"/>
    <x v="22"/>
    <x v="150"/>
    <x v="207"/>
    <n v="41"/>
    <n v="51"/>
    <s v="Oregon"/>
    <s v="Multnomah County"/>
    <n v="41051"/>
    <n v="187"/>
    <x v="0"/>
    <n v="430100"/>
    <n v="39017"/>
    <n v="0"/>
    <n v="1"/>
    <x v="0"/>
  </r>
  <r>
    <x v="4"/>
    <n v="39"/>
    <n v="49"/>
    <x v="22"/>
    <x v="42"/>
    <x v="55"/>
    <n v="41"/>
    <n v="51"/>
    <s v="Oregon"/>
    <s v="Multnomah County"/>
    <n v="41051"/>
    <n v="274"/>
    <x v="81"/>
    <n v="7954000"/>
    <n v="39049"/>
    <n v="0"/>
    <n v="1"/>
    <x v="0"/>
  </r>
  <r>
    <x v="4"/>
    <n v="40"/>
    <n v="0"/>
    <x v="40"/>
    <x v="0"/>
    <x v="117"/>
    <n v="41"/>
    <n v="51"/>
    <s v="Oregon"/>
    <s v="Multnomah County"/>
    <n v="41051"/>
    <n v="714"/>
    <x v="211"/>
    <n v="35577600"/>
    <m/>
    <n v="0"/>
    <n v="1"/>
    <x v="0"/>
  </r>
  <r>
    <x v="4"/>
    <n v="41"/>
    <n v="0"/>
    <x v="23"/>
    <x v="0"/>
    <x v="57"/>
    <n v="41"/>
    <n v="51"/>
    <s v="Oregon"/>
    <s v="Multnomah County"/>
    <n v="41051"/>
    <n v="1804"/>
    <x v="212"/>
    <n v="79194500"/>
    <m/>
    <n v="0"/>
    <n v="1"/>
    <x v="0"/>
  </r>
  <r>
    <x v="4"/>
    <n v="41"/>
    <n v="5"/>
    <x v="23"/>
    <x v="44"/>
    <x v="58"/>
    <n v="41"/>
    <n v="51"/>
    <s v="Oregon"/>
    <s v="Multnomah County"/>
    <n v="41051"/>
    <n v="8354"/>
    <x v="213"/>
    <n v="259489000"/>
    <n v="41005"/>
    <n v="0"/>
    <n v="1"/>
    <x v="0"/>
  </r>
  <r>
    <x v="4"/>
    <n v="41"/>
    <n v="17"/>
    <x v="23"/>
    <x v="45"/>
    <x v="59"/>
    <n v="41"/>
    <n v="51"/>
    <s v="Oregon"/>
    <s v="Multnomah County"/>
    <n v="41051"/>
    <n v="436"/>
    <x v="0"/>
    <n v="11790000"/>
    <n v="41017"/>
    <n v="0"/>
    <n v="1"/>
    <x v="0"/>
  </r>
  <r>
    <x v="4"/>
    <n v="41"/>
    <n v="19"/>
    <x v="23"/>
    <x v="79"/>
    <x v="163"/>
    <n v="41"/>
    <n v="51"/>
    <s v="Oregon"/>
    <s v="Multnomah County"/>
    <n v="41051"/>
    <n v="136"/>
    <x v="169"/>
    <n v="1033600"/>
    <n v="41019"/>
    <n v="0"/>
    <n v="1"/>
    <x v="0"/>
  </r>
  <r>
    <x v="4"/>
    <n v="41"/>
    <n v="29"/>
    <x v="23"/>
    <x v="46"/>
    <x v="60"/>
    <n v="41"/>
    <n v="51"/>
    <s v="Oregon"/>
    <s v="Multnomah County"/>
    <n v="41051"/>
    <n v="75"/>
    <x v="0"/>
    <n v="6675000"/>
    <n v="41029"/>
    <n v="0"/>
    <n v="1"/>
    <x v="0"/>
  </r>
  <r>
    <x v="4"/>
    <n v="41"/>
    <n v="39"/>
    <x v="23"/>
    <x v="47"/>
    <x v="61"/>
    <n v="41"/>
    <n v="51"/>
    <s v="Oregon"/>
    <s v="Multnomah County"/>
    <n v="41051"/>
    <n v="1599"/>
    <x v="214"/>
    <n v="99518720"/>
    <n v="41039"/>
    <n v="0"/>
    <n v="1"/>
    <x v="0"/>
  </r>
  <r>
    <x v="4"/>
    <n v="41"/>
    <n v="47"/>
    <x v="23"/>
    <x v="48"/>
    <x v="62"/>
    <n v="41"/>
    <n v="51"/>
    <s v="Oregon"/>
    <s v="Multnomah County"/>
    <n v="41051"/>
    <n v="1246"/>
    <x v="215"/>
    <n v="42373500"/>
    <n v="41047"/>
    <n v="0"/>
    <n v="1"/>
    <x v="0"/>
  </r>
  <r>
    <x v="4"/>
    <n v="41"/>
    <n v="51"/>
    <x v="23"/>
    <x v="49"/>
    <x v="63"/>
    <n v="41"/>
    <n v="51"/>
    <s v="Oregon"/>
    <s v="Multnomah County"/>
    <n v="41051"/>
    <n v="595569"/>
    <x v="216"/>
    <n v="31683865620"/>
    <n v="41051"/>
    <n v="1"/>
    <n v="1"/>
    <x v="1"/>
  </r>
  <r>
    <x v="4"/>
    <n v="41"/>
    <n v="67"/>
    <x v="23"/>
    <x v="50"/>
    <x v="64"/>
    <n v="41"/>
    <n v="51"/>
    <s v="Oregon"/>
    <s v="Multnomah County"/>
    <n v="41051"/>
    <n v="4616"/>
    <x v="217"/>
    <n v="235675700"/>
    <n v="41067"/>
    <n v="0"/>
    <n v="1"/>
    <x v="0"/>
  </r>
  <r>
    <x v="4"/>
    <n v="42"/>
    <n v="27"/>
    <x v="24"/>
    <x v="51"/>
    <x v="66"/>
    <n v="41"/>
    <n v="51"/>
    <s v="Oregon"/>
    <s v="Multnomah County"/>
    <n v="41051"/>
    <n v="352"/>
    <x v="17"/>
    <n v="9504000"/>
    <n v="42027"/>
    <n v="0"/>
    <n v="1"/>
    <x v="0"/>
  </r>
  <r>
    <x v="4"/>
    <n v="42"/>
    <n v="45"/>
    <x v="24"/>
    <x v="122"/>
    <x v="165"/>
    <n v="41"/>
    <n v="51"/>
    <s v="Oregon"/>
    <s v="Multnomah County"/>
    <n v="41051"/>
    <n v="220"/>
    <x v="107"/>
    <n v="18549800"/>
    <n v="42045"/>
    <n v="0"/>
    <n v="1"/>
    <x v="0"/>
  </r>
  <r>
    <x v="4"/>
    <n v="42"/>
    <n v="51"/>
    <x v="24"/>
    <x v="151"/>
    <x v="208"/>
    <n v="41"/>
    <n v="51"/>
    <s v="Oregon"/>
    <s v="Multnomah County"/>
    <n v="41051"/>
    <n v="78"/>
    <x v="0"/>
    <n v="397800"/>
    <n v="42051"/>
    <n v="0"/>
    <n v="1"/>
    <x v="0"/>
  </r>
  <r>
    <x v="4"/>
    <n v="42"/>
    <n v="101"/>
    <x v="24"/>
    <x v="53"/>
    <x v="68"/>
    <n v="41"/>
    <n v="51"/>
    <s v="Oregon"/>
    <s v="Multnomah County"/>
    <n v="41051"/>
    <n v="280"/>
    <x v="2"/>
    <n v="29442000"/>
    <n v="42101"/>
    <n v="0"/>
    <n v="1"/>
    <x v="0"/>
  </r>
  <r>
    <x v="4"/>
    <n v="45"/>
    <n v="0"/>
    <x v="41"/>
    <x v="0"/>
    <x v="119"/>
    <n v="41"/>
    <n v="51"/>
    <s v="Oregon"/>
    <s v="Multnomah County"/>
    <n v="41051"/>
    <n v="102"/>
    <x v="125"/>
    <n v="510000"/>
    <m/>
    <n v="0"/>
    <n v="1"/>
    <x v="0"/>
  </r>
  <r>
    <x v="4"/>
    <n v="47"/>
    <n v="37"/>
    <x v="26"/>
    <x v="55"/>
    <x v="70"/>
    <n v="41"/>
    <n v="51"/>
    <s v="Oregon"/>
    <s v="Multnomah County"/>
    <n v="41051"/>
    <n v="98"/>
    <x v="23"/>
    <n v="4214000"/>
    <n v="47037"/>
    <n v="0"/>
    <n v="1"/>
    <x v="0"/>
  </r>
  <r>
    <x v="4"/>
    <n v="48"/>
    <n v="27"/>
    <x v="27"/>
    <x v="152"/>
    <x v="209"/>
    <n v="41"/>
    <n v="51"/>
    <s v="Oregon"/>
    <s v="Multnomah County"/>
    <n v="41051"/>
    <n v="448"/>
    <x v="218"/>
    <n v="25621070"/>
    <n v="48027"/>
    <n v="0"/>
    <n v="1"/>
    <x v="0"/>
  </r>
  <r>
    <x v="4"/>
    <n v="48"/>
    <n v="29"/>
    <x v="27"/>
    <x v="123"/>
    <x v="167"/>
    <n v="41"/>
    <n v="51"/>
    <s v="Oregon"/>
    <s v="Multnomah County"/>
    <n v="41051"/>
    <n v="228"/>
    <x v="60"/>
    <n v="15555000"/>
    <n v="48029"/>
    <n v="0"/>
    <n v="1"/>
    <x v="0"/>
  </r>
  <r>
    <x v="4"/>
    <n v="48"/>
    <n v="113"/>
    <x v="27"/>
    <x v="88"/>
    <x v="122"/>
    <n v="41"/>
    <n v="51"/>
    <s v="Oregon"/>
    <s v="Multnomah County"/>
    <n v="41051"/>
    <n v="79"/>
    <x v="219"/>
    <n v="2054000"/>
    <n v="48113"/>
    <n v="0"/>
    <n v="1"/>
    <x v="0"/>
  </r>
  <r>
    <x v="4"/>
    <n v="48"/>
    <n v="201"/>
    <x v="27"/>
    <x v="153"/>
    <x v="210"/>
    <n v="41"/>
    <n v="51"/>
    <s v="Oregon"/>
    <s v="Multnomah County"/>
    <n v="41051"/>
    <n v="133"/>
    <x v="81"/>
    <n v="8095900"/>
    <n v="48201"/>
    <n v="0"/>
    <n v="1"/>
    <x v="0"/>
  </r>
  <r>
    <x v="4"/>
    <n v="48"/>
    <n v="251"/>
    <x v="27"/>
    <x v="32"/>
    <x v="211"/>
    <n v="41"/>
    <n v="51"/>
    <s v="Oregon"/>
    <s v="Multnomah County"/>
    <n v="41051"/>
    <n v="67"/>
    <x v="0"/>
    <n v="3350000"/>
    <n v="48251"/>
    <n v="0"/>
    <n v="1"/>
    <x v="0"/>
  </r>
  <r>
    <x v="4"/>
    <n v="48"/>
    <n v="303"/>
    <x v="27"/>
    <x v="154"/>
    <x v="212"/>
    <n v="41"/>
    <n v="51"/>
    <s v="Oregon"/>
    <s v="Multnomah County"/>
    <n v="41051"/>
    <n v="234"/>
    <x v="220"/>
    <n v="9620000"/>
    <n v="48303"/>
    <n v="0"/>
    <n v="1"/>
    <x v="0"/>
  </r>
  <r>
    <x v="4"/>
    <n v="49"/>
    <n v="53"/>
    <x v="28"/>
    <x v="50"/>
    <x v="190"/>
    <n v="41"/>
    <n v="51"/>
    <s v="Oregon"/>
    <s v="Multnomah County"/>
    <n v="41051"/>
    <n v="159"/>
    <x v="0"/>
    <n v="1431000"/>
    <n v="49053"/>
    <n v="0"/>
    <n v="1"/>
    <x v="0"/>
  </r>
  <r>
    <x v="4"/>
    <n v="49"/>
    <n v="57"/>
    <x v="28"/>
    <x v="155"/>
    <x v="213"/>
    <n v="41"/>
    <n v="51"/>
    <s v="Oregon"/>
    <s v="Multnomah County"/>
    <n v="41051"/>
    <n v="313"/>
    <x v="107"/>
    <n v="82014000"/>
    <n v="49057"/>
    <n v="0"/>
    <n v="1"/>
    <x v="0"/>
  </r>
  <r>
    <x v="4"/>
    <n v="50"/>
    <n v="0"/>
    <x v="29"/>
    <x v="0"/>
    <x v="74"/>
    <n v="41"/>
    <n v="51"/>
    <s v="Oregon"/>
    <s v="Multnomah County"/>
    <n v="41051"/>
    <n v="74"/>
    <x v="52"/>
    <n v="1036000"/>
    <m/>
    <n v="0"/>
    <n v="1"/>
    <x v="0"/>
  </r>
  <r>
    <x v="4"/>
    <n v="51"/>
    <n v="0"/>
    <x v="30"/>
    <x v="0"/>
    <x v="75"/>
    <n v="41"/>
    <n v="51"/>
    <s v="Oregon"/>
    <s v="Multnomah County"/>
    <n v="41051"/>
    <n v="264"/>
    <x v="0"/>
    <n v="22238000"/>
    <m/>
    <n v="0"/>
    <n v="1"/>
    <x v="0"/>
  </r>
  <r>
    <x v="4"/>
    <n v="51"/>
    <n v="41"/>
    <x v="30"/>
    <x v="156"/>
    <x v="214"/>
    <n v="41"/>
    <n v="51"/>
    <s v="Oregon"/>
    <s v="Multnomah County"/>
    <n v="41051"/>
    <n v="196"/>
    <x v="42"/>
    <n v="9181000"/>
    <n v="51041"/>
    <n v="0"/>
    <n v="1"/>
    <x v="0"/>
  </r>
  <r>
    <x v="4"/>
    <n v="51"/>
    <n v="107"/>
    <x v="30"/>
    <x v="157"/>
    <x v="215"/>
    <n v="41"/>
    <n v="51"/>
    <s v="Oregon"/>
    <s v="Multnomah County"/>
    <n v="41051"/>
    <n v="218"/>
    <x v="103"/>
    <n v="4089000"/>
    <n v="51107"/>
    <n v="0"/>
    <n v="1"/>
    <x v="0"/>
  </r>
  <r>
    <x v="4"/>
    <n v="53"/>
    <n v="0"/>
    <x v="31"/>
    <x v="0"/>
    <x v="76"/>
    <n v="41"/>
    <n v="51"/>
    <s v="Oregon"/>
    <s v="Multnomah County"/>
    <n v="41051"/>
    <n v="150"/>
    <x v="221"/>
    <n v="5611000"/>
    <m/>
    <n v="0"/>
    <n v="1"/>
    <x v="0"/>
  </r>
  <r>
    <x v="4"/>
    <n v="53"/>
    <n v="11"/>
    <x v="31"/>
    <x v="38"/>
    <x v="77"/>
    <n v="41"/>
    <n v="51"/>
    <s v="Oregon"/>
    <s v="Multnomah County"/>
    <n v="41051"/>
    <n v="2361"/>
    <x v="222"/>
    <n v="135866500"/>
    <n v="53011"/>
    <n v="0"/>
    <n v="1"/>
    <x v="0"/>
  </r>
  <r>
    <x v="4"/>
    <n v="53"/>
    <n v="33"/>
    <x v="31"/>
    <x v="59"/>
    <x v="78"/>
    <n v="41"/>
    <n v="51"/>
    <s v="Oregon"/>
    <s v="Multnomah County"/>
    <n v="41051"/>
    <n v="1025"/>
    <x v="223"/>
    <n v="65499400"/>
    <n v="53033"/>
    <n v="0"/>
    <n v="1"/>
    <x v="0"/>
  </r>
  <r>
    <x v="4"/>
    <n v="53"/>
    <n v="53"/>
    <x v="31"/>
    <x v="61"/>
    <x v="80"/>
    <n v="41"/>
    <n v="51"/>
    <s v="Oregon"/>
    <s v="Multnomah County"/>
    <n v="41051"/>
    <n v="95"/>
    <x v="94"/>
    <n v="4183800"/>
    <n v="53053"/>
    <n v="0"/>
    <n v="1"/>
    <x v="0"/>
  </r>
  <r>
    <x v="4"/>
    <n v="53"/>
    <n v="61"/>
    <x v="31"/>
    <x v="62"/>
    <x v="81"/>
    <n v="41"/>
    <n v="51"/>
    <s v="Oregon"/>
    <s v="Multnomah County"/>
    <n v="41051"/>
    <n v="373"/>
    <x v="224"/>
    <n v="5936800"/>
    <n v="53061"/>
    <n v="0"/>
    <n v="1"/>
    <x v="0"/>
  </r>
  <r>
    <x v="4"/>
    <n v="53"/>
    <n v="63"/>
    <x v="31"/>
    <x v="63"/>
    <x v="82"/>
    <n v="41"/>
    <n v="51"/>
    <s v="Oregon"/>
    <s v="Multnomah County"/>
    <n v="41051"/>
    <n v="434"/>
    <x v="225"/>
    <n v="16650400"/>
    <n v="53063"/>
    <n v="0"/>
    <n v="1"/>
    <x v="0"/>
  </r>
  <r>
    <x v="4"/>
    <n v="53"/>
    <n v="67"/>
    <x v="31"/>
    <x v="64"/>
    <x v="83"/>
    <n v="41"/>
    <n v="51"/>
    <s v="Oregon"/>
    <s v="Multnomah County"/>
    <n v="41051"/>
    <n v="152"/>
    <x v="22"/>
    <n v="3985000"/>
    <n v="53067"/>
    <n v="0"/>
    <n v="1"/>
    <x v="0"/>
  </r>
  <r>
    <x v="4"/>
    <n v="55"/>
    <n v="25"/>
    <x v="32"/>
    <x v="141"/>
    <x v="192"/>
    <n v="41"/>
    <n v="51"/>
    <s v="Oregon"/>
    <s v="Multnomah County"/>
    <n v="41051"/>
    <n v="248"/>
    <x v="226"/>
    <n v="10062000"/>
    <n v="55025"/>
    <n v="0"/>
    <n v="1"/>
    <x v="0"/>
  </r>
  <r>
    <x v="4"/>
    <n v="55"/>
    <n v="117"/>
    <x v="32"/>
    <x v="158"/>
    <x v="216"/>
    <n v="41"/>
    <n v="51"/>
    <s v="Oregon"/>
    <s v="Multnomah County"/>
    <n v="41051"/>
    <n v="336"/>
    <x v="165"/>
    <n v="13224000"/>
    <n v="55117"/>
    <n v="0"/>
    <n v="1"/>
    <x v="0"/>
  </r>
  <r>
    <x v="4"/>
    <n v="56"/>
    <n v="0"/>
    <x v="46"/>
    <x v="0"/>
    <x v="194"/>
    <n v="41"/>
    <n v="51"/>
    <s v="Oregon"/>
    <s v="Multnomah County"/>
    <n v="41051"/>
    <n v="156"/>
    <x v="51"/>
    <n v="631400"/>
    <m/>
    <n v="0"/>
    <n v="1"/>
    <x v="0"/>
  </r>
  <r>
    <x v="5"/>
    <n v="1"/>
    <n v="0"/>
    <x v="47"/>
    <x v="0"/>
    <x v="217"/>
    <n v="41"/>
    <n v="51"/>
    <s v="Oregon"/>
    <s v="Multnomah County"/>
    <n v="41051"/>
    <n v="66"/>
    <x v="0"/>
    <n v="79200"/>
    <m/>
    <n v="0"/>
    <n v="1"/>
    <x v="0"/>
  </r>
  <r>
    <x v="5"/>
    <n v="4"/>
    <n v="13"/>
    <x v="1"/>
    <x v="3"/>
    <x v="4"/>
    <n v="41"/>
    <n v="51"/>
    <s v="Oregon"/>
    <s v="Multnomah County"/>
    <n v="41051"/>
    <n v="73"/>
    <x v="4"/>
    <n v="2058600"/>
    <n v="4013"/>
    <n v="0"/>
    <n v="1"/>
    <x v="0"/>
  </r>
  <r>
    <x v="5"/>
    <n v="4"/>
    <n v="19"/>
    <x v="1"/>
    <x v="95"/>
    <x v="130"/>
    <n v="41"/>
    <n v="51"/>
    <s v="Oregon"/>
    <s v="Multnomah County"/>
    <n v="41051"/>
    <n v="79"/>
    <x v="219"/>
    <n v="9480000"/>
    <n v="4019"/>
    <n v="0"/>
    <n v="1"/>
    <x v="0"/>
  </r>
  <r>
    <x v="5"/>
    <n v="6"/>
    <n v="0"/>
    <x v="3"/>
    <x v="0"/>
    <x v="6"/>
    <n v="41"/>
    <n v="51"/>
    <s v="Oregon"/>
    <s v="Multnomah County"/>
    <n v="41051"/>
    <n v="318"/>
    <x v="58"/>
    <n v="4040400"/>
    <m/>
    <n v="0"/>
    <n v="1"/>
    <x v="0"/>
  </r>
  <r>
    <x v="5"/>
    <n v="6"/>
    <n v="13"/>
    <x v="3"/>
    <x v="5"/>
    <x v="8"/>
    <n v="41"/>
    <n v="51"/>
    <s v="Oregon"/>
    <s v="Multnomah County"/>
    <n v="41051"/>
    <n v="369"/>
    <x v="100"/>
    <n v="24570500"/>
    <n v="6013"/>
    <n v="0"/>
    <n v="1"/>
    <x v="0"/>
  </r>
  <r>
    <x v="5"/>
    <n v="6"/>
    <n v="37"/>
    <x v="3"/>
    <x v="8"/>
    <x v="11"/>
    <n v="41"/>
    <n v="51"/>
    <s v="Oregon"/>
    <s v="Multnomah County"/>
    <n v="41051"/>
    <n v="794"/>
    <x v="227"/>
    <n v="58029160"/>
    <n v="6037"/>
    <n v="0"/>
    <n v="1"/>
    <x v="0"/>
  </r>
  <r>
    <x v="5"/>
    <n v="6"/>
    <n v="47"/>
    <x v="3"/>
    <x v="143"/>
    <x v="196"/>
    <n v="41"/>
    <n v="51"/>
    <s v="Oregon"/>
    <s v="Multnomah County"/>
    <n v="41051"/>
    <n v="260"/>
    <x v="0"/>
    <n v="2735200"/>
    <n v="6047"/>
    <n v="0"/>
    <n v="1"/>
    <x v="0"/>
  </r>
  <r>
    <x v="5"/>
    <n v="6"/>
    <n v="55"/>
    <x v="3"/>
    <x v="9"/>
    <x v="12"/>
    <n v="41"/>
    <n v="51"/>
    <s v="Oregon"/>
    <s v="Multnomah County"/>
    <n v="41051"/>
    <n v="70"/>
    <x v="69"/>
    <n v="3031000"/>
    <n v="6055"/>
    <n v="0"/>
    <n v="1"/>
    <x v="0"/>
  </r>
  <r>
    <x v="5"/>
    <n v="6"/>
    <n v="59"/>
    <x v="3"/>
    <x v="10"/>
    <x v="13"/>
    <n v="41"/>
    <n v="51"/>
    <s v="Oregon"/>
    <s v="Multnomah County"/>
    <n v="41051"/>
    <n v="690"/>
    <x v="228"/>
    <n v="13699000"/>
    <n v="6059"/>
    <n v="0"/>
    <n v="1"/>
    <x v="0"/>
  </r>
  <r>
    <x v="5"/>
    <n v="6"/>
    <n v="73"/>
    <x v="3"/>
    <x v="13"/>
    <x v="16"/>
    <n v="41"/>
    <n v="51"/>
    <s v="Oregon"/>
    <s v="Multnomah County"/>
    <n v="41051"/>
    <n v="86"/>
    <x v="0"/>
    <n v="1376000"/>
    <n v="6073"/>
    <n v="0"/>
    <n v="1"/>
    <x v="0"/>
  </r>
  <r>
    <x v="5"/>
    <n v="6"/>
    <n v="75"/>
    <x v="3"/>
    <x v="14"/>
    <x v="17"/>
    <n v="41"/>
    <n v="51"/>
    <s v="Oregon"/>
    <s v="Multnomah County"/>
    <n v="41051"/>
    <n v="704"/>
    <x v="226"/>
    <n v="83190000"/>
    <n v="6075"/>
    <n v="0"/>
    <n v="1"/>
    <x v="0"/>
  </r>
  <r>
    <x v="5"/>
    <n v="6"/>
    <n v="81"/>
    <x v="3"/>
    <x v="100"/>
    <x v="135"/>
    <n v="41"/>
    <n v="51"/>
    <s v="Oregon"/>
    <s v="Multnomah County"/>
    <n v="41051"/>
    <n v="195"/>
    <x v="107"/>
    <n v="2925000"/>
    <n v="6081"/>
    <n v="0"/>
    <n v="1"/>
    <x v="0"/>
  </r>
  <r>
    <x v="5"/>
    <n v="6"/>
    <n v="83"/>
    <x v="3"/>
    <x v="16"/>
    <x v="19"/>
    <n v="41"/>
    <n v="51"/>
    <s v="Oregon"/>
    <s v="Multnomah County"/>
    <n v="41051"/>
    <n v="110"/>
    <x v="229"/>
    <n v="220000"/>
    <n v="6083"/>
    <n v="0"/>
    <n v="1"/>
    <x v="0"/>
  </r>
  <r>
    <x v="5"/>
    <n v="6"/>
    <n v="85"/>
    <x v="3"/>
    <x v="17"/>
    <x v="20"/>
    <n v="41"/>
    <n v="51"/>
    <s v="Oregon"/>
    <s v="Multnomah County"/>
    <n v="41051"/>
    <n v="608"/>
    <x v="218"/>
    <n v="9835820"/>
    <n v="6085"/>
    <n v="0"/>
    <n v="1"/>
    <x v="0"/>
  </r>
  <r>
    <x v="5"/>
    <n v="6"/>
    <n v="97"/>
    <x v="3"/>
    <x v="18"/>
    <x v="21"/>
    <n v="41"/>
    <n v="51"/>
    <s v="Oregon"/>
    <s v="Multnomah County"/>
    <n v="41051"/>
    <n v="1061"/>
    <x v="230"/>
    <n v="68701100"/>
    <n v="6097"/>
    <n v="0"/>
    <n v="1"/>
    <x v="0"/>
  </r>
  <r>
    <x v="5"/>
    <n v="8"/>
    <n v="0"/>
    <x v="4"/>
    <x v="0"/>
    <x v="24"/>
    <n v="41"/>
    <n v="51"/>
    <s v="Oregon"/>
    <s v="Multnomah County"/>
    <n v="41051"/>
    <n v="257"/>
    <x v="231"/>
    <n v="12658900"/>
    <m/>
    <n v="0"/>
    <n v="1"/>
    <x v="0"/>
  </r>
  <r>
    <x v="5"/>
    <n v="8"/>
    <n v="69"/>
    <x v="4"/>
    <x v="73"/>
    <x v="94"/>
    <n v="41"/>
    <n v="51"/>
    <s v="Oregon"/>
    <s v="Multnomah County"/>
    <n v="41051"/>
    <n v="242"/>
    <x v="14"/>
    <n v="36300"/>
    <n v="8069"/>
    <n v="0"/>
    <n v="1"/>
    <x v="0"/>
  </r>
  <r>
    <x v="5"/>
    <n v="9"/>
    <n v="11"/>
    <x v="33"/>
    <x v="159"/>
    <x v="218"/>
    <n v="41"/>
    <n v="51"/>
    <s v="Oregon"/>
    <s v="Multnomah County"/>
    <n v="41051"/>
    <n v="181"/>
    <x v="133"/>
    <n v="9978000"/>
    <n v="9011"/>
    <n v="0"/>
    <n v="1"/>
    <x v="0"/>
  </r>
  <r>
    <x v="5"/>
    <n v="11"/>
    <n v="1"/>
    <x v="5"/>
    <x v="21"/>
    <x v="25"/>
    <n v="41"/>
    <n v="51"/>
    <s v="Oregon"/>
    <s v="Multnomah County"/>
    <n v="41051"/>
    <n v="103"/>
    <x v="129"/>
    <n v="11845000"/>
    <n v="11001"/>
    <n v="0"/>
    <n v="1"/>
    <x v="0"/>
  </r>
  <r>
    <x v="5"/>
    <n v="12"/>
    <n v="1"/>
    <x v="6"/>
    <x v="75"/>
    <x v="96"/>
    <n v="41"/>
    <n v="51"/>
    <s v="Oregon"/>
    <s v="Multnomah County"/>
    <n v="41051"/>
    <n v="262"/>
    <x v="0"/>
    <n v="6232660"/>
    <n v="12001"/>
    <n v="0"/>
    <n v="1"/>
    <x v="0"/>
  </r>
  <r>
    <x v="5"/>
    <n v="12"/>
    <n v="33"/>
    <x v="6"/>
    <x v="160"/>
    <x v="219"/>
    <n v="41"/>
    <n v="51"/>
    <s v="Oregon"/>
    <s v="Multnomah County"/>
    <n v="41051"/>
    <n v="97"/>
    <x v="0"/>
    <n v="15908000"/>
    <n v="12033"/>
    <n v="0"/>
    <n v="1"/>
    <x v="0"/>
  </r>
  <r>
    <x v="5"/>
    <n v="16"/>
    <n v="0"/>
    <x v="9"/>
    <x v="0"/>
    <x v="32"/>
    <n v="41"/>
    <n v="51"/>
    <s v="Oregon"/>
    <s v="Multnomah County"/>
    <n v="41051"/>
    <n v="382"/>
    <x v="19"/>
    <n v="23282500"/>
    <m/>
    <n v="0"/>
    <n v="1"/>
    <x v="0"/>
  </r>
  <r>
    <x v="5"/>
    <n v="17"/>
    <n v="31"/>
    <x v="10"/>
    <x v="28"/>
    <x v="34"/>
    <n v="41"/>
    <n v="51"/>
    <s v="Oregon"/>
    <s v="Multnomah County"/>
    <n v="41051"/>
    <n v="302"/>
    <x v="95"/>
    <n v="25200000"/>
    <n v="17031"/>
    <n v="0"/>
    <n v="1"/>
    <x v="0"/>
  </r>
  <r>
    <x v="5"/>
    <n v="17"/>
    <n v="43"/>
    <x v="10"/>
    <x v="146"/>
    <x v="200"/>
    <n v="41"/>
    <n v="51"/>
    <s v="Oregon"/>
    <s v="Multnomah County"/>
    <n v="41051"/>
    <n v="59"/>
    <x v="128"/>
    <n v="3532330"/>
    <n v="17043"/>
    <n v="0"/>
    <n v="1"/>
    <x v="0"/>
  </r>
  <r>
    <x v="5"/>
    <n v="19"/>
    <n v="103"/>
    <x v="12"/>
    <x v="32"/>
    <x v="39"/>
    <n v="41"/>
    <n v="51"/>
    <s v="Oregon"/>
    <s v="Multnomah County"/>
    <n v="41051"/>
    <n v="456"/>
    <x v="0"/>
    <n v="5238000"/>
    <n v="19103"/>
    <n v="0"/>
    <n v="1"/>
    <x v="0"/>
  </r>
  <r>
    <x v="5"/>
    <n v="22"/>
    <n v="71"/>
    <x v="13"/>
    <x v="147"/>
    <x v="202"/>
    <n v="41"/>
    <n v="51"/>
    <s v="Oregon"/>
    <s v="Multnomah County"/>
    <n v="41051"/>
    <n v="85"/>
    <x v="90"/>
    <n v="4250000"/>
    <n v="22071"/>
    <n v="0"/>
    <n v="1"/>
    <x v="0"/>
  </r>
  <r>
    <x v="5"/>
    <n v="25"/>
    <n v="0"/>
    <x v="15"/>
    <x v="0"/>
    <x v="43"/>
    <n v="41"/>
    <n v="51"/>
    <s v="Oregon"/>
    <s v="Multnomah County"/>
    <n v="41051"/>
    <n v="410"/>
    <x v="232"/>
    <n v="61366000"/>
    <m/>
    <n v="0"/>
    <n v="1"/>
    <x v="0"/>
  </r>
  <r>
    <x v="5"/>
    <n v="25"/>
    <n v="25"/>
    <x v="15"/>
    <x v="35"/>
    <x v="44"/>
    <n v="41"/>
    <n v="51"/>
    <s v="Oregon"/>
    <s v="Multnomah County"/>
    <n v="41051"/>
    <n v="107"/>
    <x v="133"/>
    <n v="6420000"/>
    <n v="25025"/>
    <n v="0"/>
    <n v="1"/>
    <x v="0"/>
  </r>
  <r>
    <x v="5"/>
    <n v="26"/>
    <n v="81"/>
    <x v="36"/>
    <x v="113"/>
    <x v="151"/>
    <n v="41"/>
    <n v="51"/>
    <s v="Oregon"/>
    <s v="Multnomah County"/>
    <n v="41051"/>
    <n v="268"/>
    <x v="233"/>
    <n v="2787200"/>
    <n v="26081"/>
    <n v="0"/>
    <n v="1"/>
    <x v="0"/>
  </r>
  <r>
    <x v="5"/>
    <n v="26"/>
    <n v="99"/>
    <x v="36"/>
    <x v="161"/>
    <x v="220"/>
    <n v="41"/>
    <n v="51"/>
    <s v="Oregon"/>
    <s v="Multnomah County"/>
    <n v="41051"/>
    <n v="101"/>
    <x v="16"/>
    <n v="4040000"/>
    <n v="26099"/>
    <n v="0"/>
    <n v="1"/>
    <x v="0"/>
  </r>
  <r>
    <x v="5"/>
    <n v="26"/>
    <n v="163"/>
    <x v="36"/>
    <x v="82"/>
    <x v="108"/>
    <n v="41"/>
    <n v="51"/>
    <s v="Oregon"/>
    <s v="Multnomah County"/>
    <n v="41051"/>
    <n v="159"/>
    <x v="0"/>
    <n v="1749000"/>
    <n v="26163"/>
    <n v="0"/>
    <n v="1"/>
    <x v="0"/>
  </r>
  <r>
    <x v="5"/>
    <n v="27"/>
    <n v="163"/>
    <x v="16"/>
    <x v="50"/>
    <x v="204"/>
    <n v="41"/>
    <n v="51"/>
    <s v="Oregon"/>
    <s v="Multnomah County"/>
    <n v="41051"/>
    <n v="115"/>
    <x v="175"/>
    <n v="4761000"/>
    <n v="27163"/>
    <n v="0"/>
    <n v="1"/>
    <x v="0"/>
  </r>
  <r>
    <x v="5"/>
    <n v="32"/>
    <n v="31"/>
    <x v="18"/>
    <x v="116"/>
    <x v="155"/>
    <n v="41"/>
    <n v="51"/>
    <s v="Oregon"/>
    <s v="Multnomah County"/>
    <n v="41051"/>
    <n v="406"/>
    <x v="234"/>
    <n v="21033390"/>
    <n v="32031"/>
    <n v="0"/>
    <n v="1"/>
    <x v="0"/>
  </r>
  <r>
    <x v="5"/>
    <n v="34"/>
    <n v="27"/>
    <x v="38"/>
    <x v="162"/>
    <x v="221"/>
    <n v="41"/>
    <n v="51"/>
    <s v="Oregon"/>
    <s v="Multnomah County"/>
    <n v="41051"/>
    <n v="99"/>
    <x v="0"/>
    <n v="11880000"/>
    <n v="34027"/>
    <n v="0"/>
    <n v="1"/>
    <x v="0"/>
  </r>
  <r>
    <x v="5"/>
    <n v="35"/>
    <n v="0"/>
    <x v="39"/>
    <x v="0"/>
    <x v="113"/>
    <n v="41"/>
    <n v="51"/>
    <s v="Oregon"/>
    <s v="Multnomah County"/>
    <n v="41051"/>
    <n v="652"/>
    <x v="198"/>
    <n v="32633460"/>
    <m/>
    <n v="0"/>
    <n v="1"/>
    <x v="0"/>
  </r>
  <r>
    <x v="5"/>
    <n v="36"/>
    <n v="0"/>
    <x v="20"/>
    <x v="0"/>
    <x v="157"/>
    <n v="41"/>
    <n v="51"/>
    <s v="Oregon"/>
    <s v="Multnomah County"/>
    <n v="41051"/>
    <n v="1220"/>
    <x v="235"/>
    <n v="12170070"/>
    <m/>
    <n v="0"/>
    <n v="1"/>
    <x v="0"/>
  </r>
  <r>
    <x v="5"/>
    <n v="36"/>
    <n v="5"/>
    <x v="20"/>
    <x v="39"/>
    <x v="49"/>
    <n v="41"/>
    <n v="51"/>
    <s v="Oregon"/>
    <s v="Multnomah County"/>
    <n v="41051"/>
    <n v="199"/>
    <x v="0"/>
    <n v="1333300"/>
    <n v="36005"/>
    <n v="0"/>
    <n v="1"/>
    <x v="0"/>
  </r>
  <r>
    <x v="5"/>
    <n v="36"/>
    <n v="81"/>
    <x v="20"/>
    <x v="119"/>
    <x v="159"/>
    <n v="41"/>
    <n v="51"/>
    <s v="Oregon"/>
    <s v="Multnomah County"/>
    <n v="41051"/>
    <n v="196"/>
    <x v="0"/>
    <n v="0"/>
    <n v="36081"/>
    <n v="0"/>
    <n v="1"/>
    <x v="0"/>
  </r>
  <r>
    <x v="5"/>
    <n v="37"/>
    <n v="0"/>
    <x v="21"/>
    <x v="0"/>
    <x v="179"/>
    <n v="41"/>
    <n v="51"/>
    <s v="Oregon"/>
    <s v="Multnomah County"/>
    <n v="41051"/>
    <n v="99"/>
    <x v="194"/>
    <n v="1782000"/>
    <m/>
    <n v="0"/>
    <n v="1"/>
    <x v="0"/>
  </r>
  <r>
    <x v="5"/>
    <n v="37"/>
    <n v="67"/>
    <x v="21"/>
    <x v="163"/>
    <x v="222"/>
    <n v="41"/>
    <n v="51"/>
    <s v="Oregon"/>
    <s v="Multnomah County"/>
    <n v="41051"/>
    <n v="513"/>
    <x v="236"/>
    <n v="17566100"/>
    <n v="37067"/>
    <n v="0"/>
    <n v="1"/>
    <x v="0"/>
  </r>
  <r>
    <x v="5"/>
    <n v="38"/>
    <n v="17"/>
    <x v="45"/>
    <x v="164"/>
    <x v="223"/>
    <n v="41"/>
    <n v="51"/>
    <s v="Oregon"/>
    <s v="Multnomah County"/>
    <n v="41051"/>
    <n v="155"/>
    <x v="127"/>
    <n v="7130000"/>
    <n v="38017"/>
    <n v="0"/>
    <n v="1"/>
    <x v="0"/>
  </r>
  <r>
    <x v="5"/>
    <n v="39"/>
    <n v="49"/>
    <x v="22"/>
    <x v="42"/>
    <x v="55"/>
    <n v="41"/>
    <n v="51"/>
    <s v="Oregon"/>
    <s v="Multnomah County"/>
    <n v="41051"/>
    <n v="43"/>
    <x v="237"/>
    <n v="2838000"/>
    <n v="39049"/>
    <n v="0"/>
    <n v="1"/>
    <x v="0"/>
  </r>
  <r>
    <x v="5"/>
    <n v="39"/>
    <n v="61"/>
    <x v="22"/>
    <x v="165"/>
    <x v="224"/>
    <n v="41"/>
    <n v="51"/>
    <s v="Oregon"/>
    <s v="Multnomah County"/>
    <n v="41051"/>
    <n v="84"/>
    <x v="0"/>
    <n v="4620000"/>
    <n v="39061"/>
    <n v="0"/>
    <n v="1"/>
    <x v="0"/>
  </r>
  <r>
    <x v="5"/>
    <n v="41"/>
    <n v="0"/>
    <x v="23"/>
    <x v="0"/>
    <x v="57"/>
    <n v="41"/>
    <n v="51"/>
    <s v="Oregon"/>
    <s v="Multnomah County"/>
    <n v="41051"/>
    <n v="2442"/>
    <x v="238"/>
    <n v="106215100"/>
    <m/>
    <n v="0"/>
    <n v="1"/>
    <x v="0"/>
  </r>
  <r>
    <x v="5"/>
    <n v="41"/>
    <n v="5"/>
    <x v="23"/>
    <x v="44"/>
    <x v="58"/>
    <n v="41"/>
    <n v="51"/>
    <s v="Oregon"/>
    <s v="Multnomah County"/>
    <n v="41051"/>
    <n v="5633"/>
    <x v="239"/>
    <n v="235602200"/>
    <n v="41005"/>
    <n v="0"/>
    <n v="1"/>
    <x v="0"/>
  </r>
  <r>
    <x v="5"/>
    <n v="41"/>
    <n v="17"/>
    <x v="23"/>
    <x v="45"/>
    <x v="59"/>
    <n v="41"/>
    <n v="51"/>
    <s v="Oregon"/>
    <s v="Multnomah County"/>
    <n v="41051"/>
    <n v="211"/>
    <x v="240"/>
    <n v="867000"/>
    <n v="41017"/>
    <n v="0"/>
    <n v="1"/>
    <x v="0"/>
  </r>
  <r>
    <x v="5"/>
    <n v="41"/>
    <n v="29"/>
    <x v="23"/>
    <x v="46"/>
    <x v="60"/>
    <n v="41"/>
    <n v="51"/>
    <s v="Oregon"/>
    <s v="Multnomah County"/>
    <n v="41051"/>
    <n v="1315"/>
    <x v="241"/>
    <n v="37977800"/>
    <n v="41029"/>
    <n v="0"/>
    <n v="1"/>
    <x v="0"/>
  </r>
  <r>
    <x v="5"/>
    <n v="41"/>
    <n v="39"/>
    <x v="23"/>
    <x v="47"/>
    <x v="61"/>
    <n v="41"/>
    <n v="51"/>
    <s v="Oregon"/>
    <s v="Multnomah County"/>
    <n v="41051"/>
    <n v="2685"/>
    <x v="242"/>
    <n v="77452350"/>
    <n v="41039"/>
    <n v="0"/>
    <n v="1"/>
    <x v="0"/>
  </r>
  <r>
    <x v="5"/>
    <n v="41"/>
    <n v="47"/>
    <x v="23"/>
    <x v="48"/>
    <x v="62"/>
    <n v="41"/>
    <n v="51"/>
    <s v="Oregon"/>
    <s v="Multnomah County"/>
    <n v="41051"/>
    <n v="2646"/>
    <x v="243"/>
    <n v="98390640"/>
    <n v="41047"/>
    <n v="0"/>
    <n v="1"/>
    <x v="0"/>
  </r>
  <r>
    <x v="5"/>
    <n v="41"/>
    <n v="51"/>
    <x v="23"/>
    <x v="49"/>
    <x v="63"/>
    <n v="41"/>
    <n v="51"/>
    <s v="Oregon"/>
    <s v="Multnomah County"/>
    <n v="41051"/>
    <n v="596774"/>
    <x v="244"/>
    <n v="34804726934"/>
    <n v="41051"/>
    <n v="1"/>
    <n v="1"/>
    <x v="1"/>
  </r>
  <r>
    <x v="5"/>
    <n v="41"/>
    <n v="67"/>
    <x v="23"/>
    <x v="50"/>
    <x v="64"/>
    <n v="41"/>
    <n v="51"/>
    <s v="Oregon"/>
    <s v="Multnomah County"/>
    <n v="41051"/>
    <n v="6606"/>
    <x v="245"/>
    <n v="418829280"/>
    <n v="41067"/>
    <n v="0"/>
    <n v="1"/>
    <x v="0"/>
  </r>
  <r>
    <x v="5"/>
    <n v="42"/>
    <n v="27"/>
    <x v="24"/>
    <x v="51"/>
    <x v="66"/>
    <n v="41"/>
    <n v="51"/>
    <s v="Oregon"/>
    <s v="Multnomah County"/>
    <n v="41051"/>
    <n v="92"/>
    <x v="0"/>
    <n v="1380000"/>
    <n v="42027"/>
    <n v="0"/>
    <n v="1"/>
    <x v="0"/>
  </r>
  <r>
    <x v="5"/>
    <n v="42"/>
    <n v="29"/>
    <x v="24"/>
    <x v="166"/>
    <x v="225"/>
    <n v="41"/>
    <n v="51"/>
    <s v="Oregon"/>
    <s v="Multnomah County"/>
    <n v="41051"/>
    <n v="146"/>
    <x v="87"/>
    <n v="13128590"/>
    <n v="42029"/>
    <n v="0"/>
    <n v="1"/>
    <x v="0"/>
  </r>
  <r>
    <x v="5"/>
    <n v="44"/>
    <n v="7"/>
    <x v="25"/>
    <x v="54"/>
    <x v="69"/>
    <n v="41"/>
    <n v="51"/>
    <s v="Oregon"/>
    <s v="Multnomah County"/>
    <n v="41051"/>
    <n v="186"/>
    <x v="246"/>
    <n v="6138000"/>
    <n v="44007"/>
    <n v="0"/>
    <n v="1"/>
    <x v="0"/>
  </r>
  <r>
    <x v="5"/>
    <n v="47"/>
    <n v="0"/>
    <x v="26"/>
    <x v="0"/>
    <x v="121"/>
    <n v="41"/>
    <n v="51"/>
    <s v="Oregon"/>
    <s v="Multnomah County"/>
    <n v="41051"/>
    <n v="188"/>
    <x v="80"/>
    <n v="8290800"/>
    <m/>
    <n v="0"/>
    <n v="1"/>
    <x v="0"/>
  </r>
  <r>
    <x v="5"/>
    <n v="47"/>
    <n v="157"/>
    <x v="26"/>
    <x v="167"/>
    <x v="226"/>
    <n v="41"/>
    <n v="51"/>
    <s v="Oregon"/>
    <s v="Multnomah County"/>
    <n v="41051"/>
    <n v="251"/>
    <x v="104"/>
    <n v="7180300"/>
    <n v="47157"/>
    <n v="0"/>
    <n v="1"/>
    <x v="0"/>
  </r>
  <r>
    <x v="5"/>
    <n v="48"/>
    <n v="85"/>
    <x v="27"/>
    <x v="56"/>
    <x v="71"/>
    <n v="41"/>
    <n v="51"/>
    <s v="Oregon"/>
    <s v="Multnomah County"/>
    <n v="41051"/>
    <n v="199"/>
    <x v="247"/>
    <n v="14328000"/>
    <n v="48085"/>
    <n v="0"/>
    <n v="1"/>
    <x v="0"/>
  </r>
  <r>
    <x v="5"/>
    <n v="48"/>
    <n v="157"/>
    <x v="27"/>
    <x v="168"/>
    <x v="227"/>
    <n v="41"/>
    <n v="51"/>
    <s v="Oregon"/>
    <s v="Multnomah County"/>
    <n v="41051"/>
    <n v="1213"/>
    <x v="248"/>
    <n v="206350000"/>
    <n v="48157"/>
    <n v="0"/>
    <n v="1"/>
    <x v="0"/>
  </r>
  <r>
    <x v="5"/>
    <n v="48"/>
    <n v="439"/>
    <x v="27"/>
    <x v="90"/>
    <x v="124"/>
    <n v="41"/>
    <n v="51"/>
    <s v="Oregon"/>
    <s v="Multnomah County"/>
    <n v="41051"/>
    <n v="266"/>
    <x v="106"/>
    <n v="9926000"/>
    <n v="48439"/>
    <n v="0"/>
    <n v="1"/>
    <x v="0"/>
  </r>
  <r>
    <x v="5"/>
    <n v="49"/>
    <n v="35"/>
    <x v="28"/>
    <x v="58"/>
    <x v="73"/>
    <n v="41"/>
    <n v="51"/>
    <s v="Oregon"/>
    <s v="Multnomah County"/>
    <n v="41051"/>
    <n v="110"/>
    <x v="229"/>
    <n v="275000"/>
    <n v="49035"/>
    <n v="0"/>
    <n v="1"/>
    <x v="0"/>
  </r>
  <r>
    <x v="5"/>
    <n v="51"/>
    <n v="0"/>
    <x v="30"/>
    <x v="0"/>
    <x v="75"/>
    <n v="41"/>
    <n v="51"/>
    <s v="Oregon"/>
    <s v="Multnomah County"/>
    <n v="41051"/>
    <n v="1019"/>
    <x v="7"/>
    <n v="62382800"/>
    <m/>
    <n v="0"/>
    <n v="1"/>
    <x v="0"/>
  </r>
  <r>
    <x v="5"/>
    <n v="53"/>
    <n v="0"/>
    <x v="31"/>
    <x v="0"/>
    <x v="76"/>
    <n v="41"/>
    <n v="51"/>
    <s v="Oregon"/>
    <s v="Multnomah County"/>
    <n v="41051"/>
    <n v="391"/>
    <x v="249"/>
    <n v="7851200"/>
    <m/>
    <n v="0"/>
    <n v="1"/>
    <x v="0"/>
  </r>
  <r>
    <x v="5"/>
    <n v="53"/>
    <n v="11"/>
    <x v="31"/>
    <x v="38"/>
    <x v="77"/>
    <n v="41"/>
    <n v="51"/>
    <s v="Oregon"/>
    <s v="Multnomah County"/>
    <n v="41051"/>
    <n v="1490"/>
    <x v="250"/>
    <n v="83973000"/>
    <n v="53011"/>
    <n v="0"/>
    <n v="1"/>
    <x v="0"/>
  </r>
  <r>
    <x v="5"/>
    <n v="53"/>
    <n v="33"/>
    <x v="31"/>
    <x v="59"/>
    <x v="78"/>
    <n v="41"/>
    <n v="51"/>
    <s v="Oregon"/>
    <s v="Multnomah County"/>
    <n v="41051"/>
    <n v="1445"/>
    <x v="251"/>
    <n v="42302600"/>
    <n v="53033"/>
    <n v="0"/>
    <n v="1"/>
    <x v="0"/>
  </r>
  <r>
    <x v="5"/>
    <n v="53"/>
    <n v="35"/>
    <x v="31"/>
    <x v="60"/>
    <x v="79"/>
    <n v="41"/>
    <n v="51"/>
    <s v="Oregon"/>
    <s v="Multnomah County"/>
    <n v="41051"/>
    <n v="133"/>
    <x v="0"/>
    <n v="7581000"/>
    <n v="53035"/>
    <n v="0"/>
    <n v="1"/>
    <x v="0"/>
  </r>
  <r>
    <x v="5"/>
    <n v="53"/>
    <n v="53"/>
    <x v="31"/>
    <x v="61"/>
    <x v="80"/>
    <n v="41"/>
    <n v="51"/>
    <s v="Oregon"/>
    <s v="Multnomah County"/>
    <n v="41051"/>
    <n v="292"/>
    <x v="252"/>
    <n v="33022000"/>
    <n v="53053"/>
    <n v="0"/>
    <n v="1"/>
    <x v="0"/>
  </r>
  <r>
    <x v="5"/>
    <n v="53"/>
    <n v="61"/>
    <x v="31"/>
    <x v="62"/>
    <x v="81"/>
    <n v="41"/>
    <n v="51"/>
    <s v="Oregon"/>
    <s v="Multnomah County"/>
    <n v="41051"/>
    <n v="251"/>
    <x v="158"/>
    <n v="9918720"/>
    <n v="53061"/>
    <n v="0"/>
    <n v="1"/>
    <x v="0"/>
  </r>
  <r>
    <x v="5"/>
    <n v="53"/>
    <n v="63"/>
    <x v="31"/>
    <x v="63"/>
    <x v="82"/>
    <n v="41"/>
    <n v="51"/>
    <s v="Oregon"/>
    <s v="Multnomah County"/>
    <n v="41051"/>
    <n v="210"/>
    <x v="220"/>
    <n v="10500000"/>
    <n v="53063"/>
    <n v="0"/>
    <n v="1"/>
    <x v="0"/>
  </r>
  <r>
    <x v="5"/>
    <n v="53"/>
    <n v="67"/>
    <x v="31"/>
    <x v="64"/>
    <x v="83"/>
    <n v="41"/>
    <n v="51"/>
    <s v="Oregon"/>
    <s v="Multnomah County"/>
    <n v="41051"/>
    <n v="957"/>
    <x v="253"/>
    <n v="49432950"/>
    <n v="53067"/>
    <n v="0"/>
    <n v="1"/>
    <x v="0"/>
  </r>
  <r>
    <x v="5"/>
    <n v="53"/>
    <n v="73"/>
    <x v="31"/>
    <x v="93"/>
    <x v="128"/>
    <n v="41"/>
    <n v="51"/>
    <s v="Oregon"/>
    <s v="Multnomah County"/>
    <n v="41051"/>
    <n v="743"/>
    <x v="174"/>
    <n v="44229000"/>
    <n v="53073"/>
    <n v="0"/>
    <n v="1"/>
    <x v="0"/>
  </r>
  <r>
    <x v="5"/>
    <n v="55"/>
    <n v="79"/>
    <x v="32"/>
    <x v="65"/>
    <x v="85"/>
    <n v="41"/>
    <n v="51"/>
    <s v="Oregon"/>
    <s v="Multnomah County"/>
    <n v="41051"/>
    <n v="162"/>
    <x v="31"/>
    <n v="4860000"/>
    <n v="55079"/>
    <n v="0"/>
    <n v="1"/>
    <x v="0"/>
  </r>
  <r>
    <x v="6"/>
    <n v="4"/>
    <n v="0"/>
    <x v="1"/>
    <x v="0"/>
    <x v="2"/>
    <n v="41"/>
    <n v="51"/>
    <s v="Oregon"/>
    <s v="Multnomah County"/>
    <n v="41051"/>
    <n v="712"/>
    <x v="254"/>
    <n v="19147480"/>
    <m/>
    <n v="0"/>
    <n v="1"/>
    <x v="0"/>
  </r>
  <r>
    <x v="6"/>
    <n v="4"/>
    <n v="13"/>
    <x v="1"/>
    <x v="3"/>
    <x v="4"/>
    <n v="41"/>
    <n v="51"/>
    <s v="Oregon"/>
    <s v="Multnomah County"/>
    <n v="41051"/>
    <n v="186"/>
    <x v="38"/>
    <n v="9595000"/>
    <n v="4013"/>
    <n v="0"/>
    <n v="1"/>
    <x v="0"/>
  </r>
  <r>
    <x v="6"/>
    <n v="6"/>
    <n v="0"/>
    <x v="3"/>
    <x v="0"/>
    <x v="6"/>
    <n v="41"/>
    <n v="51"/>
    <s v="Oregon"/>
    <s v="Multnomah County"/>
    <n v="41051"/>
    <n v="1433"/>
    <x v="255"/>
    <n v="93743500"/>
    <m/>
    <n v="0"/>
    <n v="1"/>
    <x v="0"/>
  </r>
  <r>
    <x v="6"/>
    <n v="6"/>
    <n v="1"/>
    <x v="3"/>
    <x v="4"/>
    <x v="7"/>
    <n v="41"/>
    <n v="51"/>
    <s v="Oregon"/>
    <s v="Multnomah County"/>
    <n v="41051"/>
    <n v="2637"/>
    <x v="256"/>
    <n v="186411500"/>
    <n v="6001"/>
    <n v="0"/>
    <n v="1"/>
    <x v="0"/>
  </r>
  <r>
    <x v="6"/>
    <n v="6"/>
    <n v="13"/>
    <x v="3"/>
    <x v="5"/>
    <x v="8"/>
    <n v="41"/>
    <n v="51"/>
    <s v="Oregon"/>
    <s v="Multnomah County"/>
    <n v="41051"/>
    <n v="268"/>
    <x v="107"/>
    <n v="32197000"/>
    <n v="6013"/>
    <n v="0"/>
    <n v="1"/>
    <x v="0"/>
  </r>
  <r>
    <x v="6"/>
    <n v="6"/>
    <n v="19"/>
    <x v="3"/>
    <x v="6"/>
    <x v="9"/>
    <n v="41"/>
    <n v="51"/>
    <s v="Oregon"/>
    <s v="Multnomah County"/>
    <n v="41051"/>
    <n v="113"/>
    <x v="0"/>
    <n v="7910000"/>
    <n v="6019"/>
    <n v="0"/>
    <n v="1"/>
    <x v="0"/>
  </r>
  <r>
    <x v="6"/>
    <n v="6"/>
    <n v="23"/>
    <x v="3"/>
    <x v="68"/>
    <x v="88"/>
    <n v="41"/>
    <n v="51"/>
    <s v="Oregon"/>
    <s v="Multnomah County"/>
    <n v="41051"/>
    <n v="73"/>
    <x v="52"/>
    <n v="0"/>
    <n v="6023"/>
    <n v="0"/>
    <n v="1"/>
    <x v="0"/>
  </r>
  <r>
    <x v="6"/>
    <n v="6"/>
    <n v="37"/>
    <x v="3"/>
    <x v="8"/>
    <x v="11"/>
    <n v="41"/>
    <n v="51"/>
    <s v="Oregon"/>
    <s v="Multnomah County"/>
    <n v="41051"/>
    <n v="3032"/>
    <x v="257"/>
    <n v="158644300"/>
    <n v="6037"/>
    <n v="0"/>
    <n v="1"/>
    <x v="0"/>
  </r>
  <r>
    <x v="6"/>
    <n v="6"/>
    <n v="39"/>
    <x v="3"/>
    <x v="169"/>
    <x v="228"/>
    <n v="41"/>
    <n v="51"/>
    <s v="Oregon"/>
    <s v="Multnomah County"/>
    <n v="41051"/>
    <n v="70"/>
    <x v="69"/>
    <n v="2380000"/>
    <n v="6039"/>
    <n v="0"/>
    <n v="1"/>
    <x v="0"/>
  </r>
  <r>
    <x v="6"/>
    <n v="6"/>
    <n v="59"/>
    <x v="3"/>
    <x v="10"/>
    <x v="13"/>
    <n v="41"/>
    <n v="51"/>
    <s v="Oregon"/>
    <s v="Multnomah County"/>
    <n v="41051"/>
    <n v="643"/>
    <x v="108"/>
    <n v="25631000"/>
    <n v="6059"/>
    <n v="0"/>
    <n v="1"/>
    <x v="0"/>
  </r>
  <r>
    <x v="6"/>
    <n v="6"/>
    <n v="67"/>
    <x v="3"/>
    <x v="11"/>
    <x v="14"/>
    <n v="41"/>
    <n v="51"/>
    <s v="Oregon"/>
    <s v="Multnomah County"/>
    <n v="41051"/>
    <n v="476"/>
    <x v="258"/>
    <n v="15659000"/>
    <n v="6067"/>
    <n v="0"/>
    <n v="1"/>
    <x v="0"/>
  </r>
  <r>
    <x v="6"/>
    <n v="6"/>
    <n v="71"/>
    <x v="3"/>
    <x v="12"/>
    <x v="15"/>
    <n v="41"/>
    <n v="51"/>
    <s v="Oregon"/>
    <s v="Multnomah County"/>
    <n v="41051"/>
    <n v="62"/>
    <x v="49"/>
    <n v="6076000"/>
    <n v="6071"/>
    <n v="0"/>
    <n v="1"/>
    <x v="0"/>
  </r>
  <r>
    <x v="6"/>
    <n v="6"/>
    <n v="73"/>
    <x v="3"/>
    <x v="13"/>
    <x v="16"/>
    <n v="41"/>
    <n v="51"/>
    <s v="Oregon"/>
    <s v="Multnomah County"/>
    <n v="41051"/>
    <n v="387"/>
    <x v="68"/>
    <n v="18869200"/>
    <n v="6073"/>
    <n v="0"/>
    <n v="1"/>
    <x v="0"/>
  </r>
  <r>
    <x v="6"/>
    <n v="6"/>
    <n v="75"/>
    <x v="3"/>
    <x v="14"/>
    <x v="17"/>
    <n v="41"/>
    <n v="51"/>
    <s v="Oregon"/>
    <s v="Multnomah County"/>
    <n v="41051"/>
    <n v="1671"/>
    <x v="259"/>
    <n v="221597000"/>
    <n v="6075"/>
    <n v="0"/>
    <n v="1"/>
    <x v="0"/>
  </r>
  <r>
    <x v="6"/>
    <n v="6"/>
    <n v="81"/>
    <x v="3"/>
    <x v="100"/>
    <x v="135"/>
    <n v="41"/>
    <n v="51"/>
    <s v="Oregon"/>
    <s v="Multnomah County"/>
    <n v="41051"/>
    <n v="393"/>
    <x v="260"/>
    <n v="55731000"/>
    <n v="6081"/>
    <n v="0"/>
    <n v="1"/>
    <x v="0"/>
  </r>
  <r>
    <x v="6"/>
    <n v="6"/>
    <n v="87"/>
    <x v="3"/>
    <x v="71"/>
    <x v="92"/>
    <n v="41"/>
    <n v="51"/>
    <s v="Oregon"/>
    <s v="Multnomah County"/>
    <n v="41051"/>
    <n v="158"/>
    <x v="0"/>
    <n v="2370000"/>
    <n v="6087"/>
    <n v="0"/>
    <n v="1"/>
    <x v="0"/>
  </r>
  <r>
    <x v="6"/>
    <n v="6"/>
    <n v="97"/>
    <x v="3"/>
    <x v="18"/>
    <x v="21"/>
    <n v="41"/>
    <n v="51"/>
    <s v="Oregon"/>
    <s v="Multnomah County"/>
    <n v="41051"/>
    <n v="137"/>
    <x v="22"/>
    <n v="4090400"/>
    <n v="6097"/>
    <n v="0"/>
    <n v="1"/>
    <x v="0"/>
  </r>
  <r>
    <x v="6"/>
    <n v="6"/>
    <n v="111"/>
    <x v="3"/>
    <x v="72"/>
    <x v="93"/>
    <n v="41"/>
    <n v="51"/>
    <s v="Oregon"/>
    <s v="Multnomah County"/>
    <n v="41051"/>
    <n v="117"/>
    <x v="0"/>
    <n v="2340000"/>
    <n v="6111"/>
    <n v="0"/>
    <n v="1"/>
    <x v="0"/>
  </r>
  <r>
    <x v="6"/>
    <n v="8"/>
    <n v="0"/>
    <x v="4"/>
    <x v="0"/>
    <x v="24"/>
    <n v="41"/>
    <n v="51"/>
    <s v="Oregon"/>
    <s v="Multnomah County"/>
    <n v="41051"/>
    <n v="741"/>
    <x v="261"/>
    <n v="37180800"/>
    <m/>
    <n v="0"/>
    <n v="1"/>
    <x v="0"/>
  </r>
  <r>
    <x v="6"/>
    <n v="8"/>
    <n v="69"/>
    <x v="4"/>
    <x v="73"/>
    <x v="94"/>
    <n v="41"/>
    <n v="51"/>
    <s v="Oregon"/>
    <s v="Multnomah County"/>
    <n v="41051"/>
    <n v="67"/>
    <x v="0"/>
    <n v="1206000"/>
    <n v="8069"/>
    <n v="0"/>
    <n v="1"/>
    <x v="0"/>
  </r>
  <r>
    <x v="6"/>
    <n v="9"/>
    <n v="11"/>
    <x v="33"/>
    <x v="159"/>
    <x v="218"/>
    <n v="41"/>
    <n v="51"/>
    <s v="Oregon"/>
    <s v="Multnomah County"/>
    <n v="41051"/>
    <n v="83"/>
    <x v="0"/>
    <n v="1593600"/>
    <n v="9011"/>
    <n v="0"/>
    <n v="1"/>
    <x v="0"/>
  </r>
  <r>
    <x v="6"/>
    <n v="10"/>
    <n v="3"/>
    <x v="48"/>
    <x v="170"/>
    <x v="229"/>
    <n v="41"/>
    <n v="51"/>
    <s v="Oregon"/>
    <s v="Multnomah County"/>
    <n v="41051"/>
    <n v="113"/>
    <x v="262"/>
    <n v="9440500"/>
    <n v="10003"/>
    <n v="0"/>
    <n v="1"/>
    <x v="0"/>
  </r>
  <r>
    <x v="6"/>
    <n v="12"/>
    <n v="11"/>
    <x v="6"/>
    <x v="77"/>
    <x v="98"/>
    <n v="41"/>
    <n v="51"/>
    <s v="Oregon"/>
    <s v="Multnomah County"/>
    <n v="41051"/>
    <n v="312"/>
    <x v="263"/>
    <n v="3744000"/>
    <n v="12011"/>
    <n v="0"/>
    <n v="1"/>
    <x v="0"/>
  </r>
  <r>
    <x v="6"/>
    <n v="12"/>
    <n v="99"/>
    <x v="6"/>
    <x v="105"/>
    <x v="140"/>
    <n v="41"/>
    <n v="51"/>
    <s v="Oregon"/>
    <s v="Multnomah County"/>
    <n v="41051"/>
    <n v="147"/>
    <x v="54"/>
    <n v="8085000"/>
    <n v="12099"/>
    <n v="0"/>
    <n v="1"/>
    <x v="0"/>
  </r>
  <r>
    <x v="6"/>
    <n v="15"/>
    <n v="1"/>
    <x v="8"/>
    <x v="25"/>
    <x v="30"/>
    <n v="41"/>
    <n v="51"/>
    <s v="Oregon"/>
    <s v="Multnomah County"/>
    <n v="41051"/>
    <n v="188"/>
    <x v="61"/>
    <n v="7322000"/>
    <n v="15001"/>
    <n v="0"/>
    <n v="1"/>
    <x v="0"/>
  </r>
  <r>
    <x v="6"/>
    <n v="16"/>
    <n v="0"/>
    <x v="9"/>
    <x v="0"/>
    <x v="32"/>
    <n v="41"/>
    <n v="51"/>
    <s v="Oregon"/>
    <s v="Multnomah County"/>
    <n v="41051"/>
    <n v="11"/>
    <x v="264"/>
    <n v="825000"/>
    <m/>
    <n v="0"/>
    <n v="1"/>
    <x v="0"/>
  </r>
  <r>
    <x v="6"/>
    <n v="17"/>
    <n v="0"/>
    <x v="10"/>
    <x v="0"/>
    <x v="142"/>
    <n v="41"/>
    <n v="51"/>
    <s v="Oregon"/>
    <s v="Multnomah County"/>
    <n v="41051"/>
    <n v="187"/>
    <x v="29"/>
    <n v="9405000"/>
    <m/>
    <n v="0"/>
    <n v="1"/>
    <x v="0"/>
  </r>
  <r>
    <x v="6"/>
    <n v="17"/>
    <n v="31"/>
    <x v="10"/>
    <x v="28"/>
    <x v="34"/>
    <n v="41"/>
    <n v="51"/>
    <s v="Oregon"/>
    <s v="Multnomah County"/>
    <n v="41051"/>
    <n v="319"/>
    <x v="85"/>
    <n v="48584000"/>
    <n v="17031"/>
    <n v="0"/>
    <n v="1"/>
    <x v="0"/>
  </r>
  <r>
    <x v="6"/>
    <n v="18"/>
    <n v="91"/>
    <x v="11"/>
    <x v="171"/>
    <x v="230"/>
    <n v="41"/>
    <n v="51"/>
    <s v="Oregon"/>
    <s v="Multnomah County"/>
    <n v="41051"/>
    <n v="157"/>
    <x v="265"/>
    <n v="1774100"/>
    <n v="18091"/>
    <n v="0"/>
    <n v="1"/>
    <x v="0"/>
  </r>
  <r>
    <x v="6"/>
    <n v="19"/>
    <n v="0"/>
    <x v="12"/>
    <x v="0"/>
    <x v="201"/>
    <n v="41"/>
    <n v="51"/>
    <s v="Oregon"/>
    <s v="Multnomah County"/>
    <n v="41051"/>
    <n v="100"/>
    <x v="58"/>
    <n v="8400000"/>
    <m/>
    <n v="0"/>
    <n v="1"/>
    <x v="0"/>
  </r>
  <r>
    <x v="6"/>
    <n v="22"/>
    <n v="33"/>
    <x v="13"/>
    <x v="110"/>
    <x v="148"/>
    <n v="41"/>
    <n v="51"/>
    <s v="Oregon"/>
    <s v="Multnomah County"/>
    <n v="41051"/>
    <n v="215"/>
    <x v="126"/>
    <n v="2150000"/>
    <n v="22033"/>
    <n v="0"/>
    <n v="1"/>
    <x v="0"/>
  </r>
  <r>
    <x v="6"/>
    <n v="22"/>
    <n v="71"/>
    <x v="13"/>
    <x v="147"/>
    <x v="202"/>
    <n v="41"/>
    <n v="51"/>
    <s v="Oregon"/>
    <s v="Multnomah County"/>
    <n v="41051"/>
    <n v="638"/>
    <x v="0"/>
    <n v="14917200"/>
    <n v="22071"/>
    <n v="0"/>
    <n v="1"/>
    <x v="0"/>
  </r>
  <r>
    <x v="6"/>
    <n v="24"/>
    <n v="31"/>
    <x v="14"/>
    <x v="52"/>
    <x v="174"/>
    <n v="41"/>
    <n v="51"/>
    <s v="Oregon"/>
    <s v="Multnomah County"/>
    <n v="41051"/>
    <n v="58"/>
    <x v="131"/>
    <n v="29348000"/>
    <n v="24031"/>
    <n v="0"/>
    <n v="1"/>
    <x v="0"/>
  </r>
  <r>
    <x v="6"/>
    <n v="25"/>
    <n v="0"/>
    <x v="15"/>
    <x v="0"/>
    <x v="43"/>
    <n v="41"/>
    <n v="51"/>
    <s v="Oregon"/>
    <s v="Multnomah County"/>
    <n v="41051"/>
    <n v="406"/>
    <x v="266"/>
    <n v="24447400"/>
    <m/>
    <n v="0"/>
    <n v="1"/>
    <x v="0"/>
  </r>
  <r>
    <x v="6"/>
    <n v="26"/>
    <n v="0"/>
    <x v="36"/>
    <x v="0"/>
    <x v="231"/>
    <n v="41"/>
    <n v="51"/>
    <s v="Oregon"/>
    <s v="Multnomah County"/>
    <n v="41051"/>
    <n v="473"/>
    <x v="267"/>
    <n v="5505500"/>
    <m/>
    <n v="0"/>
    <n v="1"/>
    <x v="0"/>
  </r>
  <r>
    <x v="6"/>
    <n v="26"/>
    <n v="65"/>
    <x v="36"/>
    <x v="112"/>
    <x v="150"/>
    <n v="41"/>
    <n v="51"/>
    <s v="Oregon"/>
    <s v="Multnomah County"/>
    <n v="41051"/>
    <n v="110"/>
    <x v="229"/>
    <n v="5082000"/>
    <n v="26065"/>
    <n v="0"/>
    <n v="1"/>
    <x v="0"/>
  </r>
  <r>
    <x v="6"/>
    <n v="26"/>
    <n v="161"/>
    <x v="36"/>
    <x v="81"/>
    <x v="107"/>
    <n v="41"/>
    <n v="51"/>
    <s v="Oregon"/>
    <s v="Multnomah County"/>
    <n v="41051"/>
    <n v="99"/>
    <x v="0"/>
    <n v="2534400"/>
    <n v="26161"/>
    <n v="0"/>
    <n v="1"/>
    <x v="0"/>
  </r>
  <r>
    <x v="6"/>
    <n v="27"/>
    <n v="53"/>
    <x v="16"/>
    <x v="36"/>
    <x v="45"/>
    <n v="41"/>
    <n v="51"/>
    <s v="Oregon"/>
    <s v="Multnomah County"/>
    <n v="41051"/>
    <n v="341"/>
    <x v="35"/>
    <n v="19789000"/>
    <n v="27053"/>
    <n v="0"/>
    <n v="1"/>
    <x v="0"/>
  </r>
  <r>
    <x v="6"/>
    <n v="30"/>
    <n v="0"/>
    <x v="37"/>
    <x v="0"/>
    <x v="111"/>
    <n v="41"/>
    <n v="51"/>
    <s v="Oregon"/>
    <s v="Multnomah County"/>
    <n v="41051"/>
    <n v="367"/>
    <x v="29"/>
    <n v="21908000"/>
    <m/>
    <n v="0"/>
    <n v="1"/>
    <x v="0"/>
  </r>
  <r>
    <x v="6"/>
    <n v="31"/>
    <n v="55"/>
    <x v="49"/>
    <x v="79"/>
    <x v="232"/>
    <n v="41"/>
    <n v="51"/>
    <s v="Oregon"/>
    <s v="Multnomah County"/>
    <n v="41051"/>
    <n v="163"/>
    <x v="249"/>
    <n v="0"/>
    <n v="31055"/>
    <n v="0"/>
    <n v="1"/>
    <x v="0"/>
  </r>
  <r>
    <x v="6"/>
    <n v="32"/>
    <n v="31"/>
    <x v="18"/>
    <x v="116"/>
    <x v="155"/>
    <n v="41"/>
    <n v="51"/>
    <s v="Oregon"/>
    <s v="Multnomah County"/>
    <n v="41051"/>
    <n v="223"/>
    <x v="268"/>
    <n v="13639000"/>
    <n v="32031"/>
    <n v="0"/>
    <n v="1"/>
    <x v="0"/>
  </r>
  <r>
    <x v="6"/>
    <n v="35"/>
    <n v="0"/>
    <x v="39"/>
    <x v="0"/>
    <x v="113"/>
    <n v="41"/>
    <n v="51"/>
    <s v="Oregon"/>
    <s v="Multnomah County"/>
    <n v="41051"/>
    <n v="85"/>
    <x v="88"/>
    <n v="3808000"/>
    <m/>
    <n v="0"/>
    <n v="1"/>
    <x v="0"/>
  </r>
  <r>
    <x v="6"/>
    <n v="35"/>
    <n v="49"/>
    <x v="39"/>
    <x v="85"/>
    <x v="114"/>
    <n v="41"/>
    <n v="51"/>
    <s v="Oregon"/>
    <s v="Multnomah County"/>
    <n v="41051"/>
    <n v="188"/>
    <x v="269"/>
    <n v="2541000"/>
    <n v="35049"/>
    <n v="0"/>
    <n v="1"/>
    <x v="0"/>
  </r>
  <r>
    <x v="6"/>
    <n v="36"/>
    <n v="0"/>
    <x v="20"/>
    <x v="0"/>
    <x v="157"/>
    <n v="41"/>
    <n v="51"/>
    <s v="Oregon"/>
    <s v="Multnomah County"/>
    <n v="41051"/>
    <n v="310"/>
    <x v="50"/>
    <n v="23040000"/>
    <m/>
    <n v="0"/>
    <n v="1"/>
    <x v="0"/>
  </r>
  <r>
    <x v="6"/>
    <n v="36"/>
    <n v="47"/>
    <x v="20"/>
    <x v="40"/>
    <x v="50"/>
    <n v="41"/>
    <n v="51"/>
    <s v="Oregon"/>
    <s v="Multnomah County"/>
    <n v="41051"/>
    <n v="1416"/>
    <x v="270"/>
    <n v="67073600"/>
    <n v="36047"/>
    <n v="0"/>
    <n v="1"/>
    <x v="0"/>
  </r>
  <r>
    <x v="6"/>
    <n v="36"/>
    <n v="55"/>
    <x v="20"/>
    <x v="30"/>
    <x v="51"/>
    <n v="41"/>
    <n v="51"/>
    <s v="Oregon"/>
    <s v="Multnomah County"/>
    <n v="41051"/>
    <n v="151"/>
    <x v="271"/>
    <n v="8259700"/>
    <n v="36055"/>
    <n v="0"/>
    <n v="1"/>
    <x v="0"/>
  </r>
  <r>
    <x v="6"/>
    <n v="36"/>
    <n v="61"/>
    <x v="20"/>
    <x v="41"/>
    <x v="52"/>
    <n v="41"/>
    <n v="51"/>
    <s v="Oregon"/>
    <s v="Multnomah County"/>
    <n v="41051"/>
    <n v="157"/>
    <x v="272"/>
    <n v="7315400"/>
    <n v="36061"/>
    <n v="0"/>
    <n v="1"/>
    <x v="0"/>
  </r>
  <r>
    <x v="6"/>
    <n v="36"/>
    <n v="81"/>
    <x v="20"/>
    <x v="119"/>
    <x v="159"/>
    <n v="41"/>
    <n v="51"/>
    <s v="Oregon"/>
    <s v="Multnomah County"/>
    <n v="41051"/>
    <n v="52"/>
    <x v="0"/>
    <n v="0"/>
    <n v="36081"/>
    <n v="0"/>
    <n v="1"/>
    <x v="0"/>
  </r>
  <r>
    <x v="6"/>
    <n v="37"/>
    <n v="21"/>
    <x v="21"/>
    <x v="131"/>
    <x v="180"/>
    <n v="41"/>
    <n v="51"/>
    <s v="Oregon"/>
    <s v="Multnomah County"/>
    <n v="41051"/>
    <n v="60"/>
    <x v="0"/>
    <n v="210000"/>
    <n v="37021"/>
    <n v="0"/>
    <n v="1"/>
    <x v="0"/>
  </r>
  <r>
    <x v="6"/>
    <n v="37"/>
    <n v="183"/>
    <x v="21"/>
    <x v="87"/>
    <x v="116"/>
    <n v="41"/>
    <n v="51"/>
    <s v="Oregon"/>
    <s v="Multnomah County"/>
    <n v="41051"/>
    <n v="120"/>
    <x v="128"/>
    <n v="34754000"/>
    <n v="37183"/>
    <n v="0"/>
    <n v="1"/>
    <x v="0"/>
  </r>
  <r>
    <x v="6"/>
    <n v="40"/>
    <n v="0"/>
    <x v="40"/>
    <x v="0"/>
    <x v="117"/>
    <n v="41"/>
    <n v="51"/>
    <s v="Oregon"/>
    <s v="Multnomah County"/>
    <n v="41051"/>
    <n v="338"/>
    <x v="273"/>
    <n v="19744000"/>
    <m/>
    <n v="0"/>
    <n v="1"/>
    <x v="0"/>
  </r>
  <r>
    <x v="6"/>
    <n v="41"/>
    <n v="0"/>
    <x v="23"/>
    <x v="0"/>
    <x v="57"/>
    <n v="41"/>
    <n v="51"/>
    <s v="Oregon"/>
    <s v="Multnomah County"/>
    <n v="41051"/>
    <n v="1904"/>
    <x v="274"/>
    <n v="41882780"/>
    <m/>
    <n v="0"/>
    <n v="1"/>
    <x v="0"/>
  </r>
  <r>
    <x v="6"/>
    <n v="41"/>
    <n v="5"/>
    <x v="23"/>
    <x v="44"/>
    <x v="58"/>
    <n v="41"/>
    <n v="51"/>
    <s v="Oregon"/>
    <s v="Multnomah County"/>
    <n v="41051"/>
    <n v="4706"/>
    <x v="275"/>
    <n v="221607540"/>
    <n v="41005"/>
    <n v="0"/>
    <n v="1"/>
    <x v="0"/>
  </r>
  <r>
    <x v="6"/>
    <n v="41"/>
    <n v="17"/>
    <x v="23"/>
    <x v="45"/>
    <x v="59"/>
    <n v="41"/>
    <n v="51"/>
    <s v="Oregon"/>
    <s v="Multnomah County"/>
    <n v="41051"/>
    <n v="900"/>
    <x v="276"/>
    <n v="23238500"/>
    <n v="41017"/>
    <n v="0"/>
    <n v="1"/>
    <x v="0"/>
  </r>
  <r>
    <x v="6"/>
    <n v="41"/>
    <n v="19"/>
    <x v="23"/>
    <x v="79"/>
    <x v="163"/>
    <n v="41"/>
    <n v="51"/>
    <s v="Oregon"/>
    <s v="Multnomah County"/>
    <n v="41051"/>
    <n v="47"/>
    <x v="221"/>
    <n v="836600"/>
    <n v="41019"/>
    <n v="0"/>
    <n v="1"/>
    <x v="0"/>
  </r>
  <r>
    <x v="6"/>
    <n v="41"/>
    <n v="29"/>
    <x v="23"/>
    <x v="46"/>
    <x v="60"/>
    <n v="41"/>
    <n v="51"/>
    <s v="Oregon"/>
    <s v="Multnomah County"/>
    <n v="41051"/>
    <n v="182"/>
    <x v="158"/>
    <n v="16712000"/>
    <n v="41029"/>
    <n v="0"/>
    <n v="1"/>
    <x v="0"/>
  </r>
  <r>
    <x v="6"/>
    <n v="41"/>
    <n v="39"/>
    <x v="23"/>
    <x v="47"/>
    <x v="61"/>
    <n v="41"/>
    <n v="51"/>
    <s v="Oregon"/>
    <s v="Multnomah County"/>
    <n v="41051"/>
    <n v="2060"/>
    <x v="277"/>
    <n v="59165200"/>
    <n v="41039"/>
    <n v="0"/>
    <n v="1"/>
    <x v="0"/>
  </r>
  <r>
    <x v="6"/>
    <n v="41"/>
    <n v="47"/>
    <x v="23"/>
    <x v="48"/>
    <x v="62"/>
    <n v="41"/>
    <n v="51"/>
    <s v="Oregon"/>
    <s v="Multnomah County"/>
    <n v="41051"/>
    <n v="1376"/>
    <x v="278"/>
    <n v="58330000"/>
    <n v="41047"/>
    <n v="0"/>
    <n v="1"/>
    <x v="0"/>
  </r>
  <r>
    <x v="6"/>
    <n v="41"/>
    <n v="51"/>
    <x v="23"/>
    <x v="49"/>
    <x v="63"/>
    <n v="41"/>
    <n v="51"/>
    <s v="Oregon"/>
    <s v="Multnomah County"/>
    <n v="41051"/>
    <n v="592986"/>
    <x v="279"/>
    <n v="33479016054"/>
    <n v="41051"/>
    <n v="1"/>
    <n v="1"/>
    <x v="1"/>
  </r>
  <r>
    <x v="6"/>
    <n v="41"/>
    <n v="67"/>
    <x v="23"/>
    <x v="50"/>
    <x v="64"/>
    <n v="41"/>
    <n v="51"/>
    <s v="Oregon"/>
    <s v="Multnomah County"/>
    <n v="41051"/>
    <n v="9658"/>
    <x v="280"/>
    <n v="588877650"/>
    <n v="41067"/>
    <n v="0"/>
    <n v="1"/>
    <x v="0"/>
  </r>
  <r>
    <x v="6"/>
    <n v="42"/>
    <n v="0"/>
    <x v="24"/>
    <x v="0"/>
    <x v="65"/>
    <n v="41"/>
    <n v="51"/>
    <s v="Oregon"/>
    <s v="Multnomah County"/>
    <n v="41051"/>
    <n v="230"/>
    <x v="114"/>
    <n v="12131800"/>
    <m/>
    <n v="0"/>
    <n v="1"/>
    <x v="0"/>
  </r>
  <r>
    <x v="6"/>
    <n v="42"/>
    <n v="11"/>
    <x v="24"/>
    <x v="172"/>
    <x v="233"/>
    <n v="41"/>
    <n v="51"/>
    <s v="Oregon"/>
    <s v="Multnomah County"/>
    <n v="41051"/>
    <n v="340"/>
    <x v="117"/>
    <n v="3189120"/>
    <n v="42011"/>
    <n v="0"/>
    <n v="1"/>
    <x v="0"/>
  </r>
  <r>
    <x v="6"/>
    <n v="42"/>
    <n v="133"/>
    <x v="24"/>
    <x v="173"/>
    <x v="234"/>
    <n v="41"/>
    <n v="51"/>
    <s v="Oregon"/>
    <s v="Multnomah County"/>
    <n v="41051"/>
    <n v="233"/>
    <x v="164"/>
    <n v="2353300"/>
    <n v="42133"/>
    <n v="0"/>
    <n v="1"/>
    <x v="0"/>
  </r>
  <r>
    <x v="6"/>
    <n v="45"/>
    <n v="0"/>
    <x v="41"/>
    <x v="0"/>
    <x v="119"/>
    <n v="41"/>
    <n v="51"/>
    <s v="Oregon"/>
    <s v="Multnomah County"/>
    <n v="41051"/>
    <n v="86"/>
    <x v="0"/>
    <n v="3837320"/>
    <m/>
    <n v="0"/>
    <n v="1"/>
    <x v="0"/>
  </r>
  <r>
    <x v="6"/>
    <n v="47"/>
    <n v="0"/>
    <x v="26"/>
    <x v="0"/>
    <x v="121"/>
    <n v="41"/>
    <n v="51"/>
    <s v="Oregon"/>
    <s v="Multnomah County"/>
    <n v="41051"/>
    <n v="100"/>
    <x v="58"/>
    <n v="5270000"/>
    <m/>
    <n v="0"/>
    <n v="1"/>
    <x v="0"/>
  </r>
  <r>
    <x v="6"/>
    <n v="47"/>
    <n v="37"/>
    <x v="26"/>
    <x v="55"/>
    <x v="70"/>
    <n v="41"/>
    <n v="51"/>
    <s v="Oregon"/>
    <s v="Multnomah County"/>
    <n v="41051"/>
    <n v="195"/>
    <x v="175"/>
    <n v="7350500"/>
    <n v="47037"/>
    <n v="0"/>
    <n v="1"/>
    <x v="0"/>
  </r>
  <r>
    <x v="6"/>
    <n v="48"/>
    <n v="27"/>
    <x v="27"/>
    <x v="152"/>
    <x v="209"/>
    <n v="41"/>
    <n v="51"/>
    <s v="Oregon"/>
    <s v="Multnomah County"/>
    <n v="41051"/>
    <n v="138"/>
    <x v="281"/>
    <n v="3719500"/>
    <n v="48027"/>
    <n v="0"/>
    <n v="1"/>
    <x v="0"/>
  </r>
  <r>
    <x v="6"/>
    <n v="48"/>
    <n v="157"/>
    <x v="27"/>
    <x v="168"/>
    <x v="227"/>
    <n v="41"/>
    <n v="51"/>
    <s v="Oregon"/>
    <s v="Multnomah County"/>
    <n v="41051"/>
    <n v="228"/>
    <x v="107"/>
    <n v="36818000"/>
    <n v="48157"/>
    <n v="0"/>
    <n v="1"/>
    <x v="0"/>
  </r>
  <r>
    <x v="6"/>
    <n v="48"/>
    <n v="201"/>
    <x v="27"/>
    <x v="153"/>
    <x v="210"/>
    <n v="41"/>
    <n v="51"/>
    <s v="Oregon"/>
    <s v="Multnomah County"/>
    <n v="41051"/>
    <n v="85"/>
    <x v="0"/>
    <n v="595000"/>
    <n v="48201"/>
    <n v="0"/>
    <n v="1"/>
    <x v="0"/>
  </r>
  <r>
    <x v="6"/>
    <n v="48"/>
    <n v="439"/>
    <x v="27"/>
    <x v="90"/>
    <x v="124"/>
    <n v="41"/>
    <n v="51"/>
    <s v="Oregon"/>
    <s v="Multnomah County"/>
    <n v="41051"/>
    <n v="430"/>
    <x v="233"/>
    <n v="32382500"/>
    <n v="48439"/>
    <n v="0"/>
    <n v="1"/>
    <x v="0"/>
  </r>
  <r>
    <x v="6"/>
    <n v="48"/>
    <n v="453"/>
    <x v="27"/>
    <x v="57"/>
    <x v="72"/>
    <n v="41"/>
    <n v="51"/>
    <s v="Oregon"/>
    <s v="Multnomah County"/>
    <n v="41051"/>
    <n v="95"/>
    <x v="0"/>
    <n v="760000"/>
    <n v="48453"/>
    <n v="0"/>
    <n v="1"/>
    <x v="0"/>
  </r>
  <r>
    <x v="6"/>
    <n v="49"/>
    <n v="35"/>
    <x v="28"/>
    <x v="58"/>
    <x v="73"/>
    <n v="41"/>
    <n v="51"/>
    <s v="Oregon"/>
    <s v="Multnomah County"/>
    <n v="41051"/>
    <n v="120"/>
    <x v="57"/>
    <n v="9240000"/>
    <n v="49035"/>
    <n v="0"/>
    <n v="1"/>
    <x v="0"/>
  </r>
  <r>
    <x v="6"/>
    <n v="49"/>
    <n v="49"/>
    <x v="28"/>
    <x v="139"/>
    <x v="189"/>
    <n v="41"/>
    <n v="51"/>
    <s v="Oregon"/>
    <s v="Multnomah County"/>
    <n v="41051"/>
    <n v="43"/>
    <x v="0"/>
    <n v="817000"/>
    <n v="49049"/>
    <n v="0"/>
    <n v="1"/>
    <x v="0"/>
  </r>
  <r>
    <x v="6"/>
    <n v="49"/>
    <n v="53"/>
    <x v="28"/>
    <x v="50"/>
    <x v="190"/>
    <n v="41"/>
    <n v="51"/>
    <s v="Oregon"/>
    <s v="Multnomah County"/>
    <n v="41051"/>
    <n v="167"/>
    <x v="0"/>
    <n v="4664500"/>
    <n v="49053"/>
    <n v="0"/>
    <n v="1"/>
    <x v="0"/>
  </r>
  <r>
    <x v="6"/>
    <n v="51"/>
    <n v="0"/>
    <x v="30"/>
    <x v="0"/>
    <x v="75"/>
    <n v="41"/>
    <n v="51"/>
    <s v="Oregon"/>
    <s v="Multnomah County"/>
    <n v="41051"/>
    <n v="83"/>
    <x v="282"/>
    <n v="8403750"/>
    <m/>
    <n v="0"/>
    <n v="1"/>
    <x v="0"/>
  </r>
  <r>
    <x v="6"/>
    <n v="53"/>
    <n v="0"/>
    <x v="31"/>
    <x v="0"/>
    <x v="76"/>
    <n v="41"/>
    <n v="51"/>
    <s v="Oregon"/>
    <s v="Multnomah County"/>
    <n v="41051"/>
    <n v="470"/>
    <x v="166"/>
    <n v="7882550"/>
    <m/>
    <n v="0"/>
    <n v="1"/>
    <x v="0"/>
  </r>
  <r>
    <x v="6"/>
    <n v="53"/>
    <n v="11"/>
    <x v="31"/>
    <x v="38"/>
    <x v="77"/>
    <n v="41"/>
    <n v="51"/>
    <s v="Oregon"/>
    <s v="Multnomah County"/>
    <n v="41051"/>
    <n v="1557"/>
    <x v="283"/>
    <n v="102499400"/>
    <n v="53011"/>
    <n v="0"/>
    <n v="1"/>
    <x v="0"/>
  </r>
  <r>
    <x v="6"/>
    <n v="53"/>
    <n v="33"/>
    <x v="31"/>
    <x v="59"/>
    <x v="78"/>
    <n v="41"/>
    <n v="51"/>
    <s v="Oregon"/>
    <s v="Multnomah County"/>
    <n v="41051"/>
    <n v="719"/>
    <x v="151"/>
    <n v="35118600"/>
    <n v="53033"/>
    <n v="0"/>
    <n v="1"/>
    <x v="0"/>
  </r>
  <r>
    <x v="6"/>
    <n v="53"/>
    <n v="61"/>
    <x v="31"/>
    <x v="62"/>
    <x v="81"/>
    <n v="41"/>
    <n v="51"/>
    <s v="Oregon"/>
    <s v="Multnomah County"/>
    <n v="41051"/>
    <n v="125"/>
    <x v="38"/>
    <n v="13465000"/>
    <n v="53061"/>
    <n v="0"/>
    <n v="1"/>
    <x v="0"/>
  </r>
  <r>
    <x v="6"/>
    <n v="53"/>
    <n v="63"/>
    <x v="31"/>
    <x v="63"/>
    <x v="82"/>
    <n v="41"/>
    <n v="51"/>
    <s v="Oregon"/>
    <s v="Multnomah County"/>
    <n v="41051"/>
    <n v="123"/>
    <x v="0"/>
    <n v="3031710"/>
    <n v="53063"/>
    <n v="0"/>
    <n v="1"/>
    <x v="0"/>
  </r>
  <r>
    <x v="6"/>
    <n v="53"/>
    <n v="67"/>
    <x v="31"/>
    <x v="64"/>
    <x v="83"/>
    <n v="41"/>
    <n v="51"/>
    <s v="Oregon"/>
    <s v="Multnomah County"/>
    <n v="41051"/>
    <n v="221"/>
    <x v="64"/>
    <n v="9787600"/>
    <n v="53067"/>
    <n v="0"/>
    <n v="1"/>
    <x v="0"/>
  </r>
  <r>
    <x v="6"/>
    <n v="53"/>
    <n v="77"/>
    <x v="31"/>
    <x v="94"/>
    <x v="129"/>
    <n v="41"/>
    <n v="51"/>
    <s v="Oregon"/>
    <s v="Multnomah County"/>
    <n v="41051"/>
    <n v="61"/>
    <x v="20"/>
    <n v="0"/>
    <n v="53077"/>
    <n v="0"/>
    <n v="1"/>
    <x v="0"/>
  </r>
  <r>
    <x v="7"/>
    <n v="4"/>
    <n v="0"/>
    <x v="1"/>
    <x v="0"/>
    <x v="2"/>
    <n v="41"/>
    <n v="51"/>
    <s v="Oregon"/>
    <s v="Multnomah County"/>
    <n v="41051"/>
    <n v="40"/>
    <x v="284"/>
    <n v="3720000"/>
    <m/>
    <n v="0"/>
    <n v="1"/>
    <x v="0"/>
  </r>
  <r>
    <x v="7"/>
    <n v="4"/>
    <n v="13"/>
    <x v="1"/>
    <x v="3"/>
    <x v="4"/>
    <n v="41"/>
    <n v="51"/>
    <s v="Oregon"/>
    <s v="Multnomah County"/>
    <n v="41051"/>
    <n v="804"/>
    <x v="59"/>
    <n v="32099300"/>
    <n v="4013"/>
    <n v="0"/>
    <n v="1"/>
    <x v="0"/>
  </r>
  <r>
    <x v="7"/>
    <n v="5"/>
    <n v="143"/>
    <x v="2"/>
    <x v="50"/>
    <x v="195"/>
    <n v="41"/>
    <n v="51"/>
    <s v="Oregon"/>
    <s v="Multnomah County"/>
    <n v="41051"/>
    <n v="128"/>
    <x v="285"/>
    <n v="1920000"/>
    <n v="5143"/>
    <n v="0"/>
    <n v="1"/>
    <x v="0"/>
  </r>
  <r>
    <x v="7"/>
    <n v="6"/>
    <n v="0"/>
    <x v="3"/>
    <x v="0"/>
    <x v="6"/>
    <n v="41"/>
    <n v="51"/>
    <s v="Oregon"/>
    <s v="Multnomah County"/>
    <n v="41051"/>
    <n v="281"/>
    <x v="195"/>
    <n v="9201500"/>
    <m/>
    <n v="0"/>
    <n v="1"/>
    <x v="0"/>
  </r>
  <r>
    <x v="7"/>
    <n v="6"/>
    <n v="1"/>
    <x v="3"/>
    <x v="4"/>
    <x v="7"/>
    <n v="41"/>
    <n v="51"/>
    <s v="Oregon"/>
    <s v="Multnomah County"/>
    <n v="41051"/>
    <n v="926"/>
    <x v="286"/>
    <n v="27846800"/>
    <n v="6001"/>
    <n v="0"/>
    <n v="1"/>
    <x v="0"/>
  </r>
  <r>
    <x v="7"/>
    <n v="6"/>
    <n v="23"/>
    <x v="3"/>
    <x v="68"/>
    <x v="88"/>
    <n v="41"/>
    <n v="51"/>
    <s v="Oregon"/>
    <s v="Multnomah County"/>
    <n v="41051"/>
    <n v="155"/>
    <x v="127"/>
    <n v="13640000"/>
    <n v="6023"/>
    <n v="0"/>
    <n v="1"/>
    <x v="0"/>
  </r>
  <r>
    <x v="7"/>
    <n v="6"/>
    <n v="37"/>
    <x v="3"/>
    <x v="8"/>
    <x v="11"/>
    <n v="41"/>
    <n v="51"/>
    <s v="Oregon"/>
    <s v="Multnomah County"/>
    <n v="41051"/>
    <n v="1028"/>
    <x v="287"/>
    <n v="29699400"/>
    <n v="6037"/>
    <n v="0"/>
    <n v="1"/>
    <x v="0"/>
  </r>
  <r>
    <x v="7"/>
    <n v="6"/>
    <n v="41"/>
    <x v="3"/>
    <x v="98"/>
    <x v="133"/>
    <n v="41"/>
    <n v="51"/>
    <s v="Oregon"/>
    <s v="Multnomah County"/>
    <n v="41051"/>
    <n v="120"/>
    <x v="0"/>
    <n v="3288000"/>
    <n v="6041"/>
    <n v="0"/>
    <n v="1"/>
    <x v="0"/>
  </r>
  <r>
    <x v="7"/>
    <n v="6"/>
    <n v="59"/>
    <x v="3"/>
    <x v="10"/>
    <x v="13"/>
    <n v="41"/>
    <n v="51"/>
    <s v="Oregon"/>
    <s v="Multnomah County"/>
    <n v="41051"/>
    <n v="288"/>
    <x v="170"/>
    <n v="8810000"/>
    <n v="6059"/>
    <n v="0"/>
    <n v="1"/>
    <x v="0"/>
  </r>
  <r>
    <x v="7"/>
    <n v="6"/>
    <n v="61"/>
    <x v="3"/>
    <x v="69"/>
    <x v="90"/>
    <n v="41"/>
    <n v="51"/>
    <s v="Oregon"/>
    <s v="Multnomah County"/>
    <n v="41051"/>
    <n v="101"/>
    <x v="16"/>
    <n v="4423800"/>
    <n v="6061"/>
    <n v="0"/>
    <n v="1"/>
    <x v="0"/>
  </r>
  <r>
    <x v="7"/>
    <n v="6"/>
    <n v="73"/>
    <x v="3"/>
    <x v="13"/>
    <x v="16"/>
    <n v="41"/>
    <n v="51"/>
    <s v="Oregon"/>
    <s v="Multnomah County"/>
    <n v="41051"/>
    <n v="268"/>
    <x v="26"/>
    <n v="48899500"/>
    <n v="6073"/>
    <n v="0"/>
    <n v="1"/>
    <x v="0"/>
  </r>
  <r>
    <x v="7"/>
    <n v="6"/>
    <n v="75"/>
    <x v="3"/>
    <x v="14"/>
    <x v="17"/>
    <n v="41"/>
    <n v="51"/>
    <s v="Oregon"/>
    <s v="Multnomah County"/>
    <n v="41051"/>
    <n v="249"/>
    <x v="36"/>
    <n v="29338000"/>
    <n v="6075"/>
    <n v="0"/>
    <n v="1"/>
    <x v="0"/>
  </r>
  <r>
    <x v="7"/>
    <n v="6"/>
    <n v="79"/>
    <x v="3"/>
    <x v="15"/>
    <x v="18"/>
    <n v="41"/>
    <n v="51"/>
    <s v="Oregon"/>
    <s v="Multnomah County"/>
    <n v="41051"/>
    <n v="112"/>
    <x v="0"/>
    <n v="4748800"/>
    <n v="6079"/>
    <n v="0"/>
    <n v="1"/>
    <x v="0"/>
  </r>
  <r>
    <x v="7"/>
    <n v="6"/>
    <n v="81"/>
    <x v="3"/>
    <x v="100"/>
    <x v="135"/>
    <n v="41"/>
    <n v="51"/>
    <s v="Oregon"/>
    <s v="Multnomah County"/>
    <n v="41051"/>
    <n v="693"/>
    <x v="288"/>
    <n v="40774000"/>
    <n v="6081"/>
    <n v="0"/>
    <n v="1"/>
    <x v="0"/>
  </r>
  <r>
    <x v="7"/>
    <n v="6"/>
    <n v="83"/>
    <x v="3"/>
    <x v="16"/>
    <x v="19"/>
    <n v="41"/>
    <n v="51"/>
    <s v="Oregon"/>
    <s v="Multnomah County"/>
    <n v="41051"/>
    <n v="110"/>
    <x v="82"/>
    <n v="11399200"/>
    <n v="6083"/>
    <n v="0"/>
    <n v="1"/>
    <x v="0"/>
  </r>
  <r>
    <x v="7"/>
    <n v="6"/>
    <n v="85"/>
    <x v="3"/>
    <x v="17"/>
    <x v="20"/>
    <n v="41"/>
    <n v="51"/>
    <s v="Oregon"/>
    <s v="Multnomah County"/>
    <n v="41051"/>
    <n v="341"/>
    <x v="78"/>
    <n v="18908600"/>
    <n v="6085"/>
    <n v="0"/>
    <n v="1"/>
    <x v="0"/>
  </r>
  <r>
    <x v="7"/>
    <n v="6"/>
    <n v="97"/>
    <x v="3"/>
    <x v="18"/>
    <x v="21"/>
    <n v="41"/>
    <n v="51"/>
    <s v="Oregon"/>
    <s v="Multnomah County"/>
    <n v="41051"/>
    <n v="268"/>
    <x v="153"/>
    <n v="6401000"/>
    <n v="6097"/>
    <n v="0"/>
    <n v="1"/>
    <x v="0"/>
  </r>
  <r>
    <x v="7"/>
    <n v="8"/>
    <n v="0"/>
    <x v="4"/>
    <x v="0"/>
    <x v="24"/>
    <n v="41"/>
    <n v="51"/>
    <s v="Oregon"/>
    <s v="Multnomah County"/>
    <n v="41051"/>
    <n v="432"/>
    <x v="219"/>
    <n v="2299760"/>
    <m/>
    <n v="0"/>
    <n v="1"/>
    <x v="0"/>
  </r>
  <r>
    <x v="7"/>
    <n v="9"/>
    <n v="0"/>
    <x v="33"/>
    <x v="0"/>
    <x v="235"/>
    <n v="41"/>
    <n v="51"/>
    <s v="Oregon"/>
    <s v="Multnomah County"/>
    <n v="41051"/>
    <n v="345"/>
    <x v="65"/>
    <n v="13728000"/>
    <m/>
    <n v="0"/>
    <n v="1"/>
    <x v="0"/>
  </r>
  <r>
    <x v="7"/>
    <n v="12"/>
    <n v="0"/>
    <x v="6"/>
    <x v="0"/>
    <x v="26"/>
    <n v="41"/>
    <n v="51"/>
    <s v="Oregon"/>
    <s v="Multnomah County"/>
    <n v="41051"/>
    <n v="219"/>
    <x v="134"/>
    <n v="21900000"/>
    <m/>
    <n v="0"/>
    <n v="1"/>
    <x v="0"/>
  </r>
  <r>
    <x v="7"/>
    <n v="12"/>
    <n v="9"/>
    <x v="6"/>
    <x v="76"/>
    <x v="97"/>
    <n v="41"/>
    <n v="51"/>
    <s v="Oregon"/>
    <s v="Multnomah County"/>
    <n v="41051"/>
    <n v="296"/>
    <x v="2"/>
    <n v="18642000"/>
    <n v="12009"/>
    <n v="0"/>
    <n v="1"/>
    <x v="0"/>
  </r>
  <r>
    <x v="7"/>
    <n v="12"/>
    <n v="33"/>
    <x v="6"/>
    <x v="160"/>
    <x v="219"/>
    <n v="41"/>
    <n v="51"/>
    <s v="Oregon"/>
    <s v="Multnomah County"/>
    <n v="41051"/>
    <n v="264"/>
    <x v="197"/>
    <n v="3632000"/>
    <n v="12033"/>
    <n v="0"/>
    <n v="1"/>
    <x v="0"/>
  </r>
  <r>
    <x v="7"/>
    <n v="12"/>
    <n v="95"/>
    <x v="6"/>
    <x v="10"/>
    <x v="99"/>
    <n v="41"/>
    <n v="51"/>
    <s v="Oregon"/>
    <s v="Multnomah County"/>
    <n v="41051"/>
    <n v="348"/>
    <x v="0"/>
    <n v="31320000"/>
    <n v="12095"/>
    <n v="0"/>
    <n v="1"/>
    <x v="0"/>
  </r>
  <r>
    <x v="7"/>
    <n v="12"/>
    <n v="99"/>
    <x v="6"/>
    <x v="105"/>
    <x v="140"/>
    <n v="41"/>
    <n v="51"/>
    <s v="Oregon"/>
    <s v="Multnomah County"/>
    <n v="41051"/>
    <n v="71"/>
    <x v="69"/>
    <n v="3209200"/>
    <n v="12099"/>
    <n v="0"/>
    <n v="1"/>
    <x v="0"/>
  </r>
  <r>
    <x v="7"/>
    <n v="13"/>
    <n v="57"/>
    <x v="7"/>
    <x v="174"/>
    <x v="236"/>
    <n v="41"/>
    <n v="51"/>
    <s v="Oregon"/>
    <s v="Multnomah County"/>
    <n v="41051"/>
    <n v="128"/>
    <x v="285"/>
    <n v="11776000"/>
    <n v="13057"/>
    <n v="0"/>
    <n v="1"/>
    <x v="0"/>
  </r>
  <r>
    <x v="7"/>
    <n v="13"/>
    <n v="121"/>
    <x v="7"/>
    <x v="175"/>
    <x v="237"/>
    <n v="41"/>
    <n v="51"/>
    <s v="Oregon"/>
    <s v="Multnomah County"/>
    <n v="41051"/>
    <n v="501"/>
    <x v="289"/>
    <n v="45102000"/>
    <n v="13121"/>
    <n v="0"/>
    <n v="1"/>
    <x v="0"/>
  </r>
  <r>
    <x v="7"/>
    <n v="15"/>
    <n v="1"/>
    <x v="8"/>
    <x v="25"/>
    <x v="30"/>
    <n v="41"/>
    <n v="51"/>
    <s v="Oregon"/>
    <s v="Multnomah County"/>
    <n v="41051"/>
    <n v="87"/>
    <x v="89"/>
    <n v="2070600"/>
    <n v="15001"/>
    <n v="0"/>
    <n v="1"/>
    <x v="0"/>
  </r>
  <r>
    <x v="7"/>
    <n v="15"/>
    <n v="3"/>
    <x v="8"/>
    <x v="26"/>
    <x v="31"/>
    <n v="41"/>
    <n v="51"/>
    <s v="Oregon"/>
    <s v="Multnomah County"/>
    <n v="41051"/>
    <n v="206"/>
    <x v="169"/>
    <n v="4072000"/>
    <n v="15003"/>
    <n v="0"/>
    <n v="1"/>
    <x v="0"/>
  </r>
  <r>
    <x v="7"/>
    <n v="16"/>
    <n v="0"/>
    <x v="9"/>
    <x v="0"/>
    <x v="32"/>
    <n v="41"/>
    <n v="51"/>
    <s v="Oregon"/>
    <s v="Multnomah County"/>
    <n v="41051"/>
    <n v="151"/>
    <x v="111"/>
    <n v="7990000"/>
    <m/>
    <n v="0"/>
    <n v="1"/>
    <x v="0"/>
  </r>
  <r>
    <x v="7"/>
    <n v="17"/>
    <n v="0"/>
    <x v="10"/>
    <x v="0"/>
    <x v="142"/>
    <n v="41"/>
    <n v="51"/>
    <s v="Oregon"/>
    <s v="Multnomah County"/>
    <n v="41051"/>
    <n v="138"/>
    <x v="20"/>
    <n v="20800000"/>
    <m/>
    <n v="0"/>
    <n v="1"/>
    <x v="0"/>
  </r>
  <r>
    <x v="7"/>
    <n v="17"/>
    <n v="31"/>
    <x v="10"/>
    <x v="28"/>
    <x v="34"/>
    <n v="41"/>
    <n v="51"/>
    <s v="Oregon"/>
    <s v="Multnomah County"/>
    <n v="41051"/>
    <n v="975"/>
    <x v="290"/>
    <n v="118851700"/>
    <n v="17031"/>
    <n v="0"/>
    <n v="1"/>
    <x v="0"/>
  </r>
  <r>
    <x v="7"/>
    <n v="18"/>
    <n v="97"/>
    <x v="11"/>
    <x v="48"/>
    <x v="102"/>
    <n v="41"/>
    <n v="51"/>
    <s v="Oregon"/>
    <s v="Multnomah County"/>
    <n v="41051"/>
    <n v="115"/>
    <x v="61"/>
    <n v="7050000"/>
    <n v="18097"/>
    <n v="0"/>
    <n v="1"/>
    <x v="0"/>
  </r>
  <r>
    <x v="7"/>
    <n v="19"/>
    <n v="0"/>
    <x v="12"/>
    <x v="0"/>
    <x v="201"/>
    <n v="41"/>
    <n v="51"/>
    <s v="Oregon"/>
    <s v="Multnomah County"/>
    <n v="41051"/>
    <n v="162"/>
    <x v="0"/>
    <n v="3420000"/>
    <m/>
    <n v="0"/>
    <n v="1"/>
    <x v="0"/>
  </r>
  <r>
    <x v="7"/>
    <n v="20"/>
    <n v="209"/>
    <x v="34"/>
    <x v="176"/>
    <x v="238"/>
    <n v="41"/>
    <n v="51"/>
    <s v="Oregon"/>
    <s v="Multnomah County"/>
    <n v="41051"/>
    <n v="110"/>
    <x v="229"/>
    <n v="4169000"/>
    <n v="20209"/>
    <n v="0"/>
    <n v="1"/>
    <x v="0"/>
  </r>
  <r>
    <x v="7"/>
    <n v="21"/>
    <n v="0"/>
    <x v="50"/>
    <x v="0"/>
    <x v="239"/>
    <n v="41"/>
    <n v="51"/>
    <s v="Oregon"/>
    <s v="Multnomah County"/>
    <n v="41051"/>
    <n v="64"/>
    <x v="138"/>
    <n v="192000"/>
    <m/>
    <n v="0"/>
    <n v="1"/>
    <x v="0"/>
  </r>
  <r>
    <x v="7"/>
    <n v="22"/>
    <n v="71"/>
    <x v="13"/>
    <x v="147"/>
    <x v="202"/>
    <n v="41"/>
    <n v="51"/>
    <s v="Oregon"/>
    <s v="Multnomah County"/>
    <n v="41051"/>
    <n v="382"/>
    <x v="291"/>
    <n v="11815560"/>
    <n v="22071"/>
    <n v="0"/>
    <n v="1"/>
    <x v="0"/>
  </r>
  <r>
    <x v="7"/>
    <n v="23"/>
    <n v="11"/>
    <x v="35"/>
    <x v="111"/>
    <x v="149"/>
    <n v="41"/>
    <n v="51"/>
    <s v="Oregon"/>
    <s v="Multnomah County"/>
    <n v="41051"/>
    <n v="111"/>
    <x v="112"/>
    <n v="4839100"/>
    <n v="23011"/>
    <n v="0"/>
    <n v="1"/>
    <x v="0"/>
  </r>
  <r>
    <x v="7"/>
    <n v="25"/>
    <n v="0"/>
    <x v="15"/>
    <x v="0"/>
    <x v="43"/>
    <n v="41"/>
    <n v="51"/>
    <s v="Oregon"/>
    <s v="Multnomah County"/>
    <n v="41051"/>
    <n v="346"/>
    <x v="86"/>
    <n v="19651950"/>
    <m/>
    <n v="0"/>
    <n v="1"/>
    <x v="0"/>
  </r>
  <r>
    <x v="7"/>
    <n v="25"/>
    <n v="9"/>
    <x v="15"/>
    <x v="117"/>
    <x v="240"/>
    <n v="41"/>
    <n v="51"/>
    <s v="Oregon"/>
    <s v="Multnomah County"/>
    <n v="41051"/>
    <n v="294"/>
    <x v="0"/>
    <n v="2940000"/>
    <n v="25009"/>
    <n v="0"/>
    <n v="1"/>
    <x v="0"/>
  </r>
  <r>
    <x v="7"/>
    <n v="25"/>
    <n v="21"/>
    <x v="15"/>
    <x v="177"/>
    <x v="241"/>
    <n v="41"/>
    <n v="51"/>
    <s v="Oregon"/>
    <s v="Multnomah County"/>
    <n v="41051"/>
    <n v="136"/>
    <x v="138"/>
    <n v="7560000"/>
    <n v="25021"/>
    <n v="0"/>
    <n v="1"/>
    <x v="0"/>
  </r>
  <r>
    <x v="7"/>
    <n v="26"/>
    <n v="81"/>
    <x v="36"/>
    <x v="113"/>
    <x v="151"/>
    <n v="41"/>
    <n v="51"/>
    <s v="Oregon"/>
    <s v="Multnomah County"/>
    <n v="41051"/>
    <n v="126"/>
    <x v="0"/>
    <n v="1260000"/>
    <n v="26081"/>
    <n v="0"/>
    <n v="1"/>
    <x v="0"/>
  </r>
  <r>
    <x v="7"/>
    <n v="27"/>
    <n v="0"/>
    <x v="16"/>
    <x v="0"/>
    <x v="109"/>
    <n v="41"/>
    <n v="51"/>
    <s v="Oregon"/>
    <s v="Multnomah County"/>
    <n v="41051"/>
    <n v="60"/>
    <x v="20"/>
    <n v="900000"/>
    <m/>
    <n v="0"/>
    <n v="1"/>
    <x v="0"/>
  </r>
  <r>
    <x v="7"/>
    <n v="27"/>
    <n v="53"/>
    <x v="16"/>
    <x v="36"/>
    <x v="45"/>
    <n v="41"/>
    <n v="51"/>
    <s v="Oregon"/>
    <s v="Multnomah County"/>
    <n v="41051"/>
    <n v="171"/>
    <x v="252"/>
    <n v="16530000"/>
    <n v="27053"/>
    <n v="0"/>
    <n v="1"/>
    <x v="0"/>
  </r>
  <r>
    <x v="7"/>
    <n v="29"/>
    <n v="189"/>
    <x v="17"/>
    <x v="83"/>
    <x v="110"/>
    <n v="41"/>
    <n v="51"/>
    <s v="Oregon"/>
    <s v="Multnomah County"/>
    <n v="41051"/>
    <n v="91"/>
    <x v="0"/>
    <n v="3458000"/>
    <n v="29189"/>
    <n v="0"/>
    <n v="1"/>
    <x v="0"/>
  </r>
  <r>
    <x v="7"/>
    <n v="30"/>
    <n v="0"/>
    <x v="37"/>
    <x v="0"/>
    <x v="111"/>
    <n v="41"/>
    <n v="51"/>
    <s v="Oregon"/>
    <s v="Multnomah County"/>
    <n v="41051"/>
    <n v="856"/>
    <x v="219"/>
    <n v="16489200"/>
    <m/>
    <n v="0"/>
    <n v="1"/>
    <x v="0"/>
  </r>
  <r>
    <x v="7"/>
    <n v="30"/>
    <n v="31"/>
    <x v="37"/>
    <x v="178"/>
    <x v="242"/>
    <n v="41"/>
    <n v="51"/>
    <s v="Oregon"/>
    <s v="Multnomah County"/>
    <n v="41051"/>
    <n v="141"/>
    <x v="0"/>
    <n v="3278000"/>
    <n v="30031"/>
    <n v="0"/>
    <n v="1"/>
    <x v="0"/>
  </r>
  <r>
    <x v="7"/>
    <n v="31"/>
    <n v="55"/>
    <x v="49"/>
    <x v="79"/>
    <x v="232"/>
    <n v="41"/>
    <n v="51"/>
    <s v="Oregon"/>
    <s v="Multnomah County"/>
    <n v="41051"/>
    <n v="395"/>
    <x v="233"/>
    <n v="10994000"/>
    <n v="31055"/>
    <n v="0"/>
    <n v="1"/>
    <x v="0"/>
  </r>
  <r>
    <x v="7"/>
    <n v="31"/>
    <n v="109"/>
    <x v="49"/>
    <x v="179"/>
    <x v="243"/>
    <n v="41"/>
    <n v="51"/>
    <s v="Oregon"/>
    <s v="Multnomah County"/>
    <n v="41051"/>
    <n v="252"/>
    <x v="5"/>
    <n v="8232000"/>
    <n v="31109"/>
    <n v="0"/>
    <n v="1"/>
    <x v="0"/>
  </r>
  <r>
    <x v="7"/>
    <n v="34"/>
    <n v="13"/>
    <x v="38"/>
    <x v="117"/>
    <x v="156"/>
    <n v="41"/>
    <n v="51"/>
    <s v="Oregon"/>
    <s v="Multnomah County"/>
    <n v="41051"/>
    <n v="73"/>
    <x v="4"/>
    <n v="7300000"/>
    <n v="34013"/>
    <n v="0"/>
    <n v="1"/>
    <x v="0"/>
  </r>
  <r>
    <x v="7"/>
    <n v="34"/>
    <n v="29"/>
    <x v="38"/>
    <x v="180"/>
    <x v="244"/>
    <n v="41"/>
    <n v="51"/>
    <s v="Oregon"/>
    <s v="Multnomah County"/>
    <n v="41051"/>
    <n v="137"/>
    <x v="169"/>
    <n v="12330000"/>
    <n v="34029"/>
    <n v="0"/>
    <n v="1"/>
    <x v="0"/>
  </r>
  <r>
    <x v="7"/>
    <n v="34"/>
    <n v="37"/>
    <x v="38"/>
    <x v="181"/>
    <x v="245"/>
    <n v="41"/>
    <n v="51"/>
    <s v="Oregon"/>
    <s v="Multnomah County"/>
    <n v="41051"/>
    <n v="87"/>
    <x v="89"/>
    <n v="7954410"/>
    <n v="34037"/>
    <n v="0"/>
    <n v="1"/>
    <x v="0"/>
  </r>
  <r>
    <x v="7"/>
    <n v="36"/>
    <n v="0"/>
    <x v="20"/>
    <x v="0"/>
    <x v="157"/>
    <n v="41"/>
    <n v="51"/>
    <s v="Oregon"/>
    <s v="Multnomah County"/>
    <n v="41051"/>
    <n v="132"/>
    <x v="0"/>
    <n v="4224000"/>
    <m/>
    <n v="0"/>
    <n v="1"/>
    <x v="0"/>
  </r>
  <r>
    <x v="7"/>
    <n v="36"/>
    <n v="13"/>
    <x v="20"/>
    <x v="182"/>
    <x v="246"/>
    <n v="41"/>
    <n v="51"/>
    <s v="Oregon"/>
    <s v="Multnomah County"/>
    <n v="41051"/>
    <n v="111"/>
    <x v="147"/>
    <n v="666000"/>
    <n v="36013"/>
    <n v="0"/>
    <n v="1"/>
    <x v="0"/>
  </r>
  <r>
    <x v="7"/>
    <n v="36"/>
    <n v="47"/>
    <x v="20"/>
    <x v="40"/>
    <x v="50"/>
    <n v="41"/>
    <n v="51"/>
    <s v="Oregon"/>
    <s v="Multnomah County"/>
    <n v="41051"/>
    <n v="451"/>
    <x v="292"/>
    <n v="36243000"/>
    <n v="36047"/>
    <n v="0"/>
    <n v="1"/>
    <x v="0"/>
  </r>
  <r>
    <x v="7"/>
    <n v="36"/>
    <n v="81"/>
    <x v="20"/>
    <x v="119"/>
    <x v="159"/>
    <n v="41"/>
    <n v="51"/>
    <s v="Oregon"/>
    <s v="Multnomah County"/>
    <n v="41051"/>
    <n v="202"/>
    <x v="221"/>
    <n v="11960000"/>
    <n v="36081"/>
    <n v="0"/>
    <n v="1"/>
    <x v="0"/>
  </r>
  <r>
    <x v="7"/>
    <n v="36"/>
    <n v="91"/>
    <x v="20"/>
    <x v="183"/>
    <x v="247"/>
    <n v="41"/>
    <n v="51"/>
    <s v="Oregon"/>
    <s v="Multnomah County"/>
    <n v="41051"/>
    <n v="149"/>
    <x v="293"/>
    <n v="1415500"/>
    <n v="36091"/>
    <n v="0"/>
    <n v="1"/>
    <x v="0"/>
  </r>
  <r>
    <x v="7"/>
    <n v="39"/>
    <n v="93"/>
    <x v="22"/>
    <x v="184"/>
    <x v="248"/>
    <n v="41"/>
    <n v="51"/>
    <s v="Oregon"/>
    <s v="Multnomah County"/>
    <n v="41051"/>
    <n v="120"/>
    <x v="262"/>
    <n v="14244000"/>
    <n v="39093"/>
    <n v="0"/>
    <n v="1"/>
    <x v="0"/>
  </r>
  <r>
    <x v="7"/>
    <n v="41"/>
    <n v="0"/>
    <x v="23"/>
    <x v="0"/>
    <x v="57"/>
    <n v="41"/>
    <n v="51"/>
    <s v="Oregon"/>
    <s v="Multnomah County"/>
    <n v="41051"/>
    <n v="5658"/>
    <x v="294"/>
    <n v="226634740"/>
    <m/>
    <n v="0"/>
    <n v="1"/>
    <x v="0"/>
  </r>
  <r>
    <x v="7"/>
    <n v="41"/>
    <n v="5"/>
    <x v="23"/>
    <x v="44"/>
    <x v="58"/>
    <n v="41"/>
    <n v="51"/>
    <s v="Oregon"/>
    <s v="Multnomah County"/>
    <n v="41051"/>
    <n v="4756"/>
    <x v="295"/>
    <n v="247476900"/>
    <n v="41005"/>
    <n v="0"/>
    <n v="1"/>
    <x v="0"/>
  </r>
  <r>
    <x v="7"/>
    <n v="41"/>
    <n v="19"/>
    <x v="23"/>
    <x v="79"/>
    <x v="163"/>
    <n v="41"/>
    <n v="51"/>
    <s v="Oregon"/>
    <s v="Multnomah County"/>
    <n v="41051"/>
    <n v="211"/>
    <x v="0"/>
    <n v="9495000"/>
    <n v="41019"/>
    <n v="0"/>
    <n v="1"/>
    <x v="0"/>
  </r>
  <r>
    <x v="7"/>
    <n v="41"/>
    <n v="29"/>
    <x v="23"/>
    <x v="46"/>
    <x v="60"/>
    <n v="41"/>
    <n v="51"/>
    <s v="Oregon"/>
    <s v="Multnomah County"/>
    <n v="41051"/>
    <n v="275"/>
    <x v="269"/>
    <n v="17574000"/>
    <n v="41029"/>
    <n v="0"/>
    <n v="1"/>
    <x v="0"/>
  </r>
  <r>
    <x v="7"/>
    <n v="41"/>
    <n v="39"/>
    <x v="23"/>
    <x v="47"/>
    <x v="61"/>
    <n v="41"/>
    <n v="51"/>
    <s v="Oregon"/>
    <s v="Multnomah County"/>
    <n v="41051"/>
    <n v="2185"/>
    <x v="296"/>
    <n v="81609850"/>
    <n v="41039"/>
    <n v="0"/>
    <n v="1"/>
    <x v="0"/>
  </r>
  <r>
    <x v="7"/>
    <n v="41"/>
    <n v="47"/>
    <x v="23"/>
    <x v="48"/>
    <x v="62"/>
    <n v="41"/>
    <n v="51"/>
    <s v="Oregon"/>
    <s v="Multnomah County"/>
    <n v="41051"/>
    <n v="445"/>
    <x v="139"/>
    <n v="9304600"/>
    <n v="41047"/>
    <n v="0"/>
    <n v="1"/>
    <x v="0"/>
  </r>
  <r>
    <x v="7"/>
    <n v="41"/>
    <n v="51"/>
    <x v="23"/>
    <x v="49"/>
    <x v="63"/>
    <n v="41"/>
    <n v="51"/>
    <s v="Oregon"/>
    <s v="Multnomah County"/>
    <n v="41051"/>
    <n v="585688"/>
    <x v="297"/>
    <n v="36109375112"/>
    <n v="41051"/>
    <n v="1"/>
    <n v="1"/>
    <x v="1"/>
  </r>
  <r>
    <x v="7"/>
    <n v="41"/>
    <n v="67"/>
    <x v="23"/>
    <x v="50"/>
    <x v="64"/>
    <n v="41"/>
    <n v="51"/>
    <s v="Oregon"/>
    <s v="Multnomah County"/>
    <n v="41051"/>
    <n v="6490"/>
    <x v="298"/>
    <n v="309835500"/>
    <n v="41067"/>
    <n v="0"/>
    <n v="1"/>
    <x v="0"/>
  </r>
  <r>
    <x v="7"/>
    <n v="41"/>
    <n v="71"/>
    <x v="23"/>
    <x v="185"/>
    <x v="249"/>
    <n v="41"/>
    <n v="51"/>
    <s v="Oregon"/>
    <s v="Multnomah County"/>
    <n v="41051"/>
    <n v="208"/>
    <x v="51"/>
    <n v="8770000"/>
    <n v="41071"/>
    <n v="0"/>
    <n v="1"/>
    <x v="0"/>
  </r>
  <r>
    <x v="7"/>
    <n v="42"/>
    <n v="0"/>
    <x v="24"/>
    <x v="0"/>
    <x v="65"/>
    <n v="41"/>
    <n v="51"/>
    <s v="Oregon"/>
    <s v="Multnomah County"/>
    <n v="41051"/>
    <n v="34"/>
    <x v="299"/>
    <n v="2482000"/>
    <m/>
    <n v="0"/>
    <n v="1"/>
    <x v="0"/>
  </r>
  <r>
    <x v="7"/>
    <n v="42"/>
    <n v="71"/>
    <x v="24"/>
    <x v="179"/>
    <x v="250"/>
    <n v="41"/>
    <n v="51"/>
    <s v="Oregon"/>
    <s v="Multnomah County"/>
    <n v="41051"/>
    <n v="137"/>
    <x v="169"/>
    <n v="2055000"/>
    <n v="42071"/>
    <n v="0"/>
    <n v="1"/>
    <x v="0"/>
  </r>
  <r>
    <x v="7"/>
    <n v="45"/>
    <n v="0"/>
    <x v="41"/>
    <x v="0"/>
    <x v="119"/>
    <n v="41"/>
    <n v="51"/>
    <s v="Oregon"/>
    <s v="Multnomah County"/>
    <n v="41051"/>
    <n v="92"/>
    <x v="269"/>
    <n v="2576000"/>
    <m/>
    <n v="0"/>
    <n v="1"/>
    <x v="0"/>
  </r>
  <r>
    <x v="7"/>
    <n v="45"/>
    <n v="45"/>
    <x v="41"/>
    <x v="186"/>
    <x v="251"/>
    <n v="41"/>
    <n v="51"/>
    <s v="Oregon"/>
    <s v="Multnomah County"/>
    <n v="41051"/>
    <n v="102"/>
    <x v="0"/>
    <n v="2856000"/>
    <n v="45045"/>
    <n v="0"/>
    <n v="1"/>
    <x v="0"/>
  </r>
  <r>
    <x v="7"/>
    <n v="47"/>
    <n v="37"/>
    <x v="26"/>
    <x v="55"/>
    <x v="70"/>
    <n v="41"/>
    <n v="51"/>
    <s v="Oregon"/>
    <s v="Multnomah County"/>
    <n v="41051"/>
    <n v="317"/>
    <x v="300"/>
    <n v="28847000"/>
    <n v="47037"/>
    <n v="0"/>
    <n v="1"/>
    <x v="0"/>
  </r>
  <r>
    <x v="7"/>
    <n v="48"/>
    <n v="29"/>
    <x v="27"/>
    <x v="123"/>
    <x v="167"/>
    <n v="41"/>
    <n v="51"/>
    <s v="Oregon"/>
    <s v="Multnomah County"/>
    <n v="41051"/>
    <n v="136"/>
    <x v="61"/>
    <n v="10640000"/>
    <n v="48029"/>
    <n v="0"/>
    <n v="1"/>
    <x v="0"/>
  </r>
  <r>
    <x v="7"/>
    <n v="48"/>
    <n v="113"/>
    <x v="27"/>
    <x v="88"/>
    <x v="122"/>
    <n v="41"/>
    <n v="51"/>
    <s v="Oregon"/>
    <s v="Multnomah County"/>
    <n v="41051"/>
    <n v="186"/>
    <x v="131"/>
    <n v="16700000"/>
    <n v="48113"/>
    <n v="0"/>
    <n v="1"/>
    <x v="0"/>
  </r>
  <r>
    <x v="7"/>
    <n v="48"/>
    <n v="201"/>
    <x v="27"/>
    <x v="153"/>
    <x v="210"/>
    <n v="41"/>
    <n v="51"/>
    <s v="Oregon"/>
    <s v="Multnomah County"/>
    <n v="41051"/>
    <n v="65"/>
    <x v="51"/>
    <n v="1625000"/>
    <n v="48201"/>
    <n v="0"/>
    <n v="1"/>
    <x v="0"/>
  </r>
  <r>
    <x v="7"/>
    <n v="48"/>
    <n v="453"/>
    <x v="27"/>
    <x v="57"/>
    <x v="72"/>
    <n v="41"/>
    <n v="51"/>
    <s v="Oregon"/>
    <s v="Multnomah County"/>
    <n v="41051"/>
    <n v="282"/>
    <x v="164"/>
    <n v="20830430"/>
    <n v="48453"/>
    <n v="0"/>
    <n v="1"/>
    <x v="0"/>
  </r>
  <r>
    <x v="7"/>
    <n v="49"/>
    <n v="35"/>
    <x v="28"/>
    <x v="58"/>
    <x v="73"/>
    <n v="41"/>
    <n v="51"/>
    <s v="Oregon"/>
    <s v="Multnomah County"/>
    <n v="41051"/>
    <n v="68"/>
    <x v="154"/>
    <n v="816000"/>
    <n v="49035"/>
    <n v="0"/>
    <n v="1"/>
    <x v="0"/>
  </r>
  <r>
    <x v="7"/>
    <n v="50"/>
    <n v="0"/>
    <x v="29"/>
    <x v="0"/>
    <x v="74"/>
    <n v="41"/>
    <n v="51"/>
    <s v="Oregon"/>
    <s v="Multnomah County"/>
    <n v="41051"/>
    <n v="86"/>
    <x v="10"/>
    <n v="1634000"/>
    <m/>
    <n v="0"/>
    <n v="1"/>
    <x v="0"/>
  </r>
  <r>
    <x v="7"/>
    <n v="50"/>
    <n v="7"/>
    <x v="29"/>
    <x v="187"/>
    <x v="252"/>
    <n v="41"/>
    <n v="51"/>
    <s v="Oregon"/>
    <s v="Multnomah County"/>
    <n v="41051"/>
    <n v="205"/>
    <x v="301"/>
    <n v="19270000"/>
    <n v="50007"/>
    <n v="0"/>
    <n v="1"/>
    <x v="0"/>
  </r>
  <r>
    <x v="7"/>
    <n v="53"/>
    <n v="0"/>
    <x v="31"/>
    <x v="0"/>
    <x v="76"/>
    <n v="41"/>
    <n v="51"/>
    <s v="Oregon"/>
    <s v="Multnomah County"/>
    <n v="41051"/>
    <n v="1434"/>
    <x v="302"/>
    <n v="84522270"/>
    <m/>
    <n v="0"/>
    <n v="1"/>
    <x v="0"/>
  </r>
  <r>
    <x v="7"/>
    <n v="53"/>
    <n v="11"/>
    <x v="31"/>
    <x v="38"/>
    <x v="77"/>
    <n v="41"/>
    <n v="51"/>
    <s v="Oregon"/>
    <s v="Multnomah County"/>
    <n v="41051"/>
    <n v="2080"/>
    <x v="303"/>
    <n v="190147700"/>
    <n v="53011"/>
    <n v="0"/>
    <n v="1"/>
    <x v="0"/>
  </r>
  <r>
    <x v="7"/>
    <n v="53"/>
    <n v="33"/>
    <x v="31"/>
    <x v="59"/>
    <x v="78"/>
    <n v="41"/>
    <n v="51"/>
    <s v="Oregon"/>
    <s v="Multnomah County"/>
    <n v="41051"/>
    <n v="817"/>
    <x v="304"/>
    <n v="64529020"/>
    <n v="53033"/>
    <n v="0"/>
    <n v="1"/>
    <x v="0"/>
  </r>
  <r>
    <x v="7"/>
    <n v="53"/>
    <n v="61"/>
    <x v="31"/>
    <x v="62"/>
    <x v="81"/>
    <n v="41"/>
    <n v="51"/>
    <s v="Oregon"/>
    <s v="Multnomah County"/>
    <n v="41051"/>
    <n v="180"/>
    <x v="106"/>
    <n v="20400640"/>
    <n v="53061"/>
    <n v="0"/>
    <n v="1"/>
    <x v="0"/>
  </r>
  <r>
    <x v="7"/>
    <n v="53"/>
    <n v="63"/>
    <x v="31"/>
    <x v="63"/>
    <x v="82"/>
    <n v="41"/>
    <n v="51"/>
    <s v="Oregon"/>
    <s v="Multnomah County"/>
    <n v="41051"/>
    <n v="166"/>
    <x v="305"/>
    <n v="12200000"/>
    <n v="53063"/>
    <n v="0"/>
    <n v="1"/>
    <x v="0"/>
  </r>
  <r>
    <x v="7"/>
    <n v="53"/>
    <n v="67"/>
    <x v="31"/>
    <x v="64"/>
    <x v="83"/>
    <n v="41"/>
    <n v="51"/>
    <s v="Oregon"/>
    <s v="Multnomah County"/>
    <n v="41051"/>
    <n v="146"/>
    <x v="54"/>
    <n v="7154000"/>
    <n v="53067"/>
    <n v="0"/>
    <n v="1"/>
    <x v="0"/>
  </r>
  <r>
    <x v="7"/>
    <n v="53"/>
    <n v="73"/>
    <x v="31"/>
    <x v="93"/>
    <x v="128"/>
    <n v="41"/>
    <n v="51"/>
    <s v="Oregon"/>
    <s v="Multnomah County"/>
    <n v="41051"/>
    <n v="141"/>
    <x v="306"/>
    <n v="4745000"/>
    <n v="53073"/>
    <n v="0"/>
    <n v="1"/>
    <x v="0"/>
  </r>
  <r>
    <x v="7"/>
    <n v="55"/>
    <n v="25"/>
    <x v="32"/>
    <x v="141"/>
    <x v="192"/>
    <n v="41"/>
    <n v="51"/>
    <s v="Oregon"/>
    <s v="Multnomah County"/>
    <n v="41051"/>
    <n v="246"/>
    <x v="80"/>
    <n v="28679200"/>
    <n v="55025"/>
    <n v="0"/>
    <n v="1"/>
    <x v="0"/>
  </r>
  <r>
    <x v="8"/>
    <n v="1"/>
    <n v="0"/>
    <x v="47"/>
    <x v="0"/>
    <x v="217"/>
    <n v="41"/>
    <n v="51"/>
    <s v="Oregon"/>
    <s v="Multnomah County"/>
    <n v="41051"/>
    <n v="110"/>
    <x v="128"/>
    <n v="6693000"/>
    <m/>
    <n v="0"/>
    <n v="1"/>
    <x v="0"/>
  </r>
  <r>
    <x v="8"/>
    <n v="2"/>
    <n v="0"/>
    <x v="0"/>
    <x v="0"/>
    <x v="0"/>
    <n v="41"/>
    <n v="51"/>
    <s v="Oregon"/>
    <s v="Multnomah County"/>
    <n v="41051"/>
    <n v="49"/>
    <x v="199"/>
    <n v="720300"/>
    <m/>
    <n v="0"/>
    <n v="1"/>
    <x v="0"/>
  </r>
  <r>
    <x v="8"/>
    <n v="4"/>
    <n v="0"/>
    <x v="1"/>
    <x v="0"/>
    <x v="2"/>
    <n v="41"/>
    <n v="51"/>
    <s v="Oregon"/>
    <s v="Multnomah County"/>
    <n v="41051"/>
    <n v="469"/>
    <x v="123"/>
    <n v="14029980"/>
    <m/>
    <n v="0"/>
    <n v="1"/>
    <x v="0"/>
  </r>
  <r>
    <x v="8"/>
    <n v="4"/>
    <n v="13"/>
    <x v="1"/>
    <x v="3"/>
    <x v="4"/>
    <n v="41"/>
    <n v="51"/>
    <s v="Oregon"/>
    <s v="Multnomah County"/>
    <n v="41051"/>
    <n v="242"/>
    <x v="14"/>
    <n v="18150000"/>
    <n v="4013"/>
    <n v="0"/>
    <n v="1"/>
    <x v="0"/>
  </r>
  <r>
    <x v="8"/>
    <n v="4"/>
    <n v="25"/>
    <x v="1"/>
    <x v="96"/>
    <x v="131"/>
    <n v="41"/>
    <n v="51"/>
    <s v="Oregon"/>
    <s v="Multnomah County"/>
    <n v="41051"/>
    <n v="229"/>
    <x v="226"/>
    <n v="2088000"/>
    <n v="4025"/>
    <n v="0"/>
    <n v="1"/>
    <x v="0"/>
  </r>
  <r>
    <x v="8"/>
    <n v="5"/>
    <n v="119"/>
    <x v="2"/>
    <x v="66"/>
    <x v="86"/>
    <n v="41"/>
    <n v="51"/>
    <s v="Oregon"/>
    <s v="Multnomah County"/>
    <n v="41051"/>
    <n v="160"/>
    <x v="0"/>
    <n v="5520000"/>
    <n v="5119"/>
    <n v="0"/>
    <n v="1"/>
    <x v="0"/>
  </r>
  <r>
    <x v="8"/>
    <n v="6"/>
    <n v="0"/>
    <x v="3"/>
    <x v="0"/>
    <x v="6"/>
    <n v="41"/>
    <n v="51"/>
    <s v="Oregon"/>
    <s v="Multnomah County"/>
    <n v="41051"/>
    <n v="327"/>
    <x v="161"/>
    <n v="16039000"/>
    <m/>
    <n v="0"/>
    <n v="1"/>
    <x v="0"/>
  </r>
  <r>
    <x v="8"/>
    <n v="6"/>
    <n v="1"/>
    <x v="3"/>
    <x v="4"/>
    <x v="7"/>
    <n v="41"/>
    <n v="51"/>
    <s v="Oregon"/>
    <s v="Multnomah County"/>
    <n v="41051"/>
    <n v="292"/>
    <x v="307"/>
    <n v="20305000"/>
    <n v="6001"/>
    <n v="0"/>
    <n v="1"/>
    <x v="0"/>
  </r>
  <r>
    <x v="8"/>
    <n v="6"/>
    <n v="17"/>
    <x v="3"/>
    <x v="188"/>
    <x v="253"/>
    <n v="41"/>
    <n v="51"/>
    <s v="Oregon"/>
    <s v="Multnomah County"/>
    <n v="41051"/>
    <n v="412"/>
    <x v="308"/>
    <n v="10682900"/>
    <n v="6017"/>
    <n v="0"/>
    <n v="1"/>
    <x v="0"/>
  </r>
  <r>
    <x v="8"/>
    <n v="6"/>
    <n v="23"/>
    <x v="3"/>
    <x v="68"/>
    <x v="88"/>
    <n v="41"/>
    <n v="51"/>
    <s v="Oregon"/>
    <s v="Multnomah County"/>
    <n v="41051"/>
    <n v="236"/>
    <x v="0"/>
    <n v="1416000"/>
    <n v="6023"/>
    <n v="0"/>
    <n v="1"/>
    <x v="0"/>
  </r>
  <r>
    <x v="8"/>
    <n v="6"/>
    <n v="29"/>
    <x v="3"/>
    <x v="7"/>
    <x v="10"/>
    <n v="41"/>
    <n v="51"/>
    <s v="Oregon"/>
    <s v="Multnomah County"/>
    <n v="41051"/>
    <n v="61"/>
    <x v="0"/>
    <n v="408700"/>
    <n v="6029"/>
    <n v="0"/>
    <n v="1"/>
    <x v="0"/>
  </r>
  <r>
    <x v="8"/>
    <n v="6"/>
    <n v="37"/>
    <x v="3"/>
    <x v="8"/>
    <x v="11"/>
    <n v="41"/>
    <n v="51"/>
    <s v="Oregon"/>
    <s v="Multnomah County"/>
    <n v="41051"/>
    <n v="940"/>
    <x v="215"/>
    <n v="73663700"/>
    <n v="6037"/>
    <n v="0"/>
    <n v="1"/>
    <x v="0"/>
  </r>
  <r>
    <x v="8"/>
    <n v="6"/>
    <n v="41"/>
    <x v="3"/>
    <x v="98"/>
    <x v="133"/>
    <n v="41"/>
    <n v="51"/>
    <s v="Oregon"/>
    <s v="Multnomah County"/>
    <n v="41051"/>
    <n v="218"/>
    <x v="175"/>
    <n v="17593900"/>
    <n v="6041"/>
    <n v="0"/>
    <n v="1"/>
    <x v="0"/>
  </r>
  <r>
    <x v="8"/>
    <n v="6"/>
    <n v="55"/>
    <x v="3"/>
    <x v="9"/>
    <x v="12"/>
    <n v="41"/>
    <n v="51"/>
    <s v="Oregon"/>
    <s v="Multnomah County"/>
    <n v="41051"/>
    <n v="137"/>
    <x v="309"/>
    <n v="35088700"/>
    <n v="6055"/>
    <n v="0"/>
    <n v="1"/>
    <x v="0"/>
  </r>
  <r>
    <x v="8"/>
    <n v="6"/>
    <n v="67"/>
    <x v="3"/>
    <x v="11"/>
    <x v="14"/>
    <n v="41"/>
    <n v="51"/>
    <s v="Oregon"/>
    <s v="Multnomah County"/>
    <n v="41051"/>
    <n v="73"/>
    <x v="0"/>
    <n v="47450"/>
    <n v="6067"/>
    <n v="0"/>
    <n v="1"/>
    <x v="0"/>
  </r>
  <r>
    <x v="8"/>
    <n v="6"/>
    <n v="73"/>
    <x v="3"/>
    <x v="13"/>
    <x v="16"/>
    <n v="41"/>
    <n v="51"/>
    <s v="Oregon"/>
    <s v="Multnomah County"/>
    <n v="41051"/>
    <n v="272"/>
    <x v="310"/>
    <n v="9566600"/>
    <n v="6073"/>
    <n v="0"/>
    <n v="1"/>
    <x v="0"/>
  </r>
  <r>
    <x v="8"/>
    <n v="6"/>
    <n v="75"/>
    <x v="3"/>
    <x v="14"/>
    <x v="17"/>
    <n v="41"/>
    <n v="51"/>
    <s v="Oregon"/>
    <s v="Multnomah County"/>
    <n v="41051"/>
    <n v="434"/>
    <x v="311"/>
    <n v="34818800"/>
    <n v="6075"/>
    <n v="0"/>
    <n v="1"/>
    <x v="0"/>
  </r>
  <r>
    <x v="8"/>
    <n v="6"/>
    <n v="81"/>
    <x v="3"/>
    <x v="100"/>
    <x v="135"/>
    <n v="41"/>
    <n v="51"/>
    <s v="Oregon"/>
    <s v="Multnomah County"/>
    <n v="41051"/>
    <n v="133"/>
    <x v="4"/>
    <n v="13271000"/>
    <n v="6081"/>
    <n v="0"/>
    <n v="1"/>
    <x v="0"/>
  </r>
  <r>
    <x v="8"/>
    <n v="6"/>
    <n v="83"/>
    <x v="3"/>
    <x v="16"/>
    <x v="19"/>
    <n v="41"/>
    <n v="51"/>
    <s v="Oregon"/>
    <s v="Multnomah County"/>
    <n v="41051"/>
    <n v="191"/>
    <x v="312"/>
    <n v="18145000"/>
    <n v="6083"/>
    <n v="0"/>
    <n v="1"/>
    <x v="0"/>
  </r>
  <r>
    <x v="8"/>
    <n v="6"/>
    <n v="85"/>
    <x v="3"/>
    <x v="17"/>
    <x v="20"/>
    <n v="41"/>
    <n v="51"/>
    <s v="Oregon"/>
    <s v="Multnomah County"/>
    <n v="41051"/>
    <n v="233"/>
    <x v="219"/>
    <n v="2085600"/>
    <n v="6085"/>
    <n v="0"/>
    <n v="1"/>
    <x v="0"/>
  </r>
  <r>
    <x v="8"/>
    <n v="6"/>
    <n v="87"/>
    <x v="3"/>
    <x v="71"/>
    <x v="92"/>
    <n v="41"/>
    <n v="51"/>
    <s v="Oregon"/>
    <s v="Multnomah County"/>
    <n v="41051"/>
    <n v="76"/>
    <x v="0"/>
    <n v="152000"/>
    <n v="6087"/>
    <n v="0"/>
    <n v="1"/>
    <x v="0"/>
  </r>
  <r>
    <x v="8"/>
    <n v="6"/>
    <n v="89"/>
    <x v="3"/>
    <x v="101"/>
    <x v="136"/>
    <n v="41"/>
    <n v="51"/>
    <s v="Oregon"/>
    <s v="Multnomah County"/>
    <n v="41051"/>
    <n v="156"/>
    <x v="219"/>
    <n v="8053500"/>
    <n v="6089"/>
    <n v="0"/>
    <n v="1"/>
    <x v="0"/>
  </r>
  <r>
    <x v="8"/>
    <n v="6"/>
    <n v="113"/>
    <x v="3"/>
    <x v="103"/>
    <x v="138"/>
    <n v="41"/>
    <n v="51"/>
    <s v="Oregon"/>
    <s v="Multnomah County"/>
    <n v="41051"/>
    <n v="242"/>
    <x v="220"/>
    <n v="2237000"/>
    <n v="6113"/>
    <n v="0"/>
    <n v="1"/>
    <x v="0"/>
  </r>
  <r>
    <x v="8"/>
    <n v="8"/>
    <n v="0"/>
    <x v="4"/>
    <x v="0"/>
    <x v="24"/>
    <n v="41"/>
    <n v="51"/>
    <s v="Oregon"/>
    <s v="Multnomah County"/>
    <n v="41051"/>
    <n v="1214"/>
    <x v="313"/>
    <n v="53498400"/>
    <m/>
    <n v="0"/>
    <n v="1"/>
    <x v="0"/>
  </r>
  <r>
    <x v="8"/>
    <n v="9"/>
    <n v="0"/>
    <x v="33"/>
    <x v="0"/>
    <x v="235"/>
    <n v="41"/>
    <n v="51"/>
    <s v="Oregon"/>
    <s v="Multnomah County"/>
    <n v="41051"/>
    <n v="93"/>
    <x v="269"/>
    <n v="4722000"/>
    <m/>
    <n v="0"/>
    <n v="1"/>
    <x v="0"/>
  </r>
  <r>
    <x v="8"/>
    <n v="11"/>
    <n v="1"/>
    <x v="5"/>
    <x v="21"/>
    <x v="25"/>
    <n v="41"/>
    <n v="51"/>
    <s v="Oregon"/>
    <s v="Multnomah County"/>
    <n v="41051"/>
    <n v="586"/>
    <x v="46"/>
    <n v="22787200"/>
    <n v="11001"/>
    <n v="0"/>
    <n v="1"/>
    <x v="0"/>
  </r>
  <r>
    <x v="8"/>
    <n v="12"/>
    <n v="19"/>
    <x v="6"/>
    <x v="189"/>
    <x v="254"/>
    <n v="41"/>
    <n v="51"/>
    <s v="Oregon"/>
    <s v="Multnomah County"/>
    <n v="41051"/>
    <n v="57"/>
    <x v="0"/>
    <n v="826500"/>
    <n v="12019"/>
    <n v="0"/>
    <n v="1"/>
    <x v="0"/>
  </r>
  <r>
    <x v="8"/>
    <n v="12"/>
    <n v="57"/>
    <x v="6"/>
    <x v="190"/>
    <x v="255"/>
    <n v="41"/>
    <n v="51"/>
    <s v="Oregon"/>
    <s v="Multnomah County"/>
    <n v="41051"/>
    <n v="734"/>
    <x v="314"/>
    <n v="60435460"/>
    <n v="12057"/>
    <n v="0"/>
    <n v="1"/>
    <x v="0"/>
  </r>
  <r>
    <x v="8"/>
    <n v="13"/>
    <n v="77"/>
    <x v="7"/>
    <x v="191"/>
    <x v="256"/>
    <n v="41"/>
    <n v="51"/>
    <s v="Oregon"/>
    <s v="Multnomah County"/>
    <n v="41051"/>
    <n v="757"/>
    <x v="315"/>
    <n v="22710000"/>
    <n v="13077"/>
    <n v="0"/>
    <n v="1"/>
    <x v="0"/>
  </r>
  <r>
    <x v="8"/>
    <n v="13"/>
    <n v="121"/>
    <x v="7"/>
    <x v="175"/>
    <x v="237"/>
    <n v="41"/>
    <n v="51"/>
    <s v="Oregon"/>
    <s v="Multnomah County"/>
    <n v="41051"/>
    <n v="326"/>
    <x v="23"/>
    <n v="25663900"/>
    <n v="13121"/>
    <n v="0"/>
    <n v="1"/>
    <x v="0"/>
  </r>
  <r>
    <x v="8"/>
    <n v="15"/>
    <n v="1"/>
    <x v="8"/>
    <x v="25"/>
    <x v="30"/>
    <n v="41"/>
    <n v="51"/>
    <s v="Oregon"/>
    <s v="Multnomah County"/>
    <n v="41051"/>
    <n v="211"/>
    <x v="291"/>
    <n v="10972000"/>
    <n v="15001"/>
    <n v="0"/>
    <n v="1"/>
    <x v="0"/>
  </r>
  <r>
    <x v="8"/>
    <n v="16"/>
    <n v="0"/>
    <x v="9"/>
    <x v="0"/>
    <x v="32"/>
    <n v="41"/>
    <n v="51"/>
    <s v="Oregon"/>
    <s v="Multnomah County"/>
    <n v="41051"/>
    <n v="1134"/>
    <x v="316"/>
    <n v="59841400"/>
    <m/>
    <n v="0"/>
    <n v="1"/>
    <x v="0"/>
  </r>
  <r>
    <x v="8"/>
    <n v="17"/>
    <n v="0"/>
    <x v="10"/>
    <x v="0"/>
    <x v="142"/>
    <n v="41"/>
    <n v="51"/>
    <s v="Oregon"/>
    <s v="Multnomah County"/>
    <n v="41051"/>
    <n v="61"/>
    <x v="0"/>
    <n v="9150000"/>
    <m/>
    <n v="0"/>
    <n v="1"/>
    <x v="0"/>
  </r>
  <r>
    <x v="8"/>
    <n v="17"/>
    <n v="31"/>
    <x v="10"/>
    <x v="28"/>
    <x v="34"/>
    <n v="41"/>
    <n v="51"/>
    <s v="Oregon"/>
    <s v="Multnomah County"/>
    <n v="41051"/>
    <n v="52"/>
    <x v="112"/>
    <n v="2496000"/>
    <n v="17031"/>
    <n v="0"/>
    <n v="1"/>
    <x v="0"/>
  </r>
  <r>
    <x v="8"/>
    <n v="18"/>
    <n v="0"/>
    <x v="11"/>
    <x v="0"/>
    <x v="36"/>
    <n v="41"/>
    <n v="51"/>
    <s v="Oregon"/>
    <s v="Multnomah County"/>
    <n v="41051"/>
    <n v="91"/>
    <x v="0"/>
    <n v="4368000"/>
    <m/>
    <n v="0"/>
    <n v="1"/>
    <x v="0"/>
  </r>
  <r>
    <x v="8"/>
    <n v="18"/>
    <n v="81"/>
    <x v="11"/>
    <x v="32"/>
    <x v="145"/>
    <n v="41"/>
    <n v="51"/>
    <s v="Oregon"/>
    <s v="Multnomah County"/>
    <n v="41051"/>
    <n v="120"/>
    <x v="131"/>
    <n v="12587000"/>
    <n v="18081"/>
    <n v="0"/>
    <n v="1"/>
    <x v="0"/>
  </r>
  <r>
    <x v="8"/>
    <n v="18"/>
    <n v="97"/>
    <x v="11"/>
    <x v="48"/>
    <x v="102"/>
    <n v="41"/>
    <n v="51"/>
    <s v="Oregon"/>
    <s v="Multnomah County"/>
    <n v="41051"/>
    <n v="385"/>
    <x v="317"/>
    <n v="26180000"/>
    <n v="18097"/>
    <n v="0"/>
    <n v="1"/>
    <x v="0"/>
  </r>
  <r>
    <x v="8"/>
    <n v="18"/>
    <n v="105"/>
    <x v="11"/>
    <x v="30"/>
    <x v="37"/>
    <n v="41"/>
    <n v="51"/>
    <s v="Oregon"/>
    <s v="Multnomah County"/>
    <n v="41051"/>
    <n v="212"/>
    <x v="125"/>
    <n v="12998000"/>
    <n v="18105"/>
    <n v="0"/>
    <n v="1"/>
    <x v="0"/>
  </r>
  <r>
    <x v="8"/>
    <n v="20"/>
    <n v="209"/>
    <x v="34"/>
    <x v="176"/>
    <x v="238"/>
    <n v="41"/>
    <n v="51"/>
    <s v="Oregon"/>
    <s v="Multnomah County"/>
    <n v="41051"/>
    <n v="380"/>
    <x v="76"/>
    <n v="19955000"/>
    <n v="20209"/>
    <n v="0"/>
    <n v="1"/>
    <x v="0"/>
  </r>
  <r>
    <x v="8"/>
    <n v="22"/>
    <n v="71"/>
    <x v="13"/>
    <x v="147"/>
    <x v="202"/>
    <n v="41"/>
    <n v="51"/>
    <s v="Oregon"/>
    <s v="Multnomah County"/>
    <n v="41051"/>
    <n v="116"/>
    <x v="182"/>
    <n v="5800000"/>
    <n v="22071"/>
    <n v="0"/>
    <n v="1"/>
    <x v="0"/>
  </r>
  <r>
    <x v="8"/>
    <n v="25"/>
    <n v="3"/>
    <x v="15"/>
    <x v="192"/>
    <x v="257"/>
    <n v="41"/>
    <n v="51"/>
    <s v="Oregon"/>
    <s v="Multnomah County"/>
    <n v="41051"/>
    <n v="737"/>
    <x v="318"/>
    <n v="6598000"/>
    <n v="25003"/>
    <n v="0"/>
    <n v="1"/>
    <x v="0"/>
  </r>
  <r>
    <x v="8"/>
    <n v="25"/>
    <n v="21"/>
    <x v="15"/>
    <x v="177"/>
    <x v="241"/>
    <n v="41"/>
    <n v="51"/>
    <s v="Oregon"/>
    <s v="Multnomah County"/>
    <n v="41051"/>
    <n v="51"/>
    <x v="0"/>
    <n v="244800"/>
    <n v="25021"/>
    <n v="0"/>
    <n v="1"/>
    <x v="2"/>
  </r>
  <r>
    <x v="8"/>
    <n v="25"/>
    <n v="25"/>
    <x v="15"/>
    <x v="35"/>
    <x v="44"/>
    <n v="41"/>
    <n v="51"/>
    <s v="Oregon"/>
    <s v="Multnomah County"/>
    <n v="41051"/>
    <n v="260"/>
    <x v="319"/>
    <n v="16900000"/>
    <n v="25025"/>
    <n v="0"/>
    <n v="1"/>
    <x v="2"/>
  </r>
  <r>
    <x v="8"/>
    <n v="26"/>
    <n v="121"/>
    <x v="36"/>
    <x v="193"/>
    <x v="258"/>
    <n v="41"/>
    <n v="51"/>
    <s v="Oregon"/>
    <s v="Multnomah County"/>
    <n v="41051"/>
    <n v="60"/>
    <x v="0"/>
    <n v="10920000"/>
    <n v="26121"/>
    <n v="0"/>
    <n v="1"/>
    <x v="2"/>
  </r>
  <r>
    <x v="8"/>
    <n v="27"/>
    <n v="53"/>
    <x v="16"/>
    <x v="36"/>
    <x v="45"/>
    <n v="41"/>
    <n v="51"/>
    <s v="Oregon"/>
    <s v="Multnomah County"/>
    <n v="41051"/>
    <n v="49"/>
    <x v="0"/>
    <n v="1744400"/>
    <n v="27053"/>
    <n v="0"/>
    <n v="1"/>
    <x v="2"/>
  </r>
  <r>
    <x v="8"/>
    <n v="27"/>
    <n v="109"/>
    <x v="16"/>
    <x v="194"/>
    <x v="259"/>
    <n v="41"/>
    <n v="51"/>
    <s v="Oregon"/>
    <s v="Multnomah County"/>
    <n v="41051"/>
    <n v="120"/>
    <x v="226"/>
    <n v="1476000"/>
    <n v="27109"/>
    <n v="0"/>
    <n v="1"/>
    <x v="2"/>
  </r>
  <r>
    <x v="8"/>
    <n v="27"/>
    <n v="123"/>
    <x v="16"/>
    <x v="128"/>
    <x v="175"/>
    <n v="41"/>
    <n v="51"/>
    <s v="Oregon"/>
    <s v="Multnomah County"/>
    <n v="41051"/>
    <n v="105"/>
    <x v="220"/>
    <n v="5486100"/>
    <n v="27123"/>
    <n v="0"/>
    <n v="1"/>
    <x v="2"/>
  </r>
  <r>
    <x v="8"/>
    <n v="29"/>
    <n v="0"/>
    <x v="17"/>
    <x v="0"/>
    <x v="176"/>
    <n v="41"/>
    <n v="51"/>
    <s v="Oregon"/>
    <s v="Multnomah County"/>
    <n v="41051"/>
    <n v="100"/>
    <x v="58"/>
    <n v="0"/>
    <m/>
    <n v="0"/>
    <n v="1"/>
    <x v="2"/>
  </r>
  <r>
    <x v="8"/>
    <n v="29"/>
    <n v="95"/>
    <x v="17"/>
    <x v="46"/>
    <x v="260"/>
    <n v="41"/>
    <n v="51"/>
    <s v="Oregon"/>
    <s v="Multnomah County"/>
    <n v="41051"/>
    <n v="328"/>
    <x v="246"/>
    <n v="53288600"/>
    <n v="29095"/>
    <n v="0"/>
    <n v="1"/>
    <x v="2"/>
  </r>
  <r>
    <x v="8"/>
    <n v="29"/>
    <n v="189"/>
    <x v="17"/>
    <x v="83"/>
    <x v="110"/>
    <n v="41"/>
    <n v="51"/>
    <s v="Oregon"/>
    <s v="Multnomah County"/>
    <n v="41051"/>
    <n v="69"/>
    <x v="0"/>
    <n v="0"/>
    <n v="29189"/>
    <n v="0"/>
    <n v="1"/>
    <x v="2"/>
  </r>
  <r>
    <x v="8"/>
    <n v="30"/>
    <n v="0"/>
    <x v="37"/>
    <x v="0"/>
    <x v="111"/>
    <n v="41"/>
    <n v="51"/>
    <s v="Oregon"/>
    <s v="Multnomah County"/>
    <n v="41051"/>
    <n v="239"/>
    <x v="103"/>
    <n v="2833000"/>
    <m/>
    <n v="0"/>
    <n v="1"/>
    <x v="2"/>
  </r>
  <r>
    <x v="8"/>
    <n v="30"/>
    <n v="31"/>
    <x v="37"/>
    <x v="178"/>
    <x v="242"/>
    <n v="41"/>
    <n v="51"/>
    <s v="Oregon"/>
    <s v="Multnomah County"/>
    <n v="41051"/>
    <n v="55"/>
    <x v="205"/>
    <n v="3190000"/>
    <n v="30031"/>
    <n v="0"/>
    <n v="1"/>
    <x v="2"/>
  </r>
  <r>
    <x v="8"/>
    <n v="31"/>
    <n v="55"/>
    <x v="49"/>
    <x v="79"/>
    <x v="232"/>
    <n v="41"/>
    <n v="51"/>
    <s v="Oregon"/>
    <s v="Multnomah County"/>
    <n v="41051"/>
    <n v="118"/>
    <x v="0"/>
    <n v="3560000"/>
    <n v="31055"/>
    <n v="0"/>
    <n v="1"/>
    <x v="2"/>
  </r>
  <r>
    <x v="8"/>
    <n v="32"/>
    <n v="3"/>
    <x v="18"/>
    <x v="38"/>
    <x v="47"/>
    <n v="41"/>
    <n v="51"/>
    <s v="Oregon"/>
    <s v="Multnomah County"/>
    <n v="41051"/>
    <n v="344"/>
    <x v="33"/>
    <n v="38825000"/>
    <n v="32003"/>
    <n v="0"/>
    <n v="1"/>
    <x v="2"/>
  </r>
  <r>
    <x v="8"/>
    <n v="36"/>
    <n v="0"/>
    <x v="20"/>
    <x v="0"/>
    <x v="157"/>
    <n v="41"/>
    <n v="51"/>
    <s v="Oregon"/>
    <s v="Multnomah County"/>
    <n v="41051"/>
    <n v="113"/>
    <x v="0"/>
    <n v="5810000"/>
    <m/>
    <n v="0"/>
    <n v="1"/>
    <x v="2"/>
  </r>
  <r>
    <x v="8"/>
    <n v="36"/>
    <n v="1"/>
    <x v="20"/>
    <x v="149"/>
    <x v="206"/>
    <n v="41"/>
    <n v="51"/>
    <s v="Oregon"/>
    <s v="Multnomah County"/>
    <n v="41051"/>
    <n v="664"/>
    <x v="320"/>
    <n v="19533300"/>
    <n v="36001"/>
    <n v="0"/>
    <n v="1"/>
    <x v="2"/>
  </r>
  <r>
    <x v="8"/>
    <n v="36"/>
    <n v="47"/>
    <x v="20"/>
    <x v="40"/>
    <x v="50"/>
    <n v="41"/>
    <n v="51"/>
    <s v="Oregon"/>
    <s v="Multnomah County"/>
    <n v="41051"/>
    <n v="273"/>
    <x v="321"/>
    <n v="24371000"/>
    <n v="36047"/>
    <n v="0"/>
    <n v="1"/>
    <x v="2"/>
  </r>
  <r>
    <x v="8"/>
    <n v="36"/>
    <n v="55"/>
    <x v="20"/>
    <x v="30"/>
    <x v="51"/>
    <n v="41"/>
    <n v="51"/>
    <s v="Oregon"/>
    <s v="Multnomah County"/>
    <n v="41051"/>
    <n v="371"/>
    <x v="236"/>
    <n v="14554000"/>
    <n v="36055"/>
    <n v="0"/>
    <n v="1"/>
    <x v="2"/>
  </r>
  <r>
    <x v="8"/>
    <n v="36"/>
    <n v="91"/>
    <x v="20"/>
    <x v="183"/>
    <x v="247"/>
    <n v="41"/>
    <n v="51"/>
    <s v="Oregon"/>
    <s v="Multnomah County"/>
    <n v="41051"/>
    <n v="124"/>
    <x v="104"/>
    <n v="3720000"/>
    <n v="36091"/>
    <n v="0"/>
    <n v="1"/>
    <x v="2"/>
  </r>
  <r>
    <x v="8"/>
    <n v="37"/>
    <n v="0"/>
    <x v="21"/>
    <x v="0"/>
    <x v="179"/>
    <n v="41"/>
    <n v="51"/>
    <s v="Oregon"/>
    <s v="Multnomah County"/>
    <n v="41051"/>
    <n v="497"/>
    <x v="322"/>
    <n v="5110200"/>
    <m/>
    <n v="0"/>
    <n v="1"/>
    <x v="2"/>
  </r>
  <r>
    <x v="8"/>
    <n v="37"/>
    <n v="119"/>
    <x v="21"/>
    <x v="134"/>
    <x v="183"/>
    <n v="41"/>
    <n v="51"/>
    <s v="Oregon"/>
    <s v="Multnomah County"/>
    <n v="41051"/>
    <n v="236"/>
    <x v="165"/>
    <n v="22856000"/>
    <n v="37119"/>
    <n v="0"/>
    <n v="1"/>
    <x v="2"/>
  </r>
  <r>
    <x v="8"/>
    <n v="37"/>
    <n v="135"/>
    <x v="21"/>
    <x v="10"/>
    <x v="53"/>
    <n v="41"/>
    <n v="51"/>
    <s v="Oregon"/>
    <s v="Multnomah County"/>
    <n v="41051"/>
    <n v="44"/>
    <x v="323"/>
    <n v="10058000"/>
    <n v="37135"/>
    <n v="0"/>
    <n v="1"/>
    <x v="2"/>
  </r>
  <r>
    <x v="8"/>
    <n v="37"/>
    <n v="183"/>
    <x v="21"/>
    <x v="87"/>
    <x v="116"/>
    <n v="41"/>
    <n v="51"/>
    <s v="Oregon"/>
    <s v="Multnomah County"/>
    <n v="41051"/>
    <n v="50"/>
    <x v="324"/>
    <n v="1560000"/>
    <n v="37183"/>
    <n v="0"/>
    <n v="1"/>
    <x v="2"/>
  </r>
  <r>
    <x v="8"/>
    <n v="39"/>
    <n v="61"/>
    <x v="22"/>
    <x v="165"/>
    <x v="224"/>
    <n v="41"/>
    <n v="51"/>
    <s v="Oregon"/>
    <s v="Multnomah County"/>
    <n v="41051"/>
    <n v="40"/>
    <x v="325"/>
    <n v="480000"/>
    <n v="39061"/>
    <n v="0"/>
    <n v="1"/>
    <x v="2"/>
  </r>
  <r>
    <x v="8"/>
    <n v="40"/>
    <n v="0"/>
    <x v="40"/>
    <x v="0"/>
    <x v="117"/>
    <n v="41"/>
    <n v="51"/>
    <s v="Oregon"/>
    <s v="Multnomah County"/>
    <n v="41051"/>
    <n v="252"/>
    <x v="310"/>
    <n v="5760000"/>
    <m/>
    <n v="0"/>
    <n v="1"/>
    <x v="2"/>
  </r>
  <r>
    <x v="8"/>
    <n v="40"/>
    <n v="109"/>
    <x v="40"/>
    <x v="120"/>
    <x v="162"/>
    <n v="41"/>
    <n v="51"/>
    <s v="Oregon"/>
    <s v="Multnomah County"/>
    <n v="41051"/>
    <n v="440"/>
    <x v="121"/>
    <n v="26573000"/>
    <n v="40109"/>
    <n v="0"/>
    <n v="1"/>
    <x v="2"/>
  </r>
  <r>
    <x v="8"/>
    <n v="41"/>
    <n v="0"/>
    <x v="23"/>
    <x v="0"/>
    <x v="57"/>
    <n v="41"/>
    <n v="51"/>
    <s v="Oregon"/>
    <s v="Multnomah County"/>
    <n v="41051"/>
    <n v="2560"/>
    <x v="326"/>
    <n v="155287700"/>
    <m/>
    <n v="0"/>
    <n v="1"/>
    <x v="2"/>
  </r>
  <r>
    <x v="8"/>
    <n v="41"/>
    <n v="5"/>
    <x v="23"/>
    <x v="44"/>
    <x v="58"/>
    <n v="41"/>
    <n v="51"/>
    <s v="Oregon"/>
    <s v="Multnomah County"/>
    <n v="41051"/>
    <n v="5627"/>
    <x v="327"/>
    <n v="210095550"/>
    <n v="41005"/>
    <n v="0"/>
    <n v="1"/>
    <x v="2"/>
  </r>
  <r>
    <x v="8"/>
    <n v="41"/>
    <n v="19"/>
    <x v="23"/>
    <x v="79"/>
    <x v="163"/>
    <n v="41"/>
    <n v="51"/>
    <s v="Oregon"/>
    <s v="Multnomah County"/>
    <n v="41051"/>
    <n v="52"/>
    <x v="82"/>
    <n v="679120"/>
    <n v="41019"/>
    <n v="0"/>
    <n v="1"/>
    <x v="2"/>
  </r>
  <r>
    <x v="8"/>
    <n v="41"/>
    <n v="29"/>
    <x v="23"/>
    <x v="46"/>
    <x v="60"/>
    <n v="41"/>
    <n v="51"/>
    <s v="Oregon"/>
    <s v="Multnomah County"/>
    <n v="41051"/>
    <n v="603"/>
    <x v="311"/>
    <n v="33777600"/>
    <n v="41029"/>
    <n v="0"/>
    <n v="1"/>
    <x v="2"/>
  </r>
  <r>
    <x v="8"/>
    <n v="41"/>
    <n v="39"/>
    <x v="23"/>
    <x v="47"/>
    <x v="61"/>
    <n v="41"/>
    <n v="51"/>
    <s v="Oregon"/>
    <s v="Multnomah County"/>
    <n v="41051"/>
    <n v="2147"/>
    <x v="328"/>
    <n v="66866000"/>
    <n v="41039"/>
    <n v="0"/>
    <n v="1"/>
    <x v="2"/>
  </r>
  <r>
    <x v="8"/>
    <n v="41"/>
    <n v="47"/>
    <x v="23"/>
    <x v="48"/>
    <x v="62"/>
    <n v="41"/>
    <n v="51"/>
    <s v="Oregon"/>
    <s v="Multnomah County"/>
    <n v="41051"/>
    <n v="3384"/>
    <x v="329"/>
    <n v="258178000"/>
    <n v="41047"/>
    <n v="0"/>
    <n v="1"/>
    <x v="2"/>
  </r>
  <r>
    <x v="8"/>
    <n v="41"/>
    <n v="51"/>
    <x v="23"/>
    <x v="49"/>
    <x v="63"/>
    <n v="41"/>
    <n v="51"/>
    <s v="Oregon"/>
    <s v="Multnomah County"/>
    <n v="41051"/>
    <n v="580087"/>
    <x v="330"/>
    <n v="37462494354"/>
    <n v="41051"/>
    <n v="1"/>
    <n v="1"/>
    <x v="2"/>
  </r>
  <r>
    <x v="8"/>
    <n v="41"/>
    <n v="67"/>
    <x v="23"/>
    <x v="50"/>
    <x v="64"/>
    <n v="41"/>
    <n v="51"/>
    <s v="Oregon"/>
    <s v="Multnomah County"/>
    <n v="41051"/>
    <n v="5565"/>
    <x v="331"/>
    <n v="371229500"/>
    <n v="41067"/>
    <n v="0"/>
    <n v="1"/>
    <x v="2"/>
  </r>
  <r>
    <x v="8"/>
    <n v="41"/>
    <n v="71"/>
    <x v="23"/>
    <x v="185"/>
    <x v="249"/>
    <n v="41"/>
    <n v="51"/>
    <s v="Oregon"/>
    <s v="Multnomah County"/>
    <n v="41051"/>
    <n v="917"/>
    <x v="332"/>
    <n v="46920000"/>
    <n v="41071"/>
    <n v="0"/>
    <n v="1"/>
    <x v="2"/>
  </r>
  <r>
    <x v="8"/>
    <n v="42"/>
    <n v="3"/>
    <x v="24"/>
    <x v="121"/>
    <x v="164"/>
    <n v="41"/>
    <n v="51"/>
    <s v="Oregon"/>
    <s v="Multnomah County"/>
    <n v="41051"/>
    <n v="60"/>
    <x v="333"/>
    <n v="4902000"/>
    <n v="42003"/>
    <n v="0"/>
    <n v="1"/>
    <x v="2"/>
  </r>
  <r>
    <x v="8"/>
    <n v="42"/>
    <n v="17"/>
    <x v="24"/>
    <x v="135"/>
    <x v="185"/>
    <n v="41"/>
    <n v="51"/>
    <s v="Oregon"/>
    <s v="Multnomah County"/>
    <n v="41051"/>
    <n v="232"/>
    <x v="205"/>
    <n v="19856000"/>
    <n v="42017"/>
    <n v="0"/>
    <n v="1"/>
    <x v="2"/>
  </r>
  <r>
    <x v="8"/>
    <n v="42"/>
    <n v="101"/>
    <x v="24"/>
    <x v="53"/>
    <x v="68"/>
    <n v="41"/>
    <n v="51"/>
    <s v="Oregon"/>
    <s v="Multnomah County"/>
    <n v="41051"/>
    <n v="205"/>
    <x v="334"/>
    <n v="3280000"/>
    <n v="42101"/>
    <n v="0"/>
    <n v="1"/>
    <x v="2"/>
  </r>
  <r>
    <x v="8"/>
    <n v="48"/>
    <n v="201"/>
    <x v="27"/>
    <x v="153"/>
    <x v="210"/>
    <n v="41"/>
    <n v="51"/>
    <s v="Oregon"/>
    <s v="Multnomah County"/>
    <n v="41051"/>
    <n v="52"/>
    <x v="0"/>
    <n v="1560000"/>
    <n v="48201"/>
    <n v="0"/>
    <n v="1"/>
    <x v="2"/>
  </r>
  <r>
    <x v="8"/>
    <n v="48"/>
    <n v="355"/>
    <x v="27"/>
    <x v="195"/>
    <x v="261"/>
    <n v="41"/>
    <n v="51"/>
    <s v="Oregon"/>
    <s v="Multnomah County"/>
    <n v="41051"/>
    <n v="74"/>
    <x v="0"/>
    <n v="2960000"/>
    <n v="48355"/>
    <n v="0"/>
    <n v="1"/>
    <x v="2"/>
  </r>
  <r>
    <x v="8"/>
    <n v="48"/>
    <n v="453"/>
    <x v="27"/>
    <x v="57"/>
    <x v="72"/>
    <n v="41"/>
    <n v="51"/>
    <s v="Oregon"/>
    <s v="Multnomah County"/>
    <n v="41051"/>
    <n v="221"/>
    <x v="157"/>
    <n v="31496000"/>
    <n v="48453"/>
    <n v="0"/>
    <n v="1"/>
    <x v="2"/>
  </r>
  <r>
    <x v="8"/>
    <n v="48"/>
    <n v="491"/>
    <x v="27"/>
    <x v="136"/>
    <x v="262"/>
    <n v="41"/>
    <n v="51"/>
    <s v="Oregon"/>
    <s v="Multnomah County"/>
    <n v="41051"/>
    <n v="87"/>
    <x v="335"/>
    <n v="3442500"/>
    <n v="48491"/>
    <n v="0"/>
    <n v="1"/>
    <x v="2"/>
  </r>
  <r>
    <x v="8"/>
    <n v="49"/>
    <n v="0"/>
    <x v="28"/>
    <x v="0"/>
    <x v="125"/>
    <n v="41"/>
    <n v="51"/>
    <s v="Oregon"/>
    <s v="Multnomah County"/>
    <n v="41051"/>
    <n v="148"/>
    <x v="0"/>
    <n v="1398600"/>
    <m/>
    <n v="0"/>
    <n v="1"/>
    <x v="2"/>
  </r>
  <r>
    <x v="8"/>
    <n v="49"/>
    <n v="35"/>
    <x v="28"/>
    <x v="58"/>
    <x v="73"/>
    <n v="41"/>
    <n v="51"/>
    <s v="Oregon"/>
    <s v="Multnomah County"/>
    <n v="41051"/>
    <n v="1002"/>
    <x v="336"/>
    <n v="83666000"/>
    <n v="49035"/>
    <n v="0"/>
    <n v="1"/>
    <x v="2"/>
  </r>
  <r>
    <x v="8"/>
    <n v="49"/>
    <n v="53"/>
    <x v="28"/>
    <x v="50"/>
    <x v="190"/>
    <n v="41"/>
    <n v="51"/>
    <s v="Oregon"/>
    <s v="Multnomah County"/>
    <n v="41051"/>
    <n v="127"/>
    <x v="106"/>
    <n v="38100"/>
    <n v="49053"/>
    <n v="0"/>
    <n v="1"/>
    <x v="2"/>
  </r>
  <r>
    <x v="8"/>
    <n v="51"/>
    <n v="0"/>
    <x v="30"/>
    <x v="0"/>
    <x v="75"/>
    <n v="41"/>
    <n v="51"/>
    <s v="Oregon"/>
    <s v="Multnomah County"/>
    <n v="41051"/>
    <n v="152"/>
    <x v="192"/>
    <n v="4408100"/>
    <m/>
    <n v="0"/>
    <n v="1"/>
    <x v="2"/>
  </r>
  <r>
    <x v="8"/>
    <n v="51"/>
    <n v="41"/>
    <x v="30"/>
    <x v="156"/>
    <x v="214"/>
    <n v="41"/>
    <n v="51"/>
    <s v="Oregon"/>
    <s v="Multnomah County"/>
    <n v="41051"/>
    <n v="133"/>
    <x v="19"/>
    <n v="1928500"/>
    <n v="51041"/>
    <n v="0"/>
    <n v="1"/>
    <x v="2"/>
  </r>
  <r>
    <x v="8"/>
    <n v="51"/>
    <n v="760"/>
    <x v="30"/>
    <x v="140"/>
    <x v="191"/>
    <n v="41"/>
    <n v="51"/>
    <s v="Oregon"/>
    <s v="Multnomah County"/>
    <n v="41051"/>
    <n v="23"/>
    <x v="0"/>
    <n v="69000"/>
    <n v="51760"/>
    <n v="0"/>
    <n v="1"/>
    <x v="2"/>
  </r>
  <r>
    <x v="8"/>
    <n v="53"/>
    <n v="0"/>
    <x v="31"/>
    <x v="0"/>
    <x v="76"/>
    <n v="41"/>
    <n v="51"/>
    <s v="Oregon"/>
    <s v="Multnomah County"/>
    <n v="41051"/>
    <n v="621"/>
    <x v="337"/>
    <n v="28175150"/>
    <m/>
    <n v="0"/>
    <n v="1"/>
    <x v="2"/>
  </r>
  <r>
    <x v="8"/>
    <n v="53"/>
    <n v="11"/>
    <x v="31"/>
    <x v="38"/>
    <x v="77"/>
    <n v="41"/>
    <n v="51"/>
    <s v="Oregon"/>
    <s v="Multnomah County"/>
    <n v="41051"/>
    <n v="2014"/>
    <x v="338"/>
    <n v="74366530"/>
    <n v="53011"/>
    <n v="0"/>
    <n v="1"/>
    <x v="2"/>
  </r>
  <r>
    <x v="8"/>
    <n v="53"/>
    <n v="33"/>
    <x v="31"/>
    <x v="59"/>
    <x v="78"/>
    <n v="41"/>
    <n v="51"/>
    <s v="Oregon"/>
    <s v="Multnomah County"/>
    <n v="41051"/>
    <n v="1266"/>
    <x v="339"/>
    <n v="98902000"/>
    <n v="53033"/>
    <n v="0"/>
    <n v="1"/>
    <x v="2"/>
  </r>
  <r>
    <x v="8"/>
    <n v="53"/>
    <n v="35"/>
    <x v="31"/>
    <x v="60"/>
    <x v="79"/>
    <n v="41"/>
    <n v="51"/>
    <s v="Oregon"/>
    <s v="Multnomah County"/>
    <n v="41051"/>
    <n v="918"/>
    <x v="0"/>
    <n v="13127400"/>
    <n v="53035"/>
    <n v="0"/>
    <n v="1"/>
    <x v="2"/>
  </r>
  <r>
    <x v="8"/>
    <n v="53"/>
    <n v="53"/>
    <x v="31"/>
    <x v="61"/>
    <x v="80"/>
    <n v="41"/>
    <n v="51"/>
    <s v="Oregon"/>
    <s v="Multnomah County"/>
    <n v="41051"/>
    <n v="53"/>
    <x v="112"/>
    <n v="4770000"/>
    <n v="53053"/>
    <n v="0"/>
    <n v="1"/>
    <x v="2"/>
  </r>
  <r>
    <x v="8"/>
    <n v="53"/>
    <n v="57"/>
    <x v="31"/>
    <x v="196"/>
    <x v="263"/>
    <n v="41"/>
    <n v="51"/>
    <s v="Oregon"/>
    <s v="Multnomah County"/>
    <n v="41051"/>
    <n v="109"/>
    <x v="0"/>
    <n v="4142000"/>
    <n v="53057"/>
    <n v="0"/>
    <n v="1"/>
    <x v="2"/>
  </r>
  <r>
    <x v="8"/>
    <n v="53"/>
    <n v="61"/>
    <x v="31"/>
    <x v="62"/>
    <x v="81"/>
    <n v="41"/>
    <n v="51"/>
    <s v="Oregon"/>
    <s v="Multnomah County"/>
    <n v="41051"/>
    <n v="352"/>
    <x v="340"/>
    <n v="14856400"/>
    <n v="53061"/>
    <n v="0"/>
    <n v="1"/>
    <x v="2"/>
  </r>
  <r>
    <x v="8"/>
    <n v="53"/>
    <n v="67"/>
    <x v="31"/>
    <x v="64"/>
    <x v="83"/>
    <n v="41"/>
    <n v="51"/>
    <s v="Oregon"/>
    <s v="Multnomah County"/>
    <n v="41051"/>
    <n v="54"/>
    <x v="0"/>
    <n v="1836000"/>
    <n v="53067"/>
    <n v="0"/>
    <n v="1"/>
    <x v="2"/>
  </r>
  <r>
    <x v="8"/>
    <n v="53"/>
    <n v="73"/>
    <x v="31"/>
    <x v="93"/>
    <x v="128"/>
    <n v="41"/>
    <n v="51"/>
    <s v="Oregon"/>
    <s v="Multnomah County"/>
    <n v="41051"/>
    <n v="366"/>
    <x v="232"/>
    <n v="7267750"/>
    <n v="53073"/>
    <n v="0"/>
    <n v="1"/>
    <x v="2"/>
  </r>
  <r>
    <x v="8"/>
    <n v="55"/>
    <n v="79"/>
    <x v="32"/>
    <x v="65"/>
    <x v="85"/>
    <n v="41"/>
    <n v="51"/>
    <s v="Oregon"/>
    <s v="Multnomah County"/>
    <n v="41051"/>
    <n v="131"/>
    <x v="21"/>
    <n v="11898000"/>
    <n v="55079"/>
    <n v="0"/>
    <n v="1"/>
    <x v="2"/>
  </r>
</pivotCacheRecords>
</file>

<file path=xl/pivotTables/_rels/pivotTable1.xml.rels><?xml version="1.0" encoding="UTF-8"?><Relationships xmlns="http://schemas.openxmlformats.org/package/2006/relationships"><Relationship Target="../pivotCache/pivotCacheDefinition2.xml" Type="http://schemas.openxmlformats.org/officeDocument/2006/relationships/pivotCacheDefinition" Id="rId1"/></Relationships>
</file>

<file path=xl/pivotTables/_rels/pivotTable2.xml.rels><?xml version="1.0" encoding="UTF-8"?><Relationships xmlns="http://schemas.openxmlformats.org/package/2006/relationships"><Relationship Target="../pivotCache/pivotCacheDefinition3.xml" Type="http://schemas.openxmlformats.org/officeDocument/2006/relationships/pivotCacheDefinition" Id="rId1"/></Relationships>
</file>

<file path=xl/pivotTables/_rels/pivotTable3.xml.rels><?xml version="1.0" encoding="UTF-8"?><Relationships xmlns="http://schemas.openxmlformats.org/package/2006/relationships"><Relationship Target="../pivotCache/pivotCacheDefinition1.xml" Type="http://schemas.openxmlformats.org/officeDocument/2006/relationships/pivotCacheDefinition" Id="rId1"/></Relationships>
</file>

<file path=xl/pivotTables/_rels/pivotTable4.xml.rels><?xml version="1.0" encoding="UTF-8"?><Relationships xmlns="http://schemas.openxmlformats.org/package/2006/relationships"><Relationship Target="../pivotCache/pivotCacheDefinition4.xml" Type="http://schemas.openxmlformats.org/officeDocument/2006/relationships/pivotCacheDefinition" Id="rId1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D7B87D-A4D3-44D7-9AAD-3F81353DF06F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75" firstHeaderRow="1" firstDataRow="1" firstDataCol="3" rowPageCount="1" colPageCount="1"/>
  <pivotFields count="23">
    <pivotField axis="axisPage" compact="0" numFmtId="1" outline="0" multipleItemSelectionAllowed="1" showAll="0" defaultSubtotal="0">
      <items count="7">
        <item h="1" x="0"/>
        <item h="1" x="1"/>
        <item h="1" x="2"/>
        <item h="1" x="3"/>
        <item x="4"/>
        <item h="1" x="5"/>
        <item h="1" x="6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outline="0" showAll="0" defaultSubtotal="0"/>
    <pivotField compact="0" numFmtId="1" outline="0" showAll="0" defaultSubtotal="0"/>
    <pivotField axis="axisRow" compact="0" outline="0" showAll="0" defaultSubtota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34"/>
        <item x="35"/>
        <item x="13"/>
        <item x="14"/>
        <item x="15"/>
        <item x="16"/>
        <item x="17"/>
        <item x="18"/>
        <item x="36"/>
        <item x="19"/>
        <item x="37"/>
        <item x="20"/>
        <item x="38"/>
        <item x="21"/>
        <item x="22"/>
        <item x="23"/>
        <item x="24"/>
        <item x="39"/>
        <item x="25"/>
        <item x="26"/>
        <item x="40"/>
        <item x="41"/>
        <item x="27"/>
        <item x="28"/>
        <item x="29"/>
        <item x="30"/>
        <item x="31"/>
        <item x="32"/>
        <item x="33"/>
      </items>
    </pivotField>
    <pivotField compact="0" numFmtId="1" outline="0" showAll="0" defaultSubtotal="0"/>
    <pivotField axis="axisRow" compact="0" outline="0" showAll="0" defaultSubtotal="0">
      <items count="203">
        <item x="44"/>
        <item x="174"/>
        <item x="4"/>
        <item x="94"/>
        <item x="195"/>
        <item x="0"/>
        <item x="27"/>
        <item x="170"/>
        <item x="72"/>
        <item x="139"/>
        <item x="73"/>
        <item x="63"/>
        <item x="98"/>
        <item x="135"/>
        <item x="193"/>
        <item x="194"/>
        <item x="28"/>
        <item x="132"/>
        <item x="69"/>
        <item x="126"/>
        <item x="45"/>
        <item x="162"/>
        <item x="185"/>
        <item x="104"/>
        <item x="196"/>
        <item x="74"/>
        <item x="171"/>
        <item x="61"/>
        <item x="75"/>
        <item x="192"/>
        <item x="124"/>
        <item x="165"/>
        <item x="76"/>
        <item x="5"/>
        <item x="47"/>
        <item x="77"/>
        <item x="106"/>
        <item x="78"/>
        <item x="51"/>
        <item x="159"/>
        <item x="156"/>
        <item x="99"/>
        <item x="122"/>
        <item x="96"/>
        <item x="167"/>
        <item x="39"/>
        <item x="183"/>
        <item x="29"/>
        <item x="79"/>
        <item x="34"/>
        <item x="80"/>
        <item x="136"/>
        <item x="154"/>
        <item x="133"/>
        <item x="178"/>
        <item x="30"/>
        <item x="151"/>
        <item x="105"/>
        <item x="190"/>
        <item x="148"/>
        <item x="202"/>
        <item x="71"/>
        <item x="6"/>
        <item x="40"/>
        <item x="58"/>
        <item x="107"/>
        <item x="145"/>
        <item x="201"/>
        <item x="200"/>
        <item x="157"/>
        <item x="140"/>
        <item x="100"/>
        <item x="131"/>
        <item x="41"/>
        <item x="184"/>
        <item x="56"/>
        <item x="35"/>
        <item x="42"/>
        <item x="81"/>
        <item x="150"/>
        <item x="7"/>
        <item x="108"/>
        <item x="82"/>
        <item x="31"/>
        <item x="137"/>
        <item x="83"/>
        <item x="134"/>
        <item x="142"/>
        <item x="8"/>
        <item x="109"/>
        <item x="65"/>
        <item x="110"/>
        <item x="84"/>
        <item x="111"/>
        <item x="97"/>
        <item x="46"/>
        <item x="181"/>
        <item x="85"/>
        <item x="32"/>
        <item x="175"/>
        <item x="149"/>
        <item x="112"/>
        <item x="86"/>
        <item x="87"/>
        <item x="9"/>
        <item x="197"/>
        <item x="191"/>
        <item x="1"/>
        <item x="10"/>
        <item x="48"/>
        <item x="186"/>
        <item x="43"/>
        <item x="70"/>
        <item x="127"/>
        <item x="36"/>
        <item x="53"/>
        <item x="123"/>
        <item x="59"/>
        <item x="173"/>
        <item x="152"/>
        <item x="11"/>
        <item x="52"/>
        <item x="179"/>
        <item x="33"/>
        <item x="66"/>
        <item x="141"/>
        <item x="143"/>
        <item x="158"/>
        <item x="153"/>
        <item x="12"/>
        <item x="50"/>
        <item x="113"/>
        <item x="37"/>
        <item x="198"/>
        <item x="95"/>
        <item x="114"/>
        <item x="2"/>
        <item x="3"/>
        <item x="38"/>
        <item x="13"/>
        <item x="49"/>
        <item x="138"/>
        <item x="161"/>
        <item x="67"/>
        <item x="57"/>
        <item x="176"/>
        <item x="14"/>
        <item x="15"/>
        <item x="103"/>
        <item x="16"/>
        <item x="17"/>
        <item x="18"/>
        <item x="128"/>
        <item x="187"/>
        <item x="19"/>
        <item x="20"/>
        <item x="21"/>
        <item x="22"/>
        <item x="23"/>
        <item x="64"/>
        <item x="180"/>
        <item x="24"/>
        <item x="164"/>
        <item x="172"/>
        <item x="115"/>
        <item x="116"/>
        <item x="129"/>
        <item x="25"/>
        <item x="163"/>
        <item x="117"/>
        <item x="147"/>
        <item x="146"/>
        <item x="188"/>
        <item x="54"/>
        <item x="101"/>
        <item x="118"/>
        <item x="88"/>
        <item x="102"/>
        <item x="182"/>
        <item x="89"/>
        <item x="90"/>
        <item x="168"/>
        <item x="26"/>
        <item x="199"/>
        <item x="155"/>
        <item x="119"/>
        <item x="160"/>
        <item x="91"/>
        <item x="92"/>
        <item x="62"/>
        <item x="55"/>
        <item x="144"/>
        <item x="169"/>
        <item x="68"/>
        <item x="120"/>
        <item x="177"/>
        <item x="166"/>
        <item x="121"/>
        <item x="93"/>
        <item x="125"/>
        <item x="60"/>
        <item x="130"/>
        <item x="189"/>
      </items>
    </pivotField>
    <pivotField dataField="1"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numFmtId="1" outline="0" showAll="0" sortType="descending" defaultSubtotal="0">
      <items count="222">
        <item x="0"/>
        <item x="131"/>
        <item x="1"/>
        <item x="185"/>
        <item x="2"/>
        <item x="3"/>
        <item x="132"/>
        <item x="203"/>
        <item x="4"/>
        <item x="133"/>
        <item x="5"/>
        <item x="190"/>
        <item x="6"/>
        <item x="7"/>
        <item x="8"/>
        <item x="9"/>
        <item x="10"/>
        <item x="134"/>
        <item x="11"/>
        <item x="191"/>
        <item x="12"/>
        <item x="13"/>
        <item x="14"/>
        <item x="15"/>
        <item x="16"/>
        <item x="17"/>
        <item x="18"/>
        <item x="135"/>
        <item x="19"/>
        <item x="20"/>
        <item x="21"/>
        <item x="22"/>
        <item x="23"/>
        <item x="24"/>
        <item x="136"/>
        <item x="25"/>
        <item x="26"/>
        <item x="137"/>
        <item x="186"/>
        <item x="27"/>
        <item x="28"/>
        <item x="29"/>
        <item x="192"/>
        <item x="30"/>
        <item x="31"/>
        <item x="32"/>
        <item x="204"/>
        <item x="138"/>
        <item x="33"/>
        <item x="34"/>
        <item x="139"/>
        <item x="140"/>
        <item x="35"/>
        <item x="187"/>
        <item x="205"/>
        <item x="36"/>
        <item x="37"/>
        <item x="38"/>
        <item x="215"/>
        <item x="39"/>
        <item x="193"/>
        <item x="216"/>
        <item x="206"/>
        <item x="40"/>
        <item x="41"/>
        <item x="217"/>
        <item x="42"/>
        <item x="43"/>
        <item x="141"/>
        <item x="44"/>
        <item x="45"/>
        <item x="142"/>
        <item x="207"/>
        <item x="208"/>
        <item x="46"/>
        <item x="47"/>
        <item x="48"/>
        <item x="143"/>
        <item x="194"/>
        <item x="209"/>
        <item x="49"/>
        <item x="50"/>
        <item x="144"/>
        <item x="145"/>
        <item x="51"/>
        <item x="52"/>
        <item x="53"/>
        <item x="146"/>
        <item x="147"/>
        <item x="148"/>
        <item x="54"/>
        <item x="149"/>
        <item x="55"/>
        <item x="150"/>
        <item x="151"/>
        <item x="56"/>
        <item x="152"/>
        <item x="57"/>
        <item x="58"/>
        <item x="210"/>
        <item x="153"/>
        <item x="154"/>
        <item x="155"/>
        <item x="156"/>
        <item x="157"/>
        <item x="59"/>
        <item x="158"/>
        <item x="60"/>
        <item x="61"/>
        <item x="159"/>
        <item x="62"/>
        <item x="63"/>
        <item x="160"/>
        <item x="64"/>
        <item x="65"/>
        <item x="161"/>
        <item x="66"/>
        <item x="162"/>
        <item x="67"/>
        <item x="163"/>
        <item x="68"/>
        <item x="218"/>
        <item x="69"/>
        <item x="70"/>
        <item x="164"/>
        <item x="71"/>
        <item x="165"/>
        <item x="166"/>
        <item x="167"/>
        <item x="72"/>
        <item x="168"/>
        <item x="219"/>
        <item x="169"/>
        <item x="195"/>
        <item x="73"/>
        <item x="74"/>
        <item x="75"/>
        <item x="76"/>
        <item x="77"/>
        <item x="78"/>
        <item x="79"/>
        <item x="170"/>
        <item x="80"/>
        <item x="81"/>
        <item x="82"/>
        <item x="83"/>
        <item x="84"/>
        <item x="85"/>
        <item x="86"/>
        <item x="87"/>
        <item x="88"/>
        <item x="89"/>
        <item x="211"/>
        <item x="90"/>
        <item x="91"/>
        <item x="92"/>
        <item x="93"/>
        <item x="94"/>
        <item x="171"/>
        <item x="95"/>
        <item x="96"/>
        <item x="97"/>
        <item x="98"/>
        <item x="99"/>
        <item x="172"/>
        <item x="173"/>
        <item x="220"/>
        <item x="174"/>
        <item x="100"/>
        <item x="212"/>
        <item x="101"/>
        <item x="175"/>
        <item x="102"/>
        <item x="176"/>
        <item x="103"/>
        <item x="196"/>
        <item x="213"/>
        <item x="221"/>
        <item x="104"/>
        <item x="197"/>
        <item x="214"/>
        <item x="105"/>
        <item x="106"/>
        <item x="177"/>
        <item x="178"/>
        <item x="107"/>
        <item x="179"/>
        <item x="198"/>
        <item x="180"/>
        <item x="108"/>
        <item x="181"/>
        <item x="109"/>
        <item x="188"/>
        <item x="110"/>
        <item x="199"/>
        <item x="182"/>
        <item x="111"/>
        <item x="112"/>
        <item x="183"/>
        <item x="113"/>
        <item x="114"/>
        <item x="115"/>
        <item x="116"/>
        <item x="117"/>
        <item x="118"/>
        <item x="119"/>
        <item x="200"/>
        <item x="120"/>
        <item x="121"/>
        <item x="201"/>
        <item x="184"/>
        <item x="122"/>
        <item x="123"/>
        <item x="124"/>
        <item x="202"/>
        <item x="125"/>
        <item x="126"/>
        <item x="127"/>
        <item x="189"/>
        <item x="128"/>
        <item x="129"/>
        <item x="13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</pivotFields>
  <rowFields count="3">
    <field x="20"/>
    <field x="6"/>
    <field x="8"/>
  </rowFields>
  <rowItems count="172">
    <i>
      <x v="136"/>
      <x v="31"/>
      <x v="25"/>
    </i>
    <i>
      <x v="160"/>
      <x v="31"/>
      <x v="188"/>
    </i>
    <i>
      <x v="196"/>
      <x v="40"/>
      <x v="27"/>
    </i>
    <i>
      <x v="202"/>
      <x v="40"/>
      <x v="89"/>
    </i>
    <i>
      <x v="142"/>
      <x v="31"/>
      <x v="48"/>
    </i>
    <i>
      <x v="15"/>
      <x v="2"/>
      <x v="104"/>
    </i>
    <i>
      <x v="153"/>
      <x v="31"/>
      <x v="109"/>
    </i>
    <i>
      <x v="149"/>
      <x v="31"/>
      <x v="97"/>
    </i>
    <i>
      <x v="2"/>
      <x v="1"/>
      <x v="107"/>
    </i>
    <i>
      <x v="138"/>
      <x v="31"/>
      <x v="32"/>
    </i>
    <i>
      <x v="161"/>
      <x v="31"/>
      <x v="198"/>
    </i>
    <i>
      <x v="25"/>
      <x v="2"/>
      <x v="150"/>
    </i>
    <i>
      <x v="110"/>
      <x v="24"/>
      <x v="27"/>
    </i>
    <i>
      <x v="137"/>
      <x v="31"/>
      <x v="28"/>
    </i>
    <i>
      <x v="208"/>
      <x v="40"/>
      <x v="135"/>
    </i>
    <i>
      <x v="76"/>
      <x v="10"/>
      <x v="34"/>
    </i>
    <i>
      <x v="135"/>
      <x v="31"/>
      <x v="10"/>
    </i>
    <i>
      <x v="213"/>
      <x v="40"/>
      <x v="169"/>
    </i>
    <i>
      <x v="20"/>
      <x v="2"/>
      <x v="129"/>
    </i>
    <i>
      <x v="145"/>
      <x v="31"/>
      <x v="82"/>
    </i>
    <i>
      <x v="26"/>
      <x v="2"/>
      <x v="151"/>
    </i>
    <i>
      <x v="70"/>
      <x v="9"/>
      <x/>
    </i>
    <i>
      <x v="197"/>
      <x v="40"/>
      <x v="36"/>
    </i>
    <i>
      <x v="144"/>
      <x v="31"/>
      <x v="78"/>
    </i>
    <i>
      <x v="41"/>
      <x v="3"/>
      <x v="47"/>
    </i>
    <i>
      <x v="23"/>
      <x v="2"/>
      <x v="147"/>
    </i>
    <i>
      <x v="8"/>
      <x v="2"/>
      <x v="2"/>
    </i>
    <i>
      <x v="31"/>
      <x v="2"/>
      <x v="157"/>
    </i>
    <i>
      <x v="154"/>
      <x v="31"/>
      <x v="140"/>
    </i>
    <i>
      <x v="182"/>
      <x v="36"/>
      <x v="177"/>
    </i>
    <i>
      <x v="155"/>
      <x v="31"/>
      <x v="176"/>
    </i>
    <i>
      <x v="22"/>
      <x v="2"/>
      <x v="146"/>
    </i>
    <i>
      <x v="150"/>
      <x v="31"/>
      <x v="102"/>
    </i>
    <i>
      <x v="116"/>
      <x v="27"/>
      <x v="90"/>
    </i>
    <i>
      <x v="185"/>
      <x v="37"/>
      <x v="148"/>
    </i>
    <i>
      <x v="151"/>
      <x v="31"/>
      <x v="103"/>
    </i>
    <i>
      <x v="212"/>
      <x v="40"/>
      <x v="165"/>
    </i>
    <i>
      <x v="4"/>
      <x v="1"/>
      <x v="136"/>
    </i>
    <i>
      <x v="97"/>
      <x v="20"/>
      <x v="75"/>
    </i>
    <i>
      <x v="67"/>
      <x v="8"/>
      <x v="77"/>
    </i>
    <i>
      <x v="217"/>
      <x v="40"/>
      <x v="194"/>
    </i>
    <i>
      <x v="215"/>
      <x v="40"/>
      <x v="175"/>
    </i>
    <i>
      <x v="118"/>
      <x v="27"/>
      <x v="124"/>
    </i>
    <i>
      <x v="178"/>
      <x v="36"/>
      <x v="71"/>
    </i>
    <i>
      <x v="204"/>
      <x v="40"/>
      <x v="93"/>
    </i>
    <i>
      <x v="143"/>
      <x v="31"/>
      <x v="50"/>
    </i>
    <i>
      <x v="174"/>
      <x v="36"/>
      <x v="41"/>
    </i>
    <i>
      <x v="159"/>
      <x v="31"/>
      <x v="187"/>
    </i>
    <i>
      <x v="163"/>
      <x v="32"/>
      <x v="134"/>
    </i>
    <i>
      <x v="147"/>
      <x v="31"/>
      <x v="85"/>
    </i>
    <i>
      <x v="24"/>
      <x v="2"/>
      <x v="149"/>
    </i>
    <i>
      <x v="203"/>
      <x v="40"/>
      <x v="91"/>
    </i>
    <i>
      <x v="10"/>
      <x v="2"/>
      <x v="33"/>
    </i>
    <i>
      <x v="74"/>
      <x v="9"/>
      <x v="20"/>
    </i>
    <i>
      <x v="75"/>
      <x v="9"/>
      <x v="95"/>
    </i>
    <i>
      <x v="211"/>
      <x v="40"/>
      <x v="164"/>
    </i>
    <i>
      <x v="52"/>
      <x v="6"/>
      <x v="76"/>
    </i>
    <i>
      <x v="66"/>
      <x v="8"/>
      <x v="73"/>
    </i>
    <i>
      <x v="193"/>
      <x v="40"/>
      <x v="10"/>
    </i>
    <i>
      <x v="181"/>
      <x v="36"/>
      <x v="174"/>
    </i>
    <i>
      <x v="113"/>
      <x v="26"/>
      <x v="11"/>
    </i>
    <i>
      <x v="172"/>
      <x v="36"/>
      <x v="12"/>
    </i>
    <i>
      <x v="39"/>
      <x v="3"/>
      <x v="6"/>
    </i>
    <i>
      <x v="49"/>
      <x v="5"/>
      <x v="49"/>
    </i>
    <i>
      <x v="139"/>
      <x v="31"/>
      <x v="35"/>
    </i>
    <i>
      <x v="92"/>
      <x v="18"/>
      <x v="173"/>
    </i>
    <i>
      <x v="148"/>
      <x v="31"/>
      <x v="92"/>
    </i>
    <i>
      <x v="168"/>
      <x v="35"/>
      <x v="43"/>
    </i>
    <i>
      <x v="40"/>
      <x v="3"/>
      <x v="16"/>
    </i>
    <i>
      <x v="156"/>
      <x v="31"/>
      <x v="179"/>
    </i>
    <i>
      <x v="29"/>
      <x v="2"/>
      <x v="155"/>
    </i>
    <i>
      <x v="162"/>
      <x v="32"/>
      <x v="3"/>
    </i>
    <i>
      <x v="35"/>
      <x v="2"/>
      <x v="167"/>
    </i>
    <i>
      <x v="129"/>
      <x v="29"/>
      <x v="61"/>
    </i>
    <i>
      <x v="107"/>
      <x v="22"/>
      <x v="117"/>
    </i>
    <i>
      <x v="30"/>
      <x v="2"/>
      <x v="156"/>
    </i>
    <i>
      <x v="55"/>
      <x v="6"/>
      <x v="114"/>
    </i>
    <i>
      <x/>
      <x/>
      <x v="5"/>
    </i>
    <i>
      <x v="90"/>
      <x v="18"/>
      <x v="115"/>
    </i>
    <i>
      <x v="111"/>
      <x v="24"/>
      <x v="189"/>
    </i>
    <i>
      <x v="44"/>
      <x v="3"/>
      <x v="83"/>
    </i>
    <i>
      <x v="43"/>
      <x v="3"/>
      <x v="55"/>
    </i>
    <i>
      <x v="36"/>
      <x v="2"/>
      <x v="182"/>
    </i>
    <i>
      <x v="140"/>
      <x v="31"/>
      <x v="37"/>
    </i>
    <i>
      <x v="114"/>
      <x v="26"/>
      <x v="159"/>
    </i>
    <i>
      <x v="183"/>
      <x v="36"/>
      <x v="196"/>
    </i>
    <i>
      <x v="32"/>
      <x v="2"/>
      <x v="158"/>
    </i>
    <i>
      <x v="64"/>
      <x v="7"/>
      <x v="63"/>
    </i>
    <i>
      <x v="146"/>
      <x v="31"/>
      <x v="83"/>
    </i>
    <i>
      <x v="45"/>
      <x v="3"/>
      <x v="98"/>
    </i>
    <i>
      <x v="219"/>
      <x v="40"/>
      <x v="197"/>
    </i>
    <i>
      <x v="207"/>
      <x v="40"/>
      <x v="131"/>
    </i>
    <i>
      <x v="85"/>
      <x v="16"/>
      <x v="38"/>
    </i>
    <i>
      <x v="13"/>
      <x v="2"/>
      <x v="80"/>
    </i>
    <i>
      <x v="69"/>
      <x v="8"/>
      <x v="111"/>
    </i>
    <i>
      <x v="125"/>
      <x v="28"/>
      <x v="112"/>
    </i>
    <i>
      <x v="133"/>
      <x v="30"/>
      <x v="178"/>
    </i>
    <i>
      <x v="120"/>
      <x v="27"/>
      <x v="143"/>
    </i>
    <i>
      <x v="84"/>
      <x v="15"/>
      <x v="130"/>
    </i>
    <i>
      <x v="141"/>
      <x v="31"/>
      <x v="39"/>
    </i>
    <i>
      <x v="221"/>
      <x v="41"/>
      <x v="116"/>
    </i>
    <i>
      <x v="56"/>
      <x v="6"/>
      <x v="129"/>
    </i>
    <i>
      <x v="127"/>
      <x v="28"/>
      <x v="184"/>
    </i>
    <i>
      <x v="105"/>
      <x v="22"/>
      <x v="64"/>
    </i>
    <i>
      <x v="96"/>
      <x v="19"/>
      <x v="191"/>
    </i>
    <i>
      <x v="28"/>
      <x v="2"/>
      <x v="154"/>
    </i>
    <i>
      <x v="128"/>
      <x v="29"/>
      <x v="40"/>
    </i>
    <i>
      <x v="220"/>
      <x v="41"/>
      <x v="42"/>
    </i>
    <i>
      <x v="186"/>
      <x v="37"/>
      <x v="181"/>
    </i>
    <i>
      <x v="21"/>
      <x v="2"/>
      <x v="139"/>
    </i>
    <i>
      <x v="59"/>
      <x v="6"/>
      <x v="138"/>
    </i>
    <i>
      <x v="201"/>
      <x v="40"/>
      <x v="83"/>
    </i>
    <i>
      <x v="101"/>
      <x v="21"/>
      <x v="82"/>
    </i>
    <i>
      <x v="16"/>
      <x v="2"/>
      <x v="108"/>
    </i>
    <i>
      <x v="132"/>
      <x v="30"/>
      <x v="127"/>
    </i>
    <i>
      <x v="38"/>
      <x v="3"/>
      <x v="1"/>
    </i>
    <i>
      <x v="12"/>
      <x v="2"/>
      <x v="62"/>
    </i>
    <i>
      <x v="5"/>
      <x v="1"/>
      <x v="137"/>
    </i>
    <i>
      <x v="98"/>
      <x v="20"/>
      <x v="144"/>
    </i>
    <i>
      <x v="6"/>
      <x v="1"/>
      <x v="199"/>
    </i>
    <i>
      <x v="206"/>
      <x v="40"/>
      <x v="110"/>
    </i>
    <i>
      <x v="216"/>
      <x v="40"/>
      <x v="185"/>
    </i>
    <i>
      <x v="63"/>
      <x v="7"/>
      <x v="45"/>
    </i>
    <i>
      <x v="210"/>
      <x v="40"/>
      <x v="163"/>
    </i>
    <i>
      <x v="34"/>
      <x v="2"/>
      <x v="166"/>
    </i>
    <i>
      <x v="94"/>
      <x v="19"/>
      <x v="126"/>
    </i>
    <i>
      <x v="27"/>
      <x v="2"/>
      <x v="152"/>
    </i>
    <i>
      <x v="117"/>
      <x v="27"/>
      <x v="119"/>
    </i>
    <i>
      <x v="81"/>
      <x v="12"/>
      <x v="140"/>
    </i>
    <i>
      <x v="173"/>
      <x v="36"/>
      <x v="31"/>
    </i>
    <i>
      <x v="157"/>
      <x v="31"/>
      <x v="180"/>
    </i>
    <i>
      <x v="194"/>
      <x v="40"/>
      <x v="22"/>
    </i>
    <i>
      <x v="86"/>
      <x v="17"/>
      <x v="121"/>
    </i>
    <i>
      <x v="175"/>
      <x v="36"/>
      <x v="46"/>
    </i>
    <i>
      <x v="50"/>
      <x v="6"/>
      <x v="17"/>
    </i>
    <i>
      <x v="205"/>
      <x v="40"/>
      <x v="101"/>
    </i>
    <i>
      <x v="68"/>
      <x v="8"/>
      <x v="86"/>
    </i>
    <i>
      <x v="57"/>
      <x v="6"/>
      <x v="132"/>
    </i>
    <i>
      <x v="171"/>
      <x v="35"/>
      <x v="162"/>
    </i>
    <i>
      <x v="80"/>
      <x v="11"/>
      <x v="109"/>
    </i>
    <i>
      <x v="102"/>
      <x v="21"/>
      <x v="171"/>
    </i>
    <i>
      <x v="33"/>
      <x v="2"/>
      <x v="161"/>
    </i>
    <i>
      <x v="19"/>
      <x v="2"/>
      <x v="122"/>
    </i>
    <i>
      <x v="14"/>
      <x v="2"/>
      <x v="88"/>
    </i>
    <i>
      <x v="190"/>
      <x v="39"/>
      <x v="7"/>
    </i>
    <i>
      <x v="104"/>
      <x v="22"/>
      <x v="59"/>
    </i>
    <i>
      <x v="106"/>
      <x v="22"/>
      <x v="100"/>
    </i>
    <i>
      <x v="60"/>
      <x v="6"/>
      <x v="160"/>
    </i>
    <i>
      <x v="123"/>
      <x v="28"/>
      <x v="18"/>
    </i>
    <i>
      <x v="83"/>
      <x v="14"/>
      <x v="83"/>
    </i>
    <i>
      <x v="95"/>
      <x v="19"/>
      <x v="190"/>
    </i>
    <i>
      <x v="53"/>
      <x v="6"/>
      <x v="99"/>
    </i>
    <i>
      <x v="103"/>
      <x v="21"/>
      <x v="170"/>
    </i>
    <i>
      <x v="209"/>
      <x v="40"/>
      <x v="153"/>
    </i>
    <i>
      <x v="115"/>
      <x v="27"/>
      <x v="56"/>
    </i>
    <i>
      <x v="187"/>
      <x v="37"/>
      <x v="188"/>
    </i>
    <i>
      <x v="130"/>
      <x v="29"/>
      <x v="69"/>
    </i>
    <i>
      <x v="214"/>
      <x v="40"/>
      <x v="172"/>
    </i>
    <i>
      <x v="77"/>
      <x v="10"/>
      <x v="51"/>
    </i>
    <i>
      <x v="108"/>
      <x v="22"/>
      <x v="200"/>
    </i>
    <i>
      <x v="88"/>
      <x v="17"/>
      <x v="9"/>
    </i>
    <i>
      <x v="93"/>
      <x v="19"/>
      <x v="87"/>
    </i>
    <i>
      <x v="42"/>
      <x v="3"/>
      <x v="50"/>
    </i>
    <i>
      <x v="78"/>
      <x v="10"/>
      <x v="96"/>
    </i>
    <i>
      <x v="51"/>
      <x v="6"/>
      <x v="53"/>
    </i>
    <i>
      <x v="100"/>
      <x v="21"/>
      <x v="66"/>
    </i>
    <i>
      <x v="3"/>
      <x v="1"/>
      <x v="118"/>
    </i>
    <i>
      <x v="195"/>
      <x v="40"/>
      <x v="26"/>
    </i>
    <i>
      <x v="179"/>
      <x v="36"/>
      <x v="74"/>
    </i>
    <i>
      <x v="1"/>
      <x v="1"/>
      <x v="30"/>
    </i>
    <i>
      <x v="200"/>
      <x v="40"/>
      <x v="81"/>
    </i>
    <i>
      <x v="11"/>
      <x v="2"/>
      <x v="54"/>
    </i>
  </rowItems>
  <colItems count="1">
    <i/>
  </colItems>
  <pageFields count="1">
    <pageField fld="0" hier="-1"/>
  </pageFields>
  <dataFields count="1">
    <dataField name="Sum of n1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B3B45C-7C7F-405E-B56F-C1865D4A42E8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D59" firstHeaderRow="1" firstDataRow="1" firstDataCol="3" rowPageCount="3" colPageCount="1"/>
  <pivotFields count="18">
    <pivotField axis="axisPage" compact="0" numFmtId="1" outline="0" multipleItemSelectionAllowed="1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compact="0" numFmtId="1" outline="0" showAll="0" defaultSubtotal="0">
      <items count="1">
        <item x="0"/>
      </items>
    </pivotField>
    <pivotField compact="0" numFmtId="1" outline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outline="0" showAll="0" defaultSubtotal="0">
      <items count="50">
        <item x="0"/>
        <item x="1"/>
        <item x="2"/>
        <item x="44"/>
        <item x="3"/>
        <item x="4"/>
        <item x="5"/>
        <item x="29"/>
        <item x="6"/>
        <item x="7"/>
        <item x="8"/>
        <item x="9"/>
        <item x="10"/>
        <item x="30"/>
        <item x="47"/>
        <item x="11"/>
        <item x="31"/>
        <item x="12"/>
        <item x="13"/>
        <item x="14"/>
        <item x="15"/>
        <item x="16"/>
        <item x="17"/>
        <item x="32"/>
        <item x="41"/>
        <item x="33"/>
        <item x="34"/>
        <item x="18"/>
        <item x="19"/>
        <item x="35"/>
        <item x="20"/>
        <item x="21"/>
        <item x="22"/>
        <item x="45"/>
        <item x="23"/>
        <item x="42"/>
        <item x="24"/>
        <item x="25"/>
        <item x="36"/>
        <item x="37"/>
        <item x="49"/>
        <item x="38"/>
        <item x="26"/>
        <item x="27"/>
        <item x="46"/>
        <item x="39"/>
        <item x="28"/>
        <item x="48"/>
        <item x="40"/>
        <item x="43"/>
      </items>
    </pivotField>
    <pivotField axis="axisRow" compact="0" outline="0" showAll="0" defaultSubtotal="0">
      <items count="191">
        <item x="2"/>
        <item x="146"/>
        <item x="188"/>
        <item x="35"/>
        <item x="57"/>
        <item x="157"/>
        <item x="115"/>
        <item x="19"/>
        <item x="61"/>
        <item x="174"/>
        <item x="128"/>
        <item x="101"/>
        <item x="184"/>
        <item x="165"/>
        <item x="114"/>
        <item x="123"/>
        <item x="14"/>
        <item x="66"/>
        <item x="107"/>
        <item x="150"/>
        <item x="149"/>
        <item x="134"/>
        <item x="170"/>
        <item x="180"/>
        <item x="136"/>
        <item x="175"/>
        <item x="182"/>
        <item x="186"/>
        <item x="27"/>
        <item x="22"/>
        <item x="129"/>
        <item x="108"/>
        <item x="100"/>
        <item x="86"/>
        <item x="76"/>
        <item x="153"/>
        <item x="3"/>
        <item x="89"/>
        <item x="95"/>
        <item x="77"/>
        <item x="82"/>
        <item x="75"/>
        <item x="139"/>
        <item x="73"/>
        <item x="28"/>
        <item x="55"/>
        <item x="112"/>
        <item x="29"/>
        <item x="109"/>
        <item x="69"/>
        <item x="67"/>
        <item x="118"/>
        <item x="102"/>
        <item x="37"/>
        <item x="127"/>
        <item x="126"/>
        <item x="59"/>
        <item x="26"/>
        <item x="62"/>
        <item x="4"/>
        <item x="176"/>
        <item x="179"/>
        <item x="70"/>
        <item x="121"/>
        <item x="72"/>
        <item x="189"/>
        <item x="154"/>
        <item x="85"/>
        <item x="122"/>
        <item x="167"/>
        <item x="21"/>
        <item x="187"/>
        <item x="97"/>
        <item x="87"/>
        <item x="16"/>
        <item x="151"/>
        <item x="135"/>
        <item x="5"/>
        <item x="181"/>
        <item x="30"/>
        <item x="60"/>
        <item x="131"/>
        <item x="177"/>
        <item x="17"/>
        <item x="103"/>
        <item x="41"/>
        <item x="23"/>
        <item x="42"/>
        <item x="166"/>
        <item x="31"/>
        <item x="106"/>
        <item x="172"/>
        <item x="117"/>
        <item x="6"/>
        <item x="138"/>
        <item x="110"/>
        <item x="130"/>
        <item x="1"/>
        <item x="104"/>
        <item x="32"/>
        <item x="161"/>
        <item x="71"/>
        <item x="64"/>
        <item x="93"/>
        <item x="99"/>
        <item x="46"/>
        <item x="169"/>
        <item x="94"/>
        <item x="63"/>
        <item x="33"/>
        <item x="133"/>
        <item x="105"/>
        <item x="147"/>
        <item x="13"/>
        <item x="24"/>
        <item x="79"/>
        <item x="98"/>
        <item x="178"/>
        <item x="15"/>
        <item x="96"/>
        <item x="7"/>
        <item x="18"/>
        <item x="0"/>
        <item x="143"/>
        <item x="88"/>
        <item x="36"/>
        <item x="43"/>
        <item x="47"/>
        <item x="8"/>
        <item x="163"/>
        <item x="119"/>
        <item x="162"/>
        <item x="74"/>
        <item x="25"/>
        <item x="91"/>
        <item x="148"/>
        <item x="155"/>
        <item x="83"/>
        <item x="152"/>
        <item x="9"/>
        <item x="39"/>
        <item x="159"/>
        <item x="10"/>
        <item x="11"/>
        <item x="116"/>
        <item x="48"/>
        <item x="84"/>
        <item x="65"/>
        <item x="49"/>
        <item x="50"/>
        <item x="142"/>
        <item x="56"/>
        <item x="120"/>
        <item x="160"/>
        <item x="168"/>
        <item x="44"/>
        <item x="51"/>
        <item x="52"/>
        <item x="45"/>
        <item x="144"/>
        <item x="90"/>
        <item x="58"/>
        <item x="145"/>
        <item x="92"/>
        <item x="171"/>
        <item x="20"/>
        <item x="78"/>
        <item x="81"/>
        <item x="124"/>
        <item x="54"/>
        <item x="68"/>
        <item x="38"/>
        <item x="183"/>
        <item x="40"/>
        <item x="53"/>
        <item x="80"/>
        <item x="173"/>
        <item x="113"/>
        <item x="132"/>
        <item x="34"/>
        <item x="111"/>
        <item x="125"/>
        <item x="185"/>
        <item x="140"/>
        <item x="137"/>
        <item x="190"/>
        <item x="156"/>
        <item x="164"/>
        <item x="158"/>
        <item x="12"/>
        <item x="141"/>
      </items>
    </pivotField>
    <pivotField axis="axisRow" compact="0" numFmtId="1" outline="0" showAll="0" sortType="descending" defaultSubtotal="0">
      <items count="251">
        <item x="0"/>
        <item x="67"/>
        <item x="1"/>
        <item x="207"/>
        <item x="2"/>
        <item x="134"/>
        <item x="3"/>
        <item x="224"/>
        <item x="68"/>
        <item x="208"/>
        <item x="186"/>
        <item x="135"/>
        <item x="4"/>
        <item x="5"/>
        <item x="225"/>
        <item x="6"/>
        <item x="136"/>
        <item x="7"/>
        <item x="8"/>
        <item x="137"/>
        <item x="9"/>
        <item x="138"/>
        <item x="139"/>
        <item x="10"/>
        <item x="11"/>
        <item x="113"/>
        <item x="12"/>
        <item x="209"/>
        <item x="13"/>
        <item x="14"/>
        <item x="156"/>
        <item x="69"/>
        <item x="114"/>
        <item x="70"/>
        <item x="71"/>
        <item x="187"/>
        <item x="210"/>
        <item x="72"/>
        <item x="73"/>
        <item x="226"/>
        <item x="74"/>
        <item x="15"/>
        <item x="16"/>
        <item x="140"/>
        <item x="115"/>
        <item x="157"/>
        <item x="17"/>
        <item x="75"/>
        <item x="76"/>
        <item x="18"/>
        <item x="19"/>
        <item x="141"/>
        <item x="116"/>
        <item x="158"/>
        <item x="117"/>
        <item x="227"/>
        <item x="228"/>
        <item x="211"/>
        <item x="20"/>
        <item x="159"/>
        <item x="188"/>
        <item x="118"/>
        <item x="160"/>
        <item x="77"/>
        <item x="161"/>
        <item x="229"/>
        <item x="21"/>
        <item x="230"/>
        <item x="231"/>
        <item x="173"/>
        <item x="142"/>
        <item x="232"/>
        <item x="162"/>
        <item x="22"/>
        <item x="163"/>
        <item x="23"/>
        <item x="24"/>
        <item x="164"/>
        <item x="78"/>
        <item x="119"/>
        <item x="143"/>
        <item x="25"/>
        <item x="174"/>
        <item x="79"/>
        <item x="189"/>
        <item x="80"/>
        <item x="165"/>
        <item x="166"/>
        <item x="26"/>
        <item x="175"/>
        <item x="81"/>
        <item x="82"/>
        <item x="83"/>
        <item x="176"/>
        <item x="144"/>
        <item x="27"/>
        <item x="28"/>
        <item x="212"/>
        <item x="84"/>
        <item x="85"/>
        <item x="86"/>
        <item x="213"/>
        <item x="29"/>
        <item x="30"/>
        <item x="233"/>
        <item x="214"/>
        <item x="215"/>
        <item x="31"/>
        <item x="32"/>
        <item x="234"/>
        <item x="145"/>
        <item x="177"/>
        <item x="235"/>
        <item x="120"/>
        <item x="167"/>
        <item x="87"/>
        <item x="33"/>
        <item x="121"/>
        <item x="236"/>
        <item x="88"/>
        <item x="190"/>
        <item x="168"/>
        <item x="191"/>
        <item x="122"/>
        <item x="192"/>
        <item x="89"/>
        <item x="237"/>
        <item x="193"/>
        <item x="90"/>
        <item x="34"/>
        <item x="35"/>
        <item x="146"/>
        <item x="36"/>
        <item x="178"/>
        <item x="238"/>
        <item x="169"/>
        <item x="179"/>
        <item x="239"/>
        <item x="91"/>
        <item x="123"/>
        <item x="37"/>
        <item x="147"/>
        <item x="92"/>
        <item x="38"/>
        <item x="194"/>
        <item x="93"/>
        <item x="240"/>
        <item x="94"/>
        <item x="170"/>
        <item x="39"/>
        <item x="124"/>
        <item x="195"/>
        <item x="40"/>
        <item x="180"/>
        <item x="41"/>
        <item x="196"/>
        <item x="42"/>
        <item x="95"/>
        <item x="43"/>
        <item x="197"/>
        <item x="96"/>
        <item x="97"/>
        <item x="98"/>
        <item x="198"/>
        <item x="148"/>
        <item x="149"/>
        <item x="125"/>
        <item x="126"/>
        <item x="216"/>
        <item x="44"/>
        <item x="99"/>
        <item x="171"/>
        <item x="127"/>
        <item x="241"/>
        <item x="45"/>
        <item x="46"/>
        <item x="47"/>
        <item x="48"/>
        <item x="49"/>
        <item x="50"/>
        <item x="51"/>
        <item x="52"/>
        <item x="53"/>
        <item x="217"/>
        <item x="150"/>
        <item x="54"/>
        <item x="218"/>
        <item x="199"/>
        <item x="181"/>
        <item x="100"/>
        <item x="242"/>
        <item x="55"/>
        <item x="101"/>
        <item x="102"/>
        <item x="243"/>
        <item x="200"/>
        <item x="244"/>
        <item x="103"/>
        <item x="104"/>
        <item x="219"/>
        <item x="201"/>
        <item x="182"/>
        <item x="128"/>
        <item x="172"/>
        <item x="151"/>
        <item x="105"/>
        <item x="202"/>
        <item x="106"/>
        <item x="56"/>
        <item x="203"/>
        <item x="220"/>
        <item x="129"/>
        <item x="183"/>
        <item x="130"/>
        <item x="131"/>
        <item x="107"/>
        <item x="57"/>
        <item x="221"/>
        <item x="152"/>
        <item x="184"/>
        <item x="58"/>
        <item x="59"/>
        <item x="204"/>
        <item x="245"/>
        <item x="153"/>
        <item x="246"/>
        <item x="108"/>
        <item x="154"/>
        <item x="247"/>
        <item x="248"/>
        <item x="249"/>
        <item x="109"/>
        <item x="205"/>
        <item x="110"/>
        <item x="60"/>
        <item x="61"/>
        <item x="62"/>
        <item x="63"/>
        <item x="64"/>
        <item x="222"/>
        <item x="65"/>
        <item x="66"/>
        <item x="111"/>
        <item x="185"/>
        <item x="206"/>
        <item x="223"/>
        <item x="155"/>
        <item x="112"/>
        <item x="132"/>
        <item x="250"/>
        <item x="13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axis="axisPage" dataField="1" compact="0" outline="0" multipleItemSelectionAllowed="1" showAll="0" defaultSubtotal="0">
      <items count="330">
        <item x="325"/>
        <item x="280"/>
        <item x="48"/>
        <item x="64"/>
        <item x="160"/>
        <item x="310"/>
        <item x="311"/>
        <item x="284"/>
        <item x="171"/>
        <item x="62"/>
        <item x="301"/>
        <item x="197"/>
        <item x="207"/>
        <item x="19"/>
        <item x="60"/>
        <item x="294"/>
        <item x="106"/>
        <item x="75"/>
        <item x="180"/>
        <item x="153"/>
        <item x="68"/>
        <item x="4"/>
        <item x="244"/>
        <item x="70"/>
        <item x="309"/>
        <item x="25"/>
        <item x="143"/>
        <item x="152"/>
        <item x="91"/>
        <item x="56"/>
        <item x="126"/>
        <item x="15"/>
        <item x="80"/>
        <item x="292"/>
        <item x="281"/>
        <item x="251"/>
        <item x="130"/>
        <item x="73"/>
        <item x="163"/>
        <item x="314"/>
        <item x="22"/>
        <item x="63"/>
        <item x="98"/>
        <item x="71"/>
        <item x="38"/>
        <item x="283"/>
        <item x="27"/>
        <item x="28"/>
        <item x="69"/>
        <item x="13"/>
        <item x="323"/>
        <item x="20"/>
        <item x="16"/>
        <item x="105"/>
        <item x="50"/>
        <item x="30"/>
        <item x="267"/>
        <item x="189"/>
        <item x="14"/>
        <item x="230"/>
        <item x="149"/>
        <item x="212"/>
        <item x="124"/>
        <item x="35"/>
        <item x="79"/>
        <item x="315"/>
        <item x="41"/>
        <item x="8"/>
        <item x="190"/>
        <item x="112"/>
        <item x="87"/>
        <item x="260"/>
        <item x="184"/>
        <item x="125"/>
        <item x="172"/>
        <item x="203"/>
        <item x="31"/>
        <item x="188"/>
        <item x="111"/>
        <item x="193"/>
        <item x="76"/>
        <item x="307"/>
        <item x="18"/>
        <item x="89"/>
        <item x="103"/>
        <item x="164"/>
        <item x="78"/>
        <item x="42"/>
        <item x="175"/>
        <item x="107"/>
        <item x="23"/>
        <item x="118"/>
        <item x="99"/>
        <item x="179"/>
        <item x="249"/>
        <item x="151"/>
        <item x="49"/>
        <item x="298"/>
        <item x="317"/>
        <item x="240"/>
        <item x="135"/>
        <item x="12"/>
        <item x="110"/>
        <item x="7"/>
        <item x="119"/>
        <item x="53"/>
        <item x="96"/>
        <item x="58"/>
        <item x="148"/>
        <item x="215"/>
        <item x="209"/>
        <item x="222"/>
        <item x="187"/>
        <item x="170"/>
        <item x="72"/>
        <item x="0"/>
        <item x="26"/>
        <item x="246"/>
        <item x="177"/>
        <item x="256"/>
        <item x="59"/>
        <item x="3"/>
        <item x="54"/>
        <item x="138"/>
        <item x="66"/>
        <item x="218"/>
        <item x="199"/>
        <item x="21"/>
        <item x="186"/>
        <item x="146"/>
        <item x="57"/>
        <item x="158"/>
        <item x="74"/>
        <item x="303"/>
        <item x="191"/>
        <item x="123"/>
        <item x="275"/>
        <item x="204"/>
        <item x="166"/>
        <item x="247"/>
        <item x="185"/>
        <item x="262"/>
        <item x="88"/>
        <item x="36"/>
        <item x="216"/>
        <item x="145"/>
        <item x="278"/>
        <item x="208"/>
        <item x="282"/>
        <item x="183"/>
        <item x="268"/>
        <item x="293"/>
        <item x="313"/>
        <item x="219"/>
        <item x="29"/>
        <item x="47"/>
        <item x="136"/>
        <item x="133"/>
        <item x="306"/>
        <item x="101"/>
        <item x="17"/>
        <item x="181"/>
        <item x="316"/>
        <item x="261"/>
        <item x="250"/>
        <item x="137"/>
        <item x="194"/>
        <item x="132"/>
        <item x="243"/>
        <item x="94"/>
        <item x="157"/>
        <item x="102"/>
        <item x="178"/>
        <item x="182"/>
        <item x="67"/>
        <item x="147"/>
        <item x="234"/>
        <item x="198"/>
        <item x="51"/>
        <item x="223"/>
        <item x="237"/>
        <item x="300"/>
        <item x="324"/>
        <item x="277"/>
        <item x="214"/>
        <item x="329"/>
        <item x="238"/>
        <item x="228"/>
        <item x="43"/>
        <item x="5"/>
        <item x="229"/>
        <item x="279"/>
        <item x="273"/>
        <item x="109"/>
        <item x="205"/>
        <item x="220"/>
        <item x="140"/>
        <item x="77"/>
        <item x="52"/>
        <item x="97"/>
        <item x="100"/>
        <item x="241"/>
        <item x="120"/>
        <item x="55"/>
        <item x="233"/>
        <item x="312"/>
        <item x="113"/>
        <item x="165"/>
        <item x="114"/>
        <item x="210"/>
        <item x="302"/>
        <item x="6"/>
        <item x="65"/>
        <item x="202"/>
        <item x="245"/>
        <item x="61"/>
        <item x="139"/>
        <item x="10"/>
        <item x="142"/>
        <item x="131"/>
        <item x="174"/>
        <item x="271"/>
        <item x="90"/>
        <item x="150"/>
        <item x="144"/>
        <item x="305"/>
        <item x="242"/>
        <item x="269"/>
        <item x="92"/>
        <item x="224"/>
        <item x="176"/>
        <item x="248"/>
        <item x="225"/>
        <item x="34"/>
        <item x="308"/>
        <item x="154"/>
        <item x="217"/>
        <item x="319"/>
        <item x="173"/>
        <item x="141"/>
        <item x="44"/>
        <item x="95"/>
        <item x="84"/>
        <item x="211"/>
        <item x="206"/>
        <item x="266"/>
        <item x="213"/>
        <item x="276"/>
        <item x="320"/>
        <item x="326"/>
        <item x="11"/>
        <item x="235"/>
        <item x="200"/>
        <item x="24"/>
        <item x="231"/>
        <item x="127"/>
        <item x="285"/>
        <item x="291"/>
        <item x="265"/>
        <item x="129"/>
        <item x="134"/>
        <item x="108"/>
        <item x="299"/>
        <item x="104"/>
        <item x="257"/>
        <item x="83"/>
        <item x="295"/>
        <item x="252"/>
        <item x="304"/>
        <item x="9"/>
        <item x="37"/>
        <item x="239"/>
        <item x="159"/>
        <item x="288"/>
        <item x="255"/>
        <item x="167"/>
        <item x="115"/>
        <item x="274"/>
        <item x="328"/>
        <item x="236"/>
        <item x="2"/>
        <item x="270"/>
        <item x="263"/>
        <item x="116"/>
        <item x="297"/>
        <item x="169"/>
        <item x="155"/>
        <item x="81"/>
        <item x="168"/>
        <item x="327"/>
        <item x="201"/>
        <item x="272"/>
        <item x="253"/>
        <item x="264"/>
        <item x="46"/>
        <item x="128"/>
        <item x="45"/>
        <item x="232"/>
        <item x="286"/>
        <item x="93"/>
        <item x="32"/>
        <item x="318"/>
        <item x="221"/>
        <item x="322"/>
        <item x="192"/>
        <item x="296"/>
        <item x="196"/>
        <item x="122"/>
        <item x="40"/>
        <item x="162"/>
        <item x="117"/>
        <item x="33"/>
        <item x="82"/>
        <item x="86"/>
        <item x="156"/>
        <item x="259"/>
        <item x="227"/>
        <item x="254"/>
        <item x="290"/>
        <item x="287"/>
        <item x="39"/>
        <item x="85"/>
        <item x="121"/>
        <item x="161"/>
        <item x="195"/>
        <item x="289"/>
        <item x="258"/>
        <item x="226"/>
        <item x="321"/>
        <item h="1" x="1"/>
      </items>
    </pivotField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Page" compact="0" outline="0" multipleItemSelectionAllowed="1" showAll="0" defaultSubtotal="0">
      <items count="2">
        <item h="1" x="1"/>
        <item x="0"/>
      </items>
    </pivotField>
  </pivotFields>
  <rowFields count="3">
    <field x="10"/>
    <field x="8"/>
    <field x="9"/>
  </rowFields>
  <rowItems count="54">
    <i>
      <x v="182"/>
      <x v="36"/>
      <x v="179"/>
    </i>
    <i>
      <x v="175"/>
      <x v="36"/>
      <x v="28"/>
    </i>
    <i>
      <x v="235"/>
      <x v="46"/>
      <x v="29"/>
    </i>
    <i>
      <x v="174"/>
      <x v="36"/>
      <x v="122"/>
    </i>
    <i>
      <x v="234"/>
      <x v="46"/>
      <x v="122"/>
    </i>
    <i>
      <x v="6"/>
      <x v="2"/>
      <x v="97"/>
    </i>
    <i>
      <x v="20"/>
      <x v="4"/>
      <x v="93"/>
    </i>
    <i>
      <x v="8"/>
      <x v="2"/>
      <x v="127"/>
    </i>
    <i>
      <x v="236"/>
      <x v="46"/>
      <x v="85"/>
    </i>
    <i>
      <x v="76"/>
      <x v="11"/>
      <x v="122"/>
    </i>
    <i>
      <x v="207"/>
      <x v="42"/>
      <x v="39"/>
    </i>
    <i>
      <x v="79"/>
      <x v="12"/>
      <x v="37"/>
    </i>
    <i>
      <x v="32"/>
      <x v="4"/>
      <x v="146"/>
    </i>
    <i>
      <x v="179"/>
      <x v="36"/>
      <x v="89"/>
    </i>
    <i>
      <x v="62"/>
      <x v="8"/>
      <x v="130"/>
    </i>
    <i>
      <x v="107"/>
      <x v="20"/>
      <x v="165"/>
    </i>
    <i>
      <x v="87"/>
      <x v="14"/>
      <x v="122"/>
    </i>
    <i>
      <x v="114"/>
      <x v="21"/>
      <x v="181"/>
    </i>
    <i>
      <x v="162"/>
      <x v="32"/>
      <x v="101"/>
    </i>
    <i>
      <x v="86"/>
      <x v="13"/>
      <x v="168"/>
    </i>
    <i>
      <x v="121"/>
      <x v="24"/>
      <x v="79"/>
    </i>
    <i>
      <x v="227"/>
      <x v="45"/>
      <x v="6"/>
    </i>
    <i>
      <x v="28"/>
      <x v="4"/>
      <x v="142"/>
    </i>
    <i>
      <x v="125"/>
      <x v="25"/>
      <x v="122"/>
    </i>
    <i>
      <x v="154"/>
      <x v="31"/>
      <x v="133"/>
    </i>
    <i>
      <x v="92"/>
      <x v="16"/>
      <x v="80"/>
    </i>
    <i>
      <x v="241"/>
      <x v="46"/>
      <x v="158"/>
    </i>
    <i>
      <x v="77"/>
      <x v="11"/>
      <x v="15"/>
    </i>
    <i>
      <x v="34"/>
      <x v="4"/>
      <x v="149"/>
    </i>
    <i>
      <x v="116"/>
      <x v="22"/>
      <x v="70"/>
    </i>
    <i>
      <x v="215"/>
      <x v="42"/>
      <x v="166"/>
    </i>
    <i>
      <x v="13"/>
      <x v="4"/>
      <x/>
    </i>
    <i>
      <x v="176"/>
      <x v="36"/>
      <x v="44"/>
    </i>
    <i>
      <x v="130"/>
      <x v="27"/>
      <x v="29"/>
    </i>
    <i>
      <x v="238"/>
      <x v="46"/>
      <x v="126"/>
    </i>
    <i>
      <x v="138"/>
      <x v="29"/>
      <x v="102"/>
    </i>
    <i>
      <x v="103"/>
      <x v="20"/>
      <x v="122"/>
    </i>
    <i>
      <x v="178"/>
      <x v="36"/>
      <x v="79"/>
    </i>
    <i>
      <x v="171"/>
      <x v="35"/>
      <x v="122"/>
    </i>
    <i>
      <x v="148"/>
      <x v="31"/>
      <x v="54"/>
    </i>
    <i>
      <x v="185"/>
      <x v="37"/>
      <x v="3"/>
    </i>
    <i>
      <x v="16"/>
      <x v="4"/>
      <x v="52"/>
    </i>
    <i>
      <x v="135"/>
      <x v="29"/>
      <x v="55"/>
    </i>
    <i>
      <x v="74"/>
      <x v="10"/>
      <x v="68"/>
    </i>
    <i>
      <x v="226"/>
      <x v="45"/>
      <x v="122"/>
    </i>
    <i>
      <x v="29"/>
      <x v="4"/>
      <x v="143"/>
    </i>
    <i>
      <x v="164"/>
      <x v="32"/>
      <x v="177"/>
    </i>
    <i>
      <x v="26"/>
      <x v="4"/>
      <x v="139"/>
    </i>
    <i>
      <x v="21"/>
      <x v="4"/>
      <x v="98"/>
    </i>
    <i>
      <x v="237"/>
      <x v="46"/>
      <x v="87"/>
    </i>
    <i>
      <x v="152"/>
      <x v="31"/>
      <x v="114"/>
    </i>
    <i>
      <x v="59"/>
      <x v="8"/>
      <x v="120"/>
    </i>
    <i>
      <x v="198"/>
      <x v="41"/>
      <x v="41"/>
    </i>
    <i>
      <x v="184"/>
      <x v="37"/>
      <x v="122"/>
    </i>
  </rowItems>
  <colItems count="1">
    <i/>
  </colItems>
  <pageFields count="3">
    <pageField fld="0" hier="-1"/>
    <pageField fld="17" hier="-1"/>
    <pageField fld="12" hier="-1"/>
  </pageFields>
  <dataFields count="1">
    <dataField name="Sum of household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B2778-9460-4D84-AF57-F133ECB5136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70" firstHeaderRow="1" firstDataRow="1" firstDataCol="3" rowPageCount="1" colPageCount="1"/>
  <pivotFields count="23">
    <pivotField axis="axisPage" compact="0" numFmtId="1" outline="0" multipleItemSelectionAllowed="1" showAll="0" defaultSubtotal="0">
      <items count="7">
        <item h="1" x="0"/>
        <item h="1" x="1"/>
        <item h="1" x="2"/>
        <item h="1" x="3"/>
        <item x="4"/>
        <item h="1" x="5"/>
        <item h="1" x="6"/>
      </items>
    </pivotField>
    <pivotField compact="0" numFmtId="1" outline="0" showAll="0" defaultSubtotal="0"/>
    <pivotField axis="axisRow" compact="0" outline="0" showAll="0" defaultSubtotal="0">
      <items count="45"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numFmtId="1" outline="0" showAll="0" defaultSubtotal="0"/>
    <pivotField axis="axisRow" compact="0" outline="0" showAll="0" defaultSubtotal="0">
      <items count="211">
        <item m="1" x="21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outline="0" showAll="0" defaultSubtotal="0"/>
    <pivotField dataField="1"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numFmtId="1" outline="0" showAll="0" sortType="descending" defaultSubtotal="0">
      <items count="234">
        <item m="1" x="23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  <pivotField compact="0" numFmtId="1" outline="0" showAll="0" defaultSubtotal="0"/>
  </pivotFields>
  <rowFields count="3">
    <field x="19"/>
    <field x="2"/>
    <field x="4"/>
  </rowFields>
  <rowItems count="167">
    <i>
      <x v="139"/>
      <x/>
      <x v="129"/>
    </i>
    <i>
      <x v="120"/>
      <x/>
      <x v="115"/>
    </i>
    <i>
      <x v="164"/>
      <x v="39"/>
      <x v="95"/>
    </i>
    <i>
      <x v="14"/>
      <x v="3"/>
      <x v="14"/>
    </i>
    <i>
      <x v="166"/>
      <x v="39"/>
      <x v="152"/>
    </i>
    <i>
      <x v="25"/>
      <x v="3"/>
      <x v="25"/>
    </i>
    <i>
      <x v="131"/>
      <x/>
      <x v="123"/>
    </i>
    <i>
      <x v="134"/>
      <x/>
      <x v="69"/>
    </i>
    <i>
      <x v="7"/>
      <x v="3"/>
      <x v="7"/>
    </i>
    <i>
      <x v="24"/>
      <x v="3"/>
      <x v="24"/>
    </i>
    <i>
      <x v="4"/>
      <x v="2"/>
      <x v="4"/>
    </i>
    <i>
      <x v="19"/>
      <x v="3"/>
      <x v="19"/>
    </i>
    <i>
      <x v="124"/>
      <x/>
      <x v="119"/>
    </i>
    <i>
      <x v="103"/>
      <x v="28"/>
      <x v="101"/>
    </i>
    <i>
      <x v="30"/>
      <x v="3"/>
      <x v="30"/>
    </i>
    <i>
      <x v="119"/>
      <x/>
      <x v="114"/>
    </i>
    <i>
      <x v="67"/>
      <x v="11"/>
      <x v="66"/>
    </i>
    <i>
      <x v="97"/>
      <x v="25"/>
      <x v="95"/>
    </i>
    <i>
      <x v="127"/>
      <x/>
      <x v="88"/>
    </i>
    <i>
      <x v="140"/>
      <x/>
      <x v="130"/>
    </i>
    <i>
      <x v="170"/>
      <x v="39"/>
      <x v="156"/>
    </i>
    <i>
      <x v="122"/>
      <x/>
      <x v="117"/>
    </i>
    <i>
      <x v="41"/>
      <x v="4"/>
      <x v="41"/>
    </i>
    <i>
      <x v="9"/>
      <x v="3"/>
      <x v="9"/>
    </i>
    <i>
      <x v="28"/>
      <x v="3"/>
      <x v="28"/>
    </i>
    <i>
      <x v="106"/>
      <x v="28"/>
      <x v="103"/>
    </i>
    <i>
      <x v="61"/>
      <x v="9"/>
      <x v="60"/>
    </i>
    <i>
      <x v="156"/>
      <x v="36"/>
      <x v="144"/>
    </i>
    <i>
      <x v="22"/>
      <x v="3"/>
      <x v="22"/>
    </i>
    <i>
      <x v="154"/>
      <x v="35"/>
      <x v="142"/>
    </i>
    <i>
      <x v="47"/>
      <x v="6"/>
      <x v="47"/>
    </i>
    <i>
      <x v="88"/>
      <x v="21"/>
      <x v="86"/>
    </i>
    <i>
      <x v="21"/>
      <x v="3"/>
      <x v="21"/>
    </i>
    <i>
      <x v="23"/>
      <x v="3"/>
      <x v="23"/>
    </i>
    <i>
      <x v="81"/>
      <x v="19"/>
      <x v="79"/>
    </i>
    <i>
      <x v="165"/>
      <x v="39"/>
      <x v="151"/>
    </i>
    <i>
      <x v="152"/>
      <x v="35"/>
      <x v="140"/>
    </i>
    <i>
      <x v="64"/>
      <x v="10"/>
      <x v="63"/>
    </i>
    <i>
      <x v="175"/>
      <x v="39"/>
      <x v="161"/>
    </i>
    <i>
      <x v="173"/>
      <x v="39"/>
      <x v="159"/>
    </i>
    <i>
      <x v="135"/>
      <x/>
      <x v="71"/>
    </i>
    <i>
      <x v="133"/>
      <x/>
      <x v="125"/>
    </i>
    <i>
      <x v="83"/>
      <x v="19"/>
      <x v="81"/>
    </i>
    <i>
      <x v="126"/>
      <x/>
      <x v="120"/>
    </i>
    <i>
      <x v="143"/>
      <x v="32"/>
      <x v="132"/>
    </i>
    <i>
      <x v="15"/>
      <x v="3"/>
      <x v="15"/>
    </i>
    <i>
      <x v="5"/>
      <x v="2"/>
      <x v="5"/>
    </i>
    <i>
      <x v="98"/>
      <x v="25"/>
      <x v="96"/>
    </i>
    <i>
      <x v="121"/>
      <x/>
      <x v="116"/>
    </i>
    <i>
      <x v="31"/>
      <x v="3"/>
      <x v="31"/>
    </i>
    <i>
      <x v="150"/>
      <x v="35"/>
      <x v="139"/>
    </i>
    <i>
      <x v="174"/>
      <x v="39"/>
      <x v="160"/>
    </i>
    <i>
      <x v="177"/>
      <x v="39"/>
      <x v="163"/>
    </i>
    <i>
      <x v="132"/>
      <x/>
      <x v="124"/>
    </i>
    <i>
      <x v="107"/>
      <x v="28"/>
      <x v="104"/>
    </i>
    <i>
      <x v="34"/>
      <x v="3"/>
      <x v="34"/>
    </i>
    <i>
      <x v="100"/>
      <x v="27"/>
      <x v="98"/>
    </i>
    <i>
      <x v="29"/>
      <x v="3"/>
      <x v="29"/>
    </i>
    <i>
      <x v="59"/>
      <x v="8"/>
      <x v="58"/>
    </i>
    <i>
      <x v="141"/>
      <x v="32"/>
      <x v="131"/>
    </i>
    <i>
      <x v="36"/>
      <x v="3"/>
      <x v="36"/>
    </i>
    <i>
      <x v="115"/>
      <x v="30"/>
      <x v="110"/>
    </i>
    <i>
      <x v="11"/>
      <x v="3"/>
      <x v="11"/>
    </i>
    <i>
      <x v="1"/>
      <x v="1"/>
      <x v="1"/>
    </i>
    <i>
      <x v="138"/>
      <x/>
      <x v="128"/>
    </i>
    <i>
      <x v="40"/>
      <x v="4"/>
      <x v="40"/>
    </i>
    <i>
      <x v="53"/>
      <x v="7"/>
      <x v="53"/>
    </i>
    <i>
      <x v="153"/>
      <x v="35"/>
      <x v="141"/>
    </i>
    <i>
      <x v="27"/>
      <x v="3"/>
      <x v="27"/>
    </i>
    <i>
      <x v="42"/>
      <x v="4"/>
      <x v="42"/>
    </i>
    <i>
      <x v="167"/>
      <x v="39"/>
      <x v="153"/>
    </i>
    <i>
      <x v="180"/>
      <x v="40"/>
      <x v="166"/>
    </i>
    <i>
      <x v="114"/>
      <x v="30"/>
      <x v="109"/>
    </i>
    <i>
      <x v="145"/>
      <x v="34"/>
      <x v="134"/>
    </i>
    <i>
      <x v="70"/>
      <x v="12"/>
      <x v="69"/>
    </i>
    <i>
      <x v="161"/>
      <x v="38"/>
      <x v="149"/>
    </i>
    <i>
      <x v="85"/>
      <x v="20"/>
      <x v="83"/>
    </i>
    <i>
      <x v="130"/>
      <x/>
      <x v="122"/>
    </i>
    <i>
      <x v="44"/>
      <x v="4"/>
      <x v="44"/>
    </i>
    <i>
      <x v="43"/>
      <x v="4"/>
      <x v="43"/>
    </i>
    <i>
      <x v="178"/>
      <x v="39"/>
      <x v="164"/>
    </i>
    <i>
      <x v="179"/>
      <x v="40"/>
      <x v="165"/>
    </i>
    <i>
      <x v="50"/>
      <x v="7"/>
      <x v="50"/>
    </i>
    <i>
      <x v="90"/>
      <x v="22"/>
      <x v="88"/>
    </i>
    <i>
      <x v="163"/>
      <x v="39"/>
      <x v="114"/>
    </i>
    <i>
      <x v="56"/>
      <x v="7"/>
      <x v="55"/>
    </i>
    <i>
      <x v="93"/>
      <x v="23"/>
      <x v="91"/>
    </i>
    <i>
      <x v="39"/>
      <x v="4"/>
      <x v="39"/>
    </i>
    <i>
      <x v="136"/>
      <x/>
      <x v="126"/>
    </i>
    <i>
      <x v="17"/>
      <x v="3"/>
      <x v="17"/>
    </i>
    <i>
      <x v="54"/>
      <x v="7"/>
      <x v="19"/>
    </i>
    <i>
      <x v="75"/>
      <x v="16"/>
      <x v="73"/>
    </i>
    <i>
      <x v="48"/>
      <x v="7"/>
      <x v="48"/>
    </i>
    <i>
      <x v="125"/>
      <x/>
      <x v="94"/>
    </i>
    <i>
      <x v="26"/>
      <x v="3"/>
      <x v="26"/>
    </i>
    <i>
      <x v="86"/>
      <x v="20"/>
      <x v="84"/>
    </i>
    <i>
      <x v="95"/>
      <x v="23"/>
      <x v="93"/>
    </i>
    <i>
      <x v="12"/>
      <x v="3"/>
      <x v="12"/>
    </i>
    <i>
      <x v="78"/>
      <x v="18"/>
      <x v="76"/>
    </i>
    <i>
      <x v="8"/>
      <x v="3"/>
      <x v="8"/>
    </i>
    <i>
      <x v="129"/>
      <x/>
      <x v="121"/>
    </i>
    <i>
      <x v="63"/>
      <x v="9"/>
      <x v="62"/>
    </i>
    <i>
      <x v="137"/>
      <x/>
      <x v="127"/>
    </i>
    <i>
      <x v="113"/>
      <x v="29"/>
      <x v="108"/>
    </i>
    <i>
      <x v="77"/>
      <x v="18"/>
      <x v="75"/>
    </i>
    <i>
      <x v="37"/>
      <x v="3"/>
      <x v="37"/>
    </i>
    <i>
      <x v="148"/>
      <x v="35"/>
      <x v="137"/>
    </i>
    <i>
      <x v="149"/>
      <x v="35"/>
      <x v="138"/>
    </i>
    <i>
      <x v="123"/>
      <x/>
      <x v="118"/>
    </i>
    <i>
      <x v="55"/>
      <x v="7"/>
      <x v="54"/>
    </i>
    <i>
      <x v="91"/>
      <x v="22"/>
      <x v="89"/>
    </i>
    <i>
      <x v="183"/>
      <x v="3"/>
      <x v="169"/>
    </i>
    <i>
      <x v="3"/>
      <x v="2"/>
      <x v="3"/>
    </i>
    <i>
      <x v="60"/>
      <x v="9"/>
      <x v="59"/>
    </i>
    <i>
      <x v="89"/>
      <x v="21"/>
      <x v="87"/>
    </i>
    <i>
      <x v="108"/>
      <x v="28"/>
      <x v="81"/>
    </i>
    <i>
      <x v="68"/>
      <x v="11"/>
      <x v="67"/>
    </i>
    <i>
      <x v="111"/>
      <x v="29"/>
      <x v="107"/>
    </i>
    <i>
      <x v="168"/>
      <x v="39"/>
      <x v="154"/>
    </i>
    <i>
      <x v="92"/>
      <x v="22"/>
      <x v="90"/>
    </i>
    <i>
      <x v="147"/>
      <x v="34"/>
      <x v="136"/>
    </i>
    <i>
      <x v="33"/>
      <x v="3"/>
      <x v="33"/>
    </i>
    <i>
      <x v="117"/>
      <x v="31"/>
      <x v="112"/>
    </i>
    <i>
      <x v="13"/>
      <x v="3"/>
      <x v="13"/>
    </i>
    <i>
      <x v="20"/>
      <x v="3"/>
      <x v="20"/>
    </i>
    <i>
      <x v="35"/>
      <x v="3"/>
      <x v="35"/>
    </i>
    <i>
      <x v="104"/>
      <x v="28"/>
      <x v="70"/>
    </i>
    <i>
      <x v="49"/>
      <x v="7"/>
      <x v="49"/>
    </i>
    <i>
      <x v="58"/>
      <x v="8"/>
      <x v="57"/>
    </i>
    <i>
      <x v="116"/>
      <x v="30"/>
      <x v="111"/>
    </i>
    <i>
      <x v="32"/>
      <x v="3"/>
      <x v="32"/>
    </i>
    <i>
      <x v="157"/>
      <x v="36"/>
      <x v="145"/>
    </i>
    <i>
      <x v="102"/>
      <x v="28"/>
      <x v="100"/>
    </i>
    <i>
      <x v="159"/>
      <x v="37"/>
      <x v="147"/>
    </i>
    <i>
      <x v="223"/>
      <x v="39"/>
      <x v="202"/>
    </i>
    <i>
      <x v="109"/>
      <x v="28"/>
      <x v="105"/>
    </i>
    <i>
      <x v="45"/>
      <x v="5"/>
      <x v="45"/>
    </i>
    <i>
      <x v="212"/>
      <x v="35"/>
      <x v="193"/>
    </i>
    <i>
      <x v="96"/>
      <x v="24"/>
      <x v="94"/>
    </i>
    <i>
      <x v="82"/>
      <x v="19"/>
      <x v="80"/>
    </i>
    <i>
      <x v="38"/>
      <x v="4"/>
      <x v="38"/>
    </i>
    <i>
      <x v="76"/>
      <x v="17"/>
      <x v="74"/>
    </i>
    <i>
      <x v="110"/>
      <x v="29"/>
      <x v="106"/>
    </i>
    <i>
      <x v="84"/>
      <x v="20"/>
      <x v="82"/>
    </i>
    <i>
      <x v="46"/>
      <x v="5"/>
      <x v="46"/>
    </i>
    <i>
      <x v="101"/>
      <x v="27"/>
      <x v="99"/>
    </i>
    <i>
      <x v="18"/>
      <x v="3"/>
      <x v="18"/>
    </i>
    <i>
      <x v="73"/>
      <x v="14"/>
      <x v="72"/>
    </i>
    <i>
      <x v="65"/>
      <x v="10"/>
      <x v="64"/>
    </i>
    <i>
      <x v="230"/>
      <x v="39"/>
      <x v="43"/>
    </i>
    <i>
      <x v="99"/>
      <x v="26"/>
      <x v="97"/>
    </i>
    <i>
      <x v="225"/>
      <x v="23"/>
      <x v="204"/>
    </i>
    <i>
      <x v="224"/>
      <x v="11"/>
      <x v="203"/>
    </i>
    <i>
      <x v="217"/>
      <x v="39"/>
      <x v="197"/>
    </i>
    <i>
      <x v="151"/>
      <x v="35"/>
      <x v="42"/>
    </i>
    <i>
      <x v="87"/>
      <x v="20"/>
      <x v="85"/>
    </i>
    <i>
      <x v="185"/>
      <x v="5"/>
      <x v="171"/>
    </i>
    <i>
      <x v="227"/>
      <x v="2"/>
      <x v="206"/>
    </i>
    <i>
      <x v="105"/>
      <x v="28"/>
      <x v="102"/>
    </i>
    <i>
      <x v="211"/>
      <x v="44"/>
      <x v="192"/>
    </i>
    <i>
      <x v="191"/>
      <x v="13"/>
      <x v="72"/>
    </i>
    <i>
      <x v="228"/>
      <x v="21"/>
      <x v="207"/>
    </i>
    <i>
      <x v="229"/>
      <x v="26"/>
      <x v="79"/>
    </i>
    <i>
      <x v="74"/>
      <x v="15"/>
      <x v="43"/>
    </i>
    <i>
      <x v="176"/>
      <x v="39"/>
      <x v="162"/>
    </i>
    <i>
      <x v="51"/>
      <x v="7"/>
      <x v="51"/>
    </i>
    <i>
      <x v="128"/>
      <x/>
      <x v="43"/>
    </i>
  </rowItems>
  <colItems count="1">
    <i/>
  </colItems>
  <pageFields count="1">
    <pageField fld="0" hier="-1"/>
  </pageFields>
  <dataFields count="1">
    <dataField name="Sum of n1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3B5264-E475-43F4-BC88-911FCB4553DC}" name="PivotTable2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D81" firstHeaderRow="1" firstDataRow="1" firstDataCol="3" rowPageCount="3" colPageCount="1"/>
  <pivotFields count="18">
    <pivotField axis="axisPage" compact="0" numFmtId="1" outline="0" multipleItemSelectionAllowed="1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compact="0" numFmtId="1" outline="0" showAll="0" defaultSubtotal="0"/>
    <pivotField compact="0" numFmtId="1" outline="0" showAll="0" defaultSubtotal="0"/>
    <pivotField axis="axisRow" compact="0" outline="0" showAll="0" defaultSubtotal="0">
      <items count="51">
        <item x="47"/>
        <item x="0"/>
        <item x="1"/>
        <item x="2"/>
        <item x="3"/>
        <item x="4"/>
        <item x="33"/>
        <item x="48"/>
        <item x="5"/>
        <item x="6"/>
        <item x="7"/>
        <item x="8"/>
        <item x="9"/>
        <item x="10"/>
        <item x="11"/>
        <item x="12"/>
        <item x="34"/>
        <item x="50"/>
        <item x="13"/>
        <item x="35"/>
        <item x="14"/>
        <item x="15"/>
        <item x="36"/>
        <item x="16"/>
        <item x="43"/>
        <item x="17"/>
        <item x="37"/>
        <item x="49"/>
        <item x="18"/>
        <item x="19"/>
        <item x="38"/>
        <item x="39"/>
        <item x="20"/>
        <item x="21"/>
        <item x="45"/>
        <item x="22"/>
        <item x="40"/>
        <item x="23"/>
        <item x="24"/>
        <item x="25"/>
        <item x="41"/>
        <item x="42"/>
        <item x="26"/>
        <item x="27"/>
        <item x="28"/>
        <item x="29"/>
        <item x="30"/>
        <item x="31"/>
        <item x="44"/>
        <item x="32"/>
        <item x="46"/>
      </items>
    </pivotField>
    <pivotField axis="axisRow" compact="0" outline="0" showAll="0" defaultSubtotal="0">
      <items count="197">
        <item x="75"/>
        <item x="4"/>
        <item x="149"/>
        <item x="92"/>
        <item x="121"/>
        <item x="107"/>
        <item x="1"/>
        <item x="91"/>
        <item x="34"/>
        <item x="80"/>
        <item x="152"/>
        <item x="172"/>
        <item x="192"/>
        <item x="123"/>
        <item x="108"/>
        <item x="27"/>
        <item x="76"/>
        <item x="39"/>
        <item x="77"/>
        <item x="135"/>
        <item x="131"/>
        <item x="150"/>
        <item x="67"/>
        <item x="109"/>
        <item x="164"/>
        <item x="132"/>
        <item x="51"/>
        <item x="182"/>
        <item x="174"/>
        <item x="166"/>
        <item x="156"/>
        <item x="187"/>
        <item x="44"/>
        <item x="38"/>
        <item x="189"/>
        <item x="126"/>
        <item x="2"/>
        <item x="56"/>
        <item x="5"/>
        <item x="28"/>
        <item x="191"/>
        <item x="88"/>
        <item x="141"/>
        <item x="55"/>
        <item x="122"/>
        <item x="89"/>
        <item x="45"/>
        <item x="21"/>
        <item x="79"/>
        <item x="146"/>
        <item x="118"/>
        <item x="22"/>
        <item x="110"/>
        <item x="188"/>
        <item x="86"/>
        <item x="160"/>
        <item x="117"/>
        <item x="151"/>
        <item x="163"/>
        <item x="168"/>
        <item x="42"/>
        <item x="6"/>
        <item x="175"/>
        <item x="178"/>
        <item x="186"/>
        <item x="133"/>
        <item x="24"/>
        <item x="165"/>
        <item x="153"/>
        <item x="104"/>
        <item x="25"/>
        <item x="36"/>
        <item x="190"/>
        <item x="26"/>
        <item x="33"/>
        <item x="84"/>
        <item x="68"/>
        <item x="112"/>
        <item x="46"/>
        <item x="137"/>
        <item x="32"/>
        <item x="148"/>
        <item x="106"/>
        <item x="111"/>
        <item x="113"/>
        <item x="7"/>
        <item x="59"/>
        <item x="40"/>
        <item x="60"/>
        <item x="78"/>
        <item x="179"/>
        <item x="47"/>
        <item x="171"/>
        <item x="73"/>
        <item x="23"/>
        <item x="184"/>
        <item x="8"/>
        <item x="157"/>
        <item x="154"/>
        <item x="161"/>
        <item x="169"/>
        <item x="3"/>
        <item x="98"/>
        <item x="48"/>
        <item x="29"/>
        <item x="134"/>
        <item x="143"/>
        <item x="129"/>
        <item x="130"/>
        <item x="65"/>
        <item x="30"/>
        <item x="52"/>
        <item x="162"/>
        <item x="49"/>
        <item x="193"/>
        <item x="9"/>
        <item x="170"/>
        <item x="74"/>
        <item x="159"/>
        <item x="41"/>
        <item x="177"/>
        <item x="195"/>
        <item x="114"/>
        <item x="180"/>
        <item x="144"/>
        <item x="120"/>
        <item x="194"/>
        <item x="10"/>
        <item x="147"/>
        <item x="0"/>
        <item x="105"/>
        <item x="53"/>
        <item x="61"/>
        <item x="95"/>
        <item x="69"/>
        <item x="125"/>
        <item x="54"/>
        <item x="66"/>
        <item x="119"/>
        <item x="128"/>
        <item x="140"/>
        <item x="70"/>
        <item x="11"/>
        <item x="58"/>
        <item x="12"/>
        <item x="13"/>
        <item x="14"/>
        <item x="99"/>
        <item x="15"/>
        <item x="100"/>
        <item x="16"/>
        <item x="17"/>
        <item x="71"/>
        <item x="85"/>
        <item x="145"/>
        <item x="183"/>
        <item x="101"/>
        <item x="158"/>
        <item x="167"/>
        <item x="196"/>
        <item x="62"/>
        <item x="102"/>
        <item x="18"/>
        <item x="63"/>
        <item x="37"/>
        <item x="115"/>
        <item x="83"/>
        <item x="127"/>
        <item x="19"/>
        <item x="35"/>
        <item x="43"/>
        <item x="181"/>
        <item x="90"/>
        <item x="138"/>
        <item x="64"/>
        <item x="31"/>
        <item x="57"/>
        <item x="20"/>
        <item x="139"/>
        <item x="72"/>
        <item x="124"/>
        <item x="87"/>
        <item x="50"/>
        <item x="116"/>
        <item x="81"/>
        <item x="142"/>
        <item x="82"/>
        <item x="155"/>
        <item x="93"/>
        <item x="136"/>
        <item x="176"/>
        <item x="94"/>
        <item x="185"/>
        <item x="96"/>
        <item x="103"/>
        <item x="173"/>
        <item x="97"/>
      </items>
    </pivotField>
    <pivotField axis="axisRow" compact="0" numFmtId="1" outline="0" showAll="0" sortType="descending" defaultSubtotal="0">
      <items count="264">
        <item x="217"/>
        <item x="0"/>
        <item x="1"/>
        <item x="2"/>
        <item x="3"/>
        <item x="4"/>
        <item x="130"/>
        <item x="131"/>
        <item x="132"/>
        <item x="5"/>
        <item x="86"/>
        <item x="195"/>
        <item x="6"/>
        <item x="7"/>
        <item x="87"/>
        <item x="8"/>
        <item x="253"/>
        <item x="9"/>
        <item x="88"/>
        <item x="10"/>
        <item x="89"/>
        <item x="11"/>
        <item x="228"/>
        <item x="133"/>
        <item x="196"/>
        <item x="12"/>
        <item x="13"/>
        <item x="90"/>
        <item x="91"/>
        <item x="14"/>
        <item x="15"/>
        <item x="16"/>
        <item x="17"/>
        <item x="134"/>
        <item x="18"/>
        <item x="135"/>
        <item x="19"/>
        <item x="20"/>
        <item x="92"/>
        <item x="136"/>
        <item x="137"/>
        <item x="21"/>
        <item x="22"/>
        <item x="23"/>
        <item x="93"/>
        <item x="138"/>
        <item x="24"/>
        <item x="94"/>
        <item x="235"/>
        <item x="139"/>
        <item x="95"/>
        <item x="218"/>
        <item x="229"/>
        <item x="25"/>
        <item x="26"/>
        <item x="96"/>
        <item x="97"/>
        <item x="98"/>
        <item x="254"/>
        <item x="27"/>
        <item x="219"/>
        <item x="255"/>
        <item x="28"/>
        <item x="197"/>
        <item x="198"/>
        <item x="99"/>
        <item x="140"/>
        <item x="170"/>
        <item x="199"/>
        <item x="100"/>
        <item x="236"/>
        <item x="171"/>
        <item x="256"/>
        <item x="237"/>
        <item x="29"/>
        <item x="141"/>
        <item x="30"/>
        <item x="31"/>
        <item x="32"/>
        <item x="33"/>
        <item x="142"/>
        <item x="34"/>
        <item x="200"/>
        <item x="143"/>
        <item x="101"/>
        <item x="35"/>
        <item x="36"/>
        <item x="144"/>
        <item x="145"/>
        <item x="230"/>
        <item x="102"/>
        <item x="37"/>
        <item x="38"/>
        <item x="201"/>
        <item x="146"/>
        <item x="39"/>
        <item x="103"/>
        <item x="104"/>
        <item x="172"/>
        <item x="238"/>
        <item x="239"/>
        <item x="40"/>
        <item x="147"/>
        <item x="148"/>
        <item x="202"/>
        <item x="173"/>
        <item x="105"/>
        <item x="149"/>
        <item x="106"/>
        <item x="41"/>
        <item x="174"/>
        <item x="42"/>
        <item x="43"/>
        <item x="257"/>
        <item x="240"/>
        <item x="241"/>
        <item x="44"/>
        <item x="231"/>
        <item x="150"/>
        <item x="203"/>
        <item x="151"/>
        <item x="220"/>
        <item x="258"/>
        <item x="152"/>
        <item x="107"/>
        <item x="108"/>
        <item x="109"/>
        <item x="45"/>
        <item x="259"/>
        <item x="175"/>
        <item x="204"/>
        <item x="153"/>
        <item x="176"/>
        <item x="260"/>
        <item x="46"/>
        <item x="110"/>
        <item x="154"/>
        <item x="111"/>
        <item x="242"/>
        <item x="232"/>
        <item x="243"/>
        <item x="47"/>
        <item x="155"/>
        <item x="48"/>
        <item x="205"/>
        <item x="156"/>
        <item x="112"/>
        <item x="177"/>
        <item x="178"/>
        <item x="221"/>
        <item x="244"/>
        <item x="245"/>
        <item x="113"/>
        <item x="114"/>
        <item x="157"/>
        <item x="206"/>
        <item x="49"/>
        <item x="246"/>
        <item x="158"/>
        <item x="115"/>
        <item x="50"/>
        <item x="51"/>
        <item x="52"/>
        <item x="159"/>
        <item x="247"/>
        <item x="160"/>
        <item x="179"/>
        <item x="180"/>
        <item x="181"/>
        <item x="222"/>
        <item x="182"/>
        <item x="183"/>
        <item x="53"/>
        <item x="116"/>
        <item x="184"/>
        <item x="223"/>
        <item x="54"/>
        <item x="207"/>
        <item x="55"/>
        <item x="224"/>
        <item x="248"/>
        <item x="161"/>
        <item x="56"/>
        <item x="117"/>
        <item x="162"/>
        <item x="57"/>
        <item x="58"/>
        <item x="59"/>
        <item x="163"/>
        <item x="60"/>
        <item x="61"/>
        <item x="62"/>
        <item x="63"/>
        <item x="64"/>
        <item x="249"/>
        <item x="65"/>
        <item x="164"/>
        <item x="233"/>
        <item x="185"/>
        <item x="66"/>
        <item x="225"/>
        <item x="165"/>
        <item x="208"/>
        <item x="250"/>
        <item x="67"/>
        <item x="68"/>
        <item x="234"/>
        <item x="118"/>
        <item x="166"/>
        <item x="69"/>
        <item x="119"/>
        <item x="251"/>
        <item x="120"/>
        <item x="121"/>
        <item x="70"/>
        <item x="226"/>
        <item x="186"/>
        <item x="209"/>
        <item x="167"/>
        <item x="71"/>
        <item x="122"/>
        <item x="123"/>
        <item x="227"/>
        <item x="210"/>
        <item x="187"/>
        <item x="211"/>
        <item x="212"/>
        <item x="261"/>
        <item x="124"/>
        <item x="188"/>
        <item x="72"/>
        <item x="262"/>
        <item x="125"/>
        <item x="73"/>
        <item x="189"/>
        <item x="190"/>
        <item x="213"/>
        <item x="74"/>
        <item x="252"/>
        <item x="75"/>
        <item x="126"/>
        <item x="214"/>
        <item x="215"/>
        <item x="127"/>
        <item x="191"/>
        <item x="168"/>
        <item x="76"/>
        <item x="77"/>
        <item x="78"/>
        <item x="79"/>
        <item x="80"/>
        <item x="263"/>
        <item x="81"/>
        <item x="82"/>
        <item x="83"/>
        <item x="128"/>
        <item x="129"/>
        <item x="169"/>
        <item x="84"/>
        <item x="192"/>
        <item x="85"/>
        <item x="216"/>
        <item x="193"/>
        <item x="19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axis="axisPage" dataField="1" compact="0" outline="0" multipleItemSelectionAllowed="1" showAll="0" defaultSubtotal="0">
      <items count="341">
        <item x="264"/>
        <item x="323"/>
        <item x="12"/>
        <item x="333"/>
        <item x="96"/>
        <item x="299"/>
        <item x="335"/>
        <item x="192"/>
        <item x="94"/>
        <item x="135"/>
        <item x="325"/>
        <item x="284"/>
        <item x="72"/>
        <item x="237"/>
        <item x="204"/>
        <item x="178"/>
        <item x="221"/>
        <item x="199"/>
        <item x="324"/>
        <item x="117"/>
        <item x="82"/>
        <item x="112"/>
        <item x="310"/>
        <item x="205"/>
        <item x="47"/>
        <item x="262"/>
        <item x="131"/>
        <item x="128"/>
        <item x="20"/>
        <item x="57"/>
        <item x="49"/>
        <item x="138"/>
        <item x="61"/>
        <item x="51"/>
        <item x="21"/>
        <item x="136"/>
        <item x="154"/>
        <item x="73"/>
        <item x="69"/>
        <item x="87"/>
        <item x="42"/>
        <item x="4"/>
        <item x="52"/>
        <item x="309"/>
        <item x="187"/>
        <item x="81"/>
        <item x="22"/>
        <item x="219"/>
        <item x="91"/>
        <item x="34"/>
        <item x="171"/>
        <item x="282"/>
        <item x="88"/>
        <item x="90"/>
        <item x="10"/>
        <item x="89"/>
        <item x="29"/>
        <item x="158"/>
        <item x="83"/>
        <item x="5"/>
        <item x="35"/>
        <item x="269"/>
        <item x="80"/>
        <item x="281"/>
        <item x="146"/>
        <item x="23"/>
        <item x="194"/>
        <item x="58"/>
        <item x="16"/>
        <item x="125"/>
        <item x="129"/>
        <item x="63"/>
        <item x="220"/>
        <item x="107"/>
        <item x="133"/>
        <item x="46"/>
        <item x="114"/>
        <item x="229"/>
        <item x="147"/>
        <item x="36"/>
        <item x="60"/>
        <item x="123"/>
        <item x="175"/>
        <item x="182"/>
        <item x="240"/>
        <item x="130"/>
        <item x="226"/>
        <item x="193"/>
        <item x="174"/>
        <item x="305"/>
        <item x="104"/>
        <item x="38"/>
        <item x="106"/>
        <item x="70"/>
        <item x="285"/>
        <item x="25"/>
        <item x="208"/>
        <item x="24"/>
        <item x="15"/>
        <item x="19"/>
        <item x="17"/>
        <item x="156"/>
        <item x="207"/>
        <item x="169"/>
        <item x="165"/>
        <item x="32"/>
        <item x="103"/>
        <item x="306"/>
        <item x="7"/>
        <item x="54"/>
        <item x="289"/>
        <item x="50"/>
        <item x="293"/>
        <item x="120"/>
        <item x="111"/>
        <item x="271"/>
        <item x="64"/>
        <item x="13"/>
        <item x="127"/>
        <item x="272"/>
        <item x="265"/>
        <item x="206"/>
        <item x="273"/>
        <item x="85"/>
        <item x="31"/>
        <item x="249"/>
        <item x="157"/>
        <item x="179"/>
        <item x="252"/>
        <item x="28"/>
        <item x="48"/>
        <item x="2"/>
        <item x="33"/>
        <item x="86"/>
        <item x="288"/>
        <item x="153"/>
        <item x="266"/>
        <item x="268"/>
        <item x="232"/>
        <item x="166"/>
        <item x="246"/>
        <item x="137"/>
        <item x="236"/>
        <item x="41"/>
        <item x="312"/>
        <item x="195"/>
        <item x="18"/>
        <item x="200"/>
        <item x="65"/>
        <item x="132"/>
        <item x="160"/>
        <item x="124"/>
        <item x="247"/>
        <item x="161"/>
        <item x="163"/>
        <item x="62"/>
        <item x="334"/>
        <item x="68"/>
        <item x="301"/>
        <item x="321"/>
        <item x="308"/>
        <item x="291"/>
        <item x="148"/>
        <item x="6"/>
        <item x="126"/>
        <item x="134"/>
        <item x="92"/>
        <item x="9"/>
        <item x="307"/>
        <item x="113"/>
        <item x="155"/>
        <item x="164"/>
        <item x="172"/>
        <item x="77"/>
        <item x="218"/>
        <item x="78"/>
        <item x="115"/>
        <item x="14"/>
        <item x="79"/>
        <item x="188"/>
        <item x="173"/>
        <item x="95"/>
        <item x="139"/>
        <item x="99"/>
        <item x="231"/>
        <item x="203"/>
        <item x="319"/>
        <item x="30"/>
        <item x="93"/>
        <item x="197"/>
        <item x="43"/>
        <item x="233"/>
        <item x="26"/>
        <item x="210"/>
        <item x="8"/>
        <item x="254"/>
        <item x="170"/>
        <item x="37"/>
        <item x="340"/>
        <item x="40"/>
        <item x="267"/>
        <item x="190"/>
        <item x="263"/>
        <item x="152"/>
        <item x="320"/>
        <item x="300"/>
        <item x="260"/>
        <item x="121"/>
        <item x="168"/>
        <item x="292"/>
        <item x="234"/>
        <item x="311"/>
        <item x="322"/>
        <item x="209"/>
        <item x="105"/>
        <item x="201"/>
        <item x="318"/>
        <item x="1"/>
        <item x="100"/>
        <item x="337"/>
        <item x="224"/>
        <item x="167"/>
        <item x="314"/>
        <item x="225"/>
        <item x="76"/>
        <item x="317"/>
        <item x="276"/>
        <item x="162"/>
        <item x="186"/>
        <item x="53"/>
        <item x="108"/>
        <item x="59"/>
        <item x="211"/>
        <item x="198"/>
        <item x="159"/>
        <item x="332"/>
        <item x="255"/>
        <item x="11"/>
        <item x="196"/>
        <item x="67"/>
        <item x="339"/>
        <item x="84"/>
        <item x="258"/>
        <item x="228"/>
        <item x="261"/>
        <item x="215"/>
        <item x="230"/>
        <item x="202"/>
        <item x="336"/>
        <item x="302"/>
        <item x="151"/>
        <item x="304"/>
        <item x="277"/>
        <item x="74"/>
        <item x="250"/>
        <item x="142"/>
        <item x="184"/>
        <item x="316"/>
        <item x="3"/>
        <item x="248"/>
        <item x="313"/>
        <item x="116"/>
        <item x="243"/>
        <item x="212"/>
        <item x="149"/>
        <item x="290"/>
        <item x="189"/>
        <item x="191"/>
        <item x="223"/>
        <item x="66"/>
        <item x="27"/>
        <item x="214"/>
        <item x="287"/>
        <item x="183"/>
        <item x="118"/>
        <item x="296"/>
        <item x="315"/>
        <item x="270"/>
        <item x="238"/>
        <item x="227"/>
        <item x="242"/>
        <item x="278"/>
        <item x="286"/>
        <item x="75"/>
        <item x="71"/>
        <item x="274"/>
        <item x="253"/>
        <item x="326"/>
        <item x="150"/>
        <item x="259"/>
        <item x="109"/>
        <item x="251"/>
        <item x="241"/>
        <item x="110"/>
        <item x="328"/>
        <item x="235"/>
        <item x="119"/>
        <item x="283"/>
        <item x="338"/>
        <item x="185"/>
        <item x="256"/>
        <item x="122"/>
        <item x="56"/>
        <item x="222"/>
        <item x="303"/>
        <item x="45"/>
        <item x="176"/>
        <item x="257"/>
        <item x="98"/>
        <item x="97"/>
        <item x="143"/>
        <item x="140"/>
        <item x="141"/>
        <item x="55"/>
        <item x="217"/>
        <item x="102"/>
        <item x="39"/>
        <item x="275"/>
        <item x="327"/>
        <item x="329"/>
        <item x="294"/>
        <item x="145"/>
        <item x="213"/>
        <item x="239"/>
        <item x="331"/>
        <item x="295"/>
        <item x="181"/>
        <item x="245"/>
        <item x="177"/>
        <item x="298"/>
        <item x="280"/>
        <item x="44"/>
        <item x="101"/>
        <item x="144"/>
        <item x="180"/>
        <item x="216"/>
        <item x="297"/>
        <item x="279"/>
        <item x="244"/>
        <item x="330"/>
        <item h="1" x="0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3">
    <field x="5"/>
    <field x="3"/>
    <field x="4"/>
  </rowFields>
  <rowItems count="76">
    <i>
      <x v="186"/>
      <x v="37"/>
      <x v="32"/>
    </i>
    <i>
      <x v="193"/>
      <x v="37"/>
      <x v="182"/>
    </i>
    <i>
      <x v="247"/>
      <x v="47"/>
      <x v="33"/>
    </i>
    <i>
      <x v="190"/>
      <x v="37"/>
      <x v="91"/>
    </i>
    <i>
      <x v="248"/>
      <x v="47"/>
      <x v="86"/>
    </i>
    <i>
      <x v="21"/>
      <x v="4"/>
      <x v="96"/>
    </i>
    <i>
      <x v="5"/>
      <x v="2"/>
      <x v="101"/>
    </i>
    <i>
      <x v="185"/>
      <x v="37"/>
      <x v="129"/>
    </i>
    <i>
      <x v="75"/>
      <x v="11"/>
      <x v="129"/>
    </i>
    <i>
      <x v="191"/>
      <x v="37"/>
      <x v="103"/>
    </i>
    <i>
      <x v="32"/>
      <x v="4"/>
      <x v="146"/>
    </i>
    <i>
      <x v="46"/>
      <x v="5"/>
      <x v="129"/>
    </i>
    <i>
      <x v="183"/>
      <x v="36"/>
      <x v="129"/>
    </i>
    <i>
      <x v="253"/>
      <x v="47"/>
      <x v="163"/>
    </i>
    <i>
      <x v="252"/>
      <x v="47"/>
      <x v="160"/>
    </i>
    <i>
      <x v="64"/>
      <x v="9"/>
      <x v="124"/>
    </i>
    <i>
      <x v="160"/>
      <x v="32"/>
      <x v="87"/>
    </i>
    <i>
      <x v="13"/>
      <x v="4"/>
      <x v="1"/>
    </i>
    <i>
      <x v="163"/>
      <x v="32"/>
      <x v="138"/>
    </i>
    <i>
      <x v="42"/>
      <x v="4"/>
      <x v="168"/>
    </i>
    <i>
      <x v="81"/>
      <x v="13"/>
      <x v="39"/>
    </i>
    <i>
      <x v="2"/>
      <x v="1"/>
      <x v="6"/>
    </i>
    <i>
      <x v="27"/>
      <x v="4"/>
      <x v="134"/>
    </i>
    <i>
      <x v="217"/>
      <x v="43"/>
      <x v="10"/>
    </i>
    <i>
      <x v="127"/>
      <x v="23"/>
      <x v="71"/>
    </i>
    <i>
      <x v="28"/>
      <x v="4"/>
      <x v="141"/>
    </i>
    <i>
      <x v="63"/>
      <x v="9"/>
      <x v="103"/>
    </i>
    <i>
      <x v="31"/>
      <x v="4"/>
      <x v="145"/>
    </i>
    <i>
      <x v="11"/>
      <x v="3"/>
      <x v="182"/>
    </i>
    <i>
      <x v="205"/>
      <x v="38"/>
      <x v="131"/>
    </i>
    <i>
      <x v="77"/>
      <x v="11"/>
      <x v="73"/>
    </i>
    <i>
      <x v="137"/>
      <x v="26"/>
      <x v="129"/>
    </i>
    <i>
      <x v="93"/>
      <x v="15"/>
      <x v="129"/>
    </i>
    <i>
      <x v="35"/>
      <x v="4"/>
      <x v="149"/>
    </i>
    <i>
      <x v="242"/>
      <x v="46"/>
      <x v="97"/>
    </i>
    <i>
      <x v="261"/>
      <x v="49"/>
      <x v="157"/>
    </i>
    <i>
      <x v="188"/>
      <x v="37"/>
      <x v="48"/>
    </i>
    <i>
      <x v="141"/>
      <x v="28"/>
      <x v="33"/>
    </i>
    <i>
      <x v="130"/>
      <x v="23"/>
      <x v="182"/>
    </i>
    <i>
      <x v="199"/>
      <x v="38"/>
      <x v="26"/>
    </i>
    <i>
      <x v="155"/>
      <x v="32"/>
      <x v="2"/>
    </i>
    <i>
      <x v="116"/>
      <x v="21"/>
      <x v="169"/>
    </i>
    <i>
      <x v="26"/>
      <x v="4"/>
      <x v="127"/>
    </i>
    <i>
      <x v="259"/>
      <x v="49"/>
      <x v="42"/>
    </i>
    <i>
      <x v="144"/>
      <x v="30"/>
      <x v="129"/>
    </i>
    <i>
      <x v="218"/>
      <x v="43"/>
      <x v="13"/>
    </i>
    <i>
      <x v="201"/>
      <x v="38"/>
      <x v="44"/>
    </i>
    <i>
      <x v="236"/>
      <x v="44"/>
      <x v="187"/>
    </i>
    <i>
      <x v="226"/>
      <x v="43"/>
      <x v="98"/>
    </i>
    <i>
      <x v="40"/>
      <x v="4"/>
      <x v="161"/>
    </i>
    <i>
      <x v="210"/>
      <x v="40"/>
      <x v="129"/>
    </i>
    <i>
      <x v="12"/>
      <x v="4"/>
      <x v="129"/>
    </i>
    <i>
      <x v="41"/>
      <x v="4"/>
      <x v="162"/>
    </i>
    <i>
      <x v="30"/>
      <x v="4"/>
      <x v="144"/>
    </i>
    <i>
      <x v="214"/>
      <x v="42"/>
      <x v="43"/>
    </i>
    <i>
      <x v="23"/>
      <x v="4"/>
      <x v="102"/>
    </i>
    <i>
      <x v="112"/>
      <x v="21"/>
      <x v="129"/>
    </i>
    <i>
      <x v="97"/>
      <x v="16"/>
      <x v="48"/>
    </i>
    <i>
      <x v="220"/>
      <x v="43"/>
      <x v="41"/>
    </i>
    <i>
      <x v="254"/>
      <x v="47"/>
      <x v="174"/>
    </i>
    <i>
      <x v="178"/>
      <x v="35"/>
      <x v="60"/>
    </i>
    <i>
      <x v="223"/>
      <x v="43"/>
      <x v="68"/>
    </i>
    <i>
      <x v="237"/>
      <x v="45"/>
      <x v="129"/>
    </i>
    <i>
      <x v="78"/>
      <x v="12"/>
      <x v="129"/>
    </i>
    <i>
      <x v="241"/>
      <x v="46"/>
      <x v="30"/>
    </i>
    <i>
      <x v="82"/>
      <x v="13"/>
      <x v="49"/>
    </i>
    <i>
      <x v="263"/>
      <x v="50"/>
      <x v="129"/>
    </i>
    <i>
      <x v="135"/>
      <x v="25"/>
      <x v="166"/>
    </i>
    <i>
      <x v="123"/>
      <x v="22"/>
      <x v="122"/>
    </i>
    <i>
      <x v="47"/>
      <x v="5"/>
      <x v="93"/>
    </i>
    <i>
      <x v="246"/>
      <x v="47"/>
      <x v="129"/>
    </i>
    <i>
      <x v="18"/>
      <x v="4"/>
      <x v="76"/>
    </i>
    <i>
      <x v="109"/>
      <x v="20"/>
      <x v="74"/>
    </i>
    <i>
      <x v="250"/>
      <x v="47"/>
      <x v="132"/>
    </i>
    <i>
      <x v="24"/>
      <x v="4"/>
      <x v="106"/>
    </i>
    <i>
      <x v="3"/>
      <x v="2"/>
      <x v="129"/>
    </i>
  </rowItems>
  <colItems count="1">
    <i/>
  </colItems>
  <pageFields count="3">
    <pageField fld="0" hier="-1"/>
    <pageField fld="12" hier="-1"/>
    <pageField fld="17" hier="-1"/>
  </pageFields>
  <dataFields count="1">
    <dataField name="Sum of household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?><Relationships xmlns="http://schemas.openxmlformats.org/package/2006/relationships"><Relationship Target="../pivotTables/pivotTable1.xml" Type="http://schemas.openxmlformats.org/officeDocument/2006/relationships/pivotTable" Id="rId1"/></Relationships>
</file>

<file path=xl/worksheets/_rels/sheet4.xml.rels><?xml version="1.0" encoding="UTF-8"?><Relationships xmlns="http://schemas.openxmlformats.org/package/2006/relationships"><Relationship Target="../pivotTables/pivotTable2.xml" Type="http://schemas.openxmlformats.org/officeDocument/2006/relationships/pivotTable" Id="rId1"/></Relationships>
</file>

<file path=xl/worksheets/_rels/sheet5.xml.rels><?xml version="1.0" encoding="UTF-8"?><Relationships xmlns="http://schemas.openxmlformats.org/package/2006/relationships"><Relationship Target="../pivotTables/pivotTable3.xml" Type="http://schemas.openxmlformats.org/officeDocument/2006/relationships/pivotTable" Id="rId1"/></Relationships>
</file>

<file path=xl/worksheets/_rels/sheet6.xml.rels><?xml version="1.0" encoding="UTF-8"?><Relationships xmlns="http://schemas.openxmlformats.org/package/2006/relationships"><Relationship Target="../pivotTables/pivotTable4.xml" Type="http://schemas.openxmlformats.org/officeDocument/2006/relationships/pivot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1E22-A20B-4264-AAD1-49E1114A72B6}">
  <dimension ref="A1"/>
  <sheetViews>
    <sheetView workbookViewId="0">
      <selection activeCell="E28" sqref="E28:F28"/>
    </sheetView>
  </sheetViews>
  <sheetFormatPr xmlns:x14ac="http://schemas.microsoft.com/office/spreadsheetml/2009/9/ac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97B46-55EC-4A5C-8A80-A9247351590C}">
  <dimension ref="A1:M54"/>
  <sheetViews>
    <sheetView tabSelected="true" workbookViewId="0">
      <selection activeCell="K22" sqref="K22"/>
    </sheetView>
  </sheetViews>
  <sheetFormatPr xmlns:x14ac="http://schemas.microsoft.com/office/spreadsheetml/2009/9/ac" defaultRowHeight="15" x14ac:dyDescent="0.25"/>
  <cols>
    <col min="4" max="4" width="21.5703125" bestFit="true" customWidth="true"/>
    <col min="5" max="5" width="19.85546875" bestFit="true" customWidth="true"/>
  </cols>
  <sheetData>
    <row xmlns:x14ac="http://schemas.microsoft.com/office/spreadsheetml/2009/9/ac" r="1" x14ac:dyDescent="0.25">
      <c r="A1" t="s">
        <v>263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406</v>
      </c>
      <c r="H1" t="s">
        <v>407</v>
      </c>
      <c r="I1" t="s">
        <v>408</v>
      </c>
      <c r="J1" t="s">
        <v>409</v>
      </c>
      <c r="K1" t="s">
        <v>410</v>
      </c>
    </row>
    <row xmlns:x14ac="http://schemas.microsoft.com/office/spreadsheetml/2009/9/ac" r="2" x14ac:dyDescent="0.25">
      <c r="A2">
        <v>41005</v>
      </c>
      <c r="B2" t="s">
        <v>3</v>
      </c>
      <c r="C2" t="s">
        <v>125</v>
      </c>
      <c r="D2">
        <f>INDEX('PIVOT - IRS OUT'!$D:$D,MATCH($A2,'PIVOT - IRS OUT'!$A:$A,0))</f>
        <v>5956</v>
      </c>
      <c r="E2">
        <f>INDEX('PIVOT - IRS IN'!$D:$D,MATCH($A2,'PIVOT - IRS IN'!$A:$A,0))</f>
        <v>4085</v>
      </c>
      <c r="F2">
        <f>RANK(D2,D$2:D$52)</f>
        <v>1</v>
      </c>
      <c r="G2">
        <f>RANK(E2,E$2:E$52)</f>
        <v>2</v>
      </c>
      <c r="H2" s="9">
        <f>D2/D$54</f>
        <v>0.20970354200408423</v>
      </c>
      <c r="I2" s="9">
        <f>E2/E$54</f>
        <v>0.15538818517250561</v>
      </c>
      <c r="J2" s="10">
        <f>SUMIF(F:F,"&lt;="&amp;F2,H:H)</f>
        <v>0.20970354200408423</v>
      </c>
      <c r="K2" s="10">
        <f>SUMIF(G:G,"&lt;="&amp;G2,I:I)</f>
        <v>0.32622009205371066</v>
      </c>
      <c r="M2" s="3"/>
    </row>
    <row xmlns:x14ac="http://schemas.microsoft.com/office/spreadsheetml/2009/9/ac" r="3" x14ac:dyDescent="0.25">
      <c r="A3">
        <v>41067</v>
      </c>
      <c r="B3" t="s">
        <v>3</v>
      </c>
      <c r="C3" t="s">
        <v>143</v>
      </c>
      <c r="D3">
        <f>INDEX('PIVOT - IRS OUT'!$D:$D,MATCH($A3,'PIVOT - IRS OUT'!$A:$A,0))</f>
        <v>5212</v>
      </c>
      <c r="E3">
        <f>INDEX('PIVOT - IRS IN'!$D:$D,MATCH($A3,'PIVOT - IRS IN'!$A:$A,0))</f>
        <v>4491</v>
      </c>
      <c r="F3">
        <f t="shared" ref="F3:F52" si="0">RANK(D3,D$2:D$52)</f>
        <v>2</v>
      </c>
      <c r="G3">
        <f t="shared" ref="G3:G52" si="1">RANK(E3,E$2:E$52)</f>
        <v>1</v>
      </c>
      <c r="H3" s="9">
        <f t="shared" ref="H3:H52" si="2">D3/D$54</f>
        <v>0.18350820364763046</v>
      </c>
      <c r="I3" s="9">
        <f t="shared" ref="I3:I52" si="3">E3/E$54</f>
        <v>0.17083190688120506</v>
      </c>
      <c r="J3" s="10">
        <f t="shared" ref="J3:J52" si="4">SUMIF(F:F,"&lt;="&amp;F3,H:H)</f>
        <v>0.39321174565171468</v>
      </c>
      <c r="K3" s="10">
        <f t="shared" ref="K3:K52" si="5">SUMIF(G:G,"&lt;="&amp;G3,I:I)</f>
        <v>0.17083190688120506</v>
      </c>
      <c r="M3" s="3"/>
    </row>
    <row xmlns:x14ac="http://schemas.microsoft.com/office/spreadsheetml/2009/9/ac" r="4" x14ac:dyDescent="0.25">
      <c r="A4">
        <v>53011</v>
      </c>
      <c r="B4" t="s">
        <v>40</v>
      </c>
      <c r="C4" t="s">
        <v>112</v>
      </c>
      <c r="D4">
        <f>INDEX('PIVOT - IRS OUT'!$D:$D,MATCH($A4,'PIVOT - IRS OUT'!$A:$A,0))</f>
        <v>3137</v>
      </c>
      <c r="E4">
        <f>INDEX('PIVOT - IRS IN'!$D:$D,MATCH($A4,'PIVOT - IRS IN'!$A:$A,0))</f>
        <v>1915</v>
      </c>
      <c r="F4">
        <f t="shared" si="0"/>
        <v>3</v>
      </c>
      <c r="G4">
        <f t="shared" si="1"/>
        <v>3</v>
      </c>
      <c r="H4" s="9">
        <f t="shared" si="2"/>
        <v>0.1104499683120907</v>
      </c>
      <c r="I4" s="9">
        <f t="shared" si="3"/>
        <v>7.2844155350146447E-2</v>
      </c>
      <c r="J4" s="10">
        <f t="shared" si="4"/>
        <v>0.50366171396380532</v>
      </c>
      <c r="K4" s="10">
        <f t="shared" si="5"/>
        <v>0.3990642474038571</v>
      </c>
      <c r="M4" s="3"/>
    </row>
    <row xmlns:x14ac="http://schemas.microsoft.com/office/spreadsheetml/2009/9/ac" r="5" x14ac:dyDescent="0.25">
      <c r="A5">
        <v>53033</v>
      </c>
      <c r="B5" t="s">
        <v>40</v>
      </c>
      <c r="C5" t="s">
        <v>160</v>
      </c>
      <c r="D5">
        <f>INDEX('PIVOT - IRS OUT'!$D:$D,MATCH($A5,'PIVOT - IRS OUT'!$A:$A,0))</f>
        <v>766</v>
      </c>
      <c r="E5">
        <f>INDEX('PIVOT - IRS IN'!$D:$D,MATCH($A5,'PIVOT - IRS IN'!$A:$A,0))</f>
        <v>934</v>
      </c>
      <c r="F5">
        <f t="shared" si="0"/>
        <v>4</v>
      </c>
      <c r="G5">
        <f t="shared" si="1"/>
        <v>5</v>
      </c>
      <c r="H5" s="9">
        <f t="shared" si="2"/>
        <v>2.6969931694951061E-2</v>
      </c>
      <c r="I5" s="9">
        <f t="shared" si="3"/>
        <v>3.5528167674692836E-2</v>
      </c>
      <c r="J5" s="10">
        <f>SUMIF(F:F,"&lt;="&amp;F5,H:H)</f>
        <v>0.53063164565875642</v>
      </c>
      <c r="K5" s="10">
        <f t="shared" si="5"/>
        <v>0.47472326828711625</v>
      </c>
      <c r="M5" s="3"/>
    </row>
    <row xmlns:x14ac="http://schemas.microsoft.com/office/spreadsheetml/2009/9/ac" r="6" x14ac:dyDescent="0.25">
      <c r="A6">
        <v>41017</v>
      </c>
      <c r="B6" t="s">
        <v>3</v>
      </c>
      <c r="C6" t="s">
        <v>130</v>
      </c>
      <c r="D6">
        <f>INDEX('PIVOT - IRS OUT'!$D:$D,MATCH($A6,'PIVOT - IRS OUT'!$A:$A,0))</f>
        <v>706</v>
      </c>
      <c r="E6">
        <f>INDEX('PIVOT - IRS IN'!$D:$D,MATCH($A6,'PIVOT - IRS IN'!$A:$A,0))</f>
        <v>317</v>
      </c>
      <c r="F6">
        <f t="shared" si="0"/>
        <v>5</v>
      </c>
      <c r="G6">
        <f t="shared" si="1"/>
        <v>13</v>
      </c>
      <c r="H6" s="9">
        <f t="shared" si="2"/>
        <v>2.4857404408140271E-2</v>
      </c>
      <c r="I6" s="9">
        <f t="shared" si="3"/>
        <v>1.2058275324280117E-2</v>
      </c>
      <c r="J6" s="10">
        <f t="shared" si="4"/>
        <v>0.55548905006689675</v>
      </c>
      <c r="K6" s="10">
        <f t="shared" si="5"/>
        <v>0.61409715089961581</v>
      </c>
      <c r="M6" s="3"/>
    </row>
    <row xmlns:x14ac="http://schemas.microsoft.com/office/spreadsheetml/2009/9/ac" r="7" x14ac:dyDescent="0.25">
      <c r="A7">
        <v>6037</v>
      </c>
      <c r="B7" t="s">
        <v>11</v>
      </c>
      <c r="C7" t="s">
        <v>61</v>
      </c>
      <c r="D7">
        <f>INDEX('PIVOT - IRS OUT'!$D:$D,MATCH($A7,'PIVOT - IRS OUT'!$A:$A,0))</f>
        <v>577</v>
      </c>
      <c r="E7">
        <f>INDEX('PIVOT - IRS IN'!$D:$D,MATCH($A7,'PIVOT - IRS IN'!$A:$A,0))</f>
        <v>1055</v>
      </c>
      <c r="F7">
        <f t="shared" si="0"/>
        <v>6</v>
      </c>
      <c r="G7">
        <f t="shared" si="1"/>
        <v>4</v>
      </c>
      <c r="H7" s="9">
        <f t="shared" si="2"/>
        <v>2.0315470741497078E-2</v>
      </c>
      <c r="I7" s="9">
        <f t="shared" si="3"/>
        <v>4.0130853208566318E-2</v>
      </c>
      <c r="J7" s="10">
        <f t="shared" si="4"/>
        <v>0.57580452080839384</v>
      </c>
      <c r="K7" s="10">
        <f t="shared" si="5"/>
        <v>0.43919510061242339</v>
      </c>
      <c r="M7" s="3"/>
    </row>
    <row xmlns:x14ac="http://schemas.microsoft.com/office/spreadsheetml/2009/9/ac" r="8" x14ac:dyDescent="0.25">
      <c r="A8">
        <v>41047</v>
      </c>
      <c r="B8" t="s">
        <v>3</v>
      </c>
      <c r="C8" t="s">
        <v>99</v>
      </c>
      <c r="D8">
        <f>INDEX('PIVOT - IRS OUT'!$D:$D,MATCH($A8,'PIVOT - IRS OUT'!$A:$A,0))</f>
        <v>574</v>
      </c>
      <c r="E8">
        <f>INDEX('PIVOT - IRS IN'!$D:$D,MATCH($A8,'PIVOT - IRS IN'!$A:$A,0))</f>
        <v>519</v>
      </c>
      <c r="F8">
        <f t="shared" si="0"/>
        <v>7</v>
      </c>
      <c r="G8">
        <f t="shared" si="1"/>
        <v>8</v>
      </c>
      <c r="H8" s="9">
        <f t="shared" si="2"/>
        <v>2.020984437715654E-2</v>
      </c>
      <c r="I8" s="9">
        <f t="shared" si="3"/>
        <v>1.9742097455209402E-2</v>
      </c>
      <c r="J8" s="10">
        <f t="shared" si="4"/>
        <v>0.5960143651855504</v>
      </c>
      <c r="K8" s="10">
        <f t="shared" si="5"/>
        <v>0.543116892997071</v>
      </c>
      <c r="M8" s="3"/>
    </row>
    <row xmlns:x14ac="http://schemas.microsoft.com/office/spreadsheetml/2009/9/ac" r="9" x14ac:dyDescent="0.25">
      <c r="A9">
        <v>41039</v>
      </c>
      <c r="B9" t="s">
        <v>3</v>
      </c>
      <c r="C9" t="s">
        <v>136</v>
      </c>
      <c r="D9">
        <f>INDEX('PIVOT - IRS OUT'!$D:$D,MATCH($A9,'PIVOT - IRS OUT'!$A:$A,0))</f>
        <v>482</v>
      </c>
      <c r="E9">
        <f>INDEX('PIVOT - IRS IN'!$D:$D,MATCH($A9,'PIVOT - IRS IN'!$A:$A,0))</f>
        <v>639</v>
      </c>
      <c r="F9">
        <f t="shared" si="0"/>
        <v>8</v>
      </c>
      <c r="G9">
        <f t="shared" si="1"/>
        <v>7</v>
      </c>
      <c r="H9" s="9">
        <f t="shared" si="2"/>
        <v>1.6970635870713329E-2</v>
      </c>
      <c r="I9" s="9">
        <f t="shared" si="3"/>
        <v>2.4306744265662445E-2</v>
      </c>
      <c r="J9" s="10">
        <f t="shared" si="4"/>
        <v>0.61298500105626375</v>
      </c>
      <c r="K9" s="10">
        <f t="shared" si="5"/>
        <v>0.52337479554186161</v>
      </c>
      <c r="M9" s="3"/>
    </row>
    <row xmlns:x14ac="http://schemas.microsoft.com/office/spreadsheetml/2009/9/ac" r="10" x14ac:dyDescent="0.25">
      <c r="A10">
        <v>4013</v>
      </c>
      <c r="B10" t="s">
        <v>10</v>
      </c>
      <c r="C10" t="s">
        <v>53</v>
      </c>
      <c r="D10">
        <f>INDEX('PIVOT - IRS OUT'!$D:$D,MATCH($A10,'PIVOT - IRS OUT'!$A:$A,0))</f>
        <v>422</v>
      </c>
      <c r="E10">
        <f>INDEX('PIVOT - IRS IN'!$D:$D,MATCH($A10,'PIVOT - IRS IN'!$A:$A,0))</f>
        <v>353</v>
      </c>
      <c r="F10">
        <f t="shared" si="0"/>
        <v>9</v>
      </c>
      <c r="G10">
        <f t="shared" si="1"/>
        <v>11</v>
      </c>
      <c r="H10" s="9">
        <f t="shared" si="2"/>
        <v>1.4858108583902543E-2</v>
      </c>
      <c r="I10" s="9">
        <f t="shared" si="3"/>
        <v>1.342766936741603E-2</v>
      </c>
      <c r="J10" s="10">
        <f t="shared" si="4"/>
        <v>0.62784310964016632</v>
      </c>
      <c r="K10" s="10">
        <f t="shared" si="5"/>
        <v>0.58937198067632846</v>
      </c>
      <c r="M10" s="3"/>
    </row>
    <row xmlns:x14ac="http://schemas.microsoft.com/office/spreadsheetml/2009/9/ac" r="11" x14ac:dyDescent="0.25">
      <c r="A11">
        <v>41009</v>
      </c>
      <c r="B11" t="s">
        <v>3</v>
      </c>
      <c r="C11" t="s">
        <v>127</v>
      </c>
      <c r="D11">
        <f>INDEX('PIVOT - IRS OUT'!$D:$D,MATCH($A11,'PIVOT - IRS OUT'!$A:$A,0))</f>
        <v>364</v>
      </c>
      <c r="E11">
        <f>INDEX('PIVOT - IRS IN'!$D:$D,MATCH($A11,'PIVOT - IRS IN'!$A:$A,0))</f>
        <v>171</v>
      </c>
      <c r="F11">
        <f t="shared" si="0"/>
        <v>10</v>
      </c>
      <c r="G11">
        <f t="shared" si="1"/>
        <v>22</v>
      </c>
      <c r="H11" s="9">
        <f t="shared" si="2"/>
        <v>1.281599887331878E-2</v>
      </c>
      <c r="I11" s="9">
        <f t="shared" si="3"/>
        <v>6.5046217048955841E-3</v>
      </c>
      <c r="J11" s="10">
        <f t="shared" si="4"/>
        <v>0.64065910851348506</v>
      </c>
      <c r="K11" s="10">
        <f t="shared" si="5"/>
        <v>0.69686941306249772</v>
      </c>
      <c r="M11" s="3"/>
    </row>
    <row xmlns:x14ac="http://schemas.microsoft.com/office/spreadsheetml/2009/9/ac" r="12" x14ac:dyDescent="0.25">
      <c r="A12">
        <v>41071</v>
      </c>
      <c r="B12" t="s">
        <v>3</v>
      </c>
      <c r="C12" t="s">
        <v>144</v>
      </c>
      <c r="D12">
        <f>INDEX('PIVOT - IRS OUT'!$D:$D,MATCH($A12,'PIVOT - IRS OUT'!$A:$A,0))</f>
        <v>288</v>
      </c>
      <c r="E12">
        <f>INDEX('PIVOT - IRS IN'!$D:$D,MATCH($A12,'PIVOT - IRS IN'!$A:$A,0))</f>
        <v>192</v>
      </c>
      <c r="F12">
        <f t="shared" si="0"/>
        <v>11</v>
      </c>
      <c r="G12">
        <f t="shared" si="1"/>
        <v>20</v>
      </c>
      <c r="H12" s="9">
        <f t="shared" si="2"/>
        <v>1.0140130976691782E-2</v>
      </c>
      <c r="I12" s="9">
        <f t="shared" si="3"/>
        <v>7.3034348967248655E-3</v>
      </c>
      <c r="J12" s="10">
        <f t="shared" si="4"/>
        <v>0.65079923949017682</v>
      </c>
      <c r="K12" s="10">
        <f t="shared" si="5"/>
        <v>0.68332762752482035</v>
      </c>
      <c r="M12" s="3"/>
    </row>
    <row xmlns:x14ac="http://schemas.microsoft.com/office/spreadsheetml/2009/9/ac" r="13" x14ac:dyDescent="0.25">
      <c r="A13">
        <v>6073</v>
      </c>
      <c r="B13" t="s">
        <v>11</v>
      </c>
      <c r="C13" t="s">
        <v>69</v>
      </c>
      <c r="D13">
        <f>INDEX('PIVOT - IRS OUT'!$D:$D,MATCH($A13,'PIVOT - IRS OUT'!$A:$A,0))</f>
        <v>287</v>
      </c>
      <c r="E13">
        <f>INDEX('PIVOT - IRS IN'!$D:$D,MATCH($A13,'PIVOT - IRS IN'!$A:$A,0))</f>
        <v>389</v>
      </c>
      <c r="F13">
        <f t="shared" si="0"/>
        <v>12</v>
      </c>
      <c r="G13">
        <f t="shared" si="1"/>
        <v>10</v>
      </c>
      <c r="H13" s="9">
        <f t="shared" si="2"/>
        <v>1.010492218857827E-2</v>
      </c>
      <c r="I13" s="9">
        <f t="shared" si="3"/>
        <v>1.4797063410551942E-2</v>
      </c>
      <c r="J13" s="10">
        <f t="shared" si="4"/>
        <v>0.6609041616787551</v>
      </c>
      <c r="K13" s="10">
        <f t="shared" si="5"/>
        <v>0.57594431130891244</v>
      </c>
      <c r="M13" s="3"/>
    </row>
    <row xmlns:x14ac="http://schemas.microsoft.com/office/spreadsheetml/2009/9/ac" r="14" x14ac:dyDescent="0.25">
      <c r="A14">
        <v>32003</v>
      </c>
      <c r="B14" t="s">
        <v>29</v>
      </c>
      <c r="C14" t="s">
        <v>112</v>
      </c>
      <c r="D14">
        <f>INDEX('PIVOT - IRS OUT'!$D:$D,MATCH($A14,'PIVOT - IRS OUT'!$A:$A,0))</f>
        <v>235</v>
      </c>
      <c r="E14">
        <f>INDEX('PIVOT - IRS IN'!$D:$D,MATCH($A14,'PIVOT - IRS IN'!$A:$A,0))</f>
        <v>214</v>
      </c>
      <c r="F14">
        <f t="shared" si="0"/>
        <v>13</v>
      </c>
      <c r="G14">
        <f t="shared" si="1"/>
        <v>18</v>
      </c>
      <c r="H14" s="9">
        <f t="shared" si="2"/>
        <v>8.274065206675587E-3</v>
      </c>
      <c r="I14" s="9">
        <f t="shared" si="3"/>
        <v>8.14028681197459E-3</v>
      </c>
      <c r="J14" s="10">
        <f t="shared" si="4"/>
        <v>0.66917822688543072</v>
      </c>
      <c r="K14" s="10">
        <f t="shared" si="5"/>
        <v>0.66803606070980259</v>
      </c>
      <c r="M14" s="3"/>
    </row>
    <row xmlns:x14ac="http://schemas.microsoft.com/office/spreadsheetml/2009/9/ac" r="15" x14ac:dyDescent="0.25">
      <c r="A15">
        <v>41007</v>
      </c>
      <c r="B15" t="s">
        <v>3</v>
      </c>
      <c r="C15" t="s">
        <v>126</v>
      </c>
      <c r="D15">
        <f>INDEX('PIVOT - IRS OUT'!$D:$D,MATCH($A15,'PIVOT - IRS OUT'!$A:$A,0))</f>
        <v>209</v>
      </c>
      <c r="E15">
        <f>INDEX('PIVOT - IRS IN'!$D:$D,MATCH($A15,'PIVOT - IRS IN'!$A:$A,0))</f>
        <v>90</v>
      </c>
      <c r="F15">
        <f t="shared" si="0"/>
        <v>14</v>
      </c>
      <c r="G15">
        <f t="shared" si="1"/>
        <v>45</v>
      </c>
      <c r="H15" s="9">
        <f t="shared" si="2"/>
        <v>7.3586367157242446E-3</v>
      </c>
      <c r="I15" s="9">
        <f t="shared" si="3"/>
        <v>3.4234851078397809E-3</v>
      </c>
      <c r="J15" s="10">
        <f t="shared" si="4"/>
        <v>0.67653686360115495</v>
      </c>
      <c r="K15" s="10">
        <f t="shared" si="5"/>
        <v>0.80733386587546119</v>
      </c>
      <c r="M15" s="3"/>
    </row>
    <row xmlns:x14ac="http://schemas.microsoft.com/office/spreadsheetml/2009/9/ac" r="16" x14ac:dyDescent="0.25">
      <c r="A16">
        <v>53053</v>
      </c>
      <c r="B16" t="s">
        <v>40</v>
      </c>
      <c r="C16" t="s">
        <v>165</v>
      </c>
      <c r="D16">
        <f>INDEX('PIVOT - IRS OUT'!$D:$D,MATCH($A16,'PIVOT - IRS OUT'!$A:$A,0))</f>
        <v>207</v>
      </c>
      <c r="E16">
        <f>INDEX('PIVOT - IRS IN'!$D:$D,MATCH($A16,'PIVOT - IRS IN'!$A:$A,0))</f>
        <v>185</v>
      </c>
      <c r="F16">
        <f t="shared" si="0"/>
        <v>15</v>
      </c>
      <c r="G16">
        <f t="shared" si="1"/>
        <v>21</v>
      </c>
      <c r="H16" s="9">
        <f t="shared" si="2"/>
        <v>7.2882191394972188E-3</v>
      </c>
      <c r="I16" s="9">
        <f t="shared" si="3"/>
        <v>7.0371638327817714E-3</v>
      </c>
      <c r="J16" s="10">
        <f t="shared" si="4"/>
        <v>0.68382508274065212</v>
      </c>
      <c r="K16" s="10">
        <f t="shared" si="5"/>
        <v>0.69036479135760209</v>
      </c>
      <c r="M16" s="3"/>
    </row>
    <row xmlns:x14ac="http://schemas.microsoft.com/office/spreadsheetml/2009/9/ac" r="17" x14ac:dyDescent="0.25">
      <c r="A17">
        <v>17031</v>
      </c>
      <c r="B17" t="s">
        <v>19</v>
      </c>
      <c r="C17" t="s">
        <v>98</v>
      </c>
      <c r="D17">
        <f>INDEX('PIVOT - IRS OUT'!$D:$D,MATCH($A17,'PIVOT - IRS OUT'!$A:$A,0))</f>
        <v>203</v>
      </c>
      <c r="E17">
        <f>INDEX('PIVOT - IRS IN'!$D:$D,MATCH($A17,'PIVOT - IRS IN'!$A:$A,0))</f>
        <v>282</v>
      </c>
      <c r="F17">
        <f t="shared" si="0"/>
        <v>16</v>
      </c>
      <c r="G17">
        <f t="shared" si="1"/>
        <v>17</v>
      </c>
      <c r="H17" s="9">
        <f t="shared" si="2"/>
        <v>7.1473839870431662E-3</v>
      </c>
      <c r="I17" s="9">
        <f t="shared" si="3"/>
        <v>1.0726920004564646E-2</v>
      </c>
      <c r="J17" s="10">
        <f t="shared" si="4"/>
        <v>0.6909724667276953</v>
      </c>
      <c r="K17" s="10">
        <f t="shared" si="5"/>
        <v>0.65989577389782794</v>
      </c>
      <c r="M17" s="3"/>
    </row>
    <row xmlns:x14ac="http://schemas.microsoft.com/office/spreadsheetml/2009/9/ac" r="18" x14ac:dyDescent="0.25">
      <c r="A18">
        <v>41003</v>
      </c>
      <c r="B18" t="s">
        <v>3</v>
      </c>
      <c r="C18" t="s">
        <v>124</v>
      </c>
      <c r="D18">
        <f>INDEX('PIVOT - IRS OUT'!$D:$D,MATCH($A18,'PIVOT - IRS OUT'!$A:$A,0))</f>
        <v>189</v>
      </c>
      <c r="E18">
        <f>INDEX('PIVOT - IRS IN'!$D:$D,MATCH($A18,'PIVOT - IRS IN'!$A:$A,0))</f>
        <v>305</v>
      </c>
      <c r="F18">
        <f t="shared" si="0"/>
        <v>17</v>
      </c>
      <c r="G18">
        <f t="shared" si="1"/>
        <v>16</v>
      </c>
      <c r="H18" s="9">
        <f t="shared" si="2"/>
        <v>6.6544609534539825E-3</v>
      </c>
      <c r="I18" s="9">
        <f t="shared" si="3"/>
        <v>1.1601810643234813E-2</v>
      </c>
      <c r="J18" s="10">
        <f t="shared" si="4"/>
        <v>0.69762692768114931</v>
      </c>
      <c r="K18" s="10">
        <f t="shared" si="5"/>
        <v>0.6491688538932634</v>
      </c>
      <c r="M18" s="3"/>
    </row>
    <row xmlns:x14ac="http://schemas.microsoft.com/office/spreadsheetml/2009/9/ac" r="19" x14ac:dyDescent="0.25">
      <c r="A19">
        <v>53063</v>
      </c>
      <c r="B19" t="s">
        <v>40</v>
      </c>
      <c r="C19" t="s">
        <v>168</v>
      </c>
      <c r="D19">
        <f>INDEX('PIVOT - IRS OUT'!$D:$D,MATCH($A19,'PIVOT - IRS OUT'!$A:$A,0))</f>
        <v>188</v>
      </c>
      <c r="E19">
        <f>INDEX('PIVOT - IRS IN'!$D:$D,MATCH($A19,'PIVOT - IRS IN'!$A:$A,0))</f>
        <v>88</v>
      </c>
      <c r="F19">
        <f t="shared" si="0"/>
        <v>18</v>
      </c>
      <c r="G19">
        <f t="shared" si="1"/>
        <v>46</v>
      </c>
      <c r="H19" s="9">
        <f t="shared" si="2"/>
        <v>6.6192521653404687E-3</v>
      </c>
      <c r="I19" s="9">
        <f t="shared" si="3"/>
        <v>3.3474076609988968E-3</v>
      </c>
      <c r="J19" s="10">
        <f t="shared" si="4"/>
        <v>0.70424617984648974</v>
      </c>
      <c r="K19" s="10">
        <f t="shared" si="5"/>
        <v>0.81402868119745908</v>
      </c>
      <c r="M19" s="3"/>
    </row>
    <row xmlns:x14ac="http://schemas.microsoft.com/office/spreadsheetml/2009/9/ac" r="20" x14ac:dyDescent="0.25">
      <c r="A20">
        <v>6059</v>
      </c>
      <c r="B20" t="s">
        <v>11</v>
      </c>
      <c r="C20" t="s">
        <v>64</v>
      </c>
      <c r="D20">
        <f>INDEX('PIVOT - IRS OUT'!$D:$D,MATCH($A20,'PIVOT - IRS OUT'!$A:$A,0))</f>
        <v>186</v>
      </c>
      <c r="E20">
        <f>INDEX('PIVOT - IRS IN'!$D:$D,MATCH($A20,'PIVOT - IRS IN'!$A:$A,0))</f>
        <v>333</v>
      </c>
      <c r="F20">
        <f t="shared" si="0"/>
        <v>19</v>
      </c>
      <c r="G20">
        <f t="shared" si="1"/>
        <v>12</v>
      </c>
      <c r="H20" s="9">
        <f t="shared" si="2"/>
        <v>6.5488345891134428E-3</v>
      </c>
      <c r="I20" s="9">
        <f t="shared" si="3"/>
        <v>1.266689489900719E-2</v>
      </c>
      <c r="J20" s="10">
        <f t="shared" si="4"/>
        <v>0.71079501443560322</v>
      </c>
      <c r="K20" s="10">
        <f t="shared" si="5"/>
        <v>0.60203887557533564</v>
      </c>
      <c r="M20" s="3"/>
    </row>
    <row xmlns:x14ac="http://schemas.microsoft.com/office/spreadsheetml/2009/9/ac" r="21" x14ac:dyDescent="0.25">
      <c r="A21">
        <v>41029</v>
      </c>
      <c r="B21" t="s">
        <v>3</v>
      </c>
      <c r="C21" t="s">
        <v>133</v>
      </c>
      <c r="D21">
        <f>INDEX('PIVOT - IRS OUT'!$D:$D,MATCH($A21,'PIVOT - IRS OUT'!$A:$A,0))</f>
        <v>185</v>
      </c>
      <c r="E21">
        <f>INDEX('PIVOT - IRS IN'!$D:$D,MATCH($A21,'PIVOT - IRS IN'!$A:$A,0))</f>
        <v>210</v>
      </c>
      <c r="F21">
        <f t="shared" si="0"/>
        <v>20</v>
      </c>
      <c r="G21">
        <f t="shared" si="1"/>
        <v>19</v>
      </c>
      <c r="H21" s="9">
        <f t="shared" si="2"/>
        <v>6.5136258009999299E-3</v>
      </c>
      <c r="I21" s="9">
        <f t="shared" si="3"/>
        <v>7.9881319182928227E-3</v>
      </c>
      <c r="J21" s="10">
        <f t="shared" si="4"/>
        <v>0.71730864023660312</v>
      </c>
      <c r="K21" s="10">
        <f t="shared" si="5"/>
        <v>0.67602419262809543</v>
      </c>
      <c r="M21" s="3"/>
    </row>
    <row xmlns:x14ac="http://schemas.microsoft.com/office/spreadsheetml/2009/9/ac" r="22" x14ac:dyDescent="0.25">
      <c r="A22">
        <v>6075</v>
      </c>
      <c r="B22" t="s">
        <v>11</v>
      </c>
      <c r="C22" t="s">
        <v>70</v>
      </c>
      <c r="D22">
        <f>INDEX('PIVOT - IRS OUT'!$D:$D,MATCH($A22,'PIVOT - IRS OUT'!$A:$A,0))</f>
        <v>171</v>
      </c>
      <c r="E22">
        <f>INDEX('PIVOT - IRS IN'!$D:$D,MATCH($A22,'PIVOT - IRS IN'!$A:$A,0))</f>
        <v>640</v>
      </c>
      <c r="F22">
        <f t="shared" si="0"/>
        <v>21</v>
      </c>
      <c r="G22">
        <f t="shared" si="1"/>
        <v>6</v>
      </c>
      <c r="H22" s="9">
        <f t="shared" si="2"/>
        <v>6.0207027674107454E-3</v>
      </c>
      <c r="I22" s="9">
        <f t="shared" si="3"/>
        <v>2.4344782989082887E-2</v>
      </c>
      <c r="J22" s="10">
        <f t="shared" si="4"/>
        <v>0.72935004577142459</v>
      </c>
      <c r="K22" s="10">
        <f t="shared" si="5"/>
        <v>0.49906805127619913</v>
      </c>
      <c r="M22" s="3"/>
    </row>
    <row xmlns:x14ac="http://schemas.microsoft.com/office/spreadsheetml/2009/9/ac" r="23" x14ac:dyDescent="0.25">
      <c r="A23">
        <v>16001</v>
      </c>
      <c r="B23" t="s">
        <v>18</v>
      </c>
      <c r="C23" t="s">
        <v>95</v>
      </c>
      <c r="D23">
        <f>INDEX('PIVOT - IRS OUT'!$D:$D,MATCH($A23,'PIVOT - IRS OUT'!$A:$A,0))</f>
        <v>171</v>
      </c>
      <c r="E23">
        <f>INDEX('PIVOT - IRS IN'!$D:$D,MATCH($A23,'PIVOT - IRS IN'!$A:$A,0))</f>
        <v>106</v>
      </c>
      <c r="F23">
        <f t="shared" si="0"/>
        <v>21</v>
      </c>
      <c r="G23">
        <f t="shared" si="1"/>
        <v>38</v>
      </c>
      <c r="H23" s="9">
        <f t="shared" si="2"/>
        <v>6.0207027674107454E-3</v>
      </c>
      <c r="I23" s="9">
        <f t="shared" si="3"/>
        <v>4.0321046825668528E-3</v>
      </c>
      <c r="J23" s="10">
        <f t="shared" si="4"/>
        <v>0.72935004577142459</v>
      </c>
      <c r="K23" s="10">
        <f t="shared" si="5"/>
        <v>0.7852333675681844</v>
      </c>
      <c r="M23" s="3"/>
    </row>
    <row xmlns:x14ac="http://schemas.microsoft.com/office/spreadsheetml/2009/9/ac" r="24" x14ac:dyDescent="0.25">
      <c r="A24">
        <v>53015</v>
      </c>
      <c r="B24" t="s">
        <v>40</v>
      </c>
      <c r="C24" t="s">
        <v>157</v>
      </c>
      <c r="D24">
        <f>INDEX('PIVOT - IRS OUT'!$D:$D,MATCH($A24,'PIVOT - IRS OUT'!$A:$A,0))</f>
        <v>167</v>
      </c>
      <c r="E24">
        <f>INDEX('PIVOT - IRS IN'!$D:$D,MATCH($A24,'PIVOT - IRS IN'!$A:$A,0))</f>
        <v>111</v>
      </c>
      <c r="F24">
        <f t="shared" si="0"/>
        <v>23</v>
      </c>
      <c r="G24">
        <f t="shared" si="1"/>
        <v>36</v>
      </c>
      <c r="H24" s="9">
        <f t="shared" si="2"/>
        <v>5.8798676149566928E-3</v>
      </c>
      <c r="I24" s="9">
        <f t="shared" si="3"/>
        <v>4.2222982996690632E-3</v>
      </c>
      <c r="J24" s="10">
        <f t="shared" si="4"/>
        <v>0.73522991338638133</v>
      </c>
      <c r="K24" s="10">
        <f t="shared" si="5"/>
        <v>0.77298489862680209</v>
      </c>
      <c r="M24" s="3"/>
    </row>
    <row xmlns:x14ac="http://schemas.microsoft.com/office/spreadsheetml/2009/9/ac" r="25" x14ac:dyDescent="0.25">
      <c r="A25">
        <v>41027</v>
      </c>
      <c r="B25" t="s">
        <v>3</v>
      </c>
      <c r="C25" t="s">
        <v>132</v>
      </c>
      <c r="D25">
        <f>INDEX('PIVOT - IRS OUT'!$D:$D,MATCH($A25,'PIVOT - IRS OUT'!$A:$A,0))</f>
        <v>162</v>
      </c>
      <c r="E25">
        <f>INDEX('PIVOT - IRS IN'!$D:$D,MATCH($A25,'PIVOT - IRS IN'!$A:$A,0))</f>
        <v>97</v>
      </c>
      <c r="F25">
        <f t="shared" si="0"/>
        <v>24</v>
      </c>
      <c r="G25">
        <f t="shared" si="1"/>
        <v>43</v>
      </c>
      <c r="H25" s="9">
        <f t="shared" si="2"/>
        <v>5.7038236743891272E-3</v>
      </c>
      <c r="I25" s="9">
        <f t="shared" si="3"/>
        <v>3.689756171782875E-3</v>
      </c>
      <c r="J25" s="10">
        <f t="shared" si="4"/>
        <v>0.74093373706077048</v>
      </c>
      <c r="K25" s="10">
        <f t="shared" si="5"/>
        <v>0.80037277948952046</v>
      </c>
      <c r="M25" s="3"/>
    </row>
    <row xmlns:x14ac="http://schemas.microsoft.com/office/spreadsheetml/2009/9/ac" r="26" x14ac:dyDescent="0.25">
      <c r="A26">
        <v>6067</v>
      </c>
      <c r="B26" t="s">
        <v>11</v>
      </c>
      <c r="C26" t="s">
        <v>67</v>
      </c>
      <c r="D26">
        <f>INDEX('PIVOT - IRS OUT'!$D:$D,MATCH($A26,'PIVOT - IRS OUT'!$A:$A,0))</f>
        <v>161</v>
      </c>
      <c r="E26">
        <f>INDEX('PIVOT - IRS IN'!$D:$D,MATCH($A26,'PIVOT - IRS IN'!$A:$A,0))</f>
        <v>142</v>
      </c>
      <c r="F26">
        <f t="shared" si="0"/>
        <v>25</v>
      </c>
      <c r="G26">
        <f t="shared" si="1"/>
        <v>29</v>
      </c>
      <c r="H26" s="9">
        <f t="shared" si="2"/>
        <v>5.6686148862756143E-3</v>
      </c>
      <c r="I26" s="9">
        <f t="shared" si="3"/>
        <v>5.4014987257027655E-3</v>
      </c>
      <c r="J26" s="10">
        <f t="shared" si="4"/>
        <v>0.75227096683332162</v>
      </c>
      <c r="K26" s="10">
        <f t="shared" si="5"/>
        <v>0.7388641637186657</v>
      </c>
      <c r="M26" s="3"/>
    </row>
    <row xmlns:x14ac="http://schemas.microsoft.com/office/spreadsheetml/2009/9/ac" r="27" x14ac:dyDescent="0.25">
      <c r="A27">
        <v>8031</v>
      </c>
      <c r="B27" t="s">
        <v>12</v>
      </c>
      <c r="C27" t="s">
        <v>81</v>
      </c>
      <c r="D27">
        <f>INDEX('PIVOT - IRS OUT'!$D:$D,MATCH($A27,'PIVOT - IRS OUT'!$A:$A,0))</f>
        <v>161</v>
      </c>
      <c r="E27">
        <f>INDEX('PIVOT - IRS IN'!$D:$D,MATCH($A27,'PIVOT - IRS IN'!$A:$A,0))</f>
        <v>170</v>
      </c>
      <c r="F27">
        <f t="shared" si="0"/>
        <v>25</v>
      </c>
      <c r="G27">
        <f t="shared" si="1"/>
        <v>23</v>
      </c>
      <c r="H27" s="9">
        <f t="shared" si="2"/>
        <v>5.6686148862756143E-3</v>
      </c>
      <c r="I27" s="9">
        <f t="shared" si="3"/>
        <v>6.4665829814751418E-3</v>
      </c>
      <c r="J27" s="10">
        <f t="shared" si="4"/>
        <v>0.75227096683332162</v>
      </c>
      <c r="K27" s="10">
        <f t="shared" si="5"/>
        <v>0.70980257902544808</v>
      </c>
      <c r="M27" s="3"/>
    </row>
    <row xmlns:x14ac="http://schemas.microsoft.com/office/spreadsheetml/2009/9/ac" r="28" x14ac:dyDescent="0.25">
      <c r="A28">
        <v>6001</v>
      </c>
      <c r="B28" t="s">
        <v>11</v>
      </c>
      <c r="C28" t="s">
        <v>56</v>
      </c>
      <c r="D28">
        <f>INDEX('PIVOT - IRS OUT'!$D:$D,MATCH($A28,'PIVOT - IRS OUT'!$A:$A,0))</f>
        <v>151</v>
      </c>
      <c r="E28">
        <f>INDEX('PIVOT - IRS IN'!$D:$D,MATCH($A28,'PIVOT - IRS IN'!$A:$A,0))</f>
        <v>474</v>
      </c>
      <c r="F28">
        <f t="shared" si="0"/>
        <v>27</v>
      </c>
      <c r="G28">
        <f t="shared" si="1"/>
        <v>9</v>
      </c>
      <c r="H28" s="9">
        <f t="shared" si="2"/>
        <v>5.3165270051404832E-3</v>
      </c>
      <c r="I28" s="9">
        <f t="shared" si="3"/>
        <v>1.8030354901289514E-2</v>
      </c>
      <c r="J28" s="10">
        <f t="shared" si="4"/>
        <v>0.76290402084360265</v>
      </c>
      <c r="K28" s="10">
        <f t="shared" si="5"/>
        <v>0.56114724789836057</v>
      </c>
      <c r="M28" s="3"/>
    </row>
    <row xmlns:x14ac="http://schemas.microsoft.com/office/spreadsheetml/2009/9/ac" r="29" x14ac:dyDescent="0.25">
      <c r="A29">
        <v>6085</v>
      </c>
      <c r="B29" t="s">
        <v>11</v>
      </c>
      <c r="C29" t="s">
        <v>74</v>
      </c>
      <c r="D29">
        <f>INDEX('PIVOT - IRS OUT'!$D:$D,MATCH($A29,'PIVOT - IRS OUT'!$A:$A,0))</f>
        <v>151</v>
      </c>
      <c r="E29">
        <f>INDEX('PIVOT - IRS IN'!$D:$D,MATCH($A29,'PIVOT - IRS IN'!$A:$A,0))</f>
        <v>308</v>
      </c>
      <c r="F29">
        <f t="shared" si="0"/>
        <v>27</v>
      </c>
      <c r="G29">
        <f t="shared" si="1"/>
        <v>15</v>
      </c>
      <c r="H29" s="9">
        <f t="shared" si="2"/>
        <v>5.3165270051404832E-3</v>
      </c>
      <c r="I29" s="9">
        <f t="shared" si="3"/>
        <v>1.1715926813496138E-2</v>
      </c>
      <c r="J29" s="10">
        <f t="shared" si="4"/>
        <v>0.76290402084360265</v>
      </c>
      <c r="K29" s="10">
        <f t="shared" si="5"/>
        <v>0.63756704325002844</v>
      </c>
      <c r="M29" s="3"/>
    </row>
    <row xmlns:x14ac="http://schemas.microsoft.com/office/spreadsheetml/2009/9/ac" r="30" x14ac:dyDescent="0.25">
      <c r="A30">
        <v>41053</v>
      </c>
      <c r="B30" t="s">
        <v>3</v>
      </c>
      <c r="C30" t="s">
        <v>100</v>
      </c>
      <c r="D30">
        <f>INDEX('PIVOT - IRS OUT'!$D:$D,MATCH($A30,'PIVOT - IRS OUT'!$A:$A,0))</f>
        <v>149</v>
      </c>
      <c r="E30">
        <f>INDEX('PIVOT - IRS IN'!$D:$D,MATCH($A30,'PIVOT - IRS IN'!$A:$A,0))</f>
        <v>99</v>
      </c>
      <c r="F30">
        <f t="shared" si="0"/>
        <v>29</v>
      </c>
      <c r="G30">
        <f t="shared" si="1"/>
        <v>41</v>
      </c>
      <c r="H30" s="9">
        <f t="shared" si="2"/>
        <v>5.2461094289134565E-3</v>
      </c>
      <c r="I30" s="9">
        <f t="shared" si="3"/>
        <v>3.7658336186237591E-3</v>
      </c>
      <c r="J30" s="10">
        <f t="shared" si="4"/>
        <v>0.76815013027251611</v>
      </c>
      <c r="K30" s="10">
        <f t="shared" si="5"/>
        <v>0.79295522842253408</v>
      </c>
      <c r="M30" s="3"/>
    </row>
    <row xmlns:x14ac="http://schemas.microsoft.com/office/spreadsheetml/2009/9/ac" r="31" x14ac:dyDescent="0.25">
      <c r="A31">
        <v>41057</v>
      </c>
      <c r="B31" t="s">
        <v>3</v>
      </c>
      <c r="C31" t="s">
        <v>139</v>
      </c>
      <c r="D31">
        <f>INDEX('PIVOT - IRS OUT'!$D:$D,MATCH($A31,'PIVOT - IRS OUT'!$A:$A,0))</f>
        <v>147</v>
      </c>
      <c r="E31">
        <f>INDEX('PIVOT - IRS IN'!$D:$D,MATCH($A31,'PIVOT - IRS IN'!$A:$A,0))</f>
        <v>44</v>
      </c>
      <c r="F31">
        <f t="shared" si="0"/>
        <v>30</v>
      </c>
      <c r="G31">
        <f t="shared" si="1"/>
        <v>51</v>
      </c>
      <c r="H31" s="9">
        <f t="shared" si="2"/>
        <v>5.1756918526864306E-3</v>
      </c>
      <c r="I31" s="9">
        <f t="shared" si="3"/>
        <v>1.6737038304994484E-3</v>
      </c>
      <c r="J31" s="10">
        <f t="shared" si="4"/>
        <v>0.77850151397788891</v>
      </c>
      <c r="K31" s="10">
        <f t="shared" si="5"/>
        <v>0.82407090418045581</v>
      </c>
      <c r="M31" s="3"/>
    </row>
    <row xmlns:x14ac="http://schemas.microsoft.com/office/spreadsheetml/2009/9/ac" r="32" x14ac:dyDescent="0.25">
      <c r="A32">
        <v>48453</v>
      </c>
      <c r="B32" t="s">
        <v>36</v>
      </c>
      <c r="C32" t="s">
        <v>153</v>
      </c>
      <c r="D32">
        <f>INDEX('PIVOT - IRS OUT'!$D:$D,MATCH($A32,'PIVOT - IRS OUT'!$A:$A,0))</f>
        <v>147</v>
      </c>
      <c r="E32">
        <f>INDEX('PIVOT - IRS IN'!$D:$D,MATCH($A32,'PIVOT - IRS IN'!$A:$A,0))</f>
        <v>139</v>
      </c>
      <c r="F32">
        <f t="shared" si="0"/>
        <v>30</v>
      </c>
      <c r="G32">
        <f t="shared" si="1"/>
        <v>30</v>
      </c>
      <c r="H32" s="9">
        <f t="shared" si="2"/>
        <v>5.1756918526864306E-3</v>
      </c>
      <c r="I32" s="9">
        <f t="shared" si="3"/>
        <v>5.2873825554414396E-3</v>
      </c>
      <c r="J32" s="10">
        <f t="shared" si="4"/>
        <v>0.77850151397788891</v>
      </c>
      <c r="K32" s="10">
        <f t="shared" si="5"/>
        <v>0.74415154627410718</v>
      </c>
      <c r="M32" s="3"/>
    </row>
    <row xmlns:x14ac="http://schemas.microsoft.com/office/spreadsheetml/2009/9/ac" r="33" x14ac:dyDescent="0.25">
      <c r="A33">
        <v>6065</v>
      </c>
      <c r="B33" t="s">
        <v>11</v>
      </c>
      <c r="C33" t="s">
        <v>66</v>
      </c>
      <c r="D33">
        <f>INDEX('PIVOT - IRS OUT'!$D:$D,MATCH($A33,'PIVOT - IRS OUT'!$A:$A,0))</f>
        <v>142</v>
      </c>
      <c r="E33">
        <f>INDEX('PIVOT - IRS IN'!$D:$D,MATCH($A33,'PIVOT - IRS IN'!$A:$A,0))</f>
        <v>134</v>
      </c>
      <c r="F33">
        <f t="shared" si="0"/>
        <v>32</v>
      </c>
      <c r="G33">
        <f t="shared" si="1"/>
        <v>33</v>
      </c>
      <c r="H33" s="9">
        <f t="shared" si="2"/>
        <v>4.9996479121188651E-3</v>
      </c>
      <c r="I33" s="9">
        <f t="shared" si="3"/>
        <v>5.0971889383392291E-3</v>
      </c>
      <c r="J33" s="10">
        <f t="shared" si="4"/>
        <v>0.78350116189000774</v>
      </c>
      <c r="K33" s="10">
        <f t="shared" si="5"/>
        <v>0.75967134542964754</v>
      </c>
      <c r="M33" s="3"/>
    </row>
    <row xmlns:x14ac="http://schemas.microsoft.com/office/spreadsheetml/2009/9/ac" r="34" x14ac:dyDescent="0.25">
      <c r="A34">
        <v>41041</v>
      </c>
      <c r="B34" t="s">
        <v>3</v>
      </c>
      <c r="C34" t="s">
        <v>137</v>
      </c>
      <c r="D34">
        <f>INDEX('PIVOT - IRS OUT'!$D:$D,MATCH($A34,'PIVOT - IRS OUT'!$A:$A,0))</f>
        <v>135</v>
      </c>
      <c r="E34">
        <f>INDEX('PIVOT - IRS IN'!$D:$D,MATCH($A34,'PIVOT - IRS IN'!$A:$A,0))</f>
        <v>82</v>
      </c>
      <c r="F34">
        <f t="shared" si="0"/>
        <v>33</v>
      </c>
      <c r="G34">
        <f t="shared" si="1"/>
        <v>48</v>
      </c>
      <c r="H34" s="9">
        <f t="shared" si="2"/>
        <v>4.7531863953242728E-3</v>
      </c>
      <c r="I34" s="9">
        <f t="shared" si="3"/>
        <v>3.119175320476245E-3</v>
      </c>
      <c r="J34" s="10">
        <f t="shared" si="4"/>
        <v>0.78825434828533203</v>
      </c>
      <c r="K34" s="10">
        <f t="shared" si="5"/>
        <v>0.81714785651793531</v>
      </c>
      <c r="M34" s="3"/>
    </row>
    <row xmlns:x14ac="http://schemas.microsoft.com/office/spreadsheetml/2009/9/ac" r="35" x14ac:dyDescent="0.25">
      <c r="A35">
        <v>36047</v>
      </c>
      <c r="B35" t="s">
        <v>31</v>
      </c>
      <c r="C35" t="s">
        <v>116</v>
      </c>
      <c r="D35">
        <f>INDEX('PIVOT - IRS OUT'!$D:$D,MATCH($A35,'PIVOT - IRS OUT'!$A:$A,0))</f>
        <v>133</v>
      </c>
      <c r="E35">
        <f>INDEX('PIVOT - IRS IN'!$D:$D,MATCH($A35,'PIVOT - IRS IN'!$A:$A,0))</f>
        <v>309</v>
      </c>
      <c r="F35">
        <f t="shared" si="0"/>
        <v>34</v>
      </c>
      <c r="G35">
        <f t="shared" si="1"/>
        <v>14</v>
      </c>
      <c r="H35" s="9">
        <f t="shared" si="2"/>
        <v>4.682768819097247E-3</v>
      </c>
      <c r="I35" s="9">
        <f t="shared" si="3"/>
        <v>1.1753965536916581E-2</v>
      </c>
      <c r="J35" s="10">
        <f t="shared" si="4"/>
        <v>0.79293711710442927</v>
      </c>
      <c r="K35" s="10">
        <f t="shared" si="5"/>
        <v>0.62585111643653235</v>
      </c>
      <c r="M35" s="3"/>
    </row>
    <row xmlns:x14ac="http://schemas.microsoft.com/office/spreadsheetml/2009/9/ac" r="36" x14ac:dyDescent="0.25">
      <c r="A36">
        <v>49035</v>
      </c>
      <c r="B36" t="s">
        <v>37</v>
      </c>
      <c r="C36" t="s">
        <v>154</v>
      </c>
      <c r="D36">
        <f>INDEX('PIVOT - IRS OUT'!$D:$D,MATCH($A36,'PIVOT - IRS OUT'!$A:$A,0))</f>
        <v>122</v>
      </c>
      <c r="E36">
        <f>INDEX('PIVOT - IRS IN'!$D:$D,MATCH($A36,'PIVOT - IRS IN'!$A:$A,0))</f>
        <v>147</v>
      </c>
      <c r="F36">
        <f t="shared" si="0"/>
        <v>35</v>
      </c>
      <c r="G36">
        <f t="shared" si="1"/>
        <v>28</v>
      </c>
      <c r="H36" s="9">
        <f t="shared" si="2"/>
        <v>4.2954721498486021E-3</v>
      </c>
      <c r="I36" s="9">
        <f t="shared" si="3"/>
        <v>5.591692342804975E-3</v>
      </c>
      <c r="J36" s="10">
        <f t="shared" si="4"/>
        <v>0.79723258925427787</v>
      </c>
      <c r="K36" s="10">
        <f t="shared" si="5"/>
        <v>0.73346266499296298</v>
      </c>
      <c r="M36" s="3"/>
    </row>
    <row xmlns:x14ac="http://schemas.microsoft.com/office/spreadsheetml/2009/9/ac" r="37" x14ac:dyDescent="0.25">
      <c r="A37">
        <v>41043</v>
      </c>
      <c r="B37" t="s">
        <v>3</v>
      </c>
      <c r="C37" t="s">
        <v>138</v>
      </c>
      <c r="D37">
        <f>INDEX('PIVOT - IRS OUT'!$D:$D,MATCH($A37,'PIVOT - IRS OUT'!$A:$A,0))</f>
        <v>116</v>
      </c>
      <c r="E37">
        <f>INDEX('PIVOT - IRS IN'!$D:$D,MATCH($A37,'PIVOT - IRS IN'!$A:$A,0))</f>
        <v>98</v>
      </c>
      <c r="F37">
        <f t="shared" si="0"/>
        <v>36</v>
      </c>
      <c r="G37">
        <f t="shared" si="1"/>
        <v>42</v>
      </c>
      <c r="H37" s="9">
        <f t="shared" si="2"/>
        <v>4.0842194211675236E-3</v>
      </c>
      <c r="I37" s="9">
        <f t="shared" si="3"/>
        <v>3.7277948952033168E-3</v>
      </c>
      <c r="J37" s="10">
        <f t="shared" si="4"/>
        <v>0.80131680867544541</v>
      </c>
      <c r="K37" s="10">
        <f t="shared" si="5"/>
        <v>0.79668302331773744</v>
      </c>
      <c r="M37" s="3"/>
    </row>
    <row xmlns:x14ac="http://schemas.microsoft.com/office/spreadsheetml/2009/9/ac" r="38" x14ac:dyDescent="0.25">
      <c r="A38">
        <v>53061</v>
      </c>
      <c r="B38" t="s">
        <v>40</v>
      </c>
      <c r="C38" t="s">
        <v>167</v>
      </c>
      <c r="D38">
        <f>INDEX('PIVOT - IRS OUT'!$D:$D,MATCH($A38,'PIVOT - IRS OUT'!$A:$A,0))</f>
        <v>113</v>
      </c>
      <c r="E38">
        <f>INDEX('PIVOT - IRS IN'!$D:$D,MATCH($A38,'PIVOT - IRS IN'!$A:$A,0))</f>
        <v>104</v>
      </c>
      <c r="F38">
        <f t="shared" si="0"/>
        <v>37</v>
      </c>
      <c r="G38">
        <f t="shared" si="1"/>
        <v>40</v>
      </c>
      <c r="H38" s="9">
        <f t="shared" si="2"/>
        <v>3.978593056826984E-3</v>
      </c>
      <c r="I38" s="9">
        <f t="shared" si="3"/>
        <v>3.9560272357259691E-3</v>
      </c>
      <c r="J38" s="10">
        <f t="shared" si="4"/>
        <v>0.80529540173227243</v>
      </c>
      <c r="K38" s="10">
        <f t="shared" si="5"/>
        <v>0.78918939480391037</v>
      </c>
      <c r="M38" s="3"/>
    </row>
    <row xmlns:x14ac="http://schemas.microsoft.com/office/spreadsheetml/2009/9/ac" r="39" x14ac:dyDescent="0.25">
      <c r="A39">
        <v>4019</v>
      </c>
      <c r="B39" t="s">
        <v>10</v>
      </c>
      <c r="C39" t="s">
        <v>54</v>
      </c>
      <c r="D39">
        <f>INDEX('PIVOT - IRS OUT'!$D:$D,MATCH($A39,'PIVOT - IRS OUT'!$A:$A,0))</f>
        <v>109</v>
      </c>
      <c r="E39">
        <f>INDEX('PIVOT - IRS IN'!$D:$D,MATCH($A39,'PIVOT - IRS IN'!$A:$A,0))</f>
        <v>93</v>
      </c>
      <c r="F39">
        <f t="shared" si="0"/>
        <v>38</v>
      </c>
      <c r="G39">
        <f t="shared" si="1"/>
        <v>44</v>
      </c>
      <c r="H39" s="9">
        <f t="shared" si="2"/>
        <v>3.8377579043729314E-3</v>
      </c>
      <c r="I39" s="9">
        <f t="shared" si="3"/>
        <v>3.5376012781011068E-3</v>
      </c>
      <c r="J39" s="10">
        <f t="shared" si="4"/>
        <v>0.80913315963664534</v>
      </c>
      <c r="K39" s="10">
        <f t="shared" si="5"/>
        <v>0.80391038076762156</v>
      </c>
      <c r="M39" s="3"/>
    </row>
    <row xmlns:x14ac="http://schemas.microsoft.com/office/spreadsheetml/2009/9/ac" r="40" x14ac:dyDescent="0.25">
      <c r="A40">
        <v>27053</v>
      </c>
      <c r="B40" t="s">
        <v>27</v>
      </c>
      <c r="C40" t="s">
        <v>107</v>
      </c>
      <c r="D40">
        <f>INDEX('PIVOT - IRS OUT'!$D:$D,MATCH($A40,'PIVOT - IRS OUT'!$A:$A,0))</f>
        <v>107</v>
      </c>
      <c r="E40">
        <f>INDEX('PIVOT - IRS IN'!$D:$D,MATCH($A40,'PIVOT - IRS IN'!$A:$A,0))</f>
        <v>136</v>
      </c>
      <c r="F40">
        <f t="shared" si="0"/>
        <v>39</v>
      </c>
      <c r="G40">
        <f t="shared" si="1"/>
        <v>32</v>
      </c>
      <c r="H40" s="9">
        <f t="shared" si="2"/>
        <v>3.7673403281459051E-3</v>
      </c>
      <c r="I40" s="9">
        <f t="shared" si="3"/>
        <v>5.1732663851801136E-3</v>
      </c>
      <c r="J40" s="10">
        <f t="shared" si="4"/>
        <v>0.81290049996479119</v>
      </c>
      <c r="K40" s="10">
        <f t="shared" si="5"/>
        <v>0.75457415649130832</v>
      </c>
      <c r="M40" s="3"/>
    </row>
    <row xmlns:x14ac="http://schemas.microsoft.com/office/spreadsheetml/2009/9/ac" r="41" x14ac:dyDescent="0.25">
      <c r="A41">
        <v>15003</v>
      </c>
      <c r="B41" t="s">
        <v>17</v>
      </c>
      <c r="C41" t="s">
        <v>93</v>
      </c>
      <c r="D41">
        <f>INDEX('PIVOT - IRS OUT'!$D:$D,MATCH($A41,'PIVOT - IRS OUT'!$A:$A,0))</f>
        <v>103</v>
      </c>
      <c r="E41">
        <f>INDEX('PIVOT - IRS IN'!$D:$D,MATCH($A41,'PIVOT - IRS IN'!$A:$A,0))</f>
        <v>152</v>
      </c>
      <c r="F41">
        <f t="shared" si="0"/>
        <v>40</v>
      </c>
      <c r="G41">
        <f t="shared" si="1"/>
        <v>27</v>
      </c>
      <c r="H41" s="9">
        <f t="shared" si="2"/>
        <v>3.6265051756918525E-3</v>
      </c>
      <c r="I41" s="9">
        <f t="shared" si="3"/>
        <v>5.7818859599071855E-3</v>
      </c>
      <c r="J41" s="10">
        <f t="shared" si="4"/>
        <v>0.81652700514048304</v>
      </c>
      <c r="K41" s="10">
        <f t="shared" si="5"/>
        <v>0.72787097265015799</v>
      </c>
      <c r="M41" s="3"/>
    </row>
    <row xmlns:x14ac="http://schemas.microsoft.com/office/spreadsheetml/2009/9/ac" r="42" x14ac:dyDescent="0.25">
      <c r="A42">
        <v>53067</v>
      </c>
      <c r="B42" t="s">
        <v>40</v>
      </c>
      <c r="C42" t="s">
        <v>169</v>
      </c>
      <c r="D42">
        <f>INDEX('PIVOT - IRS OUT'!$D:$D,MATCH($A42,'PIVOT - IRS OUT'!$A:$A,0))</f>
        <v>97</v>
      </c>
      <c r="E42">
        <f>INDEX('PIVOT - IRS IN'!$D:$D,MATCH($A42,'PIVOT - IRS IN'!$A:$A,0))</f>
        <v>106</v>
      </c>
      <c r="F42">
        <f t="shared" si="0"/>
        <v>41</v>
      </c>
      <c r="G42">
        <f t="shared" si="1"/>
        <v>38</v>
      </c>
      <c r="H42" s="9">
        <f t="shared" si="2"/>
        <v>3.415252447010774E-3</v>
      </c>
      <c r="I42" s="9">
        <f t="shared" si="3"/>
        <v>4.0321046825668528E-3</v>
      </c>
      <c r="J42" s="10">
        <f t="shared" si="4"/>
        <v>0.81994225758749384</v>
      </c>
      <c r="K42" s="10">
        <f t="shared" si="5"/>
        <v>0.7852333675681844</v>
      </c>
      <c r="M42" s="3"/>
    </row>
    <row xmlns:x14ac="http://schemas.microsoft.com/office/spreadsheetml/2009/9/ac" r="43" x14ac:dyDescent="0.25">
      <c r="A43">
        <v>36061</v>
      </c>
      <c r="B43" t="s">
        <v>31</v>
      </c>
      <c r="C43" t="s">
        <v>117</v>
      </c>
      <c r="D43">
        <f>INDEX('PIVOT - IRS OUT'!$D:$D,MATCH($A43,'PIVOT - IRS OUT'!$A:$A,0))</f>
        <v>95</v>
      </c>
      <c r="E43">
        <f>INDEX('PIVOT - IRS IN'!$D:$D,MATCH($A43,'PIVOT - IRS IN'!$A:$A,0))</f>
        <v>160</v>
      </c>
      <c r="F43">
        <f t="shared" si="0"/>
        <v>42</v>
      </c>
      <c r="G43">
        <f t="shared" si="1"/>
        <v>26</v>
      </c>
      <c r="H43" s="9">
        <f t="shared" si="2"/>
        <v>3.3448348707837477E-3</v>
      </c>
      <c r="I43" s="9">
        <f t="shared" si="3"/>
        <v>6.0861957472707218E-3</v>
      </c>
      <c r="J43" s="10">
        <f t="shared" si="4"/>
        <v>0.82328709245827758</v>
      </c>
      <c r="K43" s="10">
        <f t="shared" si="5"/>
        <v>0.72208908669025085</v>
      </c>
      <c r="M43" s="3"/>
    </row>
    <row xmlns:x14ac="http://schemas.microsoft.com/office/spreadsheetml/2009/9/ac" r="44" x14ac:dyDescent="0.25">
      <c r="A44">
        <v>48201</v>
      </c>
      <c r="B44" t="s">
        <v>36</v>
      </c>
      <c r="C44" t="s">
        <v>151</v>
      </c>
      <c r="D44">
        <f>INDEX('PIVOT - IRS OUT'!$D:$D,MATCH($A44,'PIVOT - IRS OUT'!$A:$A,0))</f>
        <v>89</v>
      </c>
      <c r="E44">
        <f>INDEX('PIVOT - IRS IN'!$D:$D,MATCH($A44,'PIVOT - IRS IN'!$A:$A,0))</f>
        <v>110</v>
      </c>
      <c r="F44">
        <f t="shared" si="0"/>
        <v>43</v>
      </c>
      <c r="G44">
        <f t="shared" si="1"/>
        <v>37</v>
      </c>
      <c r="H44" s="9">
        <f t="shared" si="2"/>
        <v>3.1335821421026688E-3</v>
      </c>
      <c r="I44" s="9">
        <f t="shared" si="3"/>
        <v>4.1842595762486209E-3</v>
      </c>
      <c r="J44" s="10">
        <f t="shared" si="4"/>
        <v>0.82642067460038027</v>
      </c>
      <c r="K44" s="10">
        <f t="shared" si="5"/>
        <v>0.77716915820305066</v>
      </c>
    </row>
    <row xmlns:x14ac="http://schemas.microsoft.com/office/spreadsheetml/2009/9/ac" r="45" x14ac:dyDescent="0.25">
      <c r="A45">
        <v>48113</v>
      </c>
      <c r="B45" t="s">
        <v>36</v>
      </c>
      <c r="C45" t="s">
        <v>150</v>
      </c>
      <c r="D45">
        <f>INDEX('PIVOT - IRS OUT'!$D:$D,MATCH($A45,'PIVOT - IRS OUT'!$A:$A,0))</f>
        <v>78</v>
      </c>
      <c r="E45">
        <f>INDEX('PIVOT - IRS IN'!$D:$D,MATCH($A45,'PIVOT - IRS IN'!$A:$A,0))</f>
        <v>88</v>
      </c>
      <c r="F45">
        <f t="shared" si="0"/>
        <v>44</v>
      </c>
      <c r="G45">
        <f t="shared" si="1"/>
        <v>46</v>
      </c>
      <c r="H45" s="9">
        <f t="shared" si="2"/>
        <v>2.7462854728540244E-3</v>
      </c>
      <c r="I45" s="9">
        <f t="shared" si="3"/>
        <v>3.3474076609988968E-3</v>
      </c>
      <c r="J45" s="10">
        <f t="shared" si="4"/>
        <v>0.82916696007323432</v>
      </c>
      <c r="K45" s="10">
        <f t="shared" si="5"/>
        <v>0.81402868119745908</v>
      </c>
    </row>
    <row xmlns:x14ac="http://schemas.microsoft.com/office/spreadsheetml/2009/9/ac" r="46" x14ac:dyDescent="0.25">
      <c r="A46">
        <v>6071</v>
      </c>
      <c r="B46" t="s">
        <v>11</v>
      </c>
      <c r="C46" t="s">
        <v>68</v>
      </c>
      <c r="D46">
        <f>INDEX('PIVOT - IRS OUT'!$D:$D,MATCH($A46,'PIVOT - IRS OUT'!$A:$A,0))</f>
        <v>71</v>
      </c>
      <c r="E46">
        <f>INDEX('PIVOT - IRS IN'!$D:$D,MATCH($A46,'PIVOT - IRS IN'!$A:$A,0))</f>
        <v>122</v>
      </c>
      <c r="F46">
        <f t="shared" si="0"/>
        <v>45</v>
      </c>
      <c r="G46">
        <f t="shared" si="1"/>
        <v>34</v>
      </c>
      <c r="H46" s="9">
        <f t="shared" si="2"/>
        <v>2.4998239560594326E-3</v>
      </c>
      <c r="I46" s="9">
        <f t="shared" si="3"/>
        <v>4.6407242572939255E-3</v>
      </c>
      <c r="J46" s="10">
        <f t="shared" si="4"/>
        <v>0.83166678402929373</v>
      </c>
      <c r="K46" s="10">
        <f t="shared" si="5"/>
        <v>0.76431206968694143</v>
      </c>
    </row>
    <row xmlns:x14ac="http://schemas.microsoft.com/office/spreadsheetml/2009/9/ac" r="47" x14ac:dyDescent="0.25">
      <c r="A47">
        <v>6013</v>
      </c>
      <c r="B47" t="s">
        <v>11</v>
      </c>
      <c r="C47" t="s">
        <v>57</v>
      </c>
      <c r="D47">
        <f>INDEX('PIVOT - IRS OUT'!$D:$D,MATCH($A47,'PIVOT - IRS OUT'!$A:$A,0))</f>
        <v>65</v>
      </c>
      <c r="E47">
        <f>INDEX('PIVOT - IRS IN'!$D:$D,MATCH($A47,'PIVOT - IRS IN'!$A:$A,0))</f>
        <v>170</v>
      </c>
      <c r="F47">
        <f t="shared" si="0"/>
        <v>46</v>
      </c>
      <c r="G47">
        <f t="shared" si="1"/>
        <v>23</v>
      </c>
      <c r="H47" s="9">
        <f t="shared" si="2"/>
        <v>2.2885712273783537E-3</v>
      </c>
      <c r="I47" s="9">
        <f t="shared" si="3"/>
        <v>6.4665829814751418E-3</v>
      </c>
      <c r="J47" s="10">
        <f t="shared" si="4"/>
        <v>0.83395535525667208</v>
      </c>
      <c r="K47" s="10">
        <f t="shared" si="5"/>
        <v>0.70980257902544808</v>
      </c>
    </row>
    <row xmlns:x14ac="http://schemas.microsoft.com/office/spreadsheetml/2009/9/ac" r="48" x14ac:dyDescent="0.25">
      <c r="A48">
        <v>11001</v>
      </c>
      <c r="B48" t="s">
        <v>14</v>
      </c>
      <c r="C48" t="s">
        <v>14</v>
      </c>
      <c r="D48">
        <f>INDEX('PIVOT - IRS OUT'!$D:$D,MATCH($A48,'PIVOT - IRS OUT'!$A:$A,0))</f>
        <v>56</v>
      </c>
      <c r="E48">
        <f>INDEX('PIVOT - IRS IN'!$D:$D,MATCH($A48,'PIVOT - IRS IN'!$A:$A,0))</f>
        <v>138</v>
      </c>
      <c r="F48">
        <f t="shared" si="0"/>
        <v>47</v>
      </c>
      <c r="G48">
        <f t="shared" si="1"/>
        <v>31</v>
      </c>
      <c r="H48" s="9">
        <f t="shared" si="2"/>
        <v>1.9716921343567355E-3</v>
      </c>
      <c r="I48" s="9">
        <f t="shared" si="3"/>
        <v>5.2493438320209973E-3</v>
      </c>
      <c r="J48" s="10">
        <f t="shared" si="4"/>
        <v>0.83592704739102885</v>
      </c>
      <c r="K48" s="10">
        <f t="shared" si="5"/>
        <v>0.7494008901061282</v>
      </c>
    </row>
    <row xmlns:x14ac="http://schemas.microsoft.com/office/spreadsheetml/2009/9/ac" r="49" x14ac:dyDescent="0.25">
      <c r="A49">
        <v>6081</v>
      </c>
      <c r="B49" t="s">
        <v>11</v>
      </c>
      <c r="C49" t="s">
        <v>72</v>
      </c>
      <c r="D49">
        <f>INDEX('PIVOT - IRS OUT'!$D:$D,MATCH($A49,'PIVOT - IRS OUT'!$A:$A,0))</f>
        <v>52</v>
      </c>
      <c r="E49">
        <f>INDEX('PIVOT - IRS IN'!$D:$D,MATCH($A49,'PIVOT - IRS IN'!$A:$A,0))</f>
        <v>163</v>
      </c>
      <c r="F49">
        <f t="shared" si="0"/>
        <v>48</v>
      </c>
      <c r="G49">
        <f t="shared" si="1"/>
        <v>25</v>
      </c>
      <c r="H49" s="9">
        <f t="shared" si="2"/>
        <v>1.8308569819026829E-3</v>
      </c>
      <c r="I49" s="9">
        <f t="shared" si="3"/>
        <v>6.2003119175320478E-3</v>
      </c>
      <c r="J49" s="10">
        <f t="shared" si="4"/>
        <v>0.83775790437293152</v>
      </c>
      <c r="K49" s="10">
        <f t="shared" si="5"/>
        <v>0.71600289094298009</v>
      </c>
    </row>
    <row xmlns:x14ac="http://schemas.microsoft.com/office/spreadsheetml/2009/9/ac" r="50" x14ac:dyDescent="0.25">
      <c r="A50">
        <v>6097</v>
      </c>
      <c r="B50" t="s">
        <v>11</v>
      </c>
      <c r="C50" t="s">
        <v>77</v>
      </c>
      <c r="D50">
        <f>INDEX('PIVOT - IRS OUT'!$D:$D,MATCH($A50,'PIVOT - IRS OUT'!$A:$A,0))</f>
        <v>51</v>
      </c>
      <c r="E50">
        <f>INDEX('PIVOT - IRS IN'!$D:$D,MATCH($A50,'PIVOT - IRS IN'!$A:$A,0))</f>
        <v>76</v>
      </c>
      <c r="F50">
        <f t="shared" si="0"/>
        <v>49</v>
      </c>
      <c r="G50">
        <f t="shared" si="1"/>
        <v>49</v>
      </c>
      <c r="H50" s="9">
        <f t="shared" si="2"/>
        <v>1.7956481937891698E-3</v>
      </c>
      <c r="I50" s="9">
        <f t="shared" si="3"/>
        <v>2.8909429799535927E-3</v>
      </c>
      <c r="J50" s="10">
        <f t="shared" si="4"/>
        <v>0.83955355256672071</v>
      </c>
      <c r="K50" s="10">
        <f t="shared" si="5"/>
        <v>0.82003879949788894</v>
      </c>
    </row>
    <row xmlns:x14ac="http://schemas.microsoft.com/office/spreadsheetml/2009/9/ac" r="51" x14ac:dyDescent="0.25">
      <c r="A51">
        <v>25017</v>
      </c>
      <c r="B51" t="s">
        <v>25</v>
      </c>
      <c r="C51" t="s">
        <v>104</v>
      </c>
      <c r="D51">
        <f>INDEX('PIVOT - IRS OUT'!$D:$D,MATCH($A51,'PIVOT - IRS OUT'!$A:$A,0))</f>
        <v>48</v>
      </c>
      <c r="E51">
        <f>INDEX('PIVOT - IRS IN'!$D:$D,MATCH($A51,'PIVOT - IRS IN'!$A:$A,0))</f>
        <v>117</v>
      </c>
      <c r="F51">
        <f t="shared" si="0"/>
        <v>50</v>
      </c>
      <c r="G51">
        <f t="shared" si="1"/>
        <v>35</v>
      </c>
      <c r="H51" s="9">
        <f t="shared" si="2"/>
        <v>1.6900218294486303E-3</v>
      </c>
      <c r="I51" s="9">
        <f t="shared" si="3"/>
        <v>4.450530640191715E-3</v>
      </c>
      <c r="J51" s="10">
        <f t="shared" si="4"/>
        <v>0.84124357439616937</v>
      </c>
      <c r="K51" s="10">
        <f t="shared" si="5"/>
        <v>0.76876260032713317</v>
      </c>
    </row>
    <row xmlns:x14ac="http://schemas.microsoft.com/office/spreadsheetml/2009/9/ac" r="52" x14ac:dyDescent="0.25">
      <c r="A52">
        <v>6111</v>
      </c>
      <c r="B52" t="s">
        <v>11</v>
      </c>
      <c r="C52" t="s">
        <v>78</v>
      </c>
      <c r="D52">
        <f>INDEX('PIVOT - IRS OUT'!$D:$D,MATCH($A52,'PIVOT - IRS OUT'!$A:$A,0))</f>
        <v>45</v>
      </c>
      <c r="E52">
        <f>INDEX('PIVOT - IRS IN'!$D:$D,MATCH($A52,'PIVOT - IRS IN'!$A:$A,0))</f>
        <v>62</v>
      </c>
      <c r="F52">
        <f t="shared" si="0"/>
        <v>51</v>
      </c>
      <c r="G52">
        <f t="shared" si="1"/>
        <v>50</v>
      </c>
      <c r="H52" s="9">
        <f t="shared" si="2"/>
        <v>1.5843954651080909E-3</v>
      </c>
      <c r="I52" s="9">
        <f t="shared" si="3"/>
        <v>2.3584008520674046E-3</v>
      </c>
      <c r="J52" s="10">
        <f t="shared" si="4"/>
        <v>0.8428279698612775</v>
      </c>
      <c r="K52" s="10">
        <f t="shared" si="5"/>
        <v>0.82239720034995634</v>
      </c>
    </row>
    <row xmlns:x14ac="http://schemas.microsoft.com/office/spreadsheetml/2009/9/ac" r="54" x14ac:dyDescent="0.25">
      <c r="D54" s="8">
        <f>SUM('PIVOT - IRS OUT'!D:D)</f>
        <v>28402</v>
      </c>
      <c r="E54" s="8">
        <f>SUM('PIVOT - IRS IN'!D:D)</f>
        <v>26289</v>
      </c>
      <c r="H54" s="10">
        <f>SUM(H2:H52)</f>
        <v>0.8428279698612775</v>
      </c>
      <c r="I54" s="10">
        <f>SUM(I2:I52)</f>
        <v>0.82407090418045581</v>
      </c>
    </row>
  </sheetData>
  <sortState ref="A2:E52">
    <sortCondition descending="true" ref="D2:D5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C40CA-FEB4-4EED-A262-BB5287B958CA}">
  <dimension ref="A1:F175"/>
  <sheetViews>
    <sheetView workbookViewId="0">
      <selection activeCell="E1" sqref="E1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9.7109375" bestFit="true" customWidth="true"/>
    <col min="3" max="3" width="22.28515625" bestFit="true" customWidth="true"/>
    <col min="4" max="4" width="9.7109375" bestFit="true" customWidth="true"/>
    <col min="5" max="7" width="16.28515625" bestFit="true" customWidth="true"/>
    <col min="8" max="8" width="11.28515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  <c r="E1" s="8">
        <f>SUM($D:$D)</f>
        <v>28402</v>
      </c>
    </row>
    <row xmlns:x14ac="http://schemas.microsoft.com/office/spreadsheetml/2009/9/ac" r="3" x14ac:dyDescent="0.25">
      <c r="A3" s="2" t="s">
        <v>265</v>
      </c>
      <c r="B3" s="2" t="s">
        <v>8</v>
      </c>
      <c r="C3" s="2" t="s">
        <v>51</v>
      </c>
      <c r="D3" t="s">
        <v>340</v>
      </c>
      <c r="E3" t="s">
        <v>341</v>
      </c>
      <c r="F3" t="s">
        <v>342</v>
      </c>
    </row>
    <row xmlns:x14ac="http://schemas.microsoft.com/office/spreadsheetml/2009/9/ac" r="4" x14ac:dyDescent="0.25">
      <c r="A4" s="3">
        <v>41005</v>
      </c>
      <c r="B4" t="s">
        <v>3</v>
      </c>
      <c r="C4" t="s">
        <v>125</v>
      </c>
      <c r="D4" s="3">
        <v>5956</v>
      </c>
      <c r="E4" s="5">
        <f>D4/SUM($D:$D)</f>
        <v>0.20970354200408423</v>
      </c>
      <c r="F4" s="6">
        <f>E4</f>
        <v>0.20970354200408423</v>
      </c>
    </row>
    <row xmlns:x14ac="http://schemas.microsoft.com/office/spreadsheetml/2009/9/ac" r="5" x14ac:dyDescent="0.25">
      <c r="A5" s="3">
        <v>41067</v>
      </c>
      <c r="B5" t="s">
        <v>3</v>
      </c>
      <c r="C5" t="s">
        <v>143</v>
      </c>
      <c r="D5" s="3">
        <v>5212</v>
      </c>
      <c r="E5" s="5">
        <f t="shared" ref="E5:E68" si="0">D5/SUM($D:$D)</f>
        <v>0.18350820364763046</v>
      </c>
      <c r="F5" s="6">
        <f>F4+E5</f>
        <v>0.39321174565171468</v>
      </c>
    </row>
    <row xmlns:x14ac="http://schemas.microsoft.com/office/spreadsheetml/2009/9/ac" r="6" x14ac:dyDescent="0.25">
      <c r="A6" s="3">
        <v>53011</v>
      </c>
      <c r="B6" t="s">
        <v>40</v>
      </c>
      <c r="C6" t="s">
        <v>112</v>
      </c>
      <c r="D6" s="3">
        <v>3137</v>
      </c>
      <c r="E6" s="5">
        <f t="shared" si="0"/>
        <v>0.1104499683120907</v>
      </c>
      <c r="F6" s="6">
        <f t="shared" ref="F6:F69" si="1">F5+E6</f>
        <v>0.50366171396380532</v>
      </c>
    </row>
    <row xmlns:x14ac="http://schemas.microsoft.com/office/spreadsheetml/2009/9/ac" r="7" x14ac:dyDescent="0.25">
      <c r="A7" s="3">
        <v>53033</v>
      </c>
      <c r="B7" t="s">
        <v>40</v>
      </c>
      <c r="C7" t="s">
        <v>160</v>
      </c>
      <c r="D7" s="3">
        <v>766</v>
      </c>
      <c r="E7" s="5">
        <f t="shared" si="0"/>
        <v>2.6969931694951061E-2</v>
      </c>
      <c r="F7" s="6">
        <f t="shared" si="1"/>
        <v>0.53063164565875642</v>
      </c>
    </row>
    <row xmlns:x14ac="http://schemas.microsoft.com/office/spreadsheetml/2009/9/ac" r="8" x14ac:dyDescent="0.25">
      <c r="A8" s="3">
        <v>41017</v>
      </c>
      <c r="B8" t="s">
        <v>3</v>
      </c>
      <c r="C8" t="s">
        <v>130</v>
      </c>
      <c r="D8" s="3">
        <v>706</v>
      </c>
      <c r="E8" s="5">
        <f t="shared" si="0"/>
        <v>2.4857404408140271E-2</v>
      </c>
      <c r="F8" s="6">
        <f t="shared" si="1"/>
        <v>0.55548905006689675</v>
      </c>
    </row>
    <row xmlns:x14ac="http://schemas.microsoft.com/office/spreadsheetml/2009/9/ac" r="9" x14ac:dyDescent="0.25">
      <c r="A9" s="3">
        <v>6037</v>
      </c>
      <c r="B9" t="s">
        <v>11</v>
      </c>
      <c r="C9" t="s">
        <v>61</v>
      </c>
      <c r="D9" s="3">
        <v>577</v>
      </c>
      <c r="E9" s="5">
        <f t="shared" si="0"/>
        <v>2.0315470741497078E-2</v>
      </c>
      <c r="F9" s="6">
        <f t="shared" si="1"/>
        <v>0.57580452080839384</v>
      </c>
    </row>
    <row xmlns:x14ac="http://schemas.microsoft.com/office/spreadsheetml/2009/9/ac" r="10" x14ac:dyDescent="0.25">
      <c r="A10" s="3">
        <v>41047</v>
      </c>
      <c r="B10" t="s">
        <v>3</v>
      </c>
      <c r="C10" t="s">
        <v>99</v>
      </c>
      <c r="D10" s="3">
        <v>574</v>
      </c>
      <c r="E10" s="5">
        <f t="shared" si="0"/>
        <v>2.020984437715654E-2</v>
      </c>
      <c r="F10" s="6">
        <f t="shared" si="1"/>
        <v>0.5960143651855504</v>
      </c>
    </row>
    <row xmlns:x14ac="http://schemas.microsoft.com/office/spreadsheetml/2009/9/ac" r="11" x14ac:dyDescent="0.25">
      <c r="A11" s="3">
        <v>41039</v>
      </c>
      <c r="B11" t="s">
        <v>3</v>
      </c>
      <c r="C11" t="s">
        <v>136</v>
      </c>
      <c r="D11" s="3">
        <v>482</v>
      </c>
      <c r="E11" s="5">
        <f t="shared" si="0"/>
        <v>1.6970635870713329E-2</v>
      </c>
      <c r="F11" s="6">
        <f t="shared" si="1"/>
        <v>0.61298500105626375</v>
      </c>
    </row>
    <row xmlns:x14ac="http://schemas.microsoft.com/office/spreadsheetml/2009/9/ac" r="12" x14ac:dyDescent="0.25">
      <c r="A12" s="3">
        <v>4013</v>
      </c>
      <c r="B12" t="s">
        <v>10</v>
      </c>
      <c r="C12" t="s">
        <v>53</v>
      </c>
      <c r="D12" s="3">
        <v>422</v>
      </c>
      <c r="E12" s="5">
        <f t="shared" si="0"/>
        <v>1.4858108583902543E-2</v>
      </c>
      <c r="F12" s="6">
        <f t="shared" si="1"/>
        <v>0.62784310964016632</v>
      </c>
    </row>
    <row xmlns:x14ac="http://schemas.microsoft.com/office/spreadsheetml/2009/9/ac" r="13" x14ac:dyDescent="0.25">
      <c r="A13" s="3">
        <v>41009</v>
      </c>
      <c r="B13" t="s">
        <v>3</v>
      </c>
      <c r="C13" t="s">
        <v>127</v>
      </c>
      <c r="D13" s="3">
        <v>364</v>
      </c>
      <c r="E13" s="5">
        <f t="shared" si="0"/>
        <v>1.281599887331878E-2</v>
      </c>
      <c r="F13" s="6">
        <f t="shared" si="1"/>
        <v>0.64065910851348506</v>
      </c>
    </row>
    <row xmlns:x14ac="http://schemas.microsoft.com/office/spreadsheetml/2009/9/ac" r="14" x14ac:dyDescent="0.25">
      <c r="A14" s="3">
        <v>41071</v>
      </c>
      <c r="B14" t="s">
        <v>3</v>
      </c>
      <c r="C14" t="s">
        <v>144</v>
      </c>
      <c r="D14" s="3">
        <v>288</v>
      </c>
      <c r="E14" s="5">
        <f t="shared" si="0"/>
        <v>1.0140130976691782E-2</v>
      </c>
      <c r="F14" s="6">
        <f t="shared" si="1"/>
        <v>0.65079923949017682</v>
      </c>
    </row>
    <row xmlns:x14ac="http://schemas.microsoft.com/office/spreadsheetml/2009/9/ac" r="15" x14ac:dyDescent="0.25">
      <c r="A15" s="3">
        <v>6073</v>
      </c>
      <c r="B15" t="s">
        <v>11</v>
      </c>
      <c r="C15" t="s">
        <v>69</v>
      </c>
      <c r="D15" s="3">
        <v>287</v>
      </c>
      <c r="E15" s="5">
        <f t="shared" si="0"/>
        <v>1.010492218857827E-2</v>
      </c>
      <c r="F15" s="6">
        <f t="shared" si="1"/>
        <v>0.6609041616787551</v>
      </c>
    </row>
    <row xmlns:x14ac="http://schemas.microsoft.com/office/spreadsheetml/2009/9/ac" r="16" x14ac:dyDescent="0.25">
      <c r="A16" s="3">
        <v>32003</v>
      </c>
      <c r="B16" t="s">
        <v>29</v>
      </c>
      <c r="C16" t="s">
        <v>112</v>
      </c>
      <c r="D16" s="3">
        <v>235</v>
      </c>
      <c r="E16" s="5">
        <f t="shared" si="0"/>
        <v>8.274065206675587E-3</v>
      </c>
      <c r="F16" s="6">
        <f t="shared" si="1"/>
        <v>0.66917822688543072</v>
      </c>
    </row>
    <row xmlns:x14ac="http://schemas.microsoft.com/office/spreadsheetml/2009/9/ac" r="17" x14ac:dyDescent="0.25">
      <c r="A17" s="3">
        <v>41007</v>
      </c>
      <c r="B17" t="s">
        <v>3</v>
      </c>
      <c r="C17" t="s">
        <v>126</v>
      </c>
      <c r="D17" s="3">
        <v>209</v>
      </c>
      <c r="E17" s="5">
        <f t="shared" si="0"/>
        <v>7.3586367157242446E-3</v>
      </c>
      <c r="F17" s="6">
        <f t="shared" si="1"/>
        <v>0.67653686360115495</v>
      </c>
    </row>
    <row xmlns:x14ac="http://schemas.microsoft.com/office/spreadsheetml/2009/9/ac" r="18" x14ac:dyDescent="0.25">
      <c r="A18" s="3">
        <v>53053</v>
      </c>
      <c r="B18" t="s">
        <v>40</v>
      </c>
      <c r="C18" t="s">
        <v>165</v>
      </c>
      <c r="D18" s="3">
        <v>207</v>
      </c>
      <c r="E18" s="5">
        <f t="shared" si="0"/>
        <v>7.2882191394972188E-3</v>
      </c>
      <c r="F18" s="6">
        <f t="shared" si="1"/>
        <v>0.68382508274065212</v>
      </c>
    </row>
    <row xmlns:x14ac="http://schemas.microsoft.com/office/spreadsheetml/2009/9/ac" r="19" x14ac:dyDescent="0.25">
      <c r="A19" s="3">
        <v>17031</v>
      </c>
      <c r="B19" t="s">
        <v>19</v>
      </c>
      <c r="C19" t="s">
        <v>98</v>
      </c>
      <c r="D19" s="3">
        <v>203</v>
      </c>
      <c r="E19" s="5">
        <f t="shared" si="0"/>
        <v>7.1473839870431662E-3</v>
      </c>
      <c r="F19" s="6">
        <f t="shared" si="1"/>
        <v>0.6909724667276953</v>
      </c>
    </row>
    <row xmlns:x14ac="http://schemas.microsoft.com/office/spreadsheetml/2009/9/ac" r="20" x14ac:dyDescent="0.25">
      <c r="A20" s="3">
        <v>41003</v>
      </c>
      <c r="B20" t="s">
        <v>3</v>
      </c>
      <c r="C20" t="s">
        <v>124</v>
      </c>
      <c r="D20" s="3">
        <v>189</v>
      </c>
      <c r="E20" s="5">
        <f t="shared" si="0"/>
        <v>6.6544609534539825E-3</v>
      </c>
      <c r="F20" s="6">
        <f t="shared" si="1"/>
        <v>0.69762692768114931</v>
      </c>
    </row>
    <row xmlns:x14ac="http://schemas.microsoft.com/office/spreadsheetml/2009/9/ac" r="21" x14ac:dyDescent="0.25">
      <c r="A21" s="3">
        <v>53063</v>
      </c>
      <c r="B21" t="s">
        <v>40</v>
      </c>
      <c r="C21" t="s">
        <v>168</v>
      </c>
      <c r="D21" s="3">
        <v>188</v>
      </c>
      <c r="E21" s="5">
        <f t="shared" si="0"/>
        <v>6.6192521653404687E-3</v>
      </c>
      <c r="F21" s="6">
        <f t="shared" si="1"/>
        <v>0.70424617984648974</v>
      </c>
    </row>
    <row xmlns:x14ac="http://schemas.microsoft.com/office/spreadsheetml/2009/9/ac" r="22" x14ac:dyDescent="0.25">
      <c r="A22" s="3">
        <v>6059</v>
      </c>
      <c r="B22" t="s">
        <v>11</v>
      </c>
      <c r="C22" t="s">
        <v>64</v>
      </c>
      <c r="D22" s="3">
        <v>186</v>
      </c>
      <c r="E22" s="5">
        <f t="shared" si="0"/>
        <v>6.5488345891134428E-3</v>
      </c>
      <c r="F22" s="6">
        <f t="shared" si="1"/>
        <v>0.71079501443560322</v>
      </c>
    </row>
    <row xmlns:x14ac="http://schemas.microsoft.com/office/spreadsheetml/2009/9/ac" r="23" x14ac:dyDescent="0.25">
      <c r="A23" s="3">
        <v>41029</v>
      </c>
      <c r="B23" t="s">
        <v>3</v>
      </c>
      <c r="C23" t="s">
        <v>133</v>
      </c>
      <c r="D23" s="3">
        <v>185</v>
      </c>
      <c r="E23" s="5">
        <f t="shared" si="0"/>
        <v>6.5136258009999299E-3</v>
      </c>
      <c r="F23" s="6">
        <f t="shared" si="1"/>
        <v>0.71730864023660312</v>
      </c>
    </row>
    <row xmlns:x14ac="http://schemas.microsoft.com/office/spreadsheetml/2009/9/ac" r="24" x14ac:dyDescent="0.25">
      <c r="A24" s="3">
        <v>6075</v>
      </c>
      <c r="B24" t="s">
        <v>11</v>
      </c>
      <c r="C24" t="s">
        <v>70</v>
      </c>
      <c r="D24" s="3">
        <v>171</v>
      </c>
      <c r="E24" s="5">
        <f t="shared" si="0"/>
        <v>6.0207027674107454E-3</v>
      </c>
      <c r="F24" s="6">
        <f t="shared" si="1"/>
        <v>0.72332934300401386</v>
      </c>
    </row>
    <row xmlns:x14ac="http://schemas.microsoft.com/office/spreadsheetml/2009/9/ac" r="25" x14ac:dyDescent="0.25">
      <c r="A25" s="3">
        <v>16001</v>
      </c>
      <c r="B25" t="s">
        <v>18</v>
      </c>
      <c r="C25" t="s">
        <v>95</v>
      </c>
      <c r="D25" s="3">
        <v>171</v>
      </c>
      <c r="E25" s="5">
        <f t="shared" si="0"/>
        <v>6.0207027674107454E-3</v>
      </c>
      <c r="F25" s="6">
        <f t="shared" si="1"/>
        <v>0.72935004577142459</v>
      </c>
    </row>
    <row xmlns:x14ac="http://schemas.microsoft.com/office/spreadsheetml/2009/9/ac" r="26" x14ac:dyDescent="0.25">
      <c r="A26" s="3">
        <v>53015</v>
      </c>
      <c r="B26" t="s">
        <v>40</v>
      </c>
      <c r="C26" t="s">
        <v>157</v>
      </c>
      <c r="D26" s="3">
        <v>167</v>
      </c>
      <c r="E26" s="5">
        <f t="shared" si="0"/>
        <v>5.8798676149566928E-3</v>
      </c>
      <c r="F26" s="6">
        <f t="shared" si="1"/>
        <v>0.73522991338638133</v>
      </c>
    </row>
    <row xmlns:x14ac="http://schemas.microsoft.com/office/spreadsheetml/2009/9/ac" r="27" x14ac:dyDescent="0.25">
      <c r="A27" s="3">
        <v>41027</v>
      </c>
      <c r="B27" t="s">
        <v>3</v>
      </c>
      <c r="C27" t="s">
        <v>132</v>
      </c>
      <c r="D27" s="3">
        <v>162</v>
      </c>
      <c r="E27" s="5">
        <f t="shared" si="0"/>
        <v>5.7038236743891272E-3</v>
      </c>
      <c r="F27" s="6">
        <f t="shared" si="1"/>
        <v>0.74093373706077048</v>
      </c>
    </row>
    <row xmlns:x14ac="http://schemas.microsoft.com/office/spreadsheetml/2009/9/ac" r="28" x14ac:dyDescent="0.25">
      <c r="A28" s="3">
        <v>8031</v>
      </c>
      <c r="B28" t="s">
        <v>12</v>
      </c>
      <c r="C28" t="s">
        <v>81</v>
      </c>
      <c r="D28" s="3">
        <v>161</v>
      </c>
      <c r="E28" s="5">
        <f t="shared" si="0"/>
        <v>5.6686148862756143E-3</v>
      </c>
      <c r="F28" s="6">
        <f t="shared" si="1"/>
        <v>0.74660235194704605</v>
      </c>
    </row>
    <row xmlns:x14ac="http://schemas.microsoft.com/office/spreadsheetml/2009/9/ac" r="29" x14ac:dyDescent="0.25">
      <c r="A29" s="3">
        <v>6067</v>
      </c>
      <c r="B29" t="s">
        <v>11</v>
      </c>
      <c r="C29" t="s">
        <v>67</v>
      </c>
      <c r="D29" s="3">
        <v>161</v>
      </c>
      <c r="E29" s="5">
        <f t="shared" si="0"/>
        <v>5.6686148862756143E-3</v>
      </c>
      <c r="F29" s="6">
        <f t="shared" si="1"/>
        <v>0.75227096683332162</v>
      </c>
    </row>
    <row xmlns:x14ac="http://schemas.microsoft.com/office/spreadsheetml/2009/9/ac" r="30" x14ac:dyDescent="0.25">
      <c r="A30" s="3">
        <v>6001</v>
      </c>
      <c r="B30" t="s">
        <v>11</v>
      </c>
      <c r="C30" t="s">
        <v>56</v>
      </c>
      <c r="D30" s="3">
        <v>151</v>
      </c>
      <c r="E30" s="5">
        <f t="shared" si="0"/>
        <v>5.3165270051404832E-3</v>
      </c>
      <c r="F30" s="6">
        <f t="shared" si="1"/>
        <v>0.75758749383846213</v>
      </c>
    </row>
    <row xmlns:x14ac="http://schemas.microsoft.com/office/spreadsheetml/2009/9/ac" r="31" x14ac:dyDescent="0.25">
      <c r="A31" s="3">
        <v>6085</v>
      </c>
      <c r="B31" t="s">
        <v>11</v>
      </c>
      <c r="C31" t="s">
        <v>74</v>
      </c>
      <c r="D31" s="3">
        <v>151</v>
      </c>
      <c r="E31" s="5">
        <f t="shared" si="0"/>
        <v>5.3165270051404832E-3</v>
      </c>
      <c r="F31" s="6">
        <f t="shared" si="1"/>
        <v>0.76290402084360265</v>
      </c>
    </row>
    <row xmlns:x14ac="http://schemas.microsoft.com/office/spreadsheetml/2009/9/ac" r="32" x14ac:dyDescent="0.25">
      <c r="A32" s="3">
        <v>41053</v>
      </c>
      <c r="B32" t="s">
        <v>3</v>
      </c>
      <c r="C32" t="s">
        <v>100</v>
      </c>
      <c r="D32" s="3">
        <v>149</v>
      </c>
      <c r="E32" s="5">
        <f t="shared" si="0"/>
        <v>5.2461094289134565E-3</v>
      </c>
      <c r="F32" s="6">
        <f t="shared" si="1"/>
        <v>0.76815013027251611</v>
      </c>
    </row>
    <row xmlns:x14ac="http://schemas.microsoft.com/office/spreadsheetml/2009/9/ac" r="33" x14ac:dyDescent="0.25">
      <c r="A33" s="3">
        <v>48453</v>
      </c>
      <c r="B33" t="s">
        <v>36</v>
      </c>
      <c r="C33" t="s">
        <v>153</v>
      </c>
      <c r="D33" s="3">
        <v>147</v>
      </c>
      <c r="E33" s="5">
        <f t="shared" si="0"/>
        <v>5.1756918526864306E-3</v>
      </c>
      <c r="F33" s="6">
        <f t="shared" si="1"/>
        <v>0.77332582212520251</v>
      </c>
    </row>
    <row xmlns:x14ac="http://schemas.microsoft.com/office/spreadsheetml/2009/9/ac" r="34" x14ac:dyDescent="0.25">
      <c r="A34" s="3">
        <v>41057</v>
      </c>
      <c r="B34" t="s">
        <v>3</v>
      </c>
      <c r="C34" t="s">
        <v>139</v>
      </c>
      <c r="D34" s="3">
        <v>147</v>
      </c>
      <c r="E34" s="5">
        <f t="shared" si="0"/>
        <v>5.1756918526864306E-3</v>
      </c>
      <c r="F34" s="6">
        <f t="shared" si="1"/>
        <v>0.77850151397788891</v>
      </c>
    </row>
    <row xmlns:x14ac="http://schemas.microsoft.com/office/spreadsheetml/2009/9/ac" r="35" x14ac:dyDescent="0.25">
      <c r="A35" s="3">
        <v>6065</v>
      </c>
      <c r="B35" t="s">
        <v>11</v>
      </c>
      <c r="C35" t="s">
        <v>66</v>
      </c>
      <c r="D35" s="3">
        <v>142</v>
      </c>
      <c r="E35" s="5">
        <f t="shared" si="0"/>
        <v>4.9996479121188651E-3</v>
      </c>
      <c r="F35" s="6">
        <f t="shared" si="1"/>
        <v>0.78350116189000774</v>
      </c>
    </row>
    <row xmlns:x14ac="http://schemas.microsoft.com/office/spreadsheetml/2009/9/ac" r="36" x14ac:dyDescent="0.25">
      <c r="A36" s="3">
        <v>41041</v>
      </c>
      <c r="B36" t="s">
        <v>3</v>
      </c>
      <c r="C36" t="s">
        <v>137</v>
      </c>
      <c r="D36" s="3">
        <v>135</v>
      </c>
      <c r="E36" s="5">
        <f t="shared" si="0"/>
        <v>4.7531863953242728E-3</v>
      </c>
      <c r="F36" s="6">
        <f t="shared" si="1"/>
        <v>0.78825434828533203</v>
      </c>
    </row>
    <row xmlns:x14ac="http://schemas.microsoft.com/office/spreadsheetml/2009/9/ac" r="37" x14ac:dyDescent="0.25">
      <c r="A37" s="3">
        <v>36047</v>
      </c>
      <c r="B37" t="s">
        <v>31</v>
      </c>
      <c r="C37" t="s">
        <v>116</v>
      </c>
      <c r="D37" s="3">
        <v>133</v>
      </c>
      <c r="E37" s="5">
        <f t="shared" si="0"/>
        <v>4.682768819097247E-3</v>
      </c>
      <c r="F37" s="6">
        <f t="shared" si="1"/>
        <v>0.79293711710442927</v>
      </c>
    </row>
    <row xmlns:x14ac="http://schemas.microsoft.com/office/spreadsheetml/2009/9/ac" r="38" x14ac:dyDescent="0.25">
      <c r="A38" s="3">
        <v>49035</v>
      </c>
      <c r="B38" t="s">
        <v>37</v>
      </c>
      <c r="C38" t="s">
        <v>154</v>
      </c>
      <c r="D38" s="3">
        <v>122</v>
      </c>
      <c r="E38" s="5">
        <f t="shared" si="0"/>
        <v>4.2954721498486021E-3</v>
      </c>
      <c r="F38" s="6">
        <f t="shared" si="1"/>
        <v>0.79723258925427787</v>
      </c>
    </row>
    <row xmlns:x14ac="http://schemas.microsoft.com/office/spreadsheetml/2009/9/ac" r="39" x14ac:dyDescent="0.25">
      <c r="A39" s="3">
        <v>41043</v>
      </c>
      <c r="B39" t="s">
        <v>3</v>
      </c>
      <c r="C39" t="s">
        <v>138</v>
      </c>
      <c r="D39" s="3">
        <v>116</v>
      </c>
      <c r="E39" s="5">
        <f t="shared" si="0"/>
        <v>4.0842194211675236E-3</v>
      </c>
      <c r="F39" s="6">
        <f t="shared" si="1"/>
        <v>0.80131680867544541</v>
      </c>
    </row>
    <row xmlns:x14ac="http://schemas.microsoft.com/office/spreadsheetml/2009/9/ac" r="40" x14ac:dyDescent="0.25">
      <c r="A40" s="3">
        <v>53061</v>
      </c>
      <c r="B40" t="s">
        <v>40</v>
      </c>
      <c r="C40" t="s">
        <v>167</v>
      </c>
      <c r="D40" s="3">
        <v>113</v>
      </c>
      <c r="E40" s="5">
        <f t="shared" si="0"/>
        <v>3.978593056826984E-3</v>
      </c>
      <c r="F40" s="6">
        <f t="shared" si="1"/>
        <v>0.80529540173227243</v>
      </c>
    </row>
    <row xmlns:x14ac="http://schemas.microsoft.com/office/spreadsheetml/2009/9/ac" r="41" x14ac:dyDescent="0.25">
      <c r="A41" s="3">
        <v>4019</v>
      </c>
      <c r="B41" t="s">
        <v>10</v>
      </c>
      <c r="C41" t="s">
        <v>54</v>
      </c>
      <c r="D41" s="3">
        <v>109</v>
      </c>
      <c r="E41" s="5">
        <f t="shared" si="0"/>
        <v>3.8377579043729314E-3</v>
      </c>
      <c r="F41" s="6">
        <f t="shared" si="1"/>
        <v>0.80913315963664534</v>
      </c>
    </row>
    <row xmlns:x14ac="http://schemas.microsoft.com/office/spreadsheetml/2009/9/ac" r="42" x14ac:dyDescent="0.25">
      <c r="A42" s="3">
        <v>27053</v>
      </c>
      <c r="B42" t="s">
        <v>27</v>
      </c>
      <c r="C42" t="s">
        <v>107</v>
      </c>
      <c r="D42" s="3">
        <v>107</v>
      </c>
      <c r="E42" s="5">
        <f t="shared" si="0"/>
        <v>3.7673403281459051E-3</v>
      </c>
      <c r="F42" s="6">
        <f t="shared" si="1"/>
        <v>0.81290049996479119</v>
      </c>
    </row>
    <row xmlns:x14ac="http://schemas.microsoft.com/office/spreadsheetml/2009/9/ac" r="43" x14ac:dyDescent="0.25">
      <c r="A43" s="3">
        <v>15003</v>
      </c>
      <c r="B43" t="s">
        <v>17</v>
      </c>
      <c r="C43" t="s">
        <v>93</v>
      </c>
      <c r="D43" s="3">
        <v>103</v>
      </c>
      <c r="E43" s="5">
        <f t="shared" si="0"/>
        <v>3.6265051756918525E-3</v>
      </c>
      <c r="F43" s="6">
        <f t="shared" si="1"/>
        <v>0.81652700514048304</v>
      </c>
    </row>
    <row xmlns:x14ac="http://schemas.microsoft.com/office/spreadsheetml/2009/9/ac" r="44" x14ac:dyDescent="0.25">
      <c r="A44" s="3">
        <v>53073</v>
      </c>
      <c r="B44" t="s">
        <v>40</v>
      </c>
      <c r="C44" t="s">
        <v>171</v>
      </c>
      <c r="D44" s="3">
        <v>100</v>
      </c>
      <c r="E44" s="5">
        <f t="shared" si="0"/>
        <v>3.5208788113513132E-3</v>
      </c>
      <c r="F44" s="6">
        <f t="shared" si="1"/>
        <v>0.82004788395183437</v>
      </c>
    </row>
    <row xmlns:x14ac="http://schemas.microsoft.com/office/spreadsheetml/2009/9/ac" r="45" x14ac:dyDescent="0.25">
      <c r="A45" s="3">
        <v>53067</v>
      </c>
      <c r="B45" t="s">
        <v>40</v>
      </c>
      <c r="C45" t="s">
        <v>169</v>
      </c>
      <c r="D45" s="3">
        <v>97</v>
      </c>
      <c r="E45" s="5">
        <f t="shared" si="0"/>
        <v>3.415252447010774E-3</v>
      </c>
      <c r="F45" s="6">
        <f t="shared" si="1"/>
        <v>0.82346313639884516</v>
      </c>
    </row>
    <row xmlns:x14ac="http://schemas.microsoft.com/office/spreadsheetml/2009/9/ac" r="46" x14ac:dyDescent="0.25">
      <c r="A46" s="3">
        <v>36061</v>
      </c>
      <c r="B46" t="s">
        <v>31</v>
      </c>
      <c r="C46" t="s">
        <v>117</v>
      </c>
      <c r="D46" s="3">
        <v>95</v>
      </c>
      <c r="E46" s="5">
        <f t="shared" si="0"/>
        <v>3.3448348707837477E-3</v>
      </c>
      <c r="F46" s="6">
        <f t="shared" si="1"/>
        <v>0.82680797126962891</v>
      </c>
    </row>
    <row xmlns:x14ac="http://schemas.microsoft.com/office/spreadsheetml/2009/9/ac" r="47" x14ac:dyDescent="0.25">
      <c r="A47" s="3">
        <v>48201</v>
      </c>
      <c r="B47" t="s">
        <v>36</v>
      </c>
      <c r="C47" t="s">
        <v>151</v>
      </c>
      <c r="D47" s="3">
        <v>89</v>
      </c>
      <c r="E47" s="5">
        <f t="shared" si="0"/>
        <v>3.1335821421026688E-3</v>
      </c>
      <c r="F47" s="6">
        <f t="shared" si="1"/>
        <v>0.82994155341173159</v>
      </c>
    </row>
    <row xmlns:x14ac="http://schemas.microsoft.com/office/spreadsheetml/2009/9/ac" r="48" x14ac:dyDescent="0.25">
      <c r="A48" s="3">
        <v>53039</v>
      </c>
      <c r="B48" t="s">
        <v>40</v>
      </c>
      <c r="C48" t="s">
        <v>162</v>
      </c>
      <c r="D48" s="3">
        <v>82</v>
      </c>
      <c r="E48" s="5">
        <f t="shared" si="0"/>
        <v>2.887120625308077E-3</v>
      </c>
      <c r="F48" s="6">
        <f t="shared" si="1"/>
        <v>0.83282867403703964</v>
      </c>
    </row>
    <row xmlns:x14ac="http://schemas.microsoft.com/office/spreadsheetml/2009/9/ac" r="49" x14ac:dyDescent="0.25">
      <c r="A49" s="3">
        <v>41019</v>
      </c>
      <c r="B49" t="s">
        <v>3</v>
      </c>
      <c r="C49" t="s">
        <v>131</v>
      </c>
      <c r="D49" s="3">
        <v>82</v>
      </c>
      <c r="E49" s="5">
        <f t="shared" si="0"/>
        <v>2.887120625308077E-3</v>
      </c>
      <c r="F49" s="6">
        <f t="shared" si="1"/>
        <v>0.83571579466234769</v>
      </c>
    </row>
    <row xmlns:x14ac="http://schemas.microsoft.com/office/spreadsheetml/2009/9/ac" r="50" x14ac:dyDescent="0.25">
      <c r="A50" s="3">
        <v>48113</v>
      </c>
      <c r="B50" t="s">
        <v>36</v>
      </c>
      <c r="C50" t="s">
        <v>150</v>
      </c>
      <c r="D50" s="3">
        <v>78</v>
      </c>
      <c r="E50" s="5">
        <f t="shared" si="0"/>
        <v>2.7462854728540244E-3</v>
      </c>
      <c r="F50" s="6">
        <f t="shared" si="1"/>
        <v>0.83846208013520174</v>
      </c>
    </row>
    <row xmlns:x14ac="http://schemas.microsoft.com/office/spreadsheetml/2009/9/ac" r="51" x14ac:dyDescent="0.25">
      <c r="A51" s="3">
        <v>41065</v>
      </c>
      <c r="B51" t="s">
        <v>3</v>
      </c>
      <c r="C51" t="s">
        <v>142</v>
      </c>
      <c r="D51" s="3">
        <v>77</v>
      </c>
      <c r="E51" s="5">
        <f t="shared" si="0"/>
        <v>2.711076684740511E-3</v>
      </c>
      <c r="F51" s="6">
        <f t="shared" si="1"/>
        <v>0.8411731568199422</v>
      </c>
    </row>
    <row xmlns:x14ac="http://schemas.microsoft.com/office/spreadsheetml/2009/9/ac" r="52" x14ac:dyDescent="0.25">
      <c r="A52" s="3">
        <v>42101</v>
      </c>
      <c r="B52" t="s">
        <v>34</v>
      </c>
      <c r="C52" t="s">
        <v>146</v>
      </c>
      <c r="D52" s="3">
        <v>75</v>
      </c>
      <c r="E52" s="5">
        <f t="shared" si="0"/>
        <v>2.6406591085134852E-3</v>
      </c>
      <c r="F52" s="6">
        <f t="shared" si="1"/>
        <v>0.84381381592845572</v>
      </c>
    </row>
    <row xmlns:x14ac="http://schemas.microsoft.com/office/spreadsheetml/2009/9/ac" r="53" x14ac:dyDescent="0.25">
      <c r="A53" s="3">
        <v>41033</v>
      </c>
      <c r="B53" t="s">
        <v>3</v>
      </c>
      <c r="C53" t="s">
        <v>134</v>
      </c>
      <c r="D53" s="3">
        <v>72</v>
      </c>
      <c r="E53" s="5">
        <f t="shared" si="0"/>
        <v>2.5350327441729455E-3</v>
      </c>
      <c r="F53" s="6">
        <f t="shared" si="1"/>
        <v>0.84634884867262872</v>
      </c>
    </row>
    <row xmlns:x14ac="http://schemas.microsoft.com/office/spreadsheetml/2009/9/ac" r="54" x14ac:dyDescent="0.25">
      <c r="A54" s="3">
        <v>6071</v>
      </c>
      <c r="B54" t="s">
        <v>11</v>
      </c>
      <c r="C54" t="s">
        <v>68</v>
      </c>
      <c r="D54" s="3">
        <v>71</v>
      </c>
      <c r="E54" s="5">
        <f t="shared" si="0"/>
        <v>2.4998239560594326E-3</v>
      </c>
      <c r="F54" s="6">
        <f t="shared" si="1"/>
        <v>0.84884867262868813</v>
      </c>
    </row>
    <row xmlns:x14ac="http://schemas.microsoft.com/office/spreadsheetml/2009/9/ac" r="55" x14ac:dyDescent="0.25">
      <c r="A55" s="3">
        <v>53035</v>
      </c>
      <c r="B55" t="s">
        <v>40</v>
      </c>
      <c r="C55" t="s">
        <v>161</v>
      </c>
      <c r="D55" s="3">
        <v>70</v>
      </c>
      <c r="E55" s="5">
        <f t="shared" si="0"/>
        <v>2.4646151679459192E-3</v>
      </c>
      <c r="F55" s="6">
        <f t="shared" si="1"/>
        <v>0.85131328779663407</v>
      </c>
    </row>
    <row xmlns:x14ac="http://schemas.microsoft.com/office/spreadsheetml/2009/9/ac" r="56" x14ac:dyDescent="0.25">
      <c r="A56" s="3">
        <v>6013</v>
      </c>
      <c r="B56" t="s">
        <v>11</v>
      </c>
      <c r="C56" t="s">
        <v>57</v>
      </c>
      <c r="D56" s="3">
        <v>65</v>
      </c>
      <c r="E56" s="5">
        <f t="shared" si="0"/>
        <v>2.2885712273783537E-3</v>
      </c>
      <c r="F56" s="6">
        <f t="shared" si="1"/>
        <v>0.85360185902401242</v>
      </c>
    </row>
    <row xmlns:x14ac="http://schemas.microsoft.com/office/spreadsheetml/2009/9/ac" r="57" x14ac:dyDescent="0.25">
      <c r="A57" s="3">
        <v>16027</v>
      </c>
      <c r="B57" t="s">
        <v>18</v>
      </c>
      <c r="C57" t="s">
        <v>96</v>
      </c>
      <c r="D57" s="3">
        <v>62</v>
      </c>
      <c r="E57" s="5">
        <f t="shared" si="0"/>
        <v>2.1829448630378144E-3</v>
      </c>
      <c r="F57" s="6">
        <f t="shared" si="1"/>
        <v>0.85578480388705025</v>
      </c>
    </row>
    <row xmlns:x14ac="http://schemas.microsoft.com/office/spreadsheetml/2009/9/ac" r="58" x14ac:dyDescent="0.25">
      <c r="A58" s="3">
        <v>16055</v>
      </c>
      <c r="B58" t="s">
        <v>18</v>
      </c>
      <c r="C58" t="s">
        <v>97</v>
      </c>
      <c r="D58" s="3">
        <v>62</v>
      </c>
      <c r="E58" s="5">
        <f t="shared" si="0"/>
        <v>2.1829448630378144E-3</v>
      </c>
      <c r="F58" s="6">
        <f t="shared" si="1"/>
        <v>0.85796774875008808</v>
      </c>
    </row>
    <row xmlns:x14ac="http://schemas.microsoft.com/office/spreadsheetml/2009/9/ac" r="59" x14ac:dyDescent="0.25">
      <c r="A59" s="3">
        <v>53059</v>
      </c>
      <c r="B59" t="s">
        <v>40</v>
      </c>
      <c r="C59" t="s">
        <v>166</v>
      </c>
      <c r="D59" s="3">
        <v>61</v>
      </c>
      <c r="E59" s="5">
        <f t="shared" si="0"/>
        <v>2.1477360749243011E-3</v>
      </c>
      <c r="F59" s="6">
        <f t="shared" si="1"/>
        <v>0.86011548482501243</v>
      </c>
    </row>
    <row xmlns:x14ac="http://schemas.microsoft.com/office/spreadsheetml/2009/9/ac" r="60" x14ac:dyDescent="0.25">
      <c r="A60" s="3">
        <v>12057</v>
      </c>
      <c r="B60" t="s">
        <v>15</v>
      </c>
      <c r="C60" t="s">
        <v>86</v>
      </c>
      <c r="D60" s="3">
        <v>61</v>
      </c>
      <c r="E60" s="5">
        <f t="shared" si="0"/>
        <v>2.1477360749243011E-3</v>
      </c>
      <c r="F60" s="6">
        <f t="shared" si="1"/>
        <v>0.86226322089993679</v>
      </c>
    </row>
    <row xmlns:x14ac="http://schemas.microsoft.com/office/spreadsheetml/2009/9/ac" r="61" x14ac:dyDescent="0.25">
      <c r="A61" s="3">
        <v>15001</v>
      </c>
      <c r="B61" t="s">
        <v>17</v>
      </c>
      <c r="C61" t="s">
        <v>92</v>
      </c>
      <c r="D61" s="3">
        <v>59</v>
      </c>
      <c r="E61" s="5">
        <f t="shared" si="0"/>
        <v>2.0773184986972748E-3</v>
      </c>
      <c r="F61" s="6">
        <f t="shared" si="1"/>
        <v>0.86434053939863409</v>
      </c>
    </row>
    <row xmlns:x14ac="http://schemas.microsoft.com/office/spreadsheetml/2009/9/ac" r="62" x14ac:dyDescent="0.25">
      <c r="A62" s="3">
        <v>53005</v>
      </c>
      <c r="B62" t="s">
        <v>40</v>
      </c>
      <c r="C62" t="s">
        <v>124</v>
      </c>
      <c r="D62" s="3">
        <v>59</v>
      </c>
      <c r="E62" s="5">
        <f t="shared" si="0"/>
        <v>2.0773184986972748E-3</v>
      </c>
      <c r="F62" s="6">
        <f t="shared" si="1"/>
        <v>0.86641785789733139</v>
      </c>
    </row>
    <row xmlns:x14ac="http://schemas.microsoft.com/office/spreadsheetml/2009/9/ac" r="63" x14ac:dyDescent="0.25">
      <c r="A63" s="3">
        <v>48439</v>
      </c>
      <c r="B63" t="s">
        <v>36</v>
      </c>
      <c r="C63" t="s">
        <v>152</v>
      </c>
      <c r="D63" s="3">
        <v>58</v>
      </c>
      <c r="E63" s="5">
        <f t="shared" si="0"/>
        <v>2.0421097105837618E-3</v>
      </c>
      <c r="F63" s="6">
        <f t="shared" si="1"/>
        <v>0.86845996760791511</v>
      </c>
    </row>
    <row xmlns:x14ac="http://schemas.microsoft.com/office/spreadsheetml/2009/9/ac" r="64" x14ac:dyDescent="0.25">
      <c r="A64" s="3">
        <v>35001</v>
      </c>
      <c r="B64" t="s">
        <v>30</v>
      </c>
      <c r="C64" t="s">
        <v>114</v>
      </c>
      <c r="D64" s="3">
        <v>57</v>
      </c>
      <c r="E64" s="5">
        <f t="shared" si="0"/>
        <v>2.0069009224702485E-3</v>
      </c>
      <c r="F64" s="6">
        <f t="shared" si="1"/>
        <v>0.87046686853038535</v>
      </c>
    </row>
    <row xmlns:x14ac="http://schemas.microsoft.com/office/spreadsheetml/2009/9/ac" r="65" x14ac:dyDescent="0.25">
      <c r="A65" s="3">
        <v>48029</v>
      </c>
      <c r="B65" t="s">
        <v>36</v>
      </c>
      <c r="C65" t="s">
        <v>149</v>
      </c>
      <c r="D65" s="3">
        <v>57</v>
      </c>
      <c r="E65" s="5">
        <f t="shared" si="0"/>
        <v>2.0069009224702485E-3</v>
      </c>
      <c r="F65" s="6">
        <f t="shared" si="1"/>
        <v>0.8724737694528556</v>
      </c>
    </row>
    <row xmlns:x14ac="http://schemas.microsoft.com/office/spreadsheetml/2009/9/ac" r="66" x14ac:dyDescent="0.25">
      <c r="A66" s="3">
        <v>8005</v>
      </c>
      <c r="B66" t="s">
        <v>12</v>
      </c>
      <c r="C66" t="s">
        <v>79</v>
      </c>
      <c r="D66" s="3">
        <v>56</v>
      </c>
      <c r="E66" s="5">
        <f t="shared" si="0"/>
        <v>1.9716921343567355E-3</v>
      </c>
      <c r="F66" s="6">
        <f t="shared" si="1"/>
        <v>0.87444546158721237</v>
      </c>
    </row>
    <row xmlns:x14ac="http://schemas.microsoft.com/office/spreadsheetml/2009/9/ac" r="67" x14ac:dyDescent="0.25">
      <c r="A67" s="3">
        <v>11001</v>
      </c>
      <c r="B67" t="s">
        <v>14</v>
      </c>
      <c r="C67" t="s">
        <v>14</v>
      </c>
      <c r="D67" s="3">
        <v>56</v>
      </c>
      <c r="E67" s="5">
        <f t="shared" si="0"/>
        <v>1.9716921343567355E-3</v>
      </c>
      <c r="F67" s="6">
        <f t="shared" si="1"/>
        <v>0.87641715372156914</v>
      </c>
    </row>
    <row xmlns:x14ac="http://schemas.microsoft.com/office/spreadsheetml/2009/9/ac" r="68" x14ac:dyDescent="0.25">
      <c r="A68" s="3">
        <v>41011</v>
      </c>
      <c r="B68" t="s">
        <v>3</v>
      </c>
      <c r="C68" t="s">
        <v>128</v>
      </c>
      <c r="D68" s="3">
        <v>55</v>
      </c>
      <c r="E68" s="5">
        <f t="shared" si="0"/>
        <v>1.9364833462432224E-3</v>
      </c>
      <c r="F68" s="6">
        <f t="shared" si="1"/>
        <v>0.87835363706781233</v>
      </c>
    </row>
    <row xmlns:x14ac="http://schemas.microsoft.com/office/spreadsheetml/2009/9/ac" r="69" x14ac:dyDescent="0.25">
      <c r="A69" s="3">
        <v>25025</v>
      </c>
      <c r="B69" t="s">
        <v>25</v>
      </c>
      <c r="C69" t="s">
        <v>105</v>
      </c>
      <c r="D69" s="3">
        <v>55</v>
      </c>
      <c r="E69" s="5">
        <f t="shared" ref="E69:E132" si="2">D69/SUM($D:$D)</f>
        <v>1.9364833462432224E-3</v>
      </c>
      <c r="F69" s="6">
        <f t="shared" si="1"/>
        <v>0.88029012041405552</v>
      </c>
    </row>
    <row xmlns:x14ac="http://schemas.microsoft.com/office/spreadsheetml/2009/9/ac" r="70" x14ac:dyDescent="0.25">
      <c r="A70" s="3">
        <v>41035</v>
      </c>
      <c r="B70" t="s">
        <v>3</v>
      </c>
      <c r="C70" t="s">
        <v>135</v>
      </c>
      <c r="D70" s="3">
        <v>55</v>
      </c>
      <c r="E70" s="5">
        <f t="shared" si="2"/>
        <v>1.9364833462432224E-3</v>
      </c>
      <c r="F70" s="6">
        <f t="shared" ref="F70:F133" si="3">F69+E70</f>
        <v>0.88222660376029871</v>
      </c>
    </row>
    <row xmlns:x14ac="http://schemas.microsoft.com/office/spreadsheetml/2009/9/ac" r="71" x14ac:dyDescent="0.25">
      <c r="A71" s="3">
        <v>47037</v>
      </c>
      <c r="B71" t="s">
        <v>35</v>
      </c>
      <c r="C71" t="s">
        <v>147</v>
      </c>
      <c r="D71" s="3">
        <v>55</v>
      </c>
      <c r="E71" s="5">
        <f t="shared" si="2"/>
        <v>1.9364833462432224E-3</v>
      </c>
      <c r="F71" s="6">
        <f t="shared" si="3"/>
        <v>0.8841630871065419</v>
      </c>
    </row>
    <row xmlns:x14ac="http://schemas.microsoft.com/office/spreadsheetml/2009/9/ac" r="72" x14ac:dyDescent="0.25">
      <c r="A72" s="3">
        <v>8013</v>
      </c>
      <c r="B72" t="s">
        <v>12</v>
      </c>
      <c r="C72" t="s">
        <v>80</v>
      </c>
      <c r="D72" s="3">
        <v>53</v>
      </c>
      <c r="E72" s="5">
        <f t="shared" si="2"/>
        <v>1.8660657700161961E-3</v>
      </c>
      <c r="F72" s="6">
        <f t="shared" si="3"/>
        <v>0.88602915287655815</v>
      </c>
    </row>
    <row xmlns:x14ac="http://schemas.microsoft.com/office/spreadsheetml/2009/9/ac" r="73" x14ac:dyDescent="0.25">
      <c r="A73" s="3">
        <v>41059</v>
      </c>
      <c r="B73" t="s">
        <v>3</v>
      </c>
      <c r="C73" t="s">
        <v>140</v>
      </c>
      <c r="D73" s="3">
        <v>52</v>
      </c>
      <c r="E73" s="5">
        <f t="shared" si="2"/>
        <v>1.8308569819026829E-3</v>
      </c>
      <c r="F73" s="6">
        <f t="shared" si="3"/>
        <v>0.88786000985846081</v>
      </c>
    </row>
    <row xmlns:x14ac="http://schemas.microsoft.com/office/spreadsheetml/2009/9/ac" r="74" x14ac:dyDescent="0.25">
      <c r="A74" s="3">
        <v>6081</v>
      </c>
      <c r="B74" t="s">
        <v>11</v>
      </c>
      <c r="C74" t="s">
        <v>72</v>
      </c>
      <c r="D74" s="3">
        <v>52</v>
      </c>
      <c r="E74" s="5">
        <f t="shared" si="2"/>
        <v>1.8308569819026829E-3</v>
      </c>
      <c r="F74" s="6">
        <f t="shared" si="3"/>
        <v>0.88969086684036347</v>
      </c>
    </row>
    <row xmlns:x14ac="http://schemas.microsoft.com/office/spreadsheetml/2009/9/ac" r="75" x14ac:dyDescent="0.25">
      <c r="A75" s="3">
        <v>42003</v>
      </c>
      <c r="B75" t="s">
        <v>34</v>
      </c>
      <c r="C75" t="s">
        <v>145</v>
      </c>
      <c r="D75" s="3">
        <v>52</v>
      </c>
      <c r="E75" s="5">
        <f t="shared" si="2"/>
        <v>1.8308569819026829E-3</v>
      </c>
      <c r="F75" s="6">
        <f t="shared" si="3"/>
        <v>0.89152172382226613</v>
      </c>
    </row>
    <row xmlns:x14ac="http://schemas.microsoft.com/office/spreadsheetml/2009/9/ac" r="76" x14ac:dyDescent="0.25">
      <c r="A76" s="3">
        <v>6097</v>
      </c>
      <c r="B76" t="s">
        <v>11</v>
      </c>
      <c r="C76" t="s">
        <v>77</v>
      </c>
      <c r="D76" s="3">
        <v>51</v>
      </c>
      <c r="E76" s="5">
        <f t="shared" si="2"/>
        <v>1.7956481937891698E-3</v>
      </c>
      <c r="F76" s="6">
        <f t="shared" si="3"/>
        <v>0.89331737201605532</v>
      </c>
    </row>
    <row xmlns:x14ac="http://schemas.microsoft.com/office/spreadsheetml/2009/9/ac" r="77" x14ac:dyDescent="0.25">
      <c r="A77" s="3">
        <v>39049</v>
      </c>
      <c r="B77" t="s">
        <v>33</v>
      </c>
      <c r="C77" t="s">
        <v>122</v>
      </c>
      <c r="D77" s="3">
        <v>51</v>
      </c>
      <c r="E77" s="5">
        <f t="shared" si="2"/>
        <v>1.7956481937891698E-3</v>
      </c>
      <c r="F77" s="6">
        <f t="shared" si="3"/>
        <v>0.89511302020984451</v>
      </c>
    </row>
    <row xmlns:x14ac="http://schemas.microsoft.com/office/spreadsheetml/2009/9/ac" r="78" x14ac:dyDescent="0.25">
      <c r="A78" s="3">
        <v>30063</v>
      </c>
      <c r="B78" t="s">
        <v>28</v>
      </c>
      <c r="C78" t="s">
        <v>110</v>
      </c>
      <c r="D78" s="3">
        <v>51</v>
      </c>
      <c r="E78" s="5">
        <f t="shared" si="2"/>
        <v>1.7956481937891698E-3</v>
      </c>
      <c r="F78" s="6">
        <f t="shared" si="3"/>
        <v>0.8969086684036337</v>
      </c>
    </row>
    <row xmlns:x14ac="http://schemas.microsoft.com/office/spreadsheetml/2009/9/ac" r="79" x14ac:dyDescent="0.25">
      <c r="A79" s="3">
        <v>6083</v>
      </c>
      <c r="B79" t="s">
        <v>11</v>
      </c>
      <c r="C79" t="s">
        <v>73</v>
      </c>
      <c r="D79" s="3">
        <v>50</v>
      </c>
      <c r="E79" s="5">
        <f t="shared" si="2"/>
        <v>1.7604394056756566E-3</v>
      </c>
      <c r="F79" s="6">
        <f t="shared" si="3"/>
        <v>0.89866910780930931</v>
      </c>
    </row>
    <row xmlns:x14ac="http://schemas.microsoft.com/office/spreadsheetml/2009/9/ac" r="80" x14ac:dyDescent="0.25">
      <c r="A80" s="3">
        <v>12086</v>
      </c>
      <c r="B80" t="s">
        <v>15</v>
      </c>
      <c r="C80" t="s">
        <v>87</v>
      </c>
      <c r="D80" s="3">
        <v>50</v>
      </c>
      <c r="E80" s="5">
        <f t="shared" si="2"/>
        <v>1.7604394056756566E-3</v>
      </c>
      <c r="F80" s="6">
        <f t="shared" si="3"/>
        <v>0.90042954721498492</v>
      </c>
    </row>
    <row xmlns:x14ac="http://schemas.microsoft.com/office/spreadsheetml/2009/9/ac" r="81" x14ac:dyDescent="0.25">
      <c r="A81" s="3">
        <v>2020</v>
      </c>
      <c r="B81" t="s">
        <v>9</v>
      </c>
      <c r="C81" t="s">
        <v>52</v>
      </c>
      <c r="D81" s="3">
        <v>48</v>
      </c>
      <c r="E81" s="5">
        <f t="shared" si="2"/>
        <v>1.6900218294486303E-3</v>
      </c>
      <c r="F81" s="6">
        <f t="shared" si="3"/>
        <v>0.90211956904443358</v>
      </c>
    </row>
    <row xmlns:x14ac="http://schemas.microsoft.com/office/spreadsheetml/2009/9/ac" r="82" x14ac:dyDescent="0.25">
      <c r="A82" s="3">
        <v>25017</v>
      </c>
      <c r="B82" t="s">
        <v>25</v>
      </c>
      <c r="C82" t="s">
        <v>104</v>
      </c>
      <c r="D82" s="3">
        <v>48</v>
      </c>
      <c r="E82" s="5">
        <f t="shared" si="2"/>
        <v>1.6900218294486303E-3</v>
      </c>
      <c r="F82" s="6">
        <f t="shared" si="3"/>
        <v>0.90380959087388224</v>
      </c>
    </row>
    <row xmlns:x14ac="http://schemas.microsoft.com/office/spreadsheetml/2009/9/ac" r="83" x14ac:dyDescent="0.25">
      <c r="A83" s="3">
        <v>32031</v>
      </c>
      <c r="B83" t="s">
        <v>29</v>
      </c>
      <c r="C83" t="s">
        <v>113</v>
      </c>
      <c r="D83" s="3">
        <v>46</v>
      </c>
      <c r="E83" s="5">
        <f t="shared" si="2"/>
        <v>1.619604253221604E-3</v>
      </c>
      <c r="F83" s="6">
        <f t="shared" si="3"/>
        <v>0.90542919512710385</v>
      </c>
    </row>
    <row xmlns:x14ac="http://schemas.microsoft.com/office/spreadsheetml/2009/9/ac" r="84" x14ac:dyDescent="0.25">
      <c r="A84" s="3">
        <v>8059</v>
      </c>
      <c r="B84" t="s">
        <v>12</v>
      </c>
      <c r="C84" t="s">
        <v>83</v>
      </c>
      <c r="D84" s="3">
        <v>46</v>
      </c>
      <c r="E84" s="5">
        <f t="shared" si="2"/>
        <v>1.619604253221604E-3</v>
      </c>
      <c r="F84" s="6">
        <f t="shared" si="3"/>
        <v>0.90704879938032545</v>
      </c>
    </row>
    <row xmlns:x14ac="http://schemas.microsoft.com/office/spreadsheetml/2009/9/ac" r="85" x14ac:dyDescent="0.25">
      <c r="A85" s="3">
        <v>8041</v>
      </c>
      <c r="B85" t="s">
        <v>12</v>
      </c>
      <c r="C85" t="s">
        <v>82</v>
      </c>
      <c r="D85" s="3">
        <v>45</v>
      </c>
      <c r="E85" s="5">
        <f t="shared" si="2"/>
        <v>1.5843954651080909E-3</v>
      </c>
      <c r="F85" s="6">
        <f t="shared" si="3"/>
        <v>0.90863319484543359</v>
      </c>
    </row>
    <row xmlns:x14ac="http://schemas.microsoft.com/office/spreadsheetml/2009/9/ac" r="86" x14ac:dyDescent="0.25">
      <c r="A86" s="3">
        <v>6111</v>
      </c>
      <c r="B86" t="s">
        <v>11</v>
      </c>
      <c r="C86" t="s">
        <v>78</v>
      </c>
      <c r="D86" s="3">
        <v>45</v>
      </c>
      <c r="E86" s="5">
        <f t="shared" si="2"/>
        <v>1.5843954651080909E-3</v>
      </c>
      <c r="F86" s="6">
        <f t="shared" si="3"/>
        <v>0.91021759031054172</v>
      </c>
    </row>
    <row xmlns:x14ac="http://schemas.microsoft.com/office/spreadsheetml/2009/9/ac" r="87" x14ac:dyDescent="0.25">
      <c r="A87" s="3">
        <v>41013</v>
      </c>
      <c r="B87" t="s">
        <v>3</v>
      </c>
      <c r="C87" t="s">
        <v>129</v>
      </c>
      <c r="D87" s="3">
        <v>45</v>
      </c>
      <c r="E87" s="5">
        <f t="shared" si="2"/>
        <v>1.5843954651080909E-3</v>
      </c>
      <c r="F87" s="6">
        <f t="shared" si="3"/>
        <v>0.91180198577564986</v>
      </c>
    </row>
    <row xmlns:x14ac="http://schemas.microsoft.com/office/spreadsheetml/2009/9/ac" r="88" x14ac:dyDescent="0.25">
      <c r="A88" s="3">
        <v>35049</v>
      </c>
      <c r="B88" t="s">
        <v>30</v>
      </c>
      <c r="C88" t="s">
        <v>115</v>
      </c>
      <c r="D88" s="3">
        <v>43</v>
      </c>
      <c r="E88" s="5">
        <f t="shared" si="2"/>
        <v>1.5139778888810648E-3</v>
      </c>
      <c r="F88" s="6">
        <f t="shared" si="3"/>
        <v>0.91331596366453094</v>
      </c>
    </row>
    <row xmlns:x14ac="http://schemas.microsoft.com/office/spreadsheetml/2009/9/ac" r="89" x14ac:dyDescent="0.25">
      <c r="A89" s="3">
        <v>48491</v>
      </c>
      <c r="B89" t="s">
        <v>36</v>
      </c>
      <c r="C89" t="s">
        <v>217</v>
      </c>
      <c r="D89" s="3">
        <v>43</v>
      </c>
      <c r="E89" s="5">
        <f t="shared" si="2"/>
        <v>1.5139778888810648E-3</v>
      </c>
      <c r="F89" s="6">
        <f t="shared" si="3"/>
        <v>0.91482994155341202</v>
      </c>
    </row>
    <row xmlns:x14ac="http://schemas.microsoft.com/office/spreadsheetml/2009/9/ac" r="90" x14ac:dyDescent="0.25">
      <c r="A90" s="3">
        <v>6087</v>
      </c>
      <c r="B90" t="s">
        <v>11</v>
      </c>
      <c r="C90" t="s">
        <v>75</v>
      </c>
      <c r="D90" s="3">
        <v>43</v>
      </c>
      <c r="E90" s="5">
        <f t="shared" si="2"/>
        <v>1.5139778888810648E-3</v>
      </c>
      <c r="F90" s="6">
        <f t="shared" si="3"/>
        <v>0.9163439194422931</v>
      </c>
    </row>
    <row xmlns:x14ac="http://schemas.microsoft.com/office/spreadsheetml/2009/9/ac" r="91" x14ac:dyDescent="0.25">
      <c r="A91" s="3">
        <v>13121</v>
      </c>
      <c r="B91" t="s">
        <v>16</v>
      </c>
      <c r="C91" t="s">
        <v>91</v>
      </c>
      <c r="D91" s="3">
        <v>43</v>
      </c>
      <c r="E91" s="5">
        <f t="shared" si="2"/>
        <v>1.5139778888810648E-3</v>
      </c>
      <c r="F91" s="6">
        <f t="shared" si="3"/>
        <v>0.91785789733117418</v>
      </c>
    </row>
    <row xmlns:x14ac="http://schemas.microsoft.com/office/spreadsheetml/2009/9/ac" r="92" x14ac:dyDescent="0.25">
      <c r="A92" s="3">
        <v>41031</v>
      </c>
      <c r="B92" t="s">
        <v>3</v>
      </c>
      <c r="C92" t="s">
        <v>83</v>
      </c>
      <c r="D92" s="3">
        <v>41</v>
      </c>
      <c r="E92" s="5">
        <f t="shared" si="2"/>
        <v>1.4435603126540385E-3</v>
      </c>
      <c r="F92" s="6">
        <f t="shared" si="3"/>
        <v>0.9193014576438282</v>
      </c>
    </row>
    <row xmlns:x14ac="http://schemas.microsoft.com/office/spreadsheetml/2009/9/ac" r="93" x14ac:dyDescent="0.25">
      <c r="A93" s="3">
        <v>8069</v>
      </c>
      <c r="B93" t="s">
        <v>12</v>
      </c>
      <c r="C93" t="s">
        <v>84</v>
      </c>
      <c r="D93" s="3">
        <v>41</v>
      </c>
      <c r="E93" s="5">
        <f t="shared" si="2"/>
        <v>1.4435603126540385E-3</v>
      </c>
      <c r="F93" s="6">
        <f t="shared" si="3"/>
        <v>0.92074501795648223</v>
      </c>
    </row>
    <row xmlns:x14ac="http://schemas.microsoft.com/office/spreadsheetml/2009/9/ac" r="94" x14ac:dyDescent="0.25">
      <c r="A94" s="3">
        <v>53077</v>
      </c>
      <c r="B94" t="s">
        <v>40</v>
      </c>
      <c r="C94" t="s">
        <v>172</v>
      </c>
      <c r="D94" s="3">
        <v>39</v>
      </c>
      <c r="E94" s="5">
        <f t="shared" si="2"/>
        <v>1.3731427364270122E-3</v>
      </c>
      <c r="F94" s="6">
        <f t="shared" si="3"/>
        <v>0.92211816069290919</v>
      </c>
    </row>
    <row xmlns:x14ac="http://schemas.microsoft.com/office/spreadsheetml/2009/9/ac" r="95" x14ac:dyDescent="0.25">
      <c r="A95" s="3">
        <v>53049</v>
      </c>
      <c r="B95" t="s">
        <v>40</v>
      </c>
      <c r="C95" t="s">
        <v>164</v>
      </c>
      <c r="D95" s="3">
        <v>39</v>
      </c>
      <c r="E95" s="5">
        <f t="shared" si="2"/>
        <v>1.3731427364270122E-3</v>
      </c>
      <c r="F95" s="6">
        <f t="shared" si="3"/>
        <v>0.92349130342933616</v>
      </c>
    </row>
    <row xmlns:x14ac="http://schemas.microsoft.com/office/spreadsheetml/2009/9/ac" r="96" x14ac:dyDescent="0.25">
      <c r="A96" s="3">
        <v>23005</v>
      </c>
      <c r="B96" t="s">
        <v>23</v>
      </c>
      <c r="C96" t="s">
        <v>102</v>
      </c>
      <c r="D96" s="3">
        <v>39</v>
      </c>
      <c r="E96" s="5">
        <f t="shared" si="2"/>
        <v>1.3731427364270122E-3</v>
      </c>
      <c r="F96" s="6">
        <f t="shared" si="3"/>
        <v>0.92486444616576313</v>
      </c>
    </row>
    <row xmlns:x14ac="http://schemas.microsoft.com/office/spreadsheetml/2009/9/ac" r="97" x14ac:dyDescent="0.25">
      <c r="A97" s="3">
        <v>6023</v>
      </c>
      <c r="B97" t="s">
        <v>11</v>
      </c>
      <c r="C97" t="s">
        <v>59</v>
      </c>
      <c r="D97" s="3">
        <v>39</v>
      </c>
      <c r="E97" s="5">
        <f t="shared" si="2"/>
        <v>1.3731427364270122E-3</v>
      </c>
      <c r="F97" s="6">
        <f t="shared" si="3"/>
        <v>0.9262375889021901</v>
      </c>
    </row>
    <row xmlns:x14ac="http://schemas.microsoft.com/office/spreadsheetml/2009/9/ac" r="98" x14ac:dyDescent="0.25">
      <c r="A98" s="3">
        <v>15009</v>
      </c>
      <c r="B98" t="s">
        <v>17</v>
      </c>
      <c r="C98" t="s">
        <v>94</v>
      </c>
      <c r="D98" s="3">
        <v>38</v>
      </c>
      <c r="E98" s="5">
        <f t="shared" si="2"/>
        <v>1.337933948313499E-3</v>
      </c>
      <c r="F98" s="6">
        <f t="shared" si="3"/>
        <v>0.9275755228505036</v>
      </c>
    </row>
    <row xmlns:x14ac="http://schemas.microsoft.com/office/spreadsheetml/2009/9/ac" r="99" x14ac:dyDescent="0.25">
      <c r="A99" s="3">
        <v>37119</v>
      </c>
      <c r="B99" t="s">
        <v>32</v>
      </c>
      <c r="C99" t="s">
        <v>121</v>
      </c>
      <c r="D99" s="3">
        <v>38</v>
      </c>
      <c r="E99" s="5">
        <f t="shared" si="2"/>
        <v>1.337933948313499E-3</v>
      </c>
      <c r="F99" s="6">
        <f t="shared" si="3"/>
        <v>0.92891345679881709</v>
      </c>
    </row>
    <row xmlns:x14ac="http://schemas.microsoft.com/office/spreadsheetml/2009/9/ac" r="100" x14ac:dyDescent="0.25">
      <c r="A100" s="3">
        <v>40143</v>
      </c>
      <c r="B100" t="s">
        <v>47</v>
      </c>
      <c r="C100" t="s">
        <v>233</v>
      </c>
      <c r="D100" s="3">
        <v>37</v>
      </c>
      <c r="E100" s="5">
        <f t="shared" si="2"/>
        <v>1.3027251601999859E-3</v>
      </c>
      <c r="F100" s="6">
        <f t="shared" si="3"/>
        <v>0.93021618195901712</v>
      </c>
    </row>
    <row xmlns:x14ac="http://schemas.microsoft.com/office/spreadsheetml/2009/9/ac" r="101" x14ac:dyDescent="0.25">
      <c r="A101" s="3">
        <v>36081</v>
      </c>
      <c r="B101" t="s">
        <v>31</v>
      </c>
      <c r="C101" t="s">
        <v>118</v>
      </c>
      <c r="D101" s="3">
        <v>36</v>
      </c>
      <c r="E101" s="5">
        <f t="shared" si="2"/>
        <v>1.2675163720864727E-3</v>
      </c>
      <c r="F101" s="6">
        <f t="shared" si="3"/>
        <v>0.93148369833110356</v>
      </c>
    </row>
    <row xmlns:x14ac="http://schemas.microsoft.com/office/spreadsheetml/2009/9/ac" r="102" x14ac:dyDescent="0.25">
      <c r="A102" s="3">
        <v>22071</v>
      </c>
      <c r="B102" t="s">
        <v>22</v>
      </c>
      <c r="C102" t="s">
        <v>101</v>
      </c>
      <c r="D102" s="3">
        <v>36</v>
      </c>
      <c r="E102" s="5">
        <f t="shared" si="2"/>
        <v>1.2675163720864727E-3</v>
      </c>
      <c r="F102" s="6">
        <f t="shared" si="3"/>
        <v>0.93275121470319</v>
      </c>
    </row>
    <row xmlns:x14ac="http://schemas.microsoft.com/office/spreadsheetml/2009/9/ac" r="103" x14ac:dyDescent="0.25">
      <c r="A103" s="3">
        <v>41015</v>
      </c>
      <c r="B103" t="s">
        <v>3</v>
      </c>
      <c r="C103" t="s">
        <v>210</v>
      </c>
      <c r="D103" s="3">
        <v>35</v>
      </c>
      <c r="E103" s="5">
        <f t="shared" si="2"/>
        <v>1.2323075839729596E-3</v>
      </c>
      <c r="F103" s="6">
        <f t="shared" si="3"/>
        <v>0.93398352228716297</v>
      </c>
    </row>
    <row xmlns:x14ac="http://schemas.microsoft.com/office/spreadsheetml/2009/9/ac" r="104" x14ac:dyDescent="0.25">
      <c r="A104" s="3">
        <v>55079</v>
      </c>
      <c r="B104" t="s">
        <v>41</v>
      </c>
      <c r="C104" t="s">
        <v>174</v>
      </c>
      <c r="D104" s="3">
        <v>35</v>
      </c>
      <c r="E104" s="5">
        <f t="shared" si="2"/>
        <v>1.2323075839729596E-3</v>
      </c>
      <c r="F104" s="6">
        <f t="shared" si="3"/>
        <v>0.93521582987113594</v>
      </c>
    </row>
    <row xmlns:x14ac="http://schemas.microsoft.com/office/spreadsheetml/2009/9/ac" r="105" x14ac:dyDescent="0.25">
      <c r="A105" s="3">
        <v>12095</v>
      </c>
      <c r="B105" t="s">
        <v>15</v>
      </c>
      <c r="C105" t="s">
        <v>64</v>
      </c>
      <c r="D105" s="3">
        <v>35</v>
      </c>
      <c r="E105" s="5">
        <f t="shared" si="2"/>
        <v>1.2323075839729596E-3</v>
      </c>
      <c r="F105" s="6">
        <f t="shared" si="3"/>
        <v>0.93644813745510891</v>
      </c>
    </row>
    <row xmlns:x14ac="http://schemas.microsoft.com/office/spreadsheetml/2009/9/ac" r="106" x14ac:dyDescent="0.25">
      <c r="A106" s="3">
        <v>37183</v>
      </c>
      <c r="B106" t="s">
        <v>32</v>
      </c>
      <c r="C106" t="s">
        <v>206</v>
      </c>
      <c r="D106" s="3">
        <v>35</v>
      </c>
      <c r="E106" s="5">
        <f t="shared" si="2"/>
        <v>1.2323075839729596E-3</v>
      </c>
      <c r="F106" s="6">
        <f t="shared" si="3"/>
        <v>0.93768044503908188</v>
      </c>
    </row>
    <row xmlns:x14ac="http://schemas.microsoft.com/office/spreadsheetml/2009/9/ac" r="107" x14ac:dyDescent="0.25">
      <c r="A107" s="3">
        <v>30031</v>
      </c>
      <c r="B107" t="s">
        <v>28</v>
      </c>
      <c r="C107" t="s">
        <v>109</v>
      </c>
      <c r="D107" s="3">
        <v>34</v>
      </c>
      <c r="E107" s="5">
        <f t="shared" si="2"/>
        <v>1.1970987958594464E-3</v>
      </c>
      <c r="F107" s="6">
        <f t="shared" si="3"/>
        <v>0.93887754383494137</v>
      </c>
    </row>
    <row xmlns:x14ac="http://schemas.microsoft.com/office/spreadsheetml/2009/9/ac" r="108" x14ac:dyDescent="0.25">
      <c r="A108" s="3">
        <v>26163</v>
      </c>
      <c r="B108" t="s">
        <v>26</v>
      </c>
      <c r="C108" t="s">
        <v>195</v>
      </c>
      <c r="D108" s="3">
        <v>33</v>
      </c>
      <c r="E108" s="5">
        <f t="shared" si="2"/>
        <v>1.1618900077459333E-3</v>
      </c>
      <c r="F108" s="6">
        <f t="shared" si="3"/>
        <v>0.94003943384268729</v>
      </c>
    </row>
    <row xmlns:x14ac="http://schemas.microsoft.com/office/spreadsheetml/2009/9/ac" r="109" x14ac:dyDescent="0.25">
      <c r="A109" s="3">
        <v>6079</v>
      </c>
      <c r="B109" t="s">
        <v>11</v>
      </c>
      <c r="C109" t="s">
        <v>71</v>
      </c>
      <c r="D109" s="3">
        <v>32</v>
      </c>
      <c r="E109" s="5">
        <f t="shared" si="2"/>
        <v>1.1266812196324204E-3</v>
      </c>
      <c r="F109" s="6">
        <f t="shared" si="3"/>
        <v>0.94116611506231973</v>
      </c>
    </row>
    <row xmlns:x14ac="http://schemas.microsoft.com/office/spreadsheetml/2009/9/ac" r="110" x14ac:dyDescent="0.25">
      <c r="A110" s="3">
        <v>39035</v>
      </c>
      <c r="B110" t="s">
        <v>33</v>
      </c>
      <c r="C110" t="s">
        <v>207</v>
      </c>
      <c r="D110" s="3">
        <v>32</v>
      </c>
      <c r="E110" s="5">
        <f t="shared" si="2"/>
        <v>1.1266812196324204E-3</v>
      </c>
      <c r="F110" s="6">
        <f t="shared" si="3"/>
        <v>0.94229279628195217</v>
      </c>
    </row>
    <row xmlns:x14ac="http://schemas.microsoft.com/office/spreadsheetml/2009/9/ac" r="111" x14ac:dyDescent="0.25">
      <c r="A111" s="3">
        <v>55025</v>
      </c>
      <c r="B111" t="s">
        <v>41</v>
      </c>
      <c r="C111" t="s">
        <v>173</v>
      </c>
      <c r="D111" s="3">
        <v>32</v>
      </c>
      <c r="E111" s="5">
        <f t="shared" si="2"/>
        <v>1.1266812196324204E-3</v>
      </c>
      <c r="F111" s="6">
        <f t="shared" si="3"/>
        <v>0.94341947750158461</v>
      </c>
    </row>
    <row xmlns:x14ac="http://schemas.microsoft.com/office/spreadsheetml/2009/9/ac" r="112" x14ac:dyDescent="0.25">
      <c r="A112" s="3">
        <v>49049</v>
      </c>
      <c r="B112" t="s">
        <v>37</v>
      </c>
      <c r="C112" t="s">
        <v>219</v>
      </c>
      <c r="D112" s="3">
        <v>32</v>
      </c>
      <c r="E112" s="5">
        <f t="shared" si="2"/>
        <v>1.1266812196324204E-3</v>
      </c>
      <c r="F112" s="6">
        <f t="shared" si="3"/>
        <v>0.94454615872121706</v>
      </c>
    </row>
    <row xmlns:x14ac="http://schemas.microsoft.com/office/spreadsheetml/2009/9/ac" r="113" x14ac:dyDescent="0.25">
      <c r="A113" s="3">
        <v>6061</v>
      </c>
      <c r="B113" t="s">
        <v>11</v>
      </c>
      <c r="C113" t="s">
        <v>65</v>
      </c>
      <c r="D113" s="3">
        <v>32</v>
      </c>
      <c r="E113" s="5">
        <f t="shared" si="2"/>
        <v>1.1266812196324204E-3</v>
      </c>
      <c r="F113" s="6">
        <f t="shared" si="3"/>
        <v>0.9456728399408495</v>
      </c>
    </row>
    <row xmlns:x14ac="http://schemas.microsoft.com/office/spreadsheetml/2009/9/ac" r="114" x14ac:dyDescent="0.25">
      <c r="A114" s="3">
        <v>12103</v>
      </c>
      <c r="B114" t="s">
        <v>15</v>
      </c>
      <c r="C114" t="s">
        <v>89</v>
      </c>
      <c r="D114" s="3">
        <v>32</v>
      </c>
      <c r="E114" s="5">
        <f t="shared" si="2"/>
        <v>1.1266812196324204E-3</v>
      </c>
      <c r="F114" s="6">
        <f t="shared" si="3"/>
        <v>0.94679952116048194</v>
      </c>
    </row>
    <row xmlns:x14ac="http://schemas.microsoft.com/office/spreadsheetml/2009/9/ac" r="115" x14ac:dyDescent="0.25">
      <c r="A115" s="3">
        <v>53031</v>
      </c>
      <c r="B115" t="s">
        <v>40</v>
      </c>
      <c r="C115" t="s">
        <v>83</v>
      </c>
      <c r="D115" s="3">
        <v>31</v>
      </c>
      <c r="E115" s="5">
        <f t="shared" si="2"/>
        <v>1.0914724315189072E-3</v>
      </c>
      <c r="F115" s="6">
        <f t="shared" si="3"/>
        <v>0.9478909935920008</v>
      </c>
    </row>
    <row xmlns:x14ac="http://schemas.microsoft.com/office/spreadsheetml/2009/9/ac" r="116" x14ac:dyDescent="0.25">
      <c r="A116" s="3">
        <v>29095</v>
      </c>
      <c r="B116" t="s">
        <v>44</v>
      </c>
      <c r="C116" t="s">
        <v>133</v>
      </c>
      <c r="D116" s="3">
        <v>31</v>
      </c>
      <c r="E116" s="5">
        <f t="shared" si="2"/>
        <v>1.0914724315189072E-3</v>
      </c>
      <c r="F116" s="6">
        <f t="shared" si="3"/>
        <v>0.94898246602351966</v>
      </c>
    </row>
    <row xmlns:x14ac="http://schemas.microsoft.com/office/spreadsheetml/2009/9/ac" r="117" x14ac:dyDescent="0.25">
      <c r="A117" s="3">
        <v>6041</v>
      </c>
      <c r="B117" t="s">
        <v>11</v>
      </c>
      <c r="C117" t="s">
        <v>62</v>
      </c>
      <c r="D117" s="3">
        <v>31</v>
      </c>
      <c r="E117" s="5">
        <f t="shared" si="2"/>
        <v>1.0914724315189072E-3</v>
      </c>
      <c r="F117" s="6">
        <f t="shared" si="3"/>
        <v>0.95007393845503851</v>
      </c>
    </row>
    <row xmlns:x14ac="http://schemas.microsoft.com/office/spreadsheetml/2009/9/ac" r="118" x14ac:dyDescent="0.25">
      <c r="A118" s="3">
        <v>40109</v>
      </c>
      <c r="B118" t="s">
        <v>47</v>
      </c>
      <c r="C118" t="s">
        <v>209</v>
      </c>
      <c r="D118" s="3">
        <v>30</v>
      </c>
      <c r="E118" s="5">
        <f t="shared" si="2"/>
        <v>1.0562636434053941E-3</v>
      </c>
      <c r="F118" s="6">
        <f t="shared" si="3"/>
        <v>0.9511302020984439</v>
      </c>
    </row>
    <row xmlns:x14ac="http://schemas.microsoft.com/office/spreadsheetml/2009/9/ac" r="119" x14ac:dyDescent="0.25">
      <c r="A119" s="3">
        <v>8001</v>
      </c>
      <c r="B119" t="s">
        <v>12</v>
      </c>
      <c r="C119" t="s">
        <v>225</v>
      </c>
      <c r="D119" s="3">
        <v>30</v>
      </c>
      <c r="E119" s="5">
        <f t="shared" si="2"/>
        <v>1.0562636434053941E-3</v>
      </c>
      <c r="F119" s="6">
        <f t="shared" si="3"/>
        <v>0.95218646574184929</v>
      </c>
    </row>
    <row xmlns:x14ac="http://schemas.microsoft.com/office/spreadsheetml/2009/9/ac" r="120" x14ac:dyDescent="0.25">
      <c r="A120" s="3">
        <v>6019</v>
      </c>
      <c r="B120" t="s">
        <v>11</v>
      </c>
      <c r="C120" t="s">
        <v>58</v>
      </c>
      <c r="D120" s="3">
        <v>30</v>
      </c>
      <c r="E120" s="5">
        <f t="shared" si="2"/>
        <v>1.0562636434053941E-3</v>
      </c>
      <c r="F120" s="6">
        <f t="shared" si="3"/>
        <v>0.95324272938525467</v>
      </c>
    </row>
    <row xmlns:x14ac="http://schemas.microsoft.com/office/spreadsheetml/2009/9/ac" r="121" x14ac:dyDescent="0.25">
      <c r="A121" s="3">
        <v>4021</v>
      </c>
      <c r="B121" t="s">
        <v>10</v>
      </c>
      <c r="C121" t="s">
        <v>55</v>
      </c>
      <c r="D121" s="3">
        <v>30</v>
      </c>
      <c r="E121" s="5">
        <f t="shared" si="2"/>
        <v>1.0562636434053941E-3</v>
      </c>
      <c r="F121" s="6">
        <f t="shared" si="3"/>
        <v>0.95429899302866006</v>
      </c>
    </row>
    <row xmlns:x14ac="http://schemas.microsoft.com/office/spreadsheetml/2009/9/ac" r="122" x14ac:dyDescent="0.25">
      <c r="A122" s="3">
        <v>27123</v>
      </c>
      <c r="B122" t="s">
        <v>27</v>
      </c>
      <c r="C122" t="s">
        <v>108</v>
      </c>
      <c r="D122" s="3">
        <v>30</v>
      </c>
      <c r="E122" s="5">
        <f t="shared" si="2"/>
        <v>1.0562636434053941E-3</v>
      </c>
      <c r="F122" s="6">
        <f t="shared" si="3"/>
        <v>0.95535525667206544</v>
      </c>
    </row>
    <row xmlns:x14ac="http://schemas.microsoft.com/office/spreadsheetml/2009/9/ac" r="123" x14ac:dyDescent="0.25">
      <c r="A123" s="3">
        <v>4025</v>
      </c>
      <c r="B123" t="s">
        <v>10</v>
      </c>
      <c r="C123" t="s">
        <v>176</v>
      </c>
      <c r="D123" s="3">
        <v>29</v>
      </c>
      <c r="E123" s="5">
        <f t="shared" si="2"/>
        <v>1.0210548552918809E-3</v>
      </c>
      <c r="F123" s="6">
        <f t="shared" si="3"/>
        <v>0.95637631152735736</v>
      </c>
    </row>
    <row xmlns:x14ac="http://schemas.microsoft.com/office/spreadsheetml/2009/9/ac" r="124" x14ac:dyDescent="0.25">
      <c r="A124" s="3">
        <v>53045</v>
      </c>
      <c r="B124" t="s">
        <v>40</v>
      </c>
      <c r="C124" t="s">
        <v>237</v>
      </c>
      <c r="D124" s="3">
        <v>29</v>
      </c>
      <c r="E124" s="5">
        <f t="shared" si="2"/>
        <v>1.0210548552918809E-3</v>
      </c>
      <c r="F124" s="6">
        <f t="shared" si="3"/>
        <v>0.95739736638264927</v>
      </c>
    </row>
    <row xmlns:x14ac="http://schemas.microsoft.com/office/spreadsheetml/2009/9/ac" r="125" x14ac:dyDescent="0.25">
      <c r="A125" s="3">
        <v>53071</v>
      </c>
      <c r="B125" t="s">
        <v>40</v>
      </c>
      <c r="C125" t="s">
        <v>170</v>
      </c>
      <c r="D125" s="3">
        <v>29</v>
      </c>
      <c r="E125" s="5">
        <f t="shared" si="2"/>
        <v>1.0210548552918809E-3</v>
      </c>
      <c r="F125" s="6">
        <f t="shared" si="3"/>
        <v>0.95841842123794119</v>
      </c>
    </row>
    <row xmlns:x14ac="http://schemas.microsoft.com/office/spreadsheetml/2009/9/ac" r="126" x14ac:dyDescent="0.25">
      <c r="A126" s="3">
        <v>13089</v>
      </c>
      <c r="B126" t="s">
        <v>16</v>
      </c>
      <c r="C126" t="s">
        <v>90</v>
      </c>
      <c r="D126" s="3">
        <v>29</v>
      </c>
      <c r="E126" s="5">
        <f t="shared" si="2"/>
        <v>1.0210548552918809E-3</v>
      </c>
      <c r="F126" s="6">
        <f t="shared" si="3"/>
        <v>0.9594394760932331</v>
      </c>
    </row>
    <row xmlns:x14ac="http://schemas.microsoft.com/office/spreadsheetml/2009/9/ac" r="127" x14ac:dyDescent="0.25">
      <c r="A127" s="3">
        <v>53057</v>
      </c>
      <c r="B127" t="s">
        <v>40</v>
      </c>
      <c r="C127" t="s">
        <v>223</v>
      </c>
      <c r="D127" s="3">
        <v>29</v>
      </c>
      <c r="E127" s="5">
        <f t="shared" si="2"/>
        <v>1.0210548552918809E-3</v>
      </c>
      <c r="F127" s="6">
        <f t="shared" si="3"/>
        <v>0.96046053094852502</v>
      </c>
    </row>
    <row xmlns:x14ac="http://schemas.microsoft.com/office/spreadsheetml/2009/9/ac" r="128" x14ac:dyDescent="0.25">
      <c r="A128" s="3">
        <v>6095</v>
      </c>
      <c r="B128" t="s">
        <v>11</v>
      </c>
      <c r="C128" t="s">
        <v>180</v>
      </c>
      <c r="D128" s="3">
        <v>29</v>
      </c>
      <c r="E128" s="5">
        <f t="shared" si="2"/>
        <v>1.0210548552918809E-3</v>
      </c>
      <c r="F128" s="6">
        <f t="shared" si="3"/>
        <v>0.96148158580381693</v>
      </c>
    </row>
    <row xmlns:x14ac="http://schemas.microsoft.com/office/spreadsheetml/2009/9/ac" r="129" x14ac:dyDescent="0.25">
      <c r="A129" s="3">
        <v>26125</v>
      </c>
      <c r="B129" t="s">
        <v>26</v>
      </c>
      <c r="C129" t="s">
        <v>194</v>
      </c>
      <c r="D129" s="3">
        <v>29</v>
      </c>
      <c r="E129" s="5">
        <f t="shared" si="2"/>
        <v>1.0210548552918809E-3</v>
      </c>
      <c r="F129" s="6">
        <f t="shared" si="3"/>
        <v>0.96250264065910884</v>
      </c>
    </row>
    <row xmlns:x14ac="http://schemas.microsoft.com/office/spreadsheetml/2009/9/ac" r="130" x14ac:dyDescent="0.25">
      <c r="A130" s="3">
        <v>6077</v>
      </c>
      <c r="B130" t="s">
        <v>11</v>
      </c>
      <c r="C130" t="s">
        <v>179</v>
      </c>
      <c r="D130" s="3">
        <v>29</v>
      </c>
      <c r="E130" s="5">
        <f t="shared" si="2"/>
        <v>1.0210548552918809E-3</v>
      </c>
      <c r="F130" s="6">
        <f t="shared" si="3"/>
        <v>0.96352369551440076</v>
      </c>
    </row>
    <row xmlns:x14ac="http://schemas.microsoft.com/office/spreadsheetml/2009/9/ac" r="131" x14ac:dyDescent="0.25">
      <c r="A131" s="3">
        <v>36055</v>
      </c>
      <c r="B131" t="s">
        <v>31</v>
      </c>
      <c r="C131" t="s">
        <v>203</v>
      </c>
      <c r="D131" s="3">
        <v>28</v>
      </c>
      <c r="E131" s="5">
        <f t="shared" si="2"/>
        <v>9.8584606717836776E-4</v>
      </c>
      <c r="F131" s="6">
        <f t="shared" si="3"/>
        <v>0.96450954158157909</v>
      </c>
    </row>
    <row xmlns:x14ac="http://schemas.microsoft.com/office/spreadsheetml/2009/9/ac" r="132" x14ac:dyDescent="0.25">
      <c r="A132" s="3">
        <v>19153</v>
      </c>
      <c r="B132" t="s">
        <v>21</v>
      </c>
      <c r="C132" t="s">
        <v>100</v>
      </c>
      <c r="D132" s="3">
        <v>28</v>
      </c>
      <c r="E132" s="5">
        <f t="shared" si="2"/>
        <v>9.8584606717836776E-4</v>
      </c>
      <c r="F132" s="6">
        <f t="shared" si="3"/>
        <v>0.96549538764875742</v>
      </c>
    </row>
    <row xmlns:x14ac="http://schemas.microsoft.com/office/spreadsheetml/2009/9/ac" r="133" x14ac:dyDescent="0.25">
      <c r="A133" s="3">
        <v>48085</v>
      </c>
      <c r="B133" t="s">
        <v>36</v>
      </c>
      <c r="C133" t="s">
        <v>216</v>
      </c>
      <c r="D133" s="3">
        <v>27</v>
      </c>
      <c r="E133" s="5">
        <f t="shared" ref="E133:E175" si="4">D133/SUM($D:$D)</f>
        <v>9.5063727906485461E-4</v>
      </c>
      <c r="F133" s="6">
        <f t="shared" si="3"/>
        <v>0.96644602492782228</v>
      </c>
    </row>
    <row xmlns:x14ac="http://schemas.microsoft.com/office/spreadsheetml/2009/9/ac" r="134" x14ac:dyDescent="0.25">
      <c r="A134" s="3">
        <v>41061</v>
      </c>
      <c r="B134" t="s">
        <v>3</v>
      </c>
      <c r="C134" t="s">
        <v>141</v>
      </c>
      <c r="D134" s="3">
        <v>27</v>
      </c>
      <c r="E134" s="5">
        <f t="shared" si="4"/>
        <v>9.5063727906485461E-4</v>
      </c>
      <c r="F134" s="6">
        <f t="shared" ref="F134:F175" si="5">F133+E134</f>
        <v>0.96739666220688714</v>
      </c>
    </row>
    <row xmlns:x14ac="http://schemas.microsoft.com/office/spreadsheetml/2009/9/ac" r="135" x14ac:dyDescent="0.25">
      <c r="A135" s="3">
        <v>53007</v>
      </c>
      <c r="B135" t="s">
        <v>40</v>
      </c>
      <c r="C135" t="s">
        <v>236</v>
      </c>
      <c r="D135" s="3">
        <v>27</v>
      </c>
      <c r="E135" s="5">
        <f t="shared" si="4"/>
        <v>9.5063727906485461E-4</v>
      </c>
      <c r="F135" s="6">
        <f t="shared" si="5"/>
        <v>0.968347299485952</v>
      </c>
    </row>
    <row xmlns:x14ac="http://schemas.microsoft.com/office/spreadsheetml/2009/9/ac" r="136" x14ac:dyDescent="0.25">
      <c r="A136" s="3">
        <v>24031</v>
      </c>
      <c r="B136" t="s">
        <v>24</v>
      </c>
      <c r="C136" t="s">
        <v>103</v>
      </c>
      <c r="D136" s="3">
        <v>27</v>
      </c>
      <c r="E136" s="5">
        <f t="shared" si="4"/>
        <v>9.5063727906485461E-4</v>
      </c>
      <c r="F136" s="6">
        <f t="shared" si="5"/>
        <v>0.96929793676501685</v>
      </c>
    </row>
    <row xmlns:x14ac="http://schemas.microsoft.com/office/spreadsheetml/2009/9/ac" r="137" x14ac:dyDescent="0.25">
      <c r="A137" s="3">
        <v>48121</v>
      </c>
      <c r="B137" t="s">
        <v>36</v>
      </c>
      <c r="C137" t="s">
        <v>234</v>
      </c>
      <c r="D137" s="3">
        <v>27</v>
      </c>
      <c r="E137" s="5">
        <f t="shared" si="4"/>
        <v>9.5063727906485461E-4</v>
      </c>
      <c r="F137" s="6">
        <f t="shared" si="5"/>
        <v>0.97024857404408171</v>
      </c>
    </row>
    <row xmlns:x14ac="http://schemas.microsoft.com/office/spreadsheetml/2009/9/ac" r="138" x14ac:dyDescent="0.25">
      <c r="A138" s="3">
        <v>12011</v>
      </c>
      <c r="B138" t="s">
        <v>15</v>
      </c>
      <c r="C138" t="s">
        <v>183</v>
      </c>
      <c r="D138" s="3">
        <v>27</v>
      </c>
      <c r="E138" s="5">
        <f t="shared" si="4"/>
        <v>9.5063727906485461E-4</v>
      </c>
      <c r="F138" s="6">
        <f t="shared" si="5"/>
        <v>0.97119921132314657</v>
      </c>
    </row>
    <row xmlns:x14ac="http://schemas.microsoft.com/office/spreadsheetml/2009/9/ac" r="139" x14ac:dyDescent="0.25">
      <c r="A139" s="3">
        <v>53041</v>
      </c>
      <c r="B139" t="s">
        <v>40</v>
      </c>
      <c r="C139" t="s">
        <v>163</v>
      </c>
      <c r="D139" s="3">
        <v>26</v>
      </c>
      <c r="E139" s="5">
        <f t="shared" si="4"/>
        <v>9.1542849095134146E-4</v>
      </c>
      <c r="F139" s="6">
        <f t="shared" si="5"/>
        <v>0.97211463981409796</v>
      </c>
    </row>
    <row xmlns:x14ac="http://schemas.microsoft.com/office/spreadsheetml/2009/9/ac" r="140" x14ac:dyDescent="0.25">
      <c r="A140" s="3">
        <v>15007</v>
      </c>
      <c r="B140" t="s">
        <v>17</v>
      </c>
      <c r="C140" t="s">
        <v>185</v>
      </c>
      <c r="D140" s="3">
        <v>26</v>
      </c>
      <c r="E140" s="5">
        <f t="shared" si="4"/>
        <v>9.1542849095134146E-4</v>
      </c>
      <c r="F140" s="6">
        <f t="shared" si="5"/>
        <v>0.97303006830504934</v>
      </c>
    </row>
    <row xmlns:x14ac="http://schemas.microsoft.com/office/spreadsheetml/2009/9/ac" r="141" x14ac:dyDescent="0.25">
      <c r="A141" s="3">
        <v>12099</v>
      </c>
      <c r="B141" t="s">
        <v>15</v>
      </c>
      <c r="C141" t="s">
        <v>88</v>
      </c>
      <c r="D141" s="3">
        <v>26</v>
      </c>
      <c r="E141" s="5">
        <f t="shared" si="4"/>
        <v>9.1542849095134146E-4</v>
      </c>
      <c r="F141" s="6">
        <f t="shared" si="5"/>
        <v>0.97394549679600073</v>
      </c>
    </row>
    <row xmlns:x14ac="http://schemas.microsoft.com/office/spreadsheetml/2009/9/ac" r="142" x14ac:dyDescent="0.25">
      <c r="A142" s="3">
        <v>47157</v>
      </c>
      <c r="B142" t="s">
        <v>35</v>
      </c>
      <c r="C142" t="s">
        <v>215</v>
      </c>
      <c r="D142" s="3">
        <v>25</v>
      </c>
      <c r="E142" s="5">
        <f t="shared" si="4"/>
        <v>8.8021970283782831E-4</v>
      </c>
      <c r="F142" s="6">
        <f t="shared" si="5"/>
        <v>0.97482571649883853</v>
      </c>
    </row>
    <row xmlns:x14ac="http://schemas.microsoft.com/office/spreadsheetml/2009/9/ac" r="143" x14ac:dyDescent="0.25">
      <c r="A143" s="3">
        <v>18097</v>
      </c>
      <c r="B143" t="s">
        <v>20</v>
      </c>
      <c r="C143" t="s">
        <v>99</v>
      </c>
      <c r="D143" s="3">
        <v>25</v>
      </c>
      <c r="E143" s="5">
        <f t="shared" si="4"/>
        <v>8.8021970283782831E-4</v>
      </c>
      <c r="F143" s="6">
        <f t="shared" si="5"/>
        <v>0.97570593620167634</v>
      </c>
    </row>
    <row xmlns:x14ac="http://schemas.microsoft.com/office/spreadsheetml/2009/9/ac" r="144" x14ac:dyDescent="0.25">
      <c r="A144" s="3">
        <v>29189</v>
      </c>
      <c r="B144" t="s">
        <v>44</v>
      </c>
      <c r="C144" t="s">
        <v>197</v>
      </c>
      <c r="D144" s="3">
        <v>25</v>
      </c>
      <c r="E144" s="5">
        <f t="shared" si="4"/>
        <v>8.8021970283782831E-4</v>
      </c>
      <c r="F144" s="6">
        <f t="shared" si="5"/>
        <v>0.97658615590451414</v>
      </c>
    </row>
    <row xmlns:x14ac="http://schemas.microsoft.com/office/spreadsheetml/2009/9/ac" r="145" x14ac:dyDescent="0.25">
      <c r="A145" s="3">
        <v>6089</v>
      </c>
      <c r="B145" t="s">
        <v>11</v>
      </c>
      <c r="C145" t="s">
        <v>76</v>
      </c>
      <c r="D145" s="3">
        <v>24</v>
      </c>
      <c r="E145" s="5">
        <f t="shared" si="4"/>
        <v>8.4501091472431516E-4</v>
      </c>
      <c r="F145" s="6">
        <f t="shared" si="5"/>
        <v>0.97743116681923847</v>
      </c>
    </row>
    <row xmlns:x14ac="http://schemas.microsoft.com/office/spreadsheetml/2009/9/ac" r="146" x14ac:dyDescent="0.25">
      <c r="A146" s="3">
        <v>6057</v>
      </c>
      <c r="B146" t="s">
        <v>11</v>
      </c>
      <c r="C146" t="s">
        <v>230</v>
      </c>
      <c r="D146" s="3">
        <v>24</v>
      </c>
      <c r="E146" s="5">
        <f t="shared" si="4"/>
        <v>8.4501091472431516E-4</v>
      </c>
      <c r="F146" s="6">
        <f t="shared" si="5"/>
        <v>0.9782761777339628</v>
      </c>
    </row>
    <row xmlns:x14ac="http://schemas.microsoft.com/office/spreadsheetml/2009/9/ac" r="147" x14ac:dyDescent="0.25">
      <c r="A147" s="3">
        <v>6029</v>
      </c>
      <c r="B147" t="s">
        <v>11</v>
      </c>
      <c r="C147" t="s">
        <v>60</v>
      </c>
      <c r="D147" s="3">
        <v>24</v>
      </c>
      <c r="E147" s="5">
        <f t="shared" si="4"/>
        <v>8.4501091472431516E-4</v>
      </c>
      <c r="F147" s="6">
        <f t="shared" si="5"/>
        <v>0.97912118864868714</v>
      </c>
    </row>
    <row xmlns:x14ac="http://schemas.microsoft.com/office/spreadsheetml/2009/9/ac" r="148" x14ac:dyDescent="0.25">
      <c r="A148" s="3">
        <v>51013</v>
      </c>
      <c r="B148" t="s">
        <v>39</v>
      </c>
      <c r="C148" t="s">
        <v>221</v>
      </c>
      <c r="D148" s="3">
        <v>23</v>
      </c>
      <c r="E148" s="5">
        <f t="shared" si="4"/>
        <v>8.0980212661080201E-4</v>
      </c>
      <c r="F148" s="6">
        <f t="shared" si="5"/>
        <v>0.97993099077529788</v>
      </c>
    </row>
    <row xmlns:x14ac="http://schemas.microsoft.com/office/spreadsheetml/2009/9/ac" r="149" x14ac:dyDescent="0.25">
      <c r="A149" s="3">
        <v>30029</v>
      </c>
      <c r="B149" t="s">
        <v>28</v>
      </c>
      <c r="C149" t="s">
        <v>199</v>
      </c>
      <c r="D149" s="3">
        <v>23</v>
      </c>
      <c r="E149" s="5">
        <f t="shared" si="4"/>
        <v>8.0980212661080201E-4</v>
      </c>
      <c r="F149" s="6">
        <f t="shared" si="5"/>
        <v>0.98074079290190863</v>
      </c>
    </row>
    <row xmlns:x14ac="http://schemas.microsoft.com/office/spreadsheetml/2009/9/ac" r="150" x14ac:dyDescent="0.25">
      <c r="A150" s="3">
        <v>30049</v>
      </c>
      <c r="B150" t="s">
        <v>28</v>
      </c>
      <c r="C150" t="s">
        <v>200</v>
      </c>
      <c r="D150" s="3">
        <v>22</v>
      </c>
      <c r="E150" s="5">
        <f t="shared" si="4"/>
        <v>7.7459333849728897E-4</v>
      </c>
      <c r="F150" s="6">
        <f t="shared" si="5"/>
        <v>0.98151538624040591</v>
      </c>
    </row>
    <row xmlns:x14ac="http://schemas.microsoft.com/office/spreadsheetml/2009/9/ac" r="151" x14ac:dyDescent="0.25">
      <c r="A151" s="3">
        <v>12115</v>
      </c>
      <c r="B151" t="s">
        <v>15</v>
      </c>
      <c r="C151" t="s">
        <v>231</v>
      </c>
      <c r="D151" s="3">
        <v>22</v>
      </c>
      <c r="E151" s="5">
        <f t="shared" si="4"/>
        <v>7.7459333849728897E-4</v>
      </c>
      <c r="F151" s="6">
        <f t="shared" si="5"/>
        <v>0.98228997957890318</v>
      </c>
    </row>
    <row xmlns:x14ac="http://schemas.microsoft.com/office/spreadsheetml/2009/9/ac" r="152" x14ac:dyDescent="0.25">
      <c r="A152" s="3">
        <v>37021</v>
      </c>
      <c r="B152" t="s">
        <v>32</v>
      </c>
      <c r="C152" t="s">
        <v>120</v>
      </c>
      <c r="D152" s="3">
        <v>22</v>
      </c>
      <c r="E152" s="5">
        <f t="shared" si="4"/>
        <v>7.7459333849728897E-4</v>
      </c>
      <c r="F152" s="6">
        <f t="shared" si="5"/>
        <v>0.98306457291740046</v>
      </c>
    </row>
    <row xmlns:x14ac="http://schemas.microsoft.com/office/spreadsheetml/2009/9/ac" r="153" x14ac:dyDescent="0.25">
      <c r="A153" s="3">
        <v>21111</v>
      </c>
      <c r="B153" t="s">
        <v>43</v>
      </c>
      <c r="C153" t="s">
        <v>83</v>
      </c>
      <c r="D153" s="3">
        <v>22</v>
      </c>
      <c r="E153" s="5">
        <f t="shared" si="4"/>
        <v>7.7459333849728897E-4</v>
      </c>
      <c r="F153" s="6">
        <f t="shared" si="5"/>
        <v>0.98383916625589773</v>
      </c>
    </row>
    <row xmlns:x14ac="http://schemas.microsoft.com/office/spreadsheetml/2009/9/ac" r="154" x14ac:dyDescent="0.25">
      <c r="A154" s="3">
        <v>26161</v>
      </c>
      <c r="B154" t="s">
        <v>26</v>
      </c>
      <c r="C154" t="s">
        <v>106</v>
      </c>
      <c r="D154" s="3">
        <v>22</v>
      </c>
      <c r="E154" s="5">
        <f t="shared" si="4"/>
        <v>7.7459333849728897E-4</v>
      </c>
      <c r="F154" s="6">
        <f t="shared" si="5"/>
        <v>0.98461375959439501</v>
      </c>
    </row>
    <row xmlns:x14ac="http://schemas.microsoft.com/office/spreadsheetml/2009/9/ac" r="155" x14ac:dyDescent="0.25">
      <c r="A155" s="3">
        <v>12071</v>
      </c>
      <c r="B155" t="s">
        <v>15</v>
      </c>
      <c r="C155" t="s">
        <v>226</v>
      </c>
      <c r="D155" s="3">
        <v>22</v>
      </c>
      <c r="E155" s="5">
        <f t="shared" si="4"/>
        <v>7.7459333849728897E-4</v>
      </c>
      <c r="F155" s="6">
        <f t="shared" si="5"/>
        <v>0.98538835293289229</v>
      </c>
    </row>
    <row xmlns:x14ac="http://schemas.microsoft.com/office/spreadsheetml/2009/9/ac" r="156" x14ac:dyDescent="0.25">
      <c r="A156" s="3">
        <v>29510</v>
      </c>
      <c r="B156" t="s">
        <v>44</v>
      </c>
      <c r="C156" t="s">
        <v>198</v>
      </c>
      <c r="D156" s="3">
        <v>22</v>
      </c>
      <c r="E156" s="5">
        <f t="shared" si="4"/>
        <v>7.7459333849728897E-4</v>
      </c>
      <c r="F156" s="6">
        <f t="shared" si="5"/>
        <v>0.98616294627138956</v>
      </c>
    </row>
    <row xmlns:x14ac="http://schemas.microsoft.com/office/spreadsheetml/2009/9/ac" r="157" x14ac:dyDescent="0.25">
      <c r="A157" s="3">
        <v>53055</v>
      </c>
      <c r="B157" t="s">
        <v>40</v>
      </c>
      <c r="C157" t="s">
        <v>238</v>
      </c>
      <c r="D157" s="3">
        <v>22</v>
      </c>
      <c r="E157" s="5">
        <f t="shared" si="4"/>
        <v>7.7459333849728897E-4</v>
      </c>
      <c r="F157" s="6">
        <f t="shared" si="5"/>
        <v>0.98693753960988684</v>
      </c>
    </row>
    <row xmlns:x14ac="http://schemas.microsoft.com/office/spreadsheetml/2009/9/ac" r="158" x14ac:dyDescent="0.25">
      <c r="A158" s="3">
        <v>36029</v>
      </c>
      <c r="B158" t="s">
        <v>31</v>
      </c>
      <c r="C158" t="s">
        <v>202</v>
      </c>
      <c r="D158" s="3">
        <v>22</v>
      </c>
      <c r="E158" s="5">
        <f t="shared" si="4"/>
        <v>7.7459333849728897E-4</v>
      </c>
      <c r="F158" s="6">
        <f t="shared" si="5"/>
        <v>0.98771213294838411</v>
      </c>
    </row>
    <row xmlns:x14ac="http://schemas.microsoft.com/office/spreadsheetml/2009/9/ac" r="159" x14ac:dyDescent="0.25">
      <c r="A159" s="3">
        <v>49053</v>
      </c>
      <c r="B159" t="s">
        <v>37</v>
      </c>
      <c r="C159" t="s">
        <v>143</v>
      </c>
      <c r="D159" s="3">
        <v>22</v>
      </c>
      <c r="E159" s="5">
        <f t="shared" si="4"/>
        <v>7.7459333849728897E-4</v>
      </c>
      <c r="F159" s="6">
        <f t="shared" si="5"/>
        <v>0.98848672628688139</v>
      </c>
    </row>
    <row xmlns:x14ac="http://schemas.microsoft.com/office/spreadsheetml/2009/9/ac" r="160" x14ac:dyDescent="0.25">
      <c r="A160" s="3">
        <v>39061</v>
      </c>
      <c r="B160" t="s">
        <v>33</v>
      </c>
      <c r="C160" t="s">
        <v>208</v>
      </c>
      <c r="D160" s="3">
        <v>22</v>
      </c>
      <c r="E160" s="5">
        <f t="shared" si="4"/>
        <v>7.7459333849728897E-4</v>
      </c>
      <c r="F160" s="6">
        <f t="shared" si="5"/>
        <v>0.98926131962537867</v>
      </c>
    </row>
    <row xmlns:x14ac="http://schemas.microsoft.com/office/spreadsheetml/2009/9/ac" r="161" x14ac:dyDescent="0.25">
      <c r="A161" s="3">
        <v>53065</v>
      </c>
      <c r="B161" t="s">
        <v>40</v>
      </c>
      <c r="C161" t="s">
        <v>239</v>
      </c>
      <c r="D161" s="3">
        <v>21</v>
      </c>
      <c r="E161" s="5">
        <f t="shared" si="4"/>
        <v>7.3938455038377582E-4</v>
      </c>
      <c r="F161" s="6">
        <f t="shared" si="5"/>
        <v>0.99000070417576247</v>
      </c>
    </row>
    <row xmlns:x14ac="http://schemas.microsoft.com/office/spreadsheetml/2009/9/ac" r="162" x14ac:dyDescent="0.25">
      <c r="A162" s="3">
        <v>17043</v>
      </c>
      <c r="B162" t="s">
        <v>19</v>
      </c>
      <c r="C162" t="s">
        <v>187</v>
      </c>
      <c r="D162" s="3">
        <v>21</v>
      </c>
      <c r="E162" s="5">
        <f t="shared" si="4"/>
        <v>7.3938455038377582E-4</v>
      </c>
      <c r="F162" s="6">
        <f t="shared" si="5"/>
        <v>0.99074008872614627</v>
      </c>
    </row>
    <row xmlns:x14ac="http://schemas.microsoft.com/office/spreadsheetml/2009/9/ac" r="163" x14ac:dyDescent="0.25">
      <c r="A163" s="3">
        <v>30111</v>
      </c>
      <c r="B163" t="s">
        <v>28</v>
      </c>
      <c r="C163" t="s">
        <v>111</v>
      </c>
      <c r="D163" s="3">
        <v>21</v>
      </c>
      <c r="E163" s="5">
        <f t="shared" si="4"/>
        <v>7.3938455038377582E-4</v>
      </c>
      <c r="F163" s="6">
        <f t="shared" si="5"/>
        <v>0.99147947327653008</v>
      </c>
    </row>
    <row xmlns:x14ac="http://schemas.microsoft.com/office/spreadsheetml/2009/9/ac" r="164" x14ac:dyDescent="0.25">
      <c r="A164" s="3">
        <v>24510</v>
      </c>
      <c r="B164" t="s">
        <v>24</v>
      </c>
      <c r="C164" t="s">
        <v>190</v>
      </c>
      <c r="D164" s="3">
        <v>21</v>
      </c>
      <c r="E164" s="5">
        <f t="shared" si="4"/>
        <v>7.3938455038377582E-4</v>
      </c>
      <c r="F164" s="6">
        <f t="shared" si="5"/>
        <v>0.99221885782691388</v>
      </c>
    </row>
    <row xmlns:x14ac="http://schemas.microsoft.com/office/spreadsheetml/2009/9/ac" r="165" x14ac:dyDescent="0.25">
      <c r="A165" s="3">
        <v>26081</v>
      </c>
      <c r="B165" t="s">
        <v>26</v>
      </c>
      <c r="C165" t="s">
        <v>193</v>
      </c>
      <c r="D165" s="3">
        <v>21</v>
      </c>
      <c r="E165" s="5">
        <f t="shared" si="4"/>
        <v>7.3938455038377582E-4</v>
      </c>
      <c r="F165" s="6">
        <f t="shared" si="5"/>
        <v>0.99295824237729768</v>
      </c>
    </row>
    <row xmlns:x14ac="http://schemas.microsoft.com/office/spreadsheetml/2009/9/ac" r="166" x14ac:dyDescent="0.25">
      <c r="A166" s="3">
        <v>8035</v>
      </c>
      <c r="B166" t="s">
        <v>12</v>
      </c>
      <c r="C166" t="s">
        <v>131</v>
      </c>
      <c r="D166" s="3">
        <v>20</v>
      </c>
      <c r="E166" s="5">
        <f t="shared" si="4"/>
        <v>7.0417576227026267E-4</v>
      </c>
      <c r="F166" s="6">
        <f t="shared" si="5"/>
        <v>0.9936624181395679</v>
      </c>
    </row>
    <row xmlns:x14ac="http://schemas.microsoft.com/office/spreadsheetml/2009/9/ac" r="167" x14ac:dyDescent="0.25">
      <c r="A167" s="3">
        <v>17097</v>
      </c>
      <c r="B167" t="s">
        <v>19</v>
      </c>
      <c r="C167" t="s">
        <v>232</v>
      </c>
      <c r="D167" s="3">
        <v>20</v>
      </c>
      <c r="E167" s="5">
        <f t="shared" si="4"/>
        <v>7.0417576227026267E-4</v>
      </c>
      <c r="F167" s="6">
        <f t="shared" si="5"/>
        <v>0.99436659390183813</v>
      </c>
    </row>
    <row xmlns:x14ac="http://schemas.microsoft.com/office/spreadsheetml/2009/9/ac" r="168" x14ac:dyDescent="0.25">
      <c r="A168" s="3">
        <v>12031</v>
      </c>
      <c r="B168" t="s">
        <v>15</v>
      </c>
      <c r="C168" t="s">
        <v>184</v>
      </c>
      <c r="D168" s="3">
        <v>20</v>
      </c>
      <c r="E168" s="5">
        <f t="shared" si="4"/>
        <v>7.0417576227026267E-4</v>
      </c>
      <c r="F168" s="6">
        <f t="shared" si="5"/>
        <v>0.99507076966410835</v>
      </c>
    </row>
    <row xmlns:x14ac="http://schemas.microsoft.com/office/spreadsheetml/2009/9/ac" r="169" x14ac:dyDescent="0.25">
      <c r="A169" s="3">
        <v>29077</v>
      </c>
      <c r="B169" t="s">
        <v>44</v>
      </c>
      <c r="C169" t="s">
        <v>196</v>
      </c>
      <c r="D169" s="3">
        <v>20</v>
      </c>
      <c r="E169" s="5">
        <f t="shared" si="4"/>
        <v>7.0417576227026267E-4</v>
      </c>
      <c r="F169" s="6">
        <f t="shared" si="5"/>
        <v>0.99577494542637857</v>
      </c>
    </row>
    <row xmlns:x14ac="http://schemas.microsoft.com/office/spreadsheetml/2009/9/ac" r="170" x14ac:dyDescent="0.25">
      <c r="A170" s="3">
        <v>4015</v>
      </c>
      <c r="B170" t="s">
        <v>10</v>
      </c>
      <c r="C170" t="s">
        <v>224</v>
      </c>
      <c r="D170" s="3">
        <v>20</v>
      </c>
      <c r="E170" s="5">
        <f t="shared" si="4"/>
        <v>7.0417576227026267E-4</v>
      </c>
      <c r="F170" s="6">
        <f t="shared" si="5"/>
        <v>0.99647912118864879</v>
      </c>
    </row>
    <row xmlns:x14ac="http://schemas.microsoft.com/office/spreadsheetml/2009/9/ac" r="171" x14ac:dyDescent="0.25">
      <c r="A171" s="3">
        <v>53009</v>
      </c>
      <c r="B171" t="s">
        <v>40</v>
      </c>
      <c r="C171" t="s">
        <v>222</v>
      </c>
      <c r="D171" s="3">
        <v>20</v>
      </c>
      <c r="E171" s="5">
        <f t="shared" si="4"/>
        <v>7.0417576227026267E-4</v>
      </c>
      <c r="F171" s="6">
        <f t="shared" si="5"/>
        <v>0.99718329695091901</v>
      </c>
    </row>
    <row xmlns:x14ac="http://schemas.microsoft.com/office/spreadsheetml/2009/9/ac" r="172" x14ac:dyDescent="0.25">
      <c r="A172" s="3">
        <v>48209</v>
      </c>
      <c r="B172" t="s">
        <v>36</v>
      </c>
      <c r="C172" t="s">
        <v>235</v>
      </c>
      <c r="D172" s="3">
        <v>20</v>
      </c>
      <c r="E172" s="5">
        <f t="shared" si="4"/>
        <v>7.0417576227026267E-4</v>
      </c>
      <c r="F172" s="6">
        <f t="shared" si="5"/>
        <v>0.99788747271318923</v>
      </c>
    </row>
    <row xmlns:x14ac="http://schemas.microsoft.com/office/spreadsheetml/2009/9/ac" r="173" x14ac:dyDescent="0.25">
      <c r="A173" s="3">
        <v>4005</v>
      </c>
      <c r="B173" t="s">
        <v>10</v>
      </c>
      <c r="C173" t="s">
        <v>175</v>
      </c>
      <c r="D173" s="3">
        <v>20</v>
      </c>
      <c r="E173" s="5">
        <f t="shared" si="4"/>
        <v>7.0417576227026267E-4</v>
      </c>
      <c r="F173" s="6">
        <f t="shared" si="5"/>
        <v>0.99859164847545945</v>
      </c>
    </row>
    <row xmlns:x14ac="http://schemas.microsoft.com/office/spreadsheetml/2009/9/ac" r="174" x14ac:dyDescent="0.25">
      <c r="A174" s="3">
        <v>53029</v>
      </c>
      <c r="B174" t="s">
        <v>40</v>
      </c>
      <c r="C174" t="s">
        <v>159</v>
      </c>
      <c r="D174" s="3">
        <v>20</v>
      </c>
      <c r="E174" s="5">
        <f t="shared" si="4"/>
        <v>7.0417576227026267E-4</v>
      </c>
      <c r="F174" s="6">
        <f t="shared" si="5"/>
        <v>0.99929582423772967</v>
      </c>
    </row>
    <row xmlns:x14ac="http://schemas.microsoft.com/office/spreadsheetml/2009/9/ac" r="175" x14ac:dyDescent="0.25">
      <c r="A175" s="3">
        <v>6017</v>
      </c>
      <c r="B175" t="s">
        <v>11</v>
      </c>
      <c r="C175" t="s">
        <v>229</v>
      </c>
      <c r="D175" s="3">
        <v>20</v>
      </c>
      <c r="E175" s="5">
        <f t="shared" si="4"/>
        <v>7.0417576227026267E-4</v>
      </c>
      <c r="F175" s="6">
        <f t="shared" si="5"/>
        <v>0.99999999999999989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A93-920C-48FA-830B-BAC2298C7ACA}">
  <dimension ref="A1:F59"/>
  <sheetViews>
    <sheetView workbookViewId="0">
      <selection activeCell="D15" sqref="D15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18.140625" bestFit="true" customWidth="true"/>
    <col min="3" max="3" width="19.7109375" bestFit="true" customWidth="true"/>
    <col min="4" max="4" width="18.140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</row>
    <row xmlns:x14ac="http://schemas.microsoft.com/office/spreadsheetml/2009/9/ac" r="2" x14ac:dyDescent="0.25">
      <c r="A2" s="2" t="s">
        <v>398</v>
      </c>
      <c r="B2" s="7">
        <v>1</v>
      </c>
    </row>
    <row xmlns:x14ac="http://schemas.microsoft.com/office/spreadsheetml/2009/9/ac" r="3" x14ac:dyDescent="0.25">
      <c r="A3" s="2" t="s">
        <v>338</v>
      </c>
      <c r="B3" t="s">
        <v>400</v>
      </c>
    </row>
    <row xmlns:x14ac="http://schemas.microsoft.com/office/spreadsheetml/2009/9/ac" r="5" x14ac:dyDescent="0.25">
      <c r="A5" s="2" t="s">
        <v>265</v>
      </c>
      <c r="B5" s="2" t="s">
        <v>8</v>
      </c>
      <c r="C5" s="2" t="s">
        <v>51</v>
      </c>
      <c r="D5" t="s">
        <v>399</v>
      </c>
      <c r="E5" t="s">
        <v>341</v>
      </c>
      <c r="F5" t="s">
        <v>342</v>
      </c>
    </row>
    <row xmlns:x14ac="http://schemas.microsoft.com/office/spreadsheetml/2009/9/ac" r="6" x14ac:dyDescent="0.25">
      <c r="A6" s="3">
        <v>41067</v>
      </c>
      <c r="B6" t="s">
        <v>3</v>
      </c>
      <c r="C6" t="s">
        <v>143</v>
      </c>
      <c r="D6">
        <v>3233</v>
      </c>
      <c r="E6" s="5">
        <f>D6/SUM($D:$D)</f>
        <v>0.19475903614457832</v>
      </c>
      <c r="F6" s="6">
        <f>E6</f>
        <v>0.19475903614457832</v>
      </c>
    </row>
    <row xmlns:x14ac="http://schemas.microsoft.com/office/spreadsheetml/2009/9/ac" r="7" x14ac:dyDescent="0.25">
      <c r="A7" s="3">
        <v>41005</v>
      </c>
      <c r="B7" t="s">
        <v>3</v>
      </c>
      <c r="C7" t="s">
        <v>125</v>
      </c>
      <c r="D7">
        <v>3069</v>
      </c>
      <c r="E7" s="5">
        <f t="shared" ref="E7" si="0">D7/SUM($D:$D)</f>
        <v>0.18487951807228917</v>
      </c>
      <c r="F7" s="6">
        <f>F6+E7</f>
        <v>0.37963855421686749</v>
      </c>
    </row>
    <row xmlns:x14ac="http://schemas.microsoft.com/office/spreadsheetml/2009/9/ac" r="8" x14ac:dyDescent="0.25">
      <c r="A8" s="3">
        <v>53011</v>
      </c>
      <c r="B8" t="s">
        <v>40</v>
      </c>
      <c r="C8" t="s">
        <v>112</v>
      </c>
      <c r="D8">
        <v>1679</v>
      </c>
      <c r="E8" s="5">
        <f t="shared" ref="E8:E59" si="1">D8/SUM($D:$D)</f>
        <v>0.10114457831325301</v>
      </c>
      <c r="F8" s="6">
        <f t="shared" ref="F8:F59" si="2">F7+E8</f>
        <v>0.4807831325301205</v>
      </c>
    </row>
    <row xmlns:x14ac="http://schemas.microsoft.com/office/spreadsheetml/2009/9/ac" r="9" x14ac:dyDescent="0.25">
      <c r="A9" s="3">
        <v>41000</v>
      </c>
      <c r="B9" t="s">
        <v>3</v>
      </c>
      <c r="C9" t="s">
        <v>276</v>
      </c>
      <c r="D9">
        <v>1448</v>
      </c>
      <c r="E9" s="5">
        <f t="shared" si="1"/>
        <v>8.7228915662650605E-2</v>
      </c>
      <c r="F9" s="6">
        <f t="shared" si="2"/>
        <v>0.56801204819277107</v>
      </c>
    </row>
    <row xmlns:x14ac="http://schemas.microsoft.com/office/spreadsheetml/2009/9/ac" r="10" x14ac:dyDescent="0.25">
      <c r="A10" s="3">
        <v>53000</v>
      </c>
      <c r="B10" t="s">
        <v>40</v>
      </c>
      <c r="C10" t="s">
        <v>276</v>
      </c>
      <c r="D10">
        <v>494</v>
      </c>
      <c r="E10" s="5">
        <f t="shared" si="1"/>
        <v>2.9759036144578314E-2</v>
      </c>
      <c r="F10" s="6">
        <f t="shared" si="2"/>
        <v>0.59777108433734938</v>
      </c>
    </row>
    <row xmlns:x14ac="http://schemas.microsoft.com/office/spreadsheetml/2009/9/ac" r="11" x14ac:dyDescent="0.25">
      <c r="A11" s="3">
        <v>4013</v>
      </c>
      <c r="B11" t="s">
        <v>10</v>
      </c>
      <c r="C11" t="s">
        <v>53</v>
      </c>
      <c r="D11">
        <v>396</v>
      </c>
      <c r="E11" s="5">
        <f t="shared" si="1"/>
        <v>2.3855421686746987E-2</v>
      </c>
      <c r="F11" s="6">
        <f t="shared" si="2"/>
        <v>0.62162650602409641</v>
      </c>
    </row>
    <row xmlns:x14ac="http://schemas.microsoft.com/office/spreadsheetml/2009/9/ac" r="12" x14ac:dyDescent="0.25">
      <c r="A12" s="3">
        <v>6037</v>
      </c>
      <c r="B12" t="s">
        <v>11</v>
      </c>
      <c r="C12" t="s">
        <v>61</v>
      </c>
      <c r="D12">
        <v>358</v>
      </c>
      <c r="E12" s="5">
        <f t="shared" si="1"/>
        <v>2.1566265060240963E-2</v>
      </c>
      <c r="F12" s="6">
        <f t="shared" si="2"/>
        <v>0.64319277108433737</v>
      </c>
    </row>
    <row xmlns:x14ac="http://schemas.microsoft.com/office/spreadsheetml/2009/9/ac" r="13" x14ac:dyDescent="0.25">
      <c r="A13" s="3">
        <v>4019</v>
      </c>
      <c r="B13" t="s">
        <v>10</v>
      </c>
      <c r="C13" t="s">
        <v>54</v>
      </c>
      <c r="D13">
        <v>322</v>
      </c>
      <c r="E13" s="5">
        <f t="shared" si="1"/>
        <v>1.9397590361445782E-2</v>
      </c>
      <c r="F13" s="6">
        <f t="shared" si="2"/>
        <v>0.66259036144578309</v>
      </c>
    </row>
    <row xmlns:x14ac="http://schemas.microsoft.com/office/spreadsheetml/2009/9/ac" r="14" x14ac:dyDescent="0.25">
      <c r="A14" s="3">
        <v>53033</v>
      </c>
      <c r="B14" t="s">
        <v>40</v>
      </c>
      <c r="C14" t="s">
        <v>160</v>
      </c>
      <c r="D14">
        <v>307</v>
      </c>
      <c r="E14" s="5">
        <f t="shared" si="1"/>
        <v>1.8493975903614457E-2</v>
      </c>
      <c r="F14" s="6">
        <f t="shared" si="2"/>
        <v>0.68108433734939755</v>
      </c>
    </row>
    <row xmlns:x14ac="http://schemas.microsoft.com/office/spreadsheetml/2009/9/ac" r="15" x14ac:dyDescent="0.25">
      <c r="A15" s="3">
        <v>16000</v>
      </c>
      <c r="B15" t="s">
        <v>18</v>
      </c>
      <c r="C15" t="s">
        <v>276</v>
      </c>
      <c r="D15">
        <v>301</v>
      </c>
      <c r="E15" s="5">
        <f t="shared" si="1"/>
        <v>1.8132530120481927E-2</v>
      </c>
      <c r="F15" s="6">
        <f t="shared" si="2"/>
        <v>0.69921686746987943</v>
      </c>
    </row>
    <row xmlns:x14ac="http://schemas.microsoft.com/office/spreadsheetml/2009/9/ac" r="16" x14ac:dyDescent="0.25">
      <c r="A16" s="3">
        <v>48113</v>
      </c>
      <c r="B16" t="s">
        <v>36</v>
      </c>
      <c r="C16" t="s">
        <v>150</v>
      </c>
      <c r="D16">
        <v>227</v>
      </c>
      <c r="E16" s="5">
        <f t="shared" si="1"/>
        <v>1.3674698795180722E-2</v>
      </c>
      <c r="F16" s="6">
        <f t="shared" si="2"/>
        <v>0.71289156626506012</v>
      </c>
    </row>
    <row xmlns:x14ac="http://schemas.microsoft.com/office/spreadsheetml/2009/9/ac" r="17" x14ac:dyDescent="0.25">
      <c r="A17" s="3">
        <v>17031</v>
      </c>
      <c r="B17" t="s">
        <v>19</v>
      </c>
      <c r="C17" t="s">
        <v>98</v>
      </c>
      <c r="D17">
        <v>220</v>
      </c>
      <c r="E17" s="5">
        <f t="shared" si="1"/>
        <v>1.3253012048192771E-2</v>
      </c>
      <c r="F17" s="6">
        <f t="shared" si="2"/>
        <v>0.72614457831325285</v>
      </c>
    </row>
    <row xmlns:x14ac="http://schemas.microsoft.com/office/spreadsheetml/2009/9/ac" r="18" x14ac:dyDescent="0.25">
      <c r="A18" s="3">
        <v>6081</v>
      </c>
      <c r="B18" t="s">
        <v>11</v>
      </c>
      <c r="C18" t="s">
        <v>72</v>
      </c>
      <c r="D18">
        <v>219</v>
      </c>
      <c r="E18" s="5">
        <f t="shared" si="1"/>
        <v>1.3192771084337349E-2</v>
      </c>
      <c r="F18" s="6">
        <f t="shared" si="2"/>
        <v>0.73933734939759022</v>
      </c>
    </row>
    <row xmlns:x14ac="http://schemas.microsoft.com/office/spreadsheetml/2009/9/ac" r="19" x14ac:dyDescent="0.25">
      <c r="A19" s="3">
        <v>41039</v>
      </c>
      <c r="B19" t="s">
        <v>3</v>
      </c>
      <c r="C19" t="s">
        <v>136</v>
      </c>
      <c r="D19">
        <v>212</v>
      </c>
      <c r="E19" s="5">
        <f t="shared" si="1"/>
        <v>1.2771084337349397E-2</v>
      </c>
      <c r="F19" s="6">
        <f t="shared" si="2"/>
        <v>0.75210843373493963</v>
      </c>
    </row>
    <row xmlns:x14ac="http://schemas.microsoft.com/office/spreadsheetml/2009/9/ac" r="20" x14ac:dyDescent="0.25">
      <c r="A20" s="3">
        <v>12105</v>
      </c>
      <c r="B20" t="s">
        <v>15</v>
      </c>
      <c r="C20" t="s">
        <v>100</v>
      </c>
      <c r="D20">
        <v>197</v>
      </c>
      <c r="E20" s="5">
        <f t="shared" si="1"/>
        <v>1.1867469879518072E-2</v>
      </c>
      <c r="F20" s="6">
        <f t="shared" si="2"/>
        <v>0.76397590361445766</v>
      </c>
    </row>
    <row xmlns:x14ac="http://schemas.microsoft.com/office/spreadsheetml/2009/9/ac" r="21" x14ac:dyDescent="0.25">
      <c r="A21" s="3">
        <v>25025</v>
      </c>
      <c r="B21" t="s">
        <v>25</v>
      </c>
      <c r="C21" t="s">
        <v>105</v>
      </c>
      <c r="D21">
        <v>191</v>
      </c>
      <c r="E21" s="5">
        <f t="shared" si="1"/>
        <v>1.1506024096385542E-2</v>
      </c>
      <c r="F21" s="6">
        <f t="shared" si="2"/>
        <v>0.77548192771084323</v>
      </c>
    </row>
    <row xmlns:x14ac="http://schemas.microsoft.com/office/spreadsheetml/2009/9/ac" r="22" x14ac:dyDescent="0.25">
      <c r="A22" s="3">
        <v>19000</v>
      </c>
      <c r="B22" t="s">
        <v>21</v>
      </c>
      <c r="C22" t="s">
        <v>276</v>
      </c>
      <c r="D22">
        <v>181</v>
      </c>
      <c r="E22" s="5">
        <f t="shared" si="1"/>
        <v>1.0903614457831326E-2</v>
      </c>
      <c r="F22" s="6">
        <f t="shared" si="2"/>
        <v>0.78638554216867451</v>
      </c>
    </row>
    <row xmlns:x14ac="http://schemas.microsoft.com/office/spreadsheetml/2009/9/ac" r="23" x14ac:dyDescent="0.25">
      <c r="A23" s="3">
        <v>26163</v>
      </c>
      <c r="B23" t="s">
        <v>26</v>
      </c>
      <c r="C23" t="s">
        <v>195</v>
      </c>
      <c r="D23">
        <v>169</v>
      </c>
      <c r="E23" s="5">
        <f t="shared" si="1"/>
        <v>1.0180722891566265E-2</v>
      </c>
      <c r="F23" s="6">
        <f t="shared" si="2"/>
        <v>0.79656626506024075</v>
      </c>
    </row>
    <row xmlns:x14ac="http://schemas.microsoft.com/office/spreadsheetml/2009/9/ac" r="24" x14ac:dyDescent="0.25">
      <c r="A24" s="3">
        <v>37119</v>
      </c>
      <c r="B24" t="s">
        <v>32</v>
      </c>
      <c r="C24" t="s">
        <v>121</v>
      </c>
      <c r="D24">
        <v>162</v>
      </c>
      <c r="E24" s="5">
        <f t="shared" si="1"/>
        <v>9.7590361445783133E-3</v>
      </c>
      <c r="F24" s="6">
        <f t="shared" si="2"/>
        <v>0.80632530120481904</v>
      </c>
    </row>
    <row xmlns:x14ac="http://schemas.microsoft.com/office/spreadsheetml/2009/9/ac" r="25" x14ac:dyDescent="0.25">
      <c r="A25" s="3">
        <v>18157</v>
      </c>
      <c r="B25" t="s">
        <v>20</v>
      </c>
      <c r="C25" t="s">
        <v>304</v>
      </c>
      <c r="D25">
        <v>158</v>
      </c>
      <c r="E25" s="5">
        <f t="shared" si="1"/>
        <v>9.5180722891566264E-3</v>
      </c>
      <c r="F25" s="6">
        <f t="shared" si="2"/>
        <v>0.81584337349397562</v>
      </c>
    </row>
    <row xmlns:x14ac="http://schemas.microsoft.com/office/spreadsheetml/2009/9/ac" r="26" x14ac:dyDescent="0.25">
      <c r="A26" s="3">
        <v>29095</v>
      </c>
      <c r="B26" t="s">
        <v>44</v>
      </c>
      <c r="C26" t="s">
        <v>133</v>
      </c>
      <c r="D26">
        <v>154</v>
      </c>
      <c r="E26" s="5">
        <f t="shared" si="1"/>
        <v>9.2771084337349395E-3</v>
      </c>
      <c r="F26" s="6">
        <f t="shared" si="2"/>
        <v>0.82512048192771059</v>
      </c>
    </row>
    <row xmlns:x14ac="http://schemas.microsoft.com/office/spreadsheetml/2009/9/ac" r="27" x14ac:dyDescent="0.25">
      <c r="A27" s="3">
        <v>51013</v>
      </c>
      <c r="B27" t="s">
        <v>39</v>
      </c>
      <c r="C27" t="s">
        <v>221</v>
      </c>
      <c r="D27">
        <v>152</v>
      </c>
      <c r="E27" s="5">
        <f t="shared" si="1"/>
        <v>9.1566265060240969E-3</v>
      </c>
      <c r="F27" s="6">
        <f t="shared" si="2"/>
        <v>0.8342771084337347</v>
      </c>
    </row>
    <row xmlns:x14ac="http://schemas.microsoft.com/office/spreadsheetml/2009/9/ac" r="28" x14ac:dyDescent="0.25">
      <c r="A28" s="3">
        <v>6073</v>
      </c>
      <c r="B28" t="s">
        <v>11</v>
      </c>
      <c r="C28" t="s">
        <v>69</v>
      </c>
      <c r="D28">
        <v>143</v>
      </c>
      <c r="E28" s="5">
        <f t="shared" si="1"/>
        <v>8.614457831325301E-3</v>
      </c>
      <c r="F28" s="6">
        <f t="shared" si="2"/>
        <v>0.84289156626506001</v>
      </c>
    </row>
    <row xmlns:x14ac="http://schemas.microsoft.com/office/spreadsheetml/2009/9/ac" r="29" x14ac:dyDescent="0.25">
      <c r="A29" s="3">
        <v>30000</v>
      </c>
      <c r="B29" t="s">
        <v>28</v>
      </c>
      <c r="C29" t="s">
        <v>276</v>
      </c>
      <c r="D29">
        <v>135</v>
      </c>
      <c r="E29" s="5">
        <f t="shared" si="1"/>
        <v>8.1325301204819272E-3</v>
      </c>
      <c r="F29" s="6">
        <f t="shared" si="2"/>
        <v>0.85102409638554188</v>
      </c>
    </row>
    <row xmlns:x14ac="http://schemas.microsoft.com/office/spreadsheetml/2009/9/ac" r="30" x14ac:dyDescent="0.25">
      <c r="A30" s="3">
        <v>36081</v>
      </c>
      <c r="B30" t="s">
        <v>31</v>
      </c>
      <c r="C30" t="s">
        <v>118</v>
      </c>
      <c r="D30">
        <v>128</v>
      </c>
      <c r="E30" s="5">
        <f t="shared" si="1"/>
        <v>7.7108433734939755E-3</v>
      </c>
      <c r="F30" s="6">
        <f t="shared" si="2"/>
        <v>0.85873493975903581</v>
      </c>
    </row>
    <row xmlns:x14ac="http://schemas.microsoft.com/office/spreadsheetml/2009/9/ac" r="31" x14ac:dyDescent="0.25">
      <c r="A31" s="3">
        <v>21111</v>
      </c>
      <c r="B31" t="s">
        <v>43</v>
      </c>
      <c r="C31" t="s">
        <v>83</v>
      </c>
      <c r="D31">
        <v>123</v>
      </c>
      <c r="E31" s="5">
        <f t="shared" si="1"/>
        <v>7.4096385542168674E-3</v>
      </c>
      <c r="F31" s="6">
        <f t="shared" si="2"/>
        <v>0.86614457831325264</v>
      </c>
    </row>
    <row xmlns:x14ac="http://schemas.microsoft.com/office/spreadsheetml/2009/9/ac" r="32" x14ac:dyDescent="0.25">
      <c r="A32" s="3">
        <v>53063</v>
      </c>
      <c r="B32" t="s">
        <v>40</v>
      </c>
      <c r="C32" t="s">
        <v>168</v>
      </c>
      <c r="D32">
        <v>121</v>
      </c>
      <c r="E32" s="5">
        <f t="shared" si="1"/>
        <v>7.2891566265060239E-3</v>
      </c>
      <c r="F32" s="6">
        <f t="shared" si="2"/>
        <v>0.87343373493975862</v>
      </c>
    </row>
    <row xmlns:x14ac="http://schemas.microsoft.com/office/spreadsheetml/2009/9/ac" r="33" x14ac:dyDescent="0.25">
      <c r="A33" s="3">
        <v>16019</v>
      </c>
      <c r="B33" t="s">
        <v>18</v>
      </c>
      <c r="C33" t="s">
        <v>245</v>
      </c>
      <c r="D33">
        <v>115</v>
      </c>
      <c r="E33" s="5">
        <f t="shared" si="1"/>
        <v>6.9277108433734936E-3</v>
      </c>
      <c r="F33" s="6">
        <f t="shared" si="2"/>
        <v>0.88036144578313213</v>
      </c>
    </row>
    <row xmlns:x14ac="http://schemas.microsoft.com/office/spreadsheetml/2009/9/ac" r="34" x14ac:dyDescent="0.25">
      <c r="A34" s="3">
        <v>6085</v>
      </c>
      <c r="B34" t="s">
        <v>11</v>
      </c>
      <c r="C34" t="s">
        <v>74</v>
      </c>
      <c r="D34">
        <v>112</v>
      </c>
      <c r="E34" s="5">
        <f t="shared" si="1"/>
        <v>6.7469879518072288E-3</v>
      </c>
      <c r="F34" s="6">
        <f t="shared" si="2"/>
        <v>0.88710843373493942</v>
      </c>
    </row>
    <row xmlns:x14ac="http://schemas.microsoft.com/office/spreadsheetml/2009/9/ac" r="35" x14ac:dyDescent="0.25">
      <c r="A35" s="3">
        <v>27053</v>
      </c>
      <c r="B35" t="s">
        <v>27</v>
      </c>
      <c r="C35" t="s">
        <v>107</v>
      </c>
      <c r="D35">
        <v>112</v>
      </c>
      <c r="E35" s="5">
        <f t="shared" si="1"/>
        <v>6.7469879518072288E-3</v>
      </c>
      <c r="F35" s="6">
        <f t="shared" si="2"/>
        <v>0.8938554216867467</v>
      </c>
    </row>
    <row xmlns:x14ac="http://schemas.microsoft.com/office/spreadsheetml/2009/9/ac" r="36" x14ac:dyDescent="0.25">
      <c r="A36" s="3">
        <v>48439</v>
      </c>
      <c r="B36" t="s">
        <v>36</v>
      </c>
      <c r="C36" t="s">
        <v>152</v>
      </c>
      <c r="D36">
        <v>111</v>
      </c>
      <c r="E36" s="5">
        <f t="shared" si="1"/>
        <v>6.6867469879518075E-3</v>
      </c>
      <c r="F36" s="6">
        <f t="shared" si="2"/>
        <v>0.9005421686746985</v>
      </c>
    </row>
    <row xmlns:x14ac="http://schemas.microsoft.com/office/spreadsheetml/2009/9/ac" r="37" x14ac:dyDescent="0.25">
      <c r="A37" s="3">
        <v>6001</v>
      </c>
      <c r="B37" t="s">
        <v>11</v>
      </c>
      <c r="C37" t="s">
        <v>56</v>
      </c>
      <c r="D37">
        <v>107</v>
      </c>
      <c r="E37" s="5">
        <f t="shared" si="1"/>
        <v>6.4457831325301206E-3</v>
      </c>
      <c r="F37" s="6">
        <f t="shared" si="2"/>
        <v>0.90698795180722858</v>
      </c>
    </row>
    <row xmlns:x14ac="http://schemas.microsoft.com/office/spreadsheetml/2009/9/ac" r="38" x14ac:dyDescent="0.25">
      <c r="A38" s="3">
        <v>41017</v>
      </c>
      <c r="B38" t="s">
        <v>3</v>
      </c>
      <c r="C38" t="s">
        <v>130</v>
      </c>
      <c r="D38">
        <v>98</v>
      </c>
      <c r="E38" s="5">
        <f t="shared" si="1"/>
        <v>5.9036144578313255E-3</v>
      </c>
      <c r="F38" s="6">
        <f t="shared" si="2"/>
        <v>0.91289156626505985</v>
      </c>
    </row>
    <row xmlns:x14ac="http://schemas.microsoft.com/office/spreadsheetml/2009/9/ac" r="39" x14ac:dyDescent="0.25">
      <c r="A39" s="3">
        <v>32003</v>
      </c>
      <c r="B39" t="s">
        <v>29</v>
      </c>
      <c r="C39" t="s">
        <v>112</v>
      </c>
      <c r="D39">
        <v>96</v>
      </c>
      <c r="E39" s="5">
        <f t="shared" si="1"/>
        <v>5.7831325301204821E-3</v>
      </c>
      <c r="F39" s="6">
        <f t="shared" si="2"/>
        <v>0.91867469879518038</v>
      </c>
    </row>
    <row xmlns:x14ac="http://schemas.microsoft.com/office/spreadsheetml/2009/9/ac" r="40" x14ac:dyDescent="0.25">
      <c r="A40" s="3">
        <v>53053</v>
      </c>
      <c r="B40" t="s">
        <v>40</v>
      </c>
      <c r="C40" t="s">
        <v>165</v>
      </c>
      <c r="D40">
        <v>94</v>
      </c>
      <c r="E40" s="5">
        <f t="shared" si="1"/>
        <v>5.6626506024096386E-3</v>
      </c>
      <c r="F40" s="6">
        <f t="shared" si="2"/>
        <v>0.92433734939759005</v>
      </c>
    </row>
    <row xmlns:x14ac="http://schemas.microsoft.com/office/spreadsheetml/2009/9/ac" r="41" x14ac:dyDescent="0.25">
      <c r="A41" s="3">
        <v>34021</v>
      </c>
      <c r="B41" t="s">
        <v>46</v>
      </c>
      <c r="C41" t="s">
        <v>286</v>
      </c>
      <c r="D41">
        <v>91</v>
      </c>
      <c r="E41" s="5">
        <f t="shared" si="1"/>
        <v>5.4819277108433739E-3</v>
      </c>
      <c r="F41" s="6">
        <f t="shared" si="2"/>
        <v>0.92981927710843337</v>
      </c>
    </row>
    <row xmlns:x14ac="http://schemas.microsoft.com/office/spreadsheetml/2009/9/ac" r="42" x14ac:dyDescent="0.25">
      <c r="A42" s="3">
        <v>25000</v>
      </c>
      <c r="B42" t="s">
        <v>25</v>
      </c>
      <c r="C42" t="s">
        <v>276</v>
      </c>
      <c r="D42">
        <v>91</v>
      </c>
      <c r="E42" s="5">
        <f t="shared" si="1"/>
        <v>5.4819277108433739E-3</v>
      </c>
      <c r="F42" s="6">
        <f t="shared" si="2"/>
        <v>0.9353012048192767</v>
      </c>
    </row>
    <row xmlns:x14ac="http://schemas.microsoft.com/office/spreadsheetml/2009/9/ac" r="43" x14ac:dyDescent="0.25">
      <c r="A43" s="3">
        <v>41029</v>
      </c>
      <c r="B43" t="s">
        <v>3</v>
      </c>
      <c r="C43" t="s">
        <v>133</v>
      </c>
      <c r="D43">
        <v>91</v>
      </c>
      <c r="E43" s="5">
        <f t="shared" si="1"/>
        <v>5.4819277108433739E-3</v>
      </c>
      <c r="F43" s="6">
        <f t="shared" si="2"/>
        <v>0.94078313253012003</v>
      </c>
    </row>
    <row xmlns:x14ac="http://schemas.microsoft.com/office/spreadsheetml/2009/9/ac" r="44" x14ac:dyDescent="0.25">
      <c r="A44" s="3">
        <v>40000</v>
      </c>
      <c r="B44" t="s">
        <v>47</v>
      </c>
      <c r="C44" t="s">
        <v>276</v>
      </c>
      <c r="D44">
        <v>89</v>
      </c>
      <c r="E44" s="5">
        <f t="shared" si="1"/>
        <v>5.3614457831325305E-3</v>
      </c>
      <c r="F44" s="6">
        <f t="shared" si="2"/>
        <v>0.9461445783132526</v>
      </c>
    </row>
    <row xmlns:x14ac="http://schemas.microsoft.com/office/spreadsheetml/2009/9/ac" r="45" x14ac:dyDescent="0.25">
      <c r="A45" s="3">
        <v>36029</v>
      </c>
      <c r="B45" t="s">
        <v>31</v>
      </c>
      <c r="C45" t="s">
        <v>202</v>
      </c>
      <c r="D45">
        <v>87</v>
      </c>
      <c r="E45" s="5">
        <f t="shared" si="1"/>
        <v>5.240963855421687E-3</v>
      </c>
      <c r="F45" s="6">
        <f t="shared" si="2"/>
        <v>0.95138554216867433</v>
      </c>
    </row>
    <row xmlns:x14ac="http://schemas.microsoft.com/office/spreadsheetml/2009/9/ac" r="46" x14ac:dyDescent="0.25">
      <c r="A46" s="3">
        <v>42003</v>
      </c>
      <c r="B46" t="s">
        <v>34</v>
      </c>
      <c r="C46" t="s">
        <v>145</v>
      </c>
      <c r="D46">
        <v>85</v>
      </c>
      <c r="E46" s="5">
        <f t="shared" si="1"/>
        <v>5.1204819277108436E-3</v>
      </c>
      <c r="F46" s="6">
        <f t="shared" si="2"/>
        <v>0.95650602409638519</v>
      </c>
    </row>
    <row xmlns:x14ac="http://schemas.microsoft.com/office/spreadsheetml/2009/9/ac" r="47" x14ac:dyDescent="0.25">
      <c r="A47" s="3">
        <v>6017</v>
      </c>
      <c r="B47" t="s">
        <v>11</v>
      </c>
      <c r="C47" t="s">
        <v>229</v>
      </c>
      <c r="D47">
        <v>83</v>
      </c>
      <c r="E47" s="5">
        <f t="shared" si="1"/>
        <v>5.0000000000000001E-3</v>
      </c>
      <c r="F47" s="6">
        <f t="shared" si="2"/>
        <v>0.96150602409638519</v>
      </c>
    </row>
    <row xmlns:x14ac="http://schemas.microsoft.com/office/spreadsheetml/2009/9/ac" r="48" x14ac:dyDescent="0.25">
      <c r="A48" s="3">
        <v>34013</v>
      </c>
      <c r="B48" t="s">
        <v>46</v>
      </c>
      <c r="C48" t="s">
        <v>305</v>
      </c>
      <c r="D48">
        <v>75</v>
      </c>
      <c r="E48" s="5">
        <f t="shared" si="1"/>
        <v>4.5180722891566263E-3</v>
      </c>
      <c r="F48" s="6">
        <f t="shared" si="2"/>
        <v>0.96602409638554176</v>
      </c>
    </row>
    <row xmlns:x14ac="http://schemas.microsoft.com/office/spreadsheetml/2009/9/ac" r="49" x14ac:dyDescent="0.25">
      <c r="A49" s="3">
        <v>15001</v>
      </c>
      <c r="B49" t="s">
        <v>17</v>
      </c>
      <c r="C49" t="s">
        <v>92</v>
      </c>
      <c r="D49">
        <v>71</v>
      </c>
      <c r="E49" s="5">
        <f t="shared" si="1"/>
        <v>4.2771084337349394E-3</v>
      </c>
      <c r="F49" s="6">
        <f t="shared" si="2"/>
        <v>0.97030120481927673</v>
      </c>
    </row>
    <row xmlns:x14ac="http://schemas.microsoft.com/office/spreadsheetml/2009/9/ac" r="50" x14ac:dyDescent="0.25">
      <c r="A50" s="3">
        <v>51000</v>
      </c>
      <c r="B50" t="s">
        <v>39</v>
      </c>
      <c r="C50" t="s">
        <v>276</v>
      </c>
      <c r="D50">
        <v>69</v>
      </c>
      <c r="E50" s="5">
        <f t="shared" si="1"/>
        <v>4.156626506024096E-3</v>
      </c>
      <c r="F50" s="6">
        <f t="shared" si="2"/>
        <v>0.97445783132530084</v>
      </c>
    </row>
    <row xmlns:x14ac="http://schemas.microsoft.com/office/spreadsheetml/2009/9/ac" r="51" x14ac:dyDescent="0.25">
      <c r="A51" s="3">
        <v>6075</v>
      </c>
      <c r="B51" t="s">
        <v>11</v>
      </c>
      <c r="C51" t="s">
        <v>70</v>
      </c>
      <c r="D51">
        <v>65</v>
      </c>
      <c r="E51" s="5">
        <f t="shared" si="1"/>
        <v>3.9156626506024099E-3</v>
      </c>
      <c r="F51" s="6">
        <f t="shared" si="2"/>
        <v>0.97837349397590323</v>
      </c>
    </row>
    <row xmlns:x14ac="http://schemas.microsoft.com/office/spreadsheetml/2009/9/ac" r="52" x14ac:dyDescent="0.25">
      <c r="A52" s="3">
        <v>37183</v>
      </c>
      <c r="B52" t="s">
        <v>32</v>
      </c>
      <c r="C52" t="s">
        <v>206</v>
      </c>
      <c r="D52">
        <v>59</v>
      </c>
      <c r="E52" s="5">
        <f t="shared" si="1"/>
        <v>3.5542168674698796E-3</v>
      </c>
      <c r="F52" s="6">
        <f t="shared" si="2"/>
        <v>0.98192771084337316</v>
      </c>
    </row>
    <row xmlns:x14ac="http://schemas.microsoft.com/office/spreadsheetml/2009/9/ac" r="53" x14ac:dyDescent="0.25">
      <c r="A53" s="3">
        <v>6067</v>
      </c>
      <c r="B53" t="s">
        <v>11</v>
      </c>
      <c r="C53" t="s">
        <v>67</v>
      </c>
      <c r="D53">
        <v>58</v>
      </c>
      <c r="E53" s="5">
        <f t="shared" si="1"/>
        <v>3.4939759036144579E-3</v>
      </c>
      <c r="F53" s="6">
        <f t="shared" si="2"/>
        <v>0.9854216867469876</v>
      </c>
    </row>
    <row xmlns:x14ac="http://schemas.microsoft.com/office/spreadsheetml/2009/9/ac" r="54" x14ac:dyDescent="0.25">
      <c r="A54" s="3">
        <v>6041</v>
      </c>
      <c r="B54" t="s">
        <v>11</v>
      </c>
      <c r="C54" t="s">
        <v>62</v>
      </c>
      <c r="D54">
        <v>57</v>
      </c>
      <c r="E54" s="5">
        <f t="shared" si="1"/>
        <v>3.4337349397590361E-3</v>
      </c>
      <c r="F54" s="6">
        <f t="shared" si="2"/>
        <v>0.98885542168674667</v>
      </c>
    </row>
    <row xmlns:x14ac="http://schemas.microsoft.com/office/spreadsheetml/2009/9/ac" r="55" x14ac:dyDescent="0.25">
      <c r="A55" s="3">
        <v>53035</v>
      </c>
      <c r="B55" t="s">
        <v>40</v>
      </c>
      <c r="C55" t="s">
        <v>161</v>
      </c>
      <c r="D55">
        <v>46</v>
      </c>
      <c r="E55" s="5">
        <f t="shared" si="1"/>
        <v>2.7710843373493976E-3</v>
      </c>
      <c r="F55" s="6">
        <f t="shared" si="2"/>
        <v>0.99162650602409608</v>
      </c>
    </row>
    <row xmlns:x14ac="http://schemas.microsoft.com/office/spreadsheetml/2009/9/ac" r="56" x14ac:dyDescent="0.25">
      <c r="A56" s="3">
        <v>36061</v>
      </c>
      <c r="B56" t="s">
        <v>31</v>
      </c>
      <c r="C56" t="s">
        <v>117</v>
      </c>
      <c r="D56">
        <v>46</v>
      </c>
      <c r="E56" s="5">
        <f t="shared" si="1"/>
        <v>2.7710843373493976E-3</v>
      </c>
      <c r="F56" s="6">
        <f t="shared" si="2"/>
        <v>0.99439759036144548</v>
      </c>
    </row>
    <row xmlns:x14ac="http://schemas.microsoft.com/office/spreadsheetml/2009/9/ac" r="57" x14ac:dyDescent="0.25">
      <c r="A57" s="3">
        <v>12095</v>
      </c>
      <c r="B57" t="s">
        <v>15</v>
      </c>
      <c r="C57" t="s">
        <v>64</v>
      </c>
      <c r="D57">
        <v>34</v>
      </c>
      <c r="E57" s="5">
        <f t="shared" si="1"/>
        <v>2.0481927710843373E-3</v>
      </c>
      <c r="F57" s="6">
        <f t="shared" si="2"/>
        <v>0.99644578313252985</v>
      </c>
    </row>
    <row xmlns:x14ac="http://schemas.microsoft.com/office/spreadsheetml/2009/9/ac" r="58" x14ac:dyDescent="0.25">
      <c r="A58" s="3">
        <v>47037</v>
      </c>
      <c r="B58" t="s">
        <v>35</v>
      </c>
      <c r="C58" t="s">
        <v>147</v>
      </c>
      <c r="D58">
        <v>34</v>
      </c>
      <c r="E58" s="5">
        <f t="shared" si="1"/>
        <v>2.0481927710843373E-3</v>
      </c>
      <c r="F58" s="6">
        <f t="shared" si="2"/>
        <v>0.99849397590361422</v>
      </c>
    </row>
    <row xmlns:x14ac="http://schemas.microsoft.com/office/spreadsheetml/2009/9/ac" r="59" x14ac:dyDescent="0.25">
      <c r="A59" s="3">
        <v>42000</v>
      </c>
      <c r="B59" t="s">
        <v>34</v>
      </c>
      <c r="C59" t="s">
        <v>276</v>
      </c>
      <c r="D59">
        <v>25</v>
      </c>
      <c r="E59" s="5">
        <f t="shared" si="1"/>
        <v>1.5060240963855422E-3</v>
      </c>
      <c r="F59" s="6">
        <f t="shared" si="2"/>
        <v>0.99999999999999978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B75E-732A-415C-B398-5884767B1CDA}">
  <dimension ref="A1:F236"/>
  <sheetViews>
    <sheetView workbookViewId="0">
      <selection activeCell="A45" sqref="A4:D45"/>
    </sheetView>
  </sheetViews>
  <sheetFormatPr xmlns:x14ac="http://schemas.microsoft.com/office/spreadsheetml/2009/9/ac" defaultRowHeight="15" x14ac:dyDescent="0.25"/>
  <cols>
    <col min="1" max="1" width="8.7109375" bestFit="true" customWidth="true"/>
    <col min="2" max="2" width="20.5703125" bestFit="true" customWidth="true"/>
    <col min="3" max="3" width="22.28515625" bestFit="true" customWidth="true"/>
    <col min="4" max="4" width="9.7109375" bestFit="true" customWidth="true"/>
    <col min="5" max="5" width="11.57031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  <c r="E1" s="8">
        <f>SUM($D:$D)</f>
        <v>26289</v>
      </c>
    </row>
    <row xmlns:x14ac="http://schemas.microsoft.com/office/spreadsheetml/2009/9/ac" r="3" x14ac:dyDescent="0.25">
      <c r="A3" s="2" t="s">
        <v>264</v>
      </c>
      <c r="B3" s="2" t="s">
        <v>2</v>
      </c>
      <c r="C3" s="2" t="s">
        <v>5</v>
      </c>
      <c r="D3" t="s">
        <v>340</v>
      </c>
      <c r="E3" t="s">
        <v>341</v>
      </c>
      <c r="F3" t="s">
        <v>342</v>
      </c>
    </row>
    <row xmlns:x14ac="http://schemas.microsoft.com/office/spreadsheetml/2009/9/ac" r="4" x14ac:dyDescent="0.25">
      <c r="A4" s="3">
        <v>41067</v>
      </c>
      <c r="B4" t="s">
        <v>3</v>
      </c>
      <c r="C4" t="s">
        <v>143</v>
      </c>
      <c r="D4" s="3">
        <v>4491</v>
      </c>
      <c r="E4" s="5">
        <f>D4/SUM($D:$D)</f>
        <v>0.17083190688120506</v>
      </c>
      <c r="F4" s="6">
        <f>E4</f>
        <v>0.17083190688120506</v>
      </c>
    </row>
    <row xmlns:x14ac="http://schemas.microsoft.com/office/spreadsheetml/2009/9/ac" r="5" x14ac:dyDescent="0.25">
      <c r="A5" s="3">
        <v>41005</v>
      </c>
      <c r="B5" t="s">
        <v>3</v>
      </c>
      <c r="C5" t="s">
        <v>125</v>
      </c>
      <c r="D5" s="3">
        <v>4085</v>
      </c>
      <c r="E5" s="5">
        <f t="shared" ref="E5" si="0">D5/SUM($D:$D)</f>
        <v>0.15538818517250561</v>
      </c>
      <c r="F5" s="6">
        <f>F4+E5</f>
        <v>0.32622009205371066</v>
      </c>
    </row>
    <row xmlns:x14ac="http://schemas.microsoft.com/office/spreadsheetml/2009/9/ac" r="6" x14ac:dyDescent="0.25">
      <c r="A6" s="3">
        <v>53011</v>
      </c>
      <c r="B6" t="s">
        <v>40</v>
      </c>
      <c r="C6" t="s">
        <v>112</v>
      </c>
      <c r="D6" s="3">
        <v>1915</v>
      </c>
      <c r="E6" s="5">
        <f t="shared" ref="E6:E69" si="1">D6/SUM($D:$D)</f>
        <v>7.2844155350146447E-2</v>
      </c>
      <c r="F6" s="6">
        <f t="shared" ref="F6:F69" si="2">F5+E6</f>
        <v>0.3990642474038571</v>
      </c>
    </row>
    <row xmlns:x14ac="http://schemas.microsoft.com/office/spreadsheetml/2009/9/ac" r="7" x14ac:dyDescent="0.25">
      <c r="A7" s="3">
        <v>6037</v>
      </c>
      <c r="B7" t="s">
        <v>11</v>
      </c>
      <c r="C7" t="s">
        <v>61</v>
      </c>
      <c r="D7" s="3">
        <v>1055</v>
      </c>
      <c r="E7" s="5">
        <f t="shared" si="1"/>
        <v>4.0130853208566318E-2</v>
      </c>
      <c r="F7" s="6">
        <f t="shared" si="2"/>
        <v>0.43919510061242339</v>
      </c>
    </row>
    <row xmlns:x14ac="http://schemas.microsoft.com/office/spreadsheetml/2009/9/ac" r="8" x14ac:dyDescent="0.25">
      <c r="A8" s="3">
        <v>53033</v>
      </c>
      <c r="B8" t="s">
        <v>40</v>
      </c>
      <c r="C8" t="s">
        <v>160</v>
      </c>
      <c r="D8" s="3">
        <v>934</v>
      </c>
      <c r="E8" s="5">
        <f t="shared" si="1"/>
        <v>3.5528167674692836E-2</v>
      </c>
      <c r="F8" s="6">
        <f t="shared" si="2"/>
        <v>0.47472326828711625</v>
      </c>
    </row>
    <row xmlns:x14ac="http://schemas.microsoft.com/office/spreadsheetml/2009/9/ac" r="9" x14ac:dyDescent="0.25">
      <c r="A9" s="3">
        <v>6075</v>
      </c>
      <c r="B9" t="s">
        <v>11</v>
      </c>
      <c r="C9" t="s">
        <v>70</v>
      </c>
      <c r="D9" s="3">
        <v>640</v>
      </c>
      <c r="E9" s="5">
        <f t="shared" si="1"/>
        <v>2.4344782989082887E-2</v>
      </c>
      <c r="F9" s="6">
        <f t="shared" si="2"/>
        <v>0.49906805127619913</v>
      </c>
    </row>
    <row xmlns:x14ac="http://schemas.microsoft.com/office/spreadsheetml/2009/9/ac" r="10" x14ac:dyDescent="0.25">
      <c r="A10" s="3">
        <v>41039</v>
      </c>
      <c r="B10" t="s">
        <v>3</v>
      </c>
      <c r="C10" t="s">
        <v>136</v>
      </c>
      <c r="D10" s="3">
        <v>639</v>
      </c>
      <c r="E10" s="5">
        <f t="shared" si="1"/>
        <v>2.4306744265662445E-2</v>
      </c>
      <c r="F10" s="6">
        <f t="shared" si="2"/>
        <v>0.52337479554186161</v>
      </c>
    </row>
    <row xmlns:x14ac="http://schemas.microsoft.com/office/spreadsheetml/2009/9/ac" r="11" x14ac:dyDescent="0.25">
      <c r="A11" s="3">
        <v>41047</v>
      </c>
      <c r="B11" t="s">
        <v>3</v>
      </c>
      <c r="C11" t="s">
        <v>99</v>
      </c>
      <c r="D11" s="3">
        <v>519</v>
      </c>
      <c r="E11" s="5">
        <f t="shared" si="1"/>
        <v>1.9742097455209402E-2</v>
      </c>
      <c r="F11" s="6">
        <f t="shared" si="2"/>
        <v>0.543116892997071</v>
      </c>
    </row>
    <row xmlns:x14ac="http://schemas.microsoft.com/office/spreadsheetml/2009/9/ac" r="12" x14ac:dyDescent="0.25">
      <c r="A12" s="3">
        <v>6001</v>
      </c>
      <c r="B12" t="s">
        <v>11</v>
      </c>
      <c r="C12" t="s">
        <v>56</v>
      </c>
      <c r="D12" s="3">
        <v>474</v>
      </c>
      <c r="E12" s="5">
        <f t="shared" si="1"/>
        <v>1.8030354901289514E-2</v>
      </c>
      <c r="F12" s="6">
        <f t="shared" si="2"/>
        <v>0.56114724789836057</v>
      </c>
    </row>
    <row xmlns:x14ac="http://schemas.microsoft.com/office/spreadsheetml/2009/9/ac" r="13" x14ac:dyDescent="0.25">
      <c r="A13" s="3">
        <v>6073</v>
      </c>
      <c r="B13" t="s">
        <v>11</v>
      </c>
      <c r="C13" t="s">
        <v>69</v>
      </c>
      <c r="D13" s="3">
        <v>389</v>
      </c>
      <c r="E13" s="5">
        <f t="shared" si="1"/>
        <v>1.4797063410551942E-2</v>
      </c>
      <c r="F13" s="6">
        <f t="shared" si="2"/>
        <v>0.57594431130891255</v>
      </c>
    </row>
    <row xmlns:x14ac="http://schemas.microsoft.com/office/spreadsheetml/2009/9/ac" r="14" x14ac:dyDescent="0.25">
      <c r="A14" s="3">
        <v>4013</v>
      </c>
      <c r="B14" t="s">
        <v>10</v>
      </c>
      <c r="C14" t="s">
        <v>53</v>
      </c>
      <c r="D14" s="3">
        <v>353</v>
      </c>
      <c r="E14" s="5">
        <f t="shared" si="1"/>
        <v>1.342766936741603E-2</v>
      </c>
      <c r="F14" s="6">
        <f t="shared" si="2"/>
        <v>0.58937198067632857</v>
      </c>
    </row>
    <row xmlns:x14ac="http://schemas.microsoft.com/office/spreadsheetml/2009/9/ac" r="15" x14ac:dyDescent="0.25">
      <c r="A15" s="3">
        <v>6059</v>
      </c>
      <c r="B15" t="s">
        <v>11</v>
      </c>
      <c r="C15" t="s">
        <v>64</v>
      </c>
      <c r="D15" s="3">
        <v>333</v>
      </c>
      <c r="E15" s="5">
        <f t="shared" si="1"/>
        <v>1.266689489900719E-2</v>
      </c>
      <c r="F15" s="6">
        <f t="shared" si="2"/>
        <v>0.60203887557533575</v>
      </c>
    </row>
    <row xmlns:x14ac="http://schemas.microsoft.com/office/spreadsheetml/2009/9/ac" r="16" x14ac:dyDescent="0.25">
      <c r="A16" s="3">
        <v>41017</v>
      </c>
      <c r="B16" t="s">
        <v>3</v>
      </c>
      <c r="C16" t="s">
        <v>130</v>
      </c>
      <c r="D16" s="3">
        <v>317</v>
      </c>
      <c r="E16" s="5">
        <f t="shared" si="1"/>
        <v>1.2058275324280117E-2</v>
      </c>
      <c r="F16" s="6">
        <f t="shared" si="2"/>
        <v>0.61409715089961592</v>
      </c>
    </row>
    <row xmlns:x14ac="http://schemas.microsoft.com/office/spreadsheetml/2009/9/ac" r="17" x14ac:dyDescent="0.25">
      <c r="A17" s="3">
        <v>36047</v>
      </c>
      <c r="B17" t="s">
        <v>31</v>
      </c>
      <c r="C17" t="s">
        <v>116</v>
      </c>
      <c r="D17" s="3">
        <v>309</v>
      </c>
      <c r="E17" s="5">
        <f t="shared" si="1"/>
        <v>1.1753965536916581E-2</v>
      </c>
      <c r="F17" s="6">
        <f t="shared" si="2"/>
        <v>0.62585111643653246</v>
      </c>
    </row>
    <row xmlns:x14ac="http://schemas.microsoft.com/office/spreadsheetml/2009/9/ac" r="18" x14ac:dyDescent="0.25">
      <c r="A18" s="3">
        <v>6085</v>
      </c>
      <c r="B18" t="s">
        <v>11</v>
      </c>
      <c r="C18" t="s">
        <v>74</v>
      </c>
      <c r="D18" s="3">
        <v>308</v>
      </c>
      <c r="E18" s="5">
        <f t="shared" si="1"/>
        <v>1.1715926813496138E-2</v>
      </c>
      <c r="F18" s="6">
        <f t="shared" si="2"/>
        <v>0.63756704325002855</v>
      </c>
    </row>
    <row xmlns:x14ac="http://schemas.microsoft.com/office/spreadsheetml/2009/9/ac" r="19" x14ac:dyDescent="0.25">
      <c r="A19" s="3">
        <v>41003</v>
      </c>
      <c r="B19" t="s">
        <v>3</v>
      </c>
      <c r="C19" t="s">
        <v>124</v>
      </c>
      <c r="D19" s="3">
        <v>305</v>
      </c>
      <c r="E19" s="5">
        <f t="shared" si="1"/>
        <v>1.1601810643234813E-2</v>
      </c>
      <c r="F19" s="6">
        <f t="shared" si="2"/>
        <v>0.6491688538932634</v>
      </c>
    </row>
    <row xmlns:x14ac="http://schemas.microsoft.com/office/spreadsheetml/2009/9/ac" r="20" x14ac:dyDescent="0.25">
      <c r="A20" s="3">
        <v>17031</v>
      </c>
      <c r="B20" t="s">
        <v>19</v>
      </c>
      <c r="C20" t="s">
        <v>98</v>
      </c>
      <c r="D20" s="3">
        <v>282</v>
      </c>
      <c r="E20" s="5">
        <f t="shared" si="1"/>
        <v>1.0726920004564646E-2</v>
      </c>
      <c r="F20" s="6">
        <f t="shared" si="2"/>
        <v>0.65989577389782805</v>
      </c>
    </row>
    <row xmlns:x14ac="http://schemas.microsoft.com/office/spreadsheetml/2009/9/ac" r="21" x14ac:dyDescent="0.25">
      <c r="A21" s="3">
        <v>32003</v>
      </c>
      <c r="B21" t="s">
        <v>29</v>
      </c>
      <c r="C21" t="s">
        <v>112</v>
      </c>
      <c r="D21" s="3">
        <v>214</v>
      </c>
      <c r="E21" s="5">
        <f t="shared" si="1"/>
        <v>8.14028681197459E-3</v>
      </c>
      <c r="F21" s="6">
        <f t="shared" si="2"/>
        <v>0.66803606070980259</v>
      </c>
    </row>
    <row xmlns:x14ac="http://schemas.microsoft.com/office/spreadsheetml/2009/9/ac" r="22" x14ac:dyDescent="0.25">
      <c r="A22" s="3">
        <v>41029</v>
      </c>
      <c r="B22" t="s">
        <v>3</v>
      </c>
      <c r="C22" t="s">
        <v>133</v>
      </c>
      <c r="D22" s="3">
        <v>210</v>
      </c>
      <c r="E22" s="5">
        <f t="shared" si="1"/>
        <v>7.9881319182928227E-3</v>
      </c>
      <c r="F22" s="6">
        <f t="shared" si="2"/>
        <v>0.67602419262809543</v>
      </c>
    </row>
    <row xmlns:x14ac="http://schemas.microsoft.com/office/spreadsheetml/2009/9/ac" r="23" x14ac:dyDescent="0.25">
      <c r="A23" s="3">
        <v>41071</v>
      </c>
      <c r="B23" t="s">
        <v>3</v>
      </c>
      <c r="C23" t="s">
        <v>144</v>
      </c>
      <c r="D23" s="3">
        <v>192</v>
      </c>
      <c r="E23" s="5">
        <f t="shared" si="1"/>
        <v>7.3034348967248655E-3</v>
      </c>
      <c r="F23" s="6">
        <f t="shared" si="2"/>
        <v>0.68332762752482035</v>
      </c>
    </row>
    <row xmlns:x14ac="http://schemas.microsoft.com/office/spreadsheetml/2009/9/ac" r="24" x14ac:dyDescent="0.25">
      <c r="A24" s="3">
        <v>53053</v>
      </c>
      <c r="B24" t="s">
        <v>40</v>
      </c>
      <c r="C24" t="s">
        <v>165</v>
      </c>
      <c r="D24" s="3">
        <v>185</v>
      </c>
      <c r="E24" s="5">
        <f t="shared" si="1"/>
        <v>7.0371638327817714E-3</v>
      </c>
      <c r="F24" s="6">
        <f t="shared" si="2"/>
        <v>0.69036479135760209</v>
      </c>
    </row>
    <row xmlns:x14ac="http://schemas.microsoft.com/office/spreadsheetml/2009/9/ac" r="25" x14ac:dyDescent="0.25">
      <c r="A25" s="3">
        <v>41009</v>
      </c>
      <c r="B25" t="s">
        <v>3</v>
      </c>
      <c r="C25" t="s">
        <v>127</v>
      </c>
      <c r="D25" s="3">
        <v>171</v>
      </c>
      <c r="E25" s="5">
        <f t="shared" si="1"/>
        <v>6.5046217048955841E-3</v>
      </c>
      <c r="F25" s="6">
        <f t="shared" si="2"/>
        <v>0.69686941306249772</v>
      </c>
    </row>
    <row xmlns:x14ac="http://schemas.microsoft.com/office/spreadsheetml/2009/9/ac" r="26" x14ac:dyDescent="0.25">
      <c r="A26" s="3">
        <v>8031</v>
      </c>
      <c r="B26" t="s">
        <v>12</v>
      </c>
      <c r="C26" t="s">
        <v>81</v>
      </c>
      <c r="D26" s="3">
        <v>170</v>
      </c>
      <c r="E26" s="5">
        <f t="shared" si="1"/>
        <v>6.4665829814751418E-3</v>
      </c>
      <c r="F26" s="6">
        <f t="shared" si="2"/>
        <v>0.7033359960439729</v>
      </c>
    </row>
    <row xmlns:x14ac="http://schemas.microsoft.com/office/spreadsheetml/2009/9/ac" r="27" x14ac:dyDescent="0.25">
      <c r="A27" s="3">
        <v>6013</v>
      </c>
      <c r="B27" t="s">
        <v>11</v>
      </c>
      <c r="C27" t="s">
        <v>57</v>
      </c>
      <c r="D27" s="3">
        <v>170</v>
      </c>
      <c r="E27" s="5">
        <f t="shared" si="1"/>
        <v>6.4665829814751418E-3</v>
      </c>
      <c r="F27" s="6">
        <f t="shared" si="2"/>
        <v>0.70980257902544808</v>
      </c>
    </row>
    <row xmlns:x14ac="http://schemas.microsoft.com/office/spreadsheetml/2009/9/ac" r="28" x14ac:dyDescent="0.25">
      <c r="A28" s="3">
        <v>6081</v>
      </c>
      <c r="B28" t="s">
        <v>11</v>
      </c>
      <c r="C28" t="s">
        <v>72</v>
      </c>
      <c r="D28" s="3">
        <v>163</v>
      </c>
      <c r="E28" s="5">
        <f t="shared" si="1"/>
        <v>6.2003119175320478E-3</v>
      </c>
      <c r="F28" s="6">
        <f t="shared" si="2"/>
        <v>0.71600289094298009</v>
      </c>
    </row>
    <row xmlns:x14ac="http://schemas.microsoft.com/office/spreadsheetml/2009/9/ac" r="29" x14ac:dyDescent="0.25">
      <c r="A29" s="3">
        <v>36061</v>
      </c>
      <c r="B29" t="s">
        <v>31</v>
      </c>
      <c r="C29" t="s">
        <v>117</v>
      </c>
      <c r="D29" s="3">
        <v>160</v>
      </c>
      <c r="E29" s="5">
        <f t="shared" si="1"/>
        <v>6.0861957472707218E-3</v>
      </c>
      <c r="F29" s="6">
        <f t="shared" si="2"/>
        <v>0.72208908669025085</v>
      </c>
    </row>
    <row xmlns:x14ac="http://schemas.microsoft.com/office/spreadsheetml/2009/9/ac" r="30" x14ac:dyDescent="0.25">
      <c r="A30" s="3">
        <v>15003</v>
      </c>
      <c r="B30" t="s">
        <v>17</v>
      </c>
      <c r="C30" t="s">
        <v>93</v>
      </c>
      <c r="D30" s="3">
        <v>152</v>
      </c>
      <c r="E30" s="5">
        <f t="shared" si="1"/>
        <v>5.7818859599071855E-3</v>
      </c>
      <c r="F30" s="6">
        <f t="shared" si="2"/>
        <v>0.72787097265015799</v>
      </c>
    </row>
    <row xmlns:x14ac="http://schemas.microsoft.com/office/spreadsheetml/2009/9/ac" r="31" x14ac:dyDescent="0.25">
      <c r="A31" s="3">
        <v>49035</v>
      </c>
      <c r="B31" t="s">
        <v>37</v>
      </c>
      <c r="C31" t="s">
        <v>154</v>
      </c>
      <c r="D31" s="3">
        <v>147</v>
      </c>
      <c r="E31" s="5">
        <f t="shared" si="1"/>
        <v>5.591692342804975E-3</v>
      </c>
      <c r="F31" s="6">
        <f t="shared" si="2"/>
        <v>0.73346266499296298</v>
      </c>
    </row>
    <row xmlns:x14ac="http://schemas.microsoft.com/office/spreadsheetml/2009/9/ac" r="32" x14ac:dyDescent="0.25">
      <c r="A32" s="3">
        <v>6067</v>
      </c>
      <c r="B32" t="s">
        <v>11</v>
      </c>
      <c r="C32" t="s">
        <v>67</v>
      </c>
      <c r="D32" s="3">
        <v>142</v>
      </c>
      <c r="E32" s="5">
        <f t="shared" si="1"/>
        <v>5.4014987257027655E-3</v>
      </c>
      <c r="F32" s="6">
        <f t="shared" si="2"/>
        <v>0.7388641637186657</v>
      </c>
    </row>
    <row xmlns:x14ac="http://schemas.microsoft.com/office/spreadsheetml/2009/9/ac" r="33" x14ac:dyDescent="0.25">
      <c r="A33" s="3">
        <v>48453</v>
      </c>
      <c r="B33" t="s">
        <v>36</v>
      </c>
      <c r="C33" t="s">
        <v>153</v>
      </c>
      <c r="D33" s="3">
        <v>139</v>
      </c>
      <c r="E33" s="5">
        <f t="shared" si="1"/>
        <v>5.2873825554414396E-3</v>
      </c>
      <c r="F33" s="6">
        <f t="shared" si="2"/>
        <v>0.74415154627410718</v>
      </c>
    </row>
    <row xmlns:x14ac="http://schemas.microsoft.com/office/spreadsheetml/2009/9/ac" r="34" x14ac:dyDescent="0.25">
      <c r="A34" s="3">
        <v>11001</v>
      </c>
      <c r="B34" t="s">
        <v>14</v>
      </c>
      <c r="C34" t="s">
        <v>14</v>
      </c>
      <c r="D34" s="3">
        <v>138</v>
      </c>
      <c r="E34" s="5">
        <f t="shared" si="1"/>
        <v>5.2493438320209973E-3</v>
      </c>
      <c r="F34" s="6">
        <f t="shared" si="2"/>
        <v>0.7494008901061282</v>
      </c>
    </row>
    <row xmlns:x14ac="http://schemas.microsoft.com/office/spreadsheetml/2009/9/ac" r="35" x14ac:dyDescent="0.25">
      <c r="A35" s="3">
        <v>27053</v>
      </c>
      <c r="B35" t="s">
        <v>27</v>
      </c>
      <c r="C35" t="s">
        <v>107</v>
      </c>
      <c r="D35" s="3">
        <v>136</v>
      </c>
      <c r="E35" s="5">
        <f t="shared" si="1"/>
        <v>5.1732663851801136E-3</v>
      </c>
      <c r="F35" s="6">
        <f t="shared" si="2"/>
        <v>0.75457415649130832</v>
      </c>
    </row>
    <row xmlns:x14ac="http://schemas.microsoft.com/office/spreadsheetml/2009/9/ac" r="36" x14ac:dyDescent="0.25">
      <c r="A36" s="3">
        <v>6065</v>
      </c>
      <c r="B36" t="s">
        <v>11</v>
      </c>
      <c r="C36" t="s">
        <v>66</v>
      </c>
      <c r="D36" s="3">
        <v>134</v>
      </c>
      <c r="E36" s="5">
        <f t="shared" si="1"/>
        <v>5.0971889383392291E-3</v>
      </c>
      <c r="F36" s="6">
        <f t="shared" si="2"/>
        <v>0.75967134542964754</v>
      </c>
    </row>
    <row xmlns:x14ac="http://schemas.microsoft.com/office/spreadsheetml/2009/9/ac" r="37" x14ac:dyDescent="0.25">
      <c r="A37" s="3">
        <v>6071</v>
      </c>
      <c r="B37" t="s">
        <v>11</v>
      </c>
      <c r="C37" t="s">
        <v>68</v>
      </c>
      <c r="D37" s="3">
        <v>122</v>
      </c>
      <c r="E37" s="5">
        <f t="shared" si="1"/>
        <v>4.6407242572939255E-3</v>
      </c>
      <c r="F37" s="6">
        <f t="shared" si="2"/>
        <v>0.76431206968694143</v>
      </c>
    </row>
    <row xmlns:x14ac="http://schemas.microsoft.com/office/spreadsheetml/2009/9/ac" r="38" x14ac:dyDescent="0.25">
      <c r="A38" s="3">
        <v>25017</v>
      </c>
      <c r="B38" t="s">
        <v>25</v>
      </c>
      <c r="C38" t="s">
        <v>104</v>
      </c>
      <c r="D38" s="3">
        <v>117</v>
      </c>
      <c r="E38" s="5">
        <f t="shared" si="1"/>
        <v>4.450530640191715E-3</v>
      </c>
      <c r="F38" s="6">
        <f t="shared" si="2"/>
        <v>0.76876260032713317</v>
      </c>
    </row>
    <row xmlns:x14ac="http://schemas.microsoft.com/office/spreadsheetml/2009/9/ac" r="39" x14ac:dyDescent="0.25">
      <c r="A39" s="3">
        <v>53015</v>
      </c>
      <c r="B39" t="s">
        <v>40</v>
      </c>
      <c r="C39" t="s">
        <v>157</v>
      </c>
      <c r="D39" s="3">
        <v>111</v>
      </c>
      <c r="E39" s="5">
        <f t="shared" si="1"/>
        <v>4.2222982996690632E-3</v>
      </c>
      <c r="F39" s="6">
        <f t="shared" si="2"/>
        <v>0.7729848986268022</v>
      </c>
    </row>
    <row xmlns:x14ac="http://schemas.microsoft.com/office/spreadsheetml/2009/9/ac" r="40" x14ac:dyDescent="0.25">
      <c r="A40" s="3">
        <v>48201</v>
      </c>
      <c r="B40" t="s">
        <v>36</v>
      </c>
      <c r="C40" t="s">
        <v>151</v>
      </c>
      <c r="D40" s="3">
        <v>110</v>
      </c>
      <c r="E40" s="5">
        <f t="shared" si="1"/>
        <v>4.1842595762486209E-3</v>
      </c>
      <c r="F40" s="6">
        <f t="shared" si="2"/>
        <v>0.77716915820305077</v>
      </c>
    </row>
    <row xmlns:x14ac="http://schemas.microsoft.com/office/spreadsheetml/2009/9/ac" r="41" x14ac:dyDescent="0.25">
      <c r="A41" s="3">
        <v>16001</v>
      </c>
      <c r="B41" t="s">
        <v>18</v>
      </c>
      <c r="C41" t="s">
        <v>95</v>
      </c>
      <c r="D41" s="3">
        <v>106</v>
      </c>
      <c r="E41" s="5">
        <f t="shared" si="1"/>
        <v>4.0321046825668528E-3</v>
      </c>
      <c r="F41" s="6">
        <f t="shared" si="2"/>
        <v>0.78120126288561764</v>
      </c>
    </row>
    <row xmlns:x14ac="http://schemas.microsoft.com/office/spreadsheetml/2009/9/ac" r="42" x14ac:dyDescent="0.25">
      <c r="A42" s="3">
        <v>53067</v>
      </c>
      <c r="B42" t="s">
        <v>40</v>
      </c>
      <c r="C42" t="s">
        <v>169</v>
      </c>
      <c r="D42" s="3">
        <v>106</v>
      </c>
      <c r="E42" s="5">
        <f t="shared" si="1"/>
        <v>4.0321046825668528E-3</v>
      </c>
      <c r="F42" s="6">
        <f t="shared" si="2"/>
        <v>0.78523336756818451</v>
      </c>
    </row>
    <row xmlns:x14ac="http://schemas.microsoft.com/office/spreadsheetml/2009/9/ac" r="43" x14ac:dyDescent="0.25">
      <c r="A43" s="3">
        <v>53061</v>
      </c>
      <c r="B43" t="s">
        <v>40</v>
      </c>
      <c r="C43" t="s">
        <v>167</v>
      </c>
      <c r="D43" s="3">
        <v>104</v>
      </c>
      <c r="E43" s="5">
        <f t="shared" si="1"/>
        <v>3.9560272357259691E-3</v>
      </c>
      <c r="F43" s="6">
        <f t="shared" si="2"/>
        <v>0.78918939480391048</v>
      </c>
    </row>
    <row xmlns:x14ac="http://schemas.microsoft.com/office/spreadsheetml/2009/9/ac" r="44" x14ac:dyDescent="0.25">
      <c r="A44" s="3">
        <v>41053</v>
      </c>
      <c r="B44" t="s">
        <v>3</v>
      </c>
      <c r="C44" t="s">
        <v>100</v>
      </c>
      <c r="D44" s="3">
        <v>99</v>
      </c>
      <c r="E44" s="5">
        <f t="shared" si="1"/>
        <v>3.7658336186237591E-3</v>
      </c>
      <c r="F44" s="6">
        <f t="shared" si="2"/>
        <v>0.79295522842253419</v>
      </c>
    </row>
    <row xmlns:x14ac="http://schemas.microsoft.com/office/spreadsheetml/2009/9/ac" r="45" x14ac:dyDescent="0.25">
      <c r="A45" s="3">
        <v>41043</v>
      </c>
      <c r="B45" t="s">
        <v>3</v>
      </c>
      <c r="C45" t="s">
        <v>138</v>
      </c>
      <c r="D45" s="3">
        <v>98</v>
      </c>
      <c r="E45" s="5">
        <f t="shared" si="1"/>
        <v>3.7277948952033168E-3</v>
      </c>
      <c r="F45" s="6">
        <f t="shared" si="2"/>
        <v>0.79668302331773755</v>
      </c>
    </row>
    <row xmlns:x14ac="http://schemas.microsoft.com/office/spreadsheetml/2009/9/ac" r="46" x14ac:dyDescent="0.25">
      <c r="A46" s="3">
        <v>25025</v>
      </c>
      <c r="B46" t="s">
        <v>25</v>
      </c>
      <c r="C46" t="s">
        <v>105</v>
      </c>
      <c r="D46" s="3">
        <v>97</v>
      </c>
      <c r="E46" s="5">
        <f t="shared" si="1"/>
        <v>3.689756171782875E-3</v>
      </c>
      <c r="F46" s="6">
        <f t="shared" si="2"/>
        <v>0.80037277948952046</v>
      </c>
    </row>
    <row xmlns:x14ac="http://schemas.microsoft.com/office/spreadsheetml/2009/9/ac" r="47" x14ac:dyDescent="0.25">
      <c r="A47" s="3">
        <v>41027</v>
      </c>
      <c r="B47" t="s">
        <v>3</v>
      </c>
      <c r="C47" t="s">
        <v>132</v>
      </c>
      <c r="D47" s="3">
        <v>97</v>
      </c>
      <c r="E47" s="5">
        <f t="shared" si="1"/>
        <v>3.689756171782875E-3</v>
      </c>
      <c r="F47" s="6">
        <f t="shared" si="2"/>
        <v>0.80406253566130337</v>
      </c>
    </row>
    <row xmlns:x14ac="http://schemas.microsoft.com/office/spreadsheetml/2009/9/ac" r="48" x14ac:dyDescent="0.25">
      <c r="A48" s="3">
        <v>42101</v>
      </c>
      <c r="B48" t="s">
        <v>34</v>
      </c>
      <c r="C48" t="s">
        <v>146</v>
      </c>
      <c r="D48" s="3">
        <v>96</v>
      </c>
      <c r="E48" s="5">
        <f t="shared" si="1"/>
        <v>3.6517174483624328E-3</v>
      </c>
      <c r="F48" s="6">
        <f t="shared" si="2"/>
        <v>0.80771425310966583</v>
      </c>
    </row>
    <row xmlns:x14ac="http://schemas.microsoft.com/office/spreadsheetml/2009/9/ac" r="49" x14ac:dyDescent="0.25">
      <c r="A49" s="3">
        <v>6041</v>
      </c>
      <c r="B49" t="s">
        <v>11</v>
      </c>
      <c r="C49" t="s">
        <v>62</v>
      </c>
      <c r="D49" s="3">
        <v>96</v>
      </c>
      <c r="E49" s="5">
        <f t="shared" si="1"/>
        <v>3.6517174483624328E-3</v>
      </c>
      <c r="F49" s="6">
        <f t="shared" si="2"/>
        <v>0.81136597055802828</v>
      </c>
    </row>
    <row xmlns:x14ac="http://schemas.microsoft.com/office/spreadsheetml/2009/9/ac" r="50" x14ac:dyDescent="0.25">
      <c r="A50" s="3">
        <v>4019</v>
      </c>
      <c r="B50" t="s">
        <v>10</v>
      </c>
      <c r="C50" t="s">
        <v>54</v>
      </c>
      <c r="D50" s="3">
        <v>93</v>
      </c>
      <c r="E50" s="5">
        <f t="shared" si="1"/>
        <v>3.5376012781011068E-3</v>
      </c>
      <c r="F50" s="6">
        <f t="shared" si="2"/>
        <v>0.81490357183612938</v>
      </c>
    </row>
    <row xmlns:x14ac="http://schemas.microsoft.com/office/spreadsheetml/2009/9/ac" r="51" x14ac:dyDescent="0.25">
      <c r="A51" s="3">
        <v>32031</v>
      </c>
      <c r="B51" t="s">
        <v>29</v>
      </c>
      <c r="C51" t="s">
        <v>113</v>
      </c>
      <c r="D51" s="3">
        <v>92</v>
      </c>
      <c r="E51" s="5">
        <f t="shared" si="1"/>
        <v>3.499562554680665E-3</v>
      </c>
      <c r="F51" s="6">
        <f t="shared" si="2"/>
        <v>0.81840313439081003</v>
      </c>
    </row>
    <row xmlns:x14ac="http://schemas.microsoft.com/office/spreadsheetml/2009/9/ac" r="52" x14ac:dyDescent="0.25">
      <c r="A52" s="3">
        <v>41007</v>
      </c>
      <c r="B52" t="s">
        <v>3</v>
      </c>
      <c r="C52" t="s">
        <v>126</v>
      </c>
      <c r="D52" s="3">
        <v>90</v>
      </c>
      <c r="E52" s="5">
        <f t="shared" si="1"/>
        <v>3.4234851078397809E-3</v>
      </c>
      <c r="F52" s="6">
        <f t="shared" si="2"/>
        <v>0.82182661949864977</v>
      </c>
    </row>
    <row xmlns:x14ac="http://schemas.microsoft.com/office/spreadsheetml/2009/9/ac" r="53" x14ac:dyDescent="0.25">
      <c r="A53" s="3">
        <v>6087</v>
      </c>
      <c r="B53" t="s">
        <v>11</v>
      </c>
      <c r="C53" t="s">
        <v>75</v>
      </c>
      <c r="D53" s="3">
        <v>89</v>
      </c>
      <c r="E53" s="5">
        <f t="shared" si="1"/>
        <v>3.3854463844193391E-3</v>
      </c>
      <c r="F53" s="6">
        <f t="shared" si="2"/>
        <v>0.82521206588306906</v>
      </c>
    </row>
    <row xmlns:x14ac="http://schemas.microsoft.com/office/spreadsheetml/2009/9/ac" r="54" x14ac:dyDescent="0.25">
      <c r="A54" s="3">
        <v>48113</v>
      </c>
      <c r="B54" t="s">
        <v>36</v>
      </c>
      <c r="C54" t="s">
        <v>150</v>
      </c>
      <c r="D54" s="3">
        <v>88</v>
      </c>
      <c r="E54" s="5">
        <f t="shared" si="1"/>
        <v>3.3474076609988968E-3</v>
      </c>
      <c r="F54" s="6">
        <f t="shared" si="2"/>
        <v>0.828559473544068</v>
      </c>
    </row>
    <row xmlns:x14ac="http://schemas.microsoft.com/office/spreadsheetml/2009/9/ac" r="55" x14ac:dyDescent="0.25">
      <c r="A55" s="3">
        <v>53063</v>
      </c>
      <c r="B55" t="s">
        <v>40</v>
      </c>
      <c r="C55" t="s">
        <v>168</v>
      </c>
      <c r="D55" s="3">
        <v>88</v>
      </c>
      <c r="E55" s="5">
        <f t="shared" si="1"/>
        <v>3.3474076609988968E-3</v>
      </c>
      <c r="F55" s="6">
        <f t="shared" si="2"/>
        <v>0.83190688120506695</v>
      </c>
    </row>
    <row xmlns:x14ac="http://schemas.microsoft.com/office/spreadsheetml/2009/9/ac" r="56" x14ac:dyDescent="0.25">
      <c r="A56" s="3">
        <v>53073</v>
      </c>
      <c r="B56" t="s">
        <v>40</v>
      </c>
      <c r="C56" t="s">
        <v>171</v>
      </c>
      <c r="D56" s="3">
        <v>86</v>
      </c>
      <c r="E56" s="5">
        <f t="shared" si="1"/>
        <v>3.2713302141580127E-3</v>
      </c>
      <c r="F56" s="6">
        <f t="shared" si="2"/>
        <v>0.83517821141922499</v>
      </c>
    </row>
    <row xmlns:x14ac="http://schemas.microsoft.com/office/spreadsheetml/2009/9/ac" r="57" x14ac:dyDescent="0.25">
      <c r="A57" s="3">
        <v>41041</v>
      </c>
      <c r="B57" t="s">
        <v>3</v>
      </c>
      <c r="C57" t="s">
        <v>137</v>
      </c>
      <c r="D57" s="3">
        <v>82</v>
      </c>
      <c r="E57" s="5">
        <f t="shared" si="1"/>
        <v>3.119175320476245E-3</v>
      </c>
      <c r="F57" s="6">
        <f t="shared" si="2"/>
        <v>0.83829738673970122</v>
      </c>
    </row>
    <row xmlns:x14ac="http://schemas.microsoft.com/office/spreadsheetml/2009/9/ac" r="58" x14ac:dyDescent="0.25">
      <c r="A58" s="3">
        <v>36081</v>
      </c>
      <c r="B58" t="s">
        <v>31</v>
      </c>
      <c r="C58" t="s">
        <v>118</v>
      </c>
      <c r="D58" s="3">
        <v>80</v>
      </c>
      <c r="E58" s="5">
        <f t="shared" si="1"/>
        <v>3.0430978736353609E-3</v>
      </c>
      <c r="F58" s="6">
        <f t="shared" si="2"/>
        <v>0.84134048461333655</v>
      </c>
    </row>
    <row xmlns:x14ac="http://schemas.microsoft.com/office/spreadsheetml/2009/9/ac" r="59" x14ac:dyDescent="0.25">
      <c r="A59" s="3">
        <v>6097</v>
      </c>
      <c r="B59" t="s">
        <v>11</v>
      </c>
      <c r="C59" t="s">
        <v>77</v>
      </c>
      <c r="D59" s="3">
        <v>76</v>
      </c>
      <c r="E59" s="5">
        <f t="shared" si="1"/>
        <v>2.8909429799535927E-3</v>
      </c>
      <c r="F59" s="6">
        <f t="shared" si="2"/>
        <v>0.84423142759329017</v>
      </c>
    </row>
    <row xmlns:x14ac="http://schemas.microsoft.com/office/spreadsheetml/2009/9/ac" r="60" x14ac:dyDescent="0.25">
      <c r="A60" s="3">
        <v>35001</v>
      </c>
      <c r="B60" t="s">
        <v>30</v>
      </c>
      <c r="C60" t="s">
        <v>114</v>
      </c>
      <c r="D60" s="3">
        <v>70</v>
      </c>
      <c r="E60" s="5">
        <f t="shared" si="1"/>
        <v>2.6627106394309409E-3</v>
      </c>
      <c r="F60" s="6">
        <f t="shared" si="2"/>
        <v>0.84689413823272108</v>
      </c>
    </row>
    <row xmlns:x14ac="http://schemas.microsoft.com/office/spreadsheetml/2009/9/ac" r="61" x14ac:dyDescent="0.25">
      <c r="A61" s="3">
        <v>6083</v>
      </c>
      <c r="B61" t="s">
        <v>11</v>
      </c>
      <c r="C61" t="s">
        <v>73</v>
      </c>
      <c r="D61" s="3">
        <v>66</v>
      </c>
      <c r="E61" s="5">
        <f t="shared" si="1"/>
        <v>2.5105557457491727E-3</v>
      </c>
      <c r="F61" s="6">
        <f t="shared" si="2"/>
        <v>0.84940469397847029</v>
      </c>
    </row>
    <row xmlns:x14ac="http://schemas.microsoft.com/office/spreadsheetml/2009/9/ac" r="62" x14ac:dyDescent="0.25">
      <c r="A62" s="3">
        <v>13121</v>
      </c>
      <c r="B62" t="s">
        <v>16</v>
      </c>
      <c r="C62" t="s">
        <v>91</v>
      </c>
      <c r="D62" s="3">
        <v>65</v>
      </c>
      <c r="E62" s="5">
        <f t="shared" si="1"/>
        <v>2.4725170223287305E-3</v>
      </c>
      <c r="F62" s="6">
        <f t="shared" si="2"/>
        <v>0.85187721100079905</v>
      </c>
    </row>
    <row xmlns:x14ac="http://schemas.microsoft.com/office/spreadsheetml/2009/9/ac" r="63" x14ac:dyDescent="0.25">
      <c r="A63" s="3">
        <v>42003</v>
      </c>
      <c r="B63" t="s">
        <v>34</v>
      </c>
      <c r="C63" t="s">
        <v>145</v>
      </c>
      <c r="D63" s="3">
        <v>64</v>
      </c>
      <c r="E63" s="5">
        <f t="shared" si="1"/>
        <v>2.4344782989082886E-3</v>
      </c>
      <c r="F63" s="6">
        <f t="shared" si="2"/>
        <v>0.85431168929970736</v>
      </c>
    </row>
    <row xmlns:x14ac="http://schemas.microsoft.com/office/spreadsheetml/2009/9/ac" r="64" x14ac:dyDescent="0.25">
      <c r="A64" s="3">
        <v>6111</v>
      </c>
      <c r="B64" t="s">
        <v>11</v>
      </c>
      <c r="C64" t="s">
        <v>78</v>
      </c>
      <c r="D64" s="3">
        <v>62</v>
      </c>
      <c r="E64" s="5">
        <f t="shared" si="1"/>
        <v>2.3584008520674046E-3</v>
      </c>
      <c r="F64" s="6">
        <f t="shared" si="2"/>
        <v>0.85667009015177475</v>
      </c>
    </row>
    <row xmlns:x14ac="http://schemas.microsoft.com/office/spreadsheetml/2009/9/ac" r="65" x14ac:dyDescent="0.25">
      <c r="A65" s="3">
        <v>39049</v>
      </c>
      <c r="B65" t="s">
        <v>33</v>
      </c>
      <c r="C65" t="s">
        <v>122</v>
      </c>
      <c r="D65" s="3">
        <v>61</v>
      </c>
      <c r="E65" s="5">
        <f t="shared" si="1"/>
        <v>2.3203621286469627E-3</v>
      </c>
      <c r="F65" s="6">
        <f t="shared" si="2"/>
        <v>0.8589904522804217</v>
      </c>
    </row>
    <row xmlns:x14ac="http://schemas.microsoft.com/office/spreadsheetml/2009/9/ac" r="66" x14ac:dyDescent="0.25">
      <c r="A66" s="3">
        <v>6019</v>
      </c>
      <c r="B66" t="s">
        <v>11</v>
      </c>
      <c r="C66" t="s">
        <v>58</v>
      </c>
      <c r="D66" s="3">
        <v>60</v>
      </c>
      <c r="E66" s="5">
        <f t="shared" si="1"/>
        <v>2.2823234052265205E-3</v>
      </c>
      <c r="F66" s="6">
        <f t="shared" si="2"/>
        <v>0.8612727756856482</v>
      </c>
    </row>
    <row xmlns:x14ac="http://schemas.microsoft.com/office/spreadsheetml/2009/9/ac" r="67" x14ac:dyDescent="0.25">
      <c r="A67" s="3">
        <v>2020</v>
      </c>
      <c r="B67" t="s">
        <v>9</v>
      </c>
      <c r="C67" t="s">
        <v>52</v>
      </c>
      <c r="D67" s="3">
        <v>60</v>
      </c>
      <c r="E67" s="5">
        <f t="shared" si="1"/>
        <v>2.2823234052265205E-3</v>
      </c>
      <c r="F67" s="6">
        <f t="shared" si="2"/>
        <v>0.86355509909087469</v>
      </c>
    </row>
    <row xmlns:x14ac="http://schemas.microsoft.com/office/spreadsheetml/2009/9/ac" r="68" x14ac:dyDescent="0.25">
      <c r="A68" s="3">
        <v>41065</v>
      </c>
      <c r="B68" t="s">
        <v>3</v>
      </c>
      <c r="C68" t="s">
        <v>142</v>
      </c>
      <c r="D68" s="3">
        <v>56</v>
      </c>
      <c r="E68" s="5">
        <f t="shared" si="1"/>
        <v>2.1301685115447527E-3</v>
      </c>
      <c r="F68" s="6">
        <f t="shared" si="2"/>
        <v>0.86568526760241948</v>
      </c>
    </row>
    <row xmlns:x14ac="http://schemas.microsoft.com/office/spreadsheetml/2009/9/ac" r="69" x14ac:dyDescent="0.25">
      <c r="A69" s="3">
        <v>8013</v>
      </c>
      <c r="B69" t="s">
        <v>12</v>
      </c>
      <c r="C69" t="s">
        <v>80</v>
      </c>
      <c r="D69" s="3">
        <v>56</v>
      </c>
      <c r="E69" s="5">
        <f t="shared" si="1"/>
        <v>2.1301685115447527E-3</v>
      </c>
      <c r="F69" s="6">
        <f t="shared" si="2"/>
        <v>0.86781543611396428</v>
      </c>
    </row>
    <row xmlns:x14ac="http://schemas.microsoft.com/office/spreadsheetml/2009/9/ac" r="70" x14ac:dyDescent="0.25">
      <c r="A70" s="3">
        <v>12086</v>
      </c>
      <c r="B70" t="s">
        <v>15</v>
      </c>
      <c r="C70" t="s">
        <v>87</v>
      </c>
      <c r="D70" s="3">
        <v>55</v>
      </c>
      <c r="E70" s="5">
        <f t="shared" ref="E70:E133" si="3">D70/SUM($D:$D)</f>
        <v>2.0921297881243105E-3</v>
      </c>
      <c r="F70" s="6">
        <f t="shared" ref="F70:F133" si="4">F69+E70</f>
        <v>0.86990756590208862</v>
      </c>
    </row>
    <row xmlns:x14ac="http://schemas.microsoft.com/office/spreadsheetml/2009/9/ac" r="71" x14ac:dyDescent="0.25">
      <c r="A71" s="3">
        <v>48439</v>
      </c>
      <c r="B71" t="s">
        <v>36</v>
      </c>
      <c r="C71" t="s">
        <v>152</v>
      </c>
      <c r="D71" s="3">
        <v>53</v>
      </c>
      <c r="E71" s="5">
        <f t="shared" si="3"/>
        <v>2.0160523412834264E-3</v>
      </c>
      <c r="F71" s="6">
        <f t="shared" si="4"/>
        <v>0.87192361824337206</v>
      </c>
    </row>
    <row xmlns:x14ac="http://schemas.microsoft.com/office/spreadsheetml/2009/9/ac" r="72" x14ac:dyDescent="0.25">
      <c r="A72" s="3">
        <v>6079</v>
      </c>
      <c r="B72" t="s">
        <v>11</v>
      </c>
      <c r="C72" t="s">
        <v>71</v>
      </c>
      <c r="D72" s="3">
        <v>52</v>
      </c>
      <c r="E72" s="5">
        <f t="shared" si="3"/>
        <v>1.9780136178629846E-3</v>
      </c>
      <c r="F72" s="6">
        <f t="shared" si="4"/>
        <v>0.87390163186123504</v>
      </c>
    </row>
    <row xmlns:x14ac="http://schemas.microsoft.com/office/spreadsheetml/2009/9/ac" r="73" x14ac:dyDescent="0.25">
      <c r="A73" s="3">
        <v>8041</v>
      </c>
      <c r="B73" t="s">
        <v>12</v>
      </c>
      <c r="C73" t="s">
        <v>82</v>
      </c>
      <c r="D73" s="3">
        <v>52</v>
      </c>
      <c r="E73" s="5">
        <f t="shared" si="3"/>
        <v>1.9780136178629846E-3</v>
      </c>
      <c r="F73" s="6">
        <f t="shared" si="4"/>
        <v>0.87587964547909802</v>
      </c>
    </row>
    <row xmlns:x14ac="http://schemas.microsoft.com/office/spreadsheetml/2009/9/ac" r="74" x14ac:dyDescent="0.25">
      <c r="A74" s="3">
        <v>53035</v>
      </c>
      <c r="B74" t="s">
        <v>40</v>
      </c>
      <c r="C74" t="s">
        <v>161</v>
      </c>
      <c r="D74" s="3">
        <v>51</v>
      </c>
      <c r="E74" s="5">
        <f t="shared" si="3"/>
        <v>1.9399748944425425E-3</v>
      </c>
      <c r="F74" s="6">
        <f t="shared" si="4"/>
        <v>0.87781962037354055</v>
      </c>
    </row>
    <row xmlns:x14ac="http://schemas.microsoft.com/office/spreadsheetml/2009/9/ac" r="75" x14ac:dyDescent="0.25">
      <c r="A75" s="3">
        <v>55079</v>
      </c>
      <c r="B75" t="s">
        <v>41</v>
      </c>
      <c r="C75" t="s">
        <v>174</v>
      </c>
      <c r="D75" s="3">
        <v>51</v>
      </c>
      <c r="E75" s="5">
        <f t="shared" si="3"/>
        <v>1.9399748944425425E-3</v>
      </c>
      <c r="F75" s="6">
        <f t="shared" si="4"/>
        <v>0.87975959526798309</v>
      </c>
    </row>
    <row xmlns:x14ac="http://schemas.microsoft.com/office/spreadsheetml/2009/9/ac" r="76" x14ac:dyDescent="0.25">
      <c r="A76" s="3">
        <v>39035</v>
      </c>
      <c r="B76" t="s">
        <v>33</v>
      </c>
      <c r="C76" t="s">
        <v>207</v>
      </c>
      <c r="D76" s="3">
        <v>51</v>
      </c>
      <c r="E76" s="5">
        <f t="shared" si="3"/>
        <v>1.9399748944425425E-3</v>
      </c>
      <c r="F76" s="6">
        <f t="shared" si="4"/>
        <v>0.88169957016242562</v>
      </c>
    </row>
    <row xmlns:x14ac="http://schemas.microsoft.com/office/spreadsheetml/2009/9/ac" r="77" x14ac:dyDescent="0.25">
      <c r="A77" s="3">
        <v>47037</v>
      </c>
      <c r="B77" t="s">
        <v>35</v>
      </c>
      <c r="C77" t="s">
        <v>147</v>
      </c>
      <c r="D77" s="3">
        <v>51</v>
      </c>
      <c r="E77" s="5">
        <f t="shared" si="3"/>
        <v>1.9399748944425425E-3</v>
      </c>
      <c r="F77" s="6">
        <f t="shared" si="4"/>
        <v>0.88363954505686815</v>
      </c>
    </row>
    <row xmlns:x14ac="http://schemas.microsoft.com/office/spreadsheetml/2009/9/ac" r="78" x14ac:dyDescent="0.25">
      <c r="A78" s="3">
        <v>18097</v>
      </c>
      <c r="B78" t="s">
        <v>20</v>
      </c>
      <c r="C78" t="s">
        <v>99</v>
      </c>
      <c r="D78" s="3">
        <v>51</v>
      </c>
      <c r="E78" s="5">
        <f t="shared" si="3"/>
        <v>1.9399748944425425E-3</v>
      </c>
      <c r="F78" s="6">
        <f t="shared" si="4"/>
        <v>0.88557951995131068</v>
      </c>
    </row>
    <row xmlns:x14ac="http://schemas.microsoft.com/office/spreadsheetml/2009/9/ac" r="79" x14ac:dyDescent="0.25">
      <c r="A79" s="3">
        <v>51059</v>
      </c>
      <c r="B79" t="s">
        <v>39</v>
      </c>
      <c r="C79" t="s">
        <v>156</v>
      </c>
      <c r="D79" s="3">
        <v>50</v>
      </c>
      <c r="E79" s="5">
        <f t="shared" si="3"/>
        <v>1.9019361710221005E-3</v>
      </c>
      <c r="F79" s="6">
        <f t="shared" si="4"/>
        <v>0.88748145612233276</v>
      </c>
    </row>
    <row xmlns:x14ac="http://schemas.microsoft.com/office/spreadsheetml/2009/9/ac" r="80" x14ac:dyDescent="0.25">
      <c r="A80" s="3">
        <v>26125</v>
      </c>
      <c r="B80" t="s">
        <v>26</v>
      </c>
      <c r="C80" t="s">
        <v>194</v>
      </c>
      <c r="D80" s="3">
        <v>50</v>
      </c>
      <c r="E80" s="5">
        <f t="shared" si="3"/>
        <v>1.9019361710221005E-3</v>
      </c>
      <c r="F80" s="6">
        <f t="shared" si="4"/>
        <v>0.88938339229335484</v>
      </c>
    </row>
    <row xmlns:x14ac="http://schemas.microsoft.com/office/spreadsheetml/2009/9/ac" r="81" x14ac:dyDescent="0.25">
      <c r="A81" s="3">
        <v>41035</v>
      </c>
      <c r="B81" t="s">
        <v>3</v>
      </c>
      <c r="C81" t="s">
        <v>135</v>
      </c>
      <c r="D81" s="3">
        <v>50</v>
      </c>
      <c r="E81" s="5">
        <f t="shared" si="3"/>
        <v>1.9019361710221005E-3</v>
      </c>
      <c r="F81" s="6">
        <f t="shared" si="4"/>
        <v>0.89128532846437691</v>
      </c>
    </row>
    <row xmlns:x14ac="http://schemas.microsoft.com/office/spreadsheetml/2009/9/ac" r="82" x14ac:dyDescent="0.25">
      <c r="A82" s="3">
        <v>8069</v>
      </c>
      <c r="B82" t="s">
        <v>12</v>
      </c>
      <c r="C82" t="s">
        <v>84</v>
      </c>
      <c r="D82" s="3">
        <v>49</v>
      </c>
      <c r="E82" s="5">
        <f t="shared" si="3"/>
        <v>1.8638974476016584E-3</v>
      </c>
      <c r="F82" s="6">
        <f t="shared" si="4"/>
        <v>0.89314922591197854</v>
      </c>
    </row>
    <row xmlns:x14ac="http://schemas.microsoft.com/office/spreadsheetml/2009/9/ac" r="83" x14ac:dyDescent="0.25">
      <c r="A83" s="3">
        <v>8059</v>
      </c>
      <c r="B83" t="s">
        <v>12</v>
      </c>
      <c r="C83" t="s">
        <v>83</v>
      </c>
      <c r="D83" s="3">
        <v>49</v>
      </c>
      <c r="E83" s="5">
        <f t="shared" si="3"/>
        <v>1.8638974476016584E-3</v>
      </c>
      <c r="F83" s="6">
        <f t="shared" si="4"/>
        <v>0.89501312335958016</v>
      </c>
    </row>
    <row xmlns:x14ac="http://schemas.microsoft.com/office/spreadsheetml/2009/9/ac" r="84" x14ac:dyDescent="0.25">
      <c r="A84" s="3">
        <v>53077</v>
      </c>
      <c r="B84" t="s">
        <v>40</v>
      </c>
      <c r="C84" t="s">
        <v>172</v>
      </c>
      <c r="D84" s="3">
        <v>48</v>
      </c>
      <c r="E84" s="5">
        <f t="shared" si="3"/>
        <v>1.8258587241812164E-3</v>
      </c>
      <c r="F84" s="6">
        <f t="shared" si="4"/>
        <v>0.89683898208376134</v>
      </c>
    </row>
    <row xmlns:x14ac="http://schemas.microsoft.com/office/spreadsheetml/2009/9/ac" r="85" x14ac:dyDescent="0.25">
      <c r="A85" s="3">
        <v>55025</v>
      </c>
      <c r="B85" t="s">
        <v>41</v>
      </c>
      <c r="C85" t="s">
        <v>173</v>
      </c>
      <c r="D85" s="3">
        <v>48</v>
      </c>
      <c r="E85" s="5">
        <f t="shared" si="3"/>
        <v>1.8258587241812164E-3</v>
      </c>
      <c r="F85" s="6">
        <f t="shared" si="4"/>
        <v>0.89866484080794251</v>
      </c>
    </row>
    <row xmlns:x14ac="http://schemas.microsoft.com/office/spreadsheetml/2009/9/ac" r="86" x14ac:dyDescent="0.25">
      <c r="A86" s="3">
        <v>12057</v>
      </c>
      <c r="B86" t="s">
        <v>15</v>
      </c>
      <c r="C86" t="s">
        <v>86</v>
      </c>
      <c r="D86" s="3">
        <v>47</v>
      </c>
      <c r="E86" s="5">
        <f t="shared" si="3"/>
        <v>1.7878200007607746E-3</v>
      </c>
      <c r="F86" s="6">
        <f t="shared" si="4"/>
        <v>0.90045266080870323</v>
      </c>
    </row>
    <row xmlns:x14ac="http://schemas.microsoft.com/office/spreadsheetml/2009/9/ac" r="87" x14ac:dyDescent="0.25">
      <c r="A87" s="3">
        <v>29095</v>
      </c>
      <c r="B87" t="s">
        <v>44</v>
      </c>
      <c r="C87" t="s">
        <v>133</v>
      </c>
      <c r="D87" s="3">
        <v>45</v>
      </c>
      <c r="E87" s="5">
        <f t="shared" si="3"/>
        <v>1.7117425539198905E-3</v>
      </c>
      <c r="F87" s="6">
        <f t="shared" si="4"/>
        <v>0.90216440336262316</v>
      </c>
    </row>
    <row xmlns:x14ac="http://schemas.microsoft.com/office/spreadsheetml/2009/9/ac" r="88" x14ac:dyDescent="0.25">
      <c r="A88" s="3">
        <v>53005</v>
      </c>
      <c r="B88" t="s">
        <v>40</v>
      </c>
      <c r="C88" t="s">
        <v>124</v>
      </c>
      <c r="D88" s="3">
        <v>44</v>
      </c>
      <c r="E88" s="5">
        <f t="shared" si="3"/>
        <v>1.6737038304994484E-3</v>
      </c>
      <c r="F88" s="6">
        <f t="shared" si="4"/>
        <v>0.90383810719312263</v>
      </c>
    </row>
    <row xmlns:x14ac="http://schemas.microsoft.com/office/spreadsheetml/2009/9/ac" r="89" x14ac:dyDescent="0.25">
      <c r="A89" s="3">
        <v>12103</v>
      </c>
      <c r="B89" t="s">
        <v>15</v>
      </c>
      <c r="C89" t="s">
        <v>89</v>
      </c>
      <c r="D89" s="3">
        <v>44</v>
      </c>
      <c r="E89" s="5">
        <f t="shared" si="3"/>
        <v>1.6737038304994484E-3</v>
      </c>
      <c r="F89" s="6">
        <f t="shared" si="4"/>
        <v>0.9055118110236221</v>
      </c>
    </row>
    <row xmlns:x14ac="http://schemas.microsoft.com/office/spreadsheetml/2009/9/ac" r="90" x14ac:dyDescent="0.25">
      <c r="A90" s="3">
        <v>30031</v>
      </c>
      <c r="B90" t="s">
        <v>28</v>
      </c>
      <c r="C90" t="s">
        <v>109</v>
      </c>
      <c r="D90" s="3">
        <v>44</v>
      </c>
      <c r="E90" s="5">
        <f t="shared" si="3"/>
        <v>1.6737038304994484E-3</v>
      </c>
      <c r="F90" s="6">
        <f t="shared" si="4"/>
        <v>0.90718551485412158</v>
      </c>
    </row>
    <row xmlns:x14ac="http://schemas.microsoft.com/office/spreadsheetml/2009/9/ac" r="91" x14ac:dyDescent="0.25">
      <c r="A91" s="3">
        <v>8005</v>
      </c>
      <c r="B91" t="s">
        <v>12</v>
      </c>
      <c r="C91" t="s">
        <v>79</v>
      </c>
      <c r="D91" s="3">
        <v>44</v>
      </c>
      <c r="E91" s="5">
        <f t="shared" si="3"/>
        <v>1.6737038304994484E-3</v>
      </c>
      <c r="F91" s="6">
        <f t="shared" si="4"/>
        <v>0.90885921868462105</v>
      </c>
    </row>
    <row xmlns:x14ac="http://schemas.microsoft.com/office/spreadsheetml/2009/9/ac" r="92" x14ac:dyDescent="0.25">
      <c r="A92" s="3">
        <v>41057</v>
      </c>
      <c r="B92" t="s">
        <v>3</v>
      </c>
      <c r="C92" t="s">
        <v>139</v>
      </c>
      <c r="D92" s="3">
        <v>44</v>
      </c>
      <c r="E92" s="5">
        <f t="shared" si="3"/>
        <v>1.6737038304994484E-3</v>
      </c>
      <c r="F92" s="6">
        <f t="shared" si="4"/>
        <v>0.91053292251512052</v>
      </c>
    </row>
    <row xmlns:x14ac="http://schemas.microsoft.com/office/spreadsheetml/2009/9/ac" r="93" x14ac:dyDescent="0.25">
      <c r="A93" s="3">
        <v>6053</v>
      </c>
      <c r="B93" t="s">
        <v>11</v>
      </c>
      <c r="C93" t="s">
        <v>63</v>
      </c>
      <c r="D93" s="3">
        <v>43</v>
      </c>
      <c r="E93" s="5">
        <f t="shared" si="3"/>
        <v>1.6356651070790064E-3</v>
      </c>
      <c r="F93" s="6">
        <f t="shared" si="4"/>
        <v>0.91216858762219954</v>
      </c>
    </row>
    <row xmlns:x14ac="http://schemas.microsoft.com/office/spreadsheetml/2009/9/ac" r="94" x14ac:dyDescent="0.25">
      <c r="A94" s="3">
        <v>12095</v>
      </c>
      <c r="B94" t="s">
        <v>15</v>
      </c>
      <c r="C94" t="s">
        <v>64</v>
      </c>
      <c r="D94" s="3">
        <v>43</v>
      </c>
      <c r="E94" s="5">
        <f t="shared" si="3"/>
        <v>1.6356651070790064E-3</v>
      </c>
      <c r="F94" s="6">
        <f t="shared" si="4"/>
        <v>0.91380425272927857</v>
      </c>
    </row>
    <row xmlns:x14ac="http://schemas.microsoft.com/office/spreadsheetml/2009/9/ac" r="95" x14ac:dyDescent="0.25">
      <c r="A95" s="3">
        <v>22071</v>
      </c>
      <c r="B95" t="s">
        <v>22</v>
      </c>
      <c r="C95" t="s">
        <v>101</v>
      </c>
      <c r="D95" s="3">
        <v>43</v>
      </c>
      <c r="E95" s="5">
        <f t="shared" si="3"/>
        <v>1.6356651070790064E-3</v>
      </c>
      <c r="F95" s="6">
        <f t="shared" si="4"/>
        <v>0.91543991783635759</v>
      </c>
    </row>
    <row xmlns:x14ac="http://schemas.microsoft.com/office/spreadsheetml/2009/9/ac" r="96" x14ac:dyDescent="0.25">
      <c r="A96" s="3">
        <v>12011</v>
      </c>
      <c r="B96" t="s">
        <v>15</v>
      </c>
      <c r="C96" t="s">
        <v>183</v>
      </c>
      <c r="D96" s="3">
        <v>43</v>
      </c>
      <c r="E96" s="5">
        <f t="shared" si="3"/>
        <v>1.6356651070790064E-3</v>
      </c>
      <c r="F96" s="6">
        <f t="shared" si="4"/>
        <v>0.91707558294343661</v>
      </c>
    </row>
    <row xmlns:x14ac="http://schemas.microsoft.com/office/spreadsheetml/2009/9/ac" r="97" x14ac:dyDescent="0.25">
      <c r="A97" s="3">
        <v>41019</v>
      </c>
      <c r="B97" t="s">
        <v>3</v>
      </c>
      <c r="C97" t="s">
        <v>131</v>
      </c>
      <c r="D97" s="3">
        <v>43</v>
      </c>
      <c r="E97" s="5">
        <f t="shared" si="3"/>
        <v>1.6356651070790064E-3</v>
      </c>
      <c r="F97" s="6">
        <f t="shared" si="4"/>
        <v>0.91871124805051563</v>
      </c>
    </row>
    <row xmlns:x14ac="http://schemas.microsoft.com/office/spreadsheetml/2009/9/ac" r="98" x14ac:dyDescent="0.25">
      <c r="A98" s="3">
        <v>6077</v>
      </c>
      <c r="B98" t="s">
        <v>11</v>
      </c>
      <c r="C98" t="s">
        <v>179</v>
      </c>
      <c r="D98" s="3">
        <v>43</v>
      </c>
      <c r="E98" s="5">
        <f t="shared" si="3"/>
        <v>1.6356651070790064E-3</v>
      </c>
      <c r="F98" s="6">
        <f t="shared" si="4"/>
        <v>0.92034691315759465</v>
      </c>
    </row>
    <row xmlns:x14ac="http://schemas.microsoft.com/office/spreadsheetml/2009/9/ac" r="99" x14ac:dyDescent="0.25">
      <c r="A99" s="3">
        <v>26161</v>
      </c>
      <c r="B99" t="s">
        <v>26</v>
      </c>
      <c r="C99" t="s">
        <v>106</v>
      </c>
      <c r="D99" s="3">
        <v>42</v>
      </c>
      <c r="E99" s="5">
        <f t="shared" si="3"/>
        <v>1.5976263836585643E-3</v>
      </c>
      <c r="F99" s="6">
        <f t="shared" si="4"/>
        <v>0.92194453954125322</v>
      </c>
    </row>
    <row xmlns:x14ac="http://schemas.microsoft.com/office/spreadsheetml/2009/9/ac" r="100" x14ac:dyDescent="0.25">
      <c r="A100" s="3">
        <v>30063</v>
      </c>
      <c r="B100" t="s">
        <v>28</v>
      </c>
      <c r="C100" t="s">
        <v>110</v>
      </c>
      <c r="D100" s="3">
        <v>42</v>
      </c>
      <c r="E100" s="5">
        <f t="shared" si="3"/>
        <v>1.5976263836585643E-3</v>
      </c>
      <c r="F100" s="6">
        <f t="shared" si="4"/>
        <v>0.92354216592491178</v>
      </c>
    </row>
    <row xmlns:x14ac="http://schemas.microsoft.com/office/spreadsheetml/2009/9/ac" r="101" x14ac:dyDescent="0.25">
      <c r="A101" s="3">
        <v>6023</v>
      </c>
      <c r="B101" t="s">
        <v>11</v>
      </c>
      <c r="C101" t="s">
        <v>59</v>
      </c>
      <c r="D101" s="3">
        <v>42</v>
      </c>
      <c r="E101" s="5">
        <f t="shared" si="3"/>
        <v>1.5976263836585643E-3</v>
      </c>
      <c r="F101" s="6">
        <f t="shared" si="4"/>
        <v>0.92513979230857035</v>
      </c>
    </row>
    <row xmlns:x14ac="http://schemas.microsoft.com/office/spreadsheetml/2009/9/ac" r="102" x14ac:dyDescent="0.25">
      <c r="A102" s="3">
        <v>24510</v>
      </c>
      <c r="B102" t="s">
        <v>24</v>
      </c>
      <c r="C102" t="s">
        <v>190</v>
      </c>
      <c r="D102" s="3">
        <v>41</v>
      </c>
      <c r="E102" s="5">
        <f t="shared" si="3"/>
        <v>1.5595876602381225E-3</v>
      </c>
      <c r="F102" s="6">
        <f t="shared" si="4"/>
        <v>0.92669937996880847</v>
      </c>
    </row>
    <row xmlns:x14ac="http://schemas.microsoft.com/office/spreadsheetml/2009/9/ac" r="103" x14ac:dyDescent="0.25">
      <c r="A103" s="3">
        <v>6007</v>
      </c>
      <c r="B103" t="s">
        <v>11</v>
      </c>
      <c r="C103" t="s">
        <v>177</v>
      </c>
      <c r="D103" s="3">
        <v>41</v>
      </c>
      <c r="E103" s="5">
        <f t="shared" si="3"/>
        <v>1.5595876602381225E-3</v>
      </c>
      <c r="F103" s="6">
        <f t="shared" si="4"/>
        <v>0.92825896762904658</v>
      </c>
    </row>
    <row xmlns:x14ac="http://schemas.microsoft.com/office/spreadsheetml/2009/9/ac" r="104" x14ac:dyDescent="0.25">
      <c r="A104" s="3">
        <v>41033</v>
      </c>
      <c r="B104" t="s">
        <v>3</v>
      </c>
      <c r="C104" t="s">
        <v>134</v>
      </c>
      <c r="D104" s="3">
        <v>40</v>
      </c>
      <c r="E104" s="5">
        <f t="shared" si="3"/>
        <v>1.5215489368176805E-3</v>
      </c>
      <c r="F104" s="6">
        <f t="shared" si="4"/>
        <v>0.92978051656586425</v>
      </c>
    </row>
    <row xmlns:x14ac="http://schemas.microsoft.com/office/spreadsheetml/2009/9/ac" r="105" x14ac:dyDescent="0.25">
      <c r="A105" s="3">
        <v>15009</v>
      </c>
      <c r="B105" t="s">
        <v>17</v>
      </c>
      <c r="C105" t="s">
        <v>94</v>
      </c>
      <c r="D105" s="3">
        <v>40</v>
      </c>
      <c r="E105" s="5">
        <f t="shared" si="3"/>
        <v>1.5215489368176805E-3</v>
      </c>
      <c r="F105" s="6">
        <f t="shared" si="4"/>
        <v>0.93130206550268191</v>
      </c>
    </row>
    <row xmlns:x14ac="http://schemas.microsoft.com/office/spreadsheetml/2009/9/ac" r="106" x14ac:dyDescent="0.25">
      <c r="A106" s="3">
        <v>41059</v>
      </c>
      <c r="B106" t="s">
        <v>3</v>
      </c>
      <c r="C106" t="s">
        <v>140</v>
      </c>
      <c r="D106" s="3">
        <v>40</v>
      </c>
      <c r="E106" s="5">
        <f t="shared" si="3"/>
        <v>1.5215489368176805E-3</v>
      </c>
      <c r="F106" s="6">
        <f t="shared" si="4"/>
        <v>0.93282361443949957</v>
      </c>
    </row>
    <row xmlns:x14ac="http://schemas.microsoft.com/office/spreadsheetml/2009/9/ac" r="107" x14ac:dyDescent="0.25">
      <c r="A107" s="3">
        <v>37183</v>
      </c>
      <c r="B107" t="s">
        <v>32</v>
      </c>
      <c r="C107" t="s">
        <v>206</v>
      </c>
      <c r="D107" s="3">
        <v>39</v>
      </c>
      <c r="E107" s="5">
        <f t="shared" si="3"/>
        <v>1.4835102133972384E-3</v>
      </c>
      <c r="F107" s="6">
        <f t="shared" si="4"/>
        <v>0.93430712465289678</v>
      </c>
    </row>
    <row xmlns:x14ac="http://schemas.microsoft.com/office/spreadsheetml/2009/9/ac" r="108" x14ac:dyDescent="0.25">
      <c r="A108" s="3">
        <v>24031</v>
      </c>
      <c r="B108" t="s">
        <v>24</v>
      </c>
      <c r="C108" t="s">
        <v>103</v>
      </c>
      <c r="D108" s="3">
        <v>38</v>
      </c>
      <c r="E108" s="5">
        <f t="shared" si="3"/>
        <v>1.4454714899767964E-3</v>
      </c>
      <c r="F108" s="6">
        <f t="shared" si="4"/>
        <v>0.93575259614287354</v>
      </c>
    </row>
    <row xmlns:x14ac="http://schemas.microsoft.com/office/spreadsheetml/2009/9/ac" r="109" x14ac:dyDescent="0.25">
      <c r="A109" s="3">
        <v>6113</v>
      </c>
      <c r="B109" t="s">
        <v>11</v>
      </c>
      <c r="C109" t="s">
        <v>181</v>
      </c>
      <c r="D109" s="3">
        <v>38</v>
      </c>
      <c r="E109" s="5">
        <f t="shared" si="3"/>
        <v>1.4454714899767964E-3</v>
      </c>
      <c r="F109" s="6">
        <f t="shared" si="4"/>
        <v>0.9371980676328503</v>
      </c>
    </row>
    <row xmlns:x14ac="http://schemas.microsoft.com/office/spreadsheetml/2009/9/ac" r="110" x14ac:dyDescent="0.25">
      <c r="A110" s="3">
        <v>48029</v>
      </c>
      <c r="B110" t="s">
        <v>36</v>
      </c>
      <c r="C110" t="s">
        <v>149</v>
      </c>
      <c r="D110" s="3">
        <v>37</v>
      </c>
      <c r="E110" s="5">
        <f t="shared" si="3"/>
        <v>1.4074327665563543E-3</v>
      </c>
      <c r="F110" s="6">
        <f t="shared" si="4"/>
        <v>0.9386055003994066</v>
      </c>
    </row>
    <row xmlns:x14ac="http://schemas.microsoft.com/office/spreadsheetml/2009/9/ac" r="111" x14ac:dyDescent="0.25">
      <c r="A111" s="3">
        <v>48085</v>
      </c>
      <c r="B111" t="s">
        <v>36</v>
      </c>
      <c r="C111" t="s">
        <v>216</v>
      </c>
      <c r="D111" s="3">
        <v>37</v>
      </c>
      <c r="E111" s="5">
        <f t="shared" si="3"/>
        <v>1.4074327665563543E-3</v>
      </c>
      <c r="F111" s="6">
        <f t="shared" si="4"/>
        <v>0.94001293316596291</v>
      </c>
    </row>
    <row xmlns:x14ac="http://schemas.microsoft.com/office/spreadsheetml/2009/9/ac" r="112" x14ac:dyDescent="0.25">
      <c r="A112" s="3">
        <v>41011</v>
      </c>
      <c r="B112" t="s">
        <v>3</v>
      </c>
      <c r="C112" t="s">
        <v>128</v>
      </c>
      <c r="D112" s="3">
        <v>36</v>
      </c>
      <c r="E112" s="5">
        <f t="shared" si="3"/>
        <v>1.3693940431359123E-3</v>
      </c>
      <c r="F112" s="6">
        <f t="shared" si="4"/>
        <v>0.94138232720909887</v>
      </c>
    </row>
    <row xmlns:x14ac="http://schemas.microsoft.com/office/spreadsheetml/2009/9/ac" r="113" x14ac:dyDescent="0.25">
      <c r="A113" s="3">
        <v>12099</v>
      </c>
      <c r="B113" t="s">
        <v>15</v>
      </c>
      <c r="C113" t="s">
        <v>88</v>
      </c>
      <c r="D113" s="3">
        <v>36</v>
      </c>
      <c r="E113" s="5">
        <f t="shared" si="3"/>
        <v>1.3693940431359123E-3</v>
      </c>
      <c r="F113" s="6">
        <f t="shared" si="4"/>
        <v>0.94275172125223483</v>
      </c>
    </row>
    <row xmlns:x14ac="http://schemas.microsoft.com/office/spreadsheetml/2009/9/ac" r="114" x14ac:dyDescent="0.25">
      <c r="A114" s="3">
        <v>29189</v>
      </c>
      <c r="B114" t="s">
        <v>44</v>
      </c>
      <c r="C114" t="s">
        <v>197</v>
      </c>
      <c r="D114" s="3">
        <v>34</v>
      </c>
      <c r="E114" s="5">
        <f t="shared" si="3"/>
        <v>1.2933165962950284E-3</v>
      </c>
      <c r="F114" s="6">
        <f t="shared" si="4"/>
        <v>0.94404503784852989</v>
      </c>
    </row>
    <row xmlns:x14ac="http://schemas.microsoft.com/office/spreadsheetml/2009/9/ac" r="115" x14ac:dyDescent="0.25">
      <c r="A115" s="3">
        <v>6057</v>
      </c>
      <c r="B115" t="s">
        <v>11</v>
      </c>
      <c r="C115" t="s">
        <v>230</v>
      </c>
      <c r="D115" s="3">
        <v>34</v>
      </c>
      <c r="E115" s="5">
        <f t="shared" si="3"/>
        <v>1.2933165962950284E-3</v>
      </c>
      <c r="F115" s="6">
        <f t="shared" si="4"/>
        <v>0.94533835444482495</v>
      </c>
    </row>
    <row xmlns:x14ac="http://schemas.microsoft.com/office/spreadsheetml/2009/9/ac" r="116" x14ac:dyDescent="0.25">
      <c r="A116" s="3">
        <v>4005</v>
      </c>
      <c r="B116" t="s">
        <v>10</v>
      </c>
      <c r="C116" t="s">
        <v>175</v>
      </c>
      <c r="D116" s="3">
        <v>34</v>
      </c>
      <c r="E116" s="5">
        <f t="shared" si="3"/>
        <v>1.2933165962950284E-3</v>
      </c>
      <c r="F116" s="6">
        <f t="shared" si="4"/>
        <v>0.94663167104112</v>
      </c>
    </row>
    <row xmlns:x14ac="http://schemas.microsoft.com/office/spreadsheetml/2009/9/ac" r="117" x14ac:dyDescent="0.25">
      <c r="A117" s="3">
        <v>15001</v>
      </c>
      <c r="B117" t="s">
        <v>17</v>
      </c>
      <c r="C117" t="s">
        <v>92</v>
      </c>
      <c r="D117" s="3">
        <v>34</v>
      </c>
      <c r="E117" s="5">
        <f t="shared" si="3"/>
        <v>1.2933165962950284E-3</v>
      </c>
      <c r="F117" s="6">
        <f t="shared" si="4"/>
        <v>0.94792498763741506</v>
      </c>
    </row>
    <row xmlns:x14ac="http://schemas.microsoft.com/office/spreadsheetml/2009/9/ac" r="118" x14ac:dyDescent="0.25">
      <c r="A118" s="3">
        <v>27123</v>
      </c>
      <c r="B118" t="s">
        <v>27</v>
      </c>
      <c r="C118" t="s">
        <v>108</v>
      </c>
      <c r="D118" s="3">
        <v>33</v>
      </c>
      <c r="E118" s="5">
        <f t="shared" si="3"/>
        <v>1.2552778728745864E-3</v>
      </c>
      <c r="F118" s="6">
        <f t="shared" si="4"/>
        <v>0.94918026551028967</v>
      </c>
    </row>
    <row xmlns:x14ac="http://schemas.microsoft.com/office/spreadsheetml/2009/9/ac" r="119" x14ac:dyDescent="0.25">
      <c r="A119" s="3">
        <v>36103</v>
      </c>
      <c r="B119" t="s">
        <v>31</v>
      </c>
      <c r="C119" t="s">
        <v>105</v>
      </c>
      <c r="D119" s="3">
        <v>32</v>
      </c>
      <c r="E119" s="5">
        <f t="shared" si="3"/>
        <v>1.2172391494541443E-3</v>
      </c>
      <c r="F119" s="6">
        <f t="shared" si="4"/>
        <v>0.95039750465974382</v>
      </c>
    </row>
    <row xmlns:x14ac="http://schemas.microsoft.com/office/spreadsheetml/2009/9/ac" r="120" x14ac:dyDescent="0.25">
      <c r="A120" s="3">
        <v>17043</v>
      </c>
      <c r="B120" t="s">
        <v>19</v>
      </c>
      <c r="C120" t="s">
        <v>187</v>
      </c>
      <c r="D120" s="3">
        <v>32</v>
      </c>
      <c r="E120" s="5">
        <f t="shared" si="3"/>
        <v>1.2172391494541443E-3</v>
      </c>
      <c r="F120" s="6">
        <f t="shared" si="4"/>
        <v>0.95161474380919797</v>
      </c>
    </row>
    <row xmlns:x14ac="http://schemas.microsoft.com/office/spreadsheetml/2009/9/ac" r="121" x14ac:dyDescent="0.25">
      <c r="A121" s="3">
        <v>37119</v>
      </c>
      <c r="B121" t="s">
        <v>32</v>
      </c>
      <c r="C121" t="s">
        <v>121</v>
      </c>
      <c r="D121" s="3">
        <v>31</v>
      </c>
      <c r="E121" s="5">
        <f t="shared" si="3"/>
        <v>1.1792004260337023E-3</v>
      </c>
      <c r="F121" s="6">
        <f t="shared" si="4"/>
        <v>0.95279394423523167</v>
      </c>
    </row>
    <row xmlns:x14ac="http://schemas.microsoft.com/office/spreadsheetml/2009/9/ac" r="122" x14ac:dyDescent="0.25">
      <c r="A122" s="3">
        <v>53039</v>
      </c>
      <c r="B122" t="s">
        <v>40</v>
      </c>
      <c r="C122" t="s">
        <v>162</v>
      </c>
      <c r="D122" s="3">
        <v>31</v>
      </c>
      <c r="E122" s="5">
        <f t="shared" si="3"/>
        <v>1.1792004260337023E-3</v>
      </c>
      <c r="F122" s="6">
        <f t="shared" si="4"/>
        <v>0.95397314466126537</v>
      </c>
    </row>
    <row xmlns:x14ac="http://schemas.microsoft.com/office/spreadsheetml/2009/9/ac" r="123" x14ac:dyDescent="0.25">
      <c r="A123" s="3">
        <v>29510</v>
      </c>
      <c r="B123" t="s">
        <v>44</v>
      </c>
      <c r="C123" t="s">
        <v>198</v>
      </c>
      <c r="D123" s="3">
        <v>31</v>
      </c>
      <c r="E123" s="5">
        <f t="shared" si="3"/>
        <v>1.1792004260337023E-3</v>
      </c>
      <c r="F123" s="6">
        <f t="shared" si="4"/>
        <v>0.95515234508729907</v>
      </c>
    </row>
    <row xmlns:x14ac="http://schemas.microsoft.com/office/spreadsheetml/2009/9/ac" r="124" x14ac:dyDescent="0.25">
      <c r="A124" s="3">
        <v>47157</v>
      </c>
      <c r="B124" t="s">
        <v>35</v>
      </c>
      <c r="C124" t="s">
        <v>215</v>
      </c>
      <c r="D124" s="3">
        <v>31</v>
      </c>
      <c r="E124" s="5">
        <f t="shared" si="3"/>
        <v>1.1792004260337023E-3</v>
      </c>
      <c r="F124" s="6">
        <f t="shared" si="4"/>
        <v>0.95633154551333277</v>
      </c>
    </row>
    <row xmlns:x14ac="http://schemas.microsoft.com/office/spreadsheetml/2009/9/ac" r="125" x14ac:dyDescent="0.25">
      <c r="A125" s="3">
        <v>6095</v>
      </c>
      <c r="B125" t="s">
        <v>11</v>
      </c>
      <c r="C125" t="s">
        <v>180</v>
      </c>
      <c r="D125" s="3">
        <v>31</v>
      </c>
      <c r="E125" s="5">
        <f t="shared" si="3"/>
        <v>1.1792004260337023E-3</v>
      </c>
      <c r="F125" s="6">
        <f t="shared" si="4"/>
        <v>0.95751074593936647</v>
      </c>
    </row>
    <row xmlns:x14ac="http://schemas.microsoft.com/office/spreadsheetml/2009/9/ac" r="126" x14ac:dyDescent="0.25">
      <c r="A126" s="3">
        <v>40109</v>
      </c>
      <c r="B126" t="s">
        <v>47</v>
      </c>
      <c r="C126" t="s">
        <v>209</v>
      </c>
      <c r="D126" s="3">
        <v>30</v>
      </c>
      <c r="E126" s="5">
        <f t="shared" si="3"/>
        <v>1.1411617026132602E-3</v>
      </c>
      <c r="F126" s="6">
        <f t="shared" si="4"/>
        <v>0.95865190764197972</v>
      </c>
    </row>
    <row xmlns:x14ac="http://schemas.microsoft.com/office/spreadsheetml/2009/9/ac" r="127" x14ac:dyDescent="0.25">
      <c r="A127" s="3">
        <v>6029</v>
      </c>
      <c r="B127" t="s">
        <v>11</v>
      </c>
      <c r="C127" t="s">
        <v>60</v>
      </c>
      <c r="D127" s="3">
        <v>30</v>
      </c>
      <c r="E127" s="5">
        <f t="shared" si="3"/>
        <v>1.1411617026132602E-3</v>
      </c>
      <c r="F127" s="6">
        <f t="shared" si="4"/>
        <v>0.95979306934459296</v>
      </c>
    </row>
    <row xmlns:x14ac="http://schemas.microsoft.com/office/spreadsheetml/2009/9/ac" r="128" x14ac:dyDescent="0.25">
      <c r="A128" s="3">
        <v>6061</v>
      </c>
      <c r="B128" t="s">
        <v>11</v>
      </c>
      <c r="C128" t="s">
        <v>65</v>
      </c>
      <c r="D128" s="3">
        <v>30</v>
      </c>
      <c r="E128" s="5">
        <f t="shared" si="3"/>
        <v>1.1411617026132602E-3</v>
      </c>
      <c r="F128" s="6">
        <f t="shared" si="4"/>
        <v>0.96093423104720621</v>
      </c>
    </row>
    <row xmlns:x14ac="http://schemas.microsoft.com/office/spreadsheetml/2009/9/ac" r="129" x14ac:dyDescent="0.25">
      <c r="A129" s="3">
        <v>6099</v>
      </c>
      <c r="B129" t="s">
        <v>11</v>
      </c>
      <c r="C129" t="s">
        <v>325</v>
      </c>
      <c r="D129" s="3">
        <v>30</v>
      </c>
      <c r="E129" s="5">
        <f t="shared" si="3"/>
        <v>1.1411617026132602E-3</v>
      </c>
      <c r="F129" s="6">
        <f t="shared" si="4"/>
        <v>0.96207539274981946</v>
      </c>
    </row>
    <row xmlns:x14ac="http://schemas.microsoft.com/office/spreadsheetml/2009/9/ac" r="130" x14ac:dyDescent="0.25">
      <c r="A130" s="3">
        <v>36055</v>
      </c>
      <c r="B130" t="s">
        <v>31</v>
      </c>
      <c r="C130" t="s">
        <v>203</v>
      </c>
      <c r="D130" s="3">
        <v>30</v>
      </c>
      <c r="E130" s="5">
        <f t="shared" si="3"/>
        <v>1.1411617026132602E-3</v>
      </c>
      <c r="F130" s="6">
        <f t="shared" si="4"/>
        <v>0.9632165544524327</v>
      </c>
    </row>
    <row xmlns:x14ac="http://schemas.microsoft.com/office/spreadsheetml/2009/9/ac" r="131" x14ac:dyDescent="0.25">
      <c r="A131" s="3">
        <v>12031</v>
      </c>
      <c r="B131" t="s">
        <v>15</v>
      </c>
      <c r="C131" t="s">
        <v>184</v>
      </c>
      <c r="D131" s="3">
        <v>29</v>
      </c>
      <c r="E131" s="5">
        <f t="shared" si="3"/>
        <v>1.1031229791928182E-3</v>
      </c>
      <c r="F131" s="6">
        <f t="shared" si="4"/>
        <v>0.9643196774316255</v>
      </c>
    </row>
    <row xmlns:x14ac="http://schemas.microsoft.com/office/spreadsheetml/2009/9/ac" r="132" x14ac:dyDescent="0.25">
      <c r="A132" s="3">
        <v>13089</v>
      </c>
      <c r="B132" t="s">
        <v>16</v>
      </c>
      <c r="C132" t="s">
        <v>90</v>
      </c>
      <c r="D132" s="3">
        <v>29</v>
      </c>
      <c r="E132" s="5">
        <f t="shared" si="3"/>
        <v>1.1031229791928182E-3</v>
      </c>
      <c r="F132" s="6">
        <f t="shared" si="4"/>
        <v>0.96542280041081829</v>
      </c>
    </row>
    <row xmlns:x14ac="http://schemas.microsoft.com/office/spreadsheetml/2009/9/ac" r="133" x14ac:dyDescent="0.25">
      <c r="A133" s="3">
        <v>39061</v>
      </c>
      <c r="B133" t="s">
        <v>33</v>
      </c>
      <c r="C133" t="s">
        <v>208</v>
      </c>
      <c r="D133" s="3">
        <v>28</v>
      </c>
      <c r="E133" s="5">
        <f t="shared" si="3"/>
        <v>1.0650842557723764E-3</v>
      </c>
      <c r="F133" s="6">
        <f t="shared" si="4"/>
        <v>0.96648788466659064</v>
      </c>
    </row>
    <row xmlns:x14ac="http://schemas.microsoft.com/office/spreadsheetml/2009/9/ac" r="134" x14ac:dyDescent="0.25">
      <c r="A134" s="3">
        <v>6089</v>
      </c>
      <c r="B134" t="s">
        <v>11</v>
      </c>
      <c r="C134" t="s">
        <v>76</v>
      </c>
      <c r="D134" s="3">
        <v>28</v>
      </c>
      <c r="E134" s="5">
        <f t="shared" ref="E134:E197" si="5">D134/SUM($D:$D)</f>
        <v>1.0650842557723764E-3</v>
      </c>
      <c r="F134" s="6">
        <f t="shared" ref="F134:F197" si="6">F133+E134</f>
        <v>0.96755296892236298</v>
      </c>
    </row>
    <row xmlns:x14ac="http://schemas.microsoft.com/office/spreadsheetml/2009/9/ac" r="135" x14ac:dyDescent="0.25">
      <c r="A135" s="3">
        <v>49049</v>
      </c>
      <c r="B135" t="s">
        <v>37</v>
      </c>
      <c r="C135" t="s">
        <v>219</v>
      </c>
      <c r="D135" s="3">
        <v>28</v>
      </c>
      <c r="E135" s="5">
        <f t="shared" si="5"/>
        <v>1.0650842557723764E-3</v>
      </c>
      <c r="F135" s="6">
        <f t="shared" si="6"/>
        <v>0.96861805317813532</v>
      </c>
    </row>
    <row xmlns:x14ac="http://schemas.microsoft.com/office/spreadsheetml/2009/9/ac" r="136" x14ac:dyDescent="0.25">
      <c r="A136" s="3">
        <v>36029</v>
      </c>
      <c r="B136" t="s">
        <v>31</v>
      </c>
      <c r="C136" t="s">
        <v>202</v>
      </c>
      <c r="D136" s="3">
        <v>28</v>
      </c>
      <c r="E136" s="5">
        <f t="shared" si="5"/>
        <v>1.0650842557723764E-3</v>
      </c>
      <c r="F136" s="6">
        <f t="shared" si="6"/>
        <v>0.96968313743390766</v>
      </c>
    </row>
    <row xmlns:x14ac="http://schemas.microsoft.com/office/spreadsheetml/2009/9/ac" r="137" x14ac:dyDescent="0.25">
      <c r="A137" s="3">
        <v>50007</v>
      </c>
      <c r="B137" t="s">
        <v>38</v>
      </c>
      <c r="C137" t="s">
        <v>155</v>
      </c>
      <c r="D137" s="3">
        <v>28</v>
      </c>
      <c r="E137" s="5">
        <f t="shared" si="5"/>
        <v>1.0650842557723764E-3</v>
      </c>
      <c r="F137" s="6">
        <f t="shared" si="6"/>
        <v>0.97074822168968</v>
      </c>
    </row>
    <row xmlns:x14ac="http://schemas.microsoft.com/office/spreadsheetml/2009/9/ac" r="138" x14ac:dyDescent="0.25">
      <c r="A138" s="3">
        <v>53041</v>
      </c>
      <c r="B138" t="s">
        <v>40</v>
      </c>
      <c r="C138" t="s">
        <v>163</v>
      </c>
      <c r="D138" s="3">
        <v>27</v>
      </c>
      <c r="E138" s="5">
        <f t="shared" si="5"/>
        <v>1.0270455323519343E-3</v>
      </c>
      <c r="F138" s="6">
        <f t="shared" si="6"/>
        <v>0.97177526722203189</v>
      </c>
    </row>
    <row xmlns:x14ac="http://schemas.microsoft.com/office/spreadsheetml/2009/9/ac" r="139" x14ac:dyDescent="0.25">
      <c r="A139" s="3">
        <v>36119</v>
      </c>
      <c r="B139" t="s">
        <v>31</v>
      </c>
      <c r="C139" t="s">
        <v>119</v>
      </c>
      <c r="D139" s="3">
        <v>27</v>
      </c>
      <c r="E139" s="5">
        <f t="shared" si="5"/>
        <v>1.0270455323519343E-3</v>
      </c>
      <c r="F139" s="6">
        <f t="shared" si="6"/>
        <v>0.97280231275438378</v>
      </c>
    </row>
    <row xmlns:x14ac="http://schemas.microsoft.com/office/spreadsheetml/2009/9/ac" r="140" x14ac:dyDescent="0.25">
      <c r="A140" s="3">
        <v>9001</v>
      </c>
      <c r="B140" t="s">
        <v>13</v>
      </c>
      <c r="C140" t="s">
        <v>241</v>
      </c>
      <c r="D140" s="3">
        <v>27</v>
      </c>
      <c r="E140" s="5">
        <f t="shared" si="5"/>
        <v>1.0270455323519343E-3</v>
      </c>
      <c r="F140" s="6">
        <f t="shared" si="6"/>
        <v>0.97382935828673567</v>
      </c>
    </row>
    <row xmlns:x14ac="http://schemas.microsoft.com/office/spreadsheetml/2009/9/ac" r="141" x14ac:dyDescent="0.25">
      <c r="A141" s="3">
        <v>48121</v>
      </c>
      <c r="B141" t="s">
        <v>36</v>
      </c>
      <c r="C141" t="s">
        <v>234</v>
      </c>
      <c r="D141" s="3">
        <v>27</v>
      </c>
      <c r="E141" s="5">
        <f t="shared" si="5"/>
        <v>1.0270455323519343E-3</v>
      </c>
      <c r="F141" s="6">
        <f t="shared" si="6"/>
        <v>0.97485640381908756</v>
      </c>
    </row>
    <row xmlns:x14ac="http://schemas.microsoft.com/office/spreadsheetml/2009/9/ac" r="142" x14ac:dyDescent="0.25">
      <c r="A142" s="3">
        <v>31055</v>
      </c>
      <c r="B142" t="s">
        <v>45</v>
      </c>
      <c r="C142" t="s">
        <v>131</v>
      </c>
      <c r="D142" s="3">
        <v>27</v>
      </c>
      <c r="E142" s="5">
        <f t="shared" si="5"/>
        <v>1.0270455323519343E-3</v>
      </c>
      <c r="F142" s="6">
        <f t="shared" si="6"/>
        <v>0.97588344935143945</v>
      </c>
    </row>
    <row xmlns:x14ac="http://schemas.microsoft.com/office/spreadsheetml/2009/9/ac" r="143" x14ac:dyDescent="0.25">
      <c r="A143" s="3">
        <v>25021</v>
      </c>
      <c r="B143" t="s">
        <v>25</v>
      </c>
      <c r="C143" t="s">
        <v>192</v>
      </c>
      <c r="D143" s="3">
        <v>26</v>
      </c>
      <c r="E143" s="5">
        <f t="shared" si="5"/>
        <v>9.8900680893149228E-4</v>
      </c>
      <c r="F143" s="6">
        <f t="shared" si="6"/>
        <v>0.97687245616037099</v>
      </c>
    </row>
    <row xmlns:x14ac="http://schemas.microsoft.com/office/spreadsheetml/2009/9/ac" r="144" x14ac:dyDescent="0.25">
      <c r="A144" s="3">
        <v>8001</v>
      </c>
      <c r="B144" t="s">
        <v>12</v>
      </c>
      <c r="C144" t="s">
        <v>225</v>
      </c>
      <c r="D144" s="3">
        <v>26</v>
      </c>
      <c r="E144" s="5">
        <f t="shared" si="5"/>
        <v>9.8900680893149228E-4</v>
      </c>
      <c r="F144" s="6">
        <f t="shared" si="6"/>
        <v>0.97786146296930254</v>
      </c>
    </row>
    <row xmlns:x14ac="http://schemas.microsoft.com/office/spreadsheetml/2009/9/ac" r="145" x14ac:dyDescent="0.25">
      <c r="A145" s="3">
        <v>23005</v>
      </c>
      <c r="B145" t="s">
        <v>23</v>
      </c>
      <c r="C145" t="s">
        <v>102</v>
      </c>
      <c r="D145" s="3">
        <v>26</v>
      </c>
      <c r="E145" s="5">
        <f t="shared" si="5"/>
        <v>9.8900680893149228E-4</v>
      </c>
      <c r="F145" s="6">
        <f t="shared" si="6"/>
        <v>0.97885046977823409</v>
      </c>
    </row>
    <row xmlns:x14ac="http://schemas.microsoft.com/office/spreadsheetml/2009/9/ac" r="146" x14ac:dyDescent="0.25">
      <c r="A146" s="3">
        <v>37021</v>
      </c>
      <c r="B146" t="s">
        <v>32</v>
      </c>
      <c r="C146" t="s">
        <v>120</v>
      </c>
      <c r="D146" s="3">
        <v>26</v>
      </c>
      <c r="E146" s="5">
        <f t="shared" si="5"/>
        <v>9.8900680893149228E-4</v>
      </c>
      <c r="F146" s="6">
        <f t="shared" si="6"/>
        <v>0.97983947658716564</v>
      </c>
    </row>
    <row xmlns:x14ac="http://schemas.microsoft.com/office/spreadsheetml/2009/9/ac" r="147" x14ac:dyDescent="0.25">
      <c r="A147" s="3">
        <v>26081</v>
      </c>
      <c r="B147" t="s">
        <v>26</v>
      </c>
      <c r="C147" t="s">
        <v>193</v>
      </c>
      <c r="D147" s="3">
        <v>26</v>
      </c>
      <c r="E147" s="5">
        <f t="shared" si="5"/>
        <v>9.8900680893149228E-4</v>
      </c>
      <c r="F147" s="6">
        <f t="shared" si="6"/>
        <v>0.98082848339609718</v>
      </c>
    </row>
    <row xmlns:x14ac="http://schemas.microsoft.com/office/spreadsheetml/2009/9/ac" r="148" x14ac:dyDescent="0.25">
      <c r="A148" s="3">
        <v>9009</v>
      </c>
      <c r="B148" t="s">
        <v>13</v>
      </c>
      <c r="C148" t="s">
        <v>85</v>
      </c>
      <c r="D148" s="3">
        <v>25</v>
      </c>
      <c r="E148" s="5">
        <f t="shared" si="5"/>
        <v>9.5096808551105023E-4</v>
      </c>
      <c r="F148" s="6">
        <f t="shared" si="6"/>
        <v>0.98177945148160828</v>
      </c>
    </row>
    <row xmlns:x14ac="http://schemas.microsoft.com/office/spreadsheetml/2009/9/ac" r="149" x14ac:dyDescent="0.25">
      <c r="A149" s="3">
        <v>35049</v>
      </c>
      <c r="B149" t="s">
        <v>30</v>
      </c>
      <c r="C149" t="s">
        <v>115</v>
      </c>
      <c r="D149" s="3">
        <v>25</v>
      </c>
      <c r="E149" s="5">
        <f t="shared" si="5"/>
        <v>9.5096808551105023E-4</v>
      </c>
      <c r="F149" s="6">
        <f t="shared" si="6"/>
        <v>0.98273041956711937</v>
      </c>
    </row>
    <row xmlns:x14ac="http://schemas.microsoft.com/office/spreadsheetml/2009/9/ac" r="150" x14ac:dyDescent="0.25">
      <c r="A150" s="3">
        <v>6055</v>
      </c>
      <c r="B150" t="s">
        <v>11</v>
      </c>
      <c r="C150" t="s">
        <v>299</v>
      </c>
      <c r="D150" s="3">
        <v>25</v>
      </c>
      <c r="E150" s="5">
        <f t="shared" si="5"/>
        <v>9.5096808551105023E-4</v>
      </c>
      <c r="F150" s="6">
        <f t="shared" si="6"/>
        <v>0.98368138765263047</v>
      </c>
    </row>
    <row xmlns:x14ac="http://schemas.microsoft.com/office/spreadsheetml/2009/9/ac" r="151" x14ac:dyDescent="0.25">
      <c r="A151" s="3">
        <v>20091</v>
      </c>
      <c r="B151" t="s">
        <v>42</v>
      </c>
      <c r="C151" t="s">
        <v>188</v>
      </c>
      <c r="D151" s="3">
        <v>25</v>
      </c>
      <c r="E151" s="5">
        <f t="shared" si="5"/>
        <v>9.5096808551105023E-4</v>
      </c>
      <c r="F151" s="6">
        <f t="shared" si="6"/>
        <v>0.98463235573814156</v>
      </c>
    </row>
    <row xmlns:x14ac="http://schemas.microsoft.com/office/spreadsheetml/2009/9/ac" r="152" x14ac:dyDescent="0.25">
      <c r="A152" s="3">
        <v>16027</v>
      </c>
      <c r="B152" t="s">
        <v>18</v>
      </c>
      <c r="C152" t="s">
        <v>96</v>
      </c>
      <c r="D152" s="3">
        <v>24</v>
      </c>
      <c r="E152" s="5">
        <f t="shared" si="5"/>
        <v>9.1292936209060819E-4</v>
      </c>
      <c r="F152" s="6">
        <f t="shared" si="6"/>
        <v>0.9855452851002322</v>
      </c>
    </row>
    <row xmlns:x14ac="http://schemas.microsoft.com/office/spreadsheetml/2009/9/ac" r="153" x14ac:dyDescent="0.25">
      <c r="A153" s="3">
        <v>53031</v>
      </c>
      <c r="B153" t="s">
        <v>40</v>
      </c>
      <c r="C153" t="s">
        <v>83</v>
      </c>
      <c r="D153" s="3">
        <v>24</v>
      </c>
      <c r="E153" s="5">
        <f t="shared" si="5"/>
        <v>9.1292936209060819E-4</v>
      </c>
      <c r="F153" s="6">
        <f t="shared" si="6"/>
        <v>0.98645821446232285</v>
      </c>
    </row>
    <row xmlns:x14ac="http://schemas.microsoft.com/office/spreadsheetml/2009/9/ac" r="154" x14ac:dyDescent="0.25">
      <c r="A154" s="3">
        <v>34017</v>
      </c>
      <c r="B154" t="s">
        <v>46</v>
      </c>
      <c r="C154" t="s">
        <v>201</v>
      </c>
      <c r="D154" s="3">
        <v>23</v>
      </c>
      <c r="E154" s="5">
        <f t="shared" si="5"/>
        <v>8.7489063867016625E-4</v>
      </c>
      <c r="F154" s="6">
        <f t="shared" si="6"/>
        <v>0.98733310510099304</v>
      </c>
    </row>
    <row xmlns:x14ac="http://schemas.microsoft.com/office/spreadsheetml/2009/9/ac" r="155" x14ac:dyDescent="0.25">
      <c r="A155" s="3">
        <v>30029</v>
      </c>
      <c r="B155" t="s">
        <v>28</v>
      </c>
      <c r="C155" t="s">
        <v>199</v>
      </c>
      <c r="D155" s="3">
        <v>23</v>
      </c>
      <c r="E155" s="5">
        <f t="shared" si="5"/>
        <v>8.7489063867016625E-4</v>
      </c>
      <c r="F155" s="6">
        <f t="shared" si="6"/>
        <v>0.98820799573966323</v>
      </c>
    </row>
    <row xmlns:x14ac="http://schemas.microsoft.com/office/spreadsheetml/2009/9/ac" r="156" x14ac:dyDescent="0.25">
      <c r="A156" s="3">
        <v>17197</v>
      </c>
      <c r="B156" t="s">
        <v>19</v>
      </c>
      <c r="C156" t="s">
        <v>362</v>
      </c>
      <c r="D156" s="3">
        <v>22</v>
      </c>
      <c r="E156" s="5">
        <f t="shared" si="5"/>
        <v>8.3685191524972421E-4</v>
      </c>
      <c r="F156" s="6">
        <f t="shared" si="6"/>
        <v>0.98904484765491296</v>
      </c>
    </row>
    <row xmlns:x14ac="http://schemas.microsoft.com/office/spreadsheetml/2009/9/ac" r="157" x14ac:dyDescent="0.25">
      <c r="A157" s="3">
        <v>53075</v>
      </c>
      <c r="B157" t="s">
        <v>40</v>
      </c>
      <c r="C157" t="s">
        <v>228</v>
      </c>
      <c r="D157" s="3">
        <v>21</v>
      </c>
      <c r="E157" s="5">
        <f t="shared" si="5"/>
        <v>7.9881319182928217E-4</v>
      </c>
      <c r="F157" s="6">
        <f t="shared" si="6"/>
        <v>0.98984366084674225</v>
      </c>
    </row>
    <row xmlns:x14ac="http://schemas.microsoft.com/office/spreadsheetml/2009/9/ac" r="158" x14ac:dyDescent="0.25">
      <c r="A158" s="3">
        <v>48141</v>
      </c>
      <c r="B158" t="s">
        <v>36</v>
      </c>
      <c r="C158" t="s">
        <v>82</v>
      </c>
      <c r="D158" s="3">
        <v>21</v>
      </c>
      <c r="E158" s="5">
        <f t="shared" si="5"/>
        <v>7.9881319182928217E-4</v>
      </c>
      <c r="F158" s="6">
        <f t="shared" si="6"/>
        <v>0.99064247403857153</v>
      </c>
    </row>
    <row xmlns:x14ac="http://schemas.microsoft.com/office/spreadsheetml/2009/9/ac" r="159" x14ac:dyDescent="0.25">
      <c r="A159" s="3">
        <v>26163</v>
      </c>
      <c r="B159" t="s">
        <v>26</v>
      </c>
      <c r="C159" t="s">
        <v>195</v>
      </c>
      <c r="D159" s="3">
        <v>21</v>
      </c>
      <c r="E159" s="5">
        <f t="shared" si="5"/>
        <v>7.9881319182928217E-4</v>
      </c>
      <c r="F159" s="6">
        <f t="shared" si="6"/>
        <v>0.99144128723040081</v>
      </c>
    </row>
    <row xmlns:x14ac="http://schemas.microsoft.com/office/spreadsheetml/2009/9/ac" r="160" x14ac:dyDescent="0.25">
      <c r="A160" s="3">
        <v>9003</v>
      </c>
      <c r="B160" t="s">
        <v>13</v>
      </c>
      <c r="C160" t="s">
        <v>182</v>
      </c>
      <c r="D160" s="3">
        <v>21</v>
      </c>
      <c r="E160" s="5">
        <f t="shared" si="5"/>
        <v>7.9881319182928217E-4</v>
      </c>
      <c r="F160" s="6">
        <f t="shared" si="6"/>
        <v>0.9922401004222301</v>
      </c>
    </row>
    <row xmlns:x14ac="http://schemas.microsoft.com/office/spreadsheetml/2009/9/ac" r="161" x14ac:dyDescent="0.25">
      <c r="A161" s="3">
        <v>4015</v>
      </c>
      <c r="B161" t="s">
        <v>10</v>
      </c>
      <c r="C161" t="s">
        <v>224</v>
      </c>
      <c r="D161" s="3">
        <v>21</v>
      </c>
      <c r="E161" s="5">
        <f t="shared" si="5"/>
        <v>7.9881319182928217E-4</v>
      </c>
      <c r="F161" s="6">
        <f t="shared" si="6"/>
        <v>0.99303891361405938</v>
      </c>
    </row>
    <row xmlns:x14ac="http://schemas.microsoft.com/office/spreadsheetml/2009/9/ac" r="162" x14ac:dyDescent="0.25">
      <c r="A162" s="3">
        <v>36059</v>
      </c>
      <c r="B162" t="s">
        <v>31</v>
      </c>
      <c r="C162" t="s">
        <v>316</v>
      </c>
      <c r="D162" s="3">
        <v>21</v>
      </c>
      <c r="E162" s="5">
        <f t="shared" si="5"/>
        <v>7.9881319182928217E-4</v>
      </c>
      <c r="F162" s="6">
        <f t="shared" si="6"/>
        <v>0.99383772680588867</v>
      </c>
    </row>
    <row xmlns:x14ac="http://schemas.microsoft.com/office/spreadsheetml/2009/9/ac" r="163" x14ac:dyDescent="0.25">
      <c r="A163" s="3">
        <v>45019</v>
      </c>
      <c r="B163" t="s">
        <v>49</v>
      </c>
      <c r="C163" t="s">
        <v>213</v>
      </c>
      <c r="D163" s="3">
        <v>21</v>
      </c>
      <c r="E163" s="5">
        <f t="shared" si="5"/>
        <v>7.9881319182928217E-4</v>
      </c>
      <c r="F163" s="6">
        <f t="shared" si="6"/>
        <v>0.99463653999771795</v>
      </c>
    </row>
    <row xmlns:x14ac="http://schemas.microsoft.com/office/spreadsheetml/2009/9/ac" r="164" x14ac:dyDescent="0.25">
      <c r="A164" s="3">
        <v>19103</v>
      </c>
      <c r="B164" t="s">
        <v>21</v>
      </c>
      <c r="C164" t="s">
        <v>188</v>
      </c>
      <c r="D164" s="3">
        <v>21</v>
      </c>
      <c r="E164" s="5">
        <f t="shared" si="5"/>
        <v>7.9881319182928217E-4</v>
      </c>
      <c r="F164" s="6">
        <f t="shared" si="6"/>
        <v>0.99543535318954723</v>
      </c>
    </row>
    <row xmlns:x14ac="http://schemas.microsoft.com/office/spreadsheetml/2009/9/ac" r="165" x14ac:dyDescent="0.25">
      <c r="A165" s="3">
        <v>27037</v>
      </c>
      <c r="B165" t="s">
        <v>27</v>
      </c>
      <c r="C165" t="s">
        <v>363</v>
      </c>
      <c r="D165" s="3">
        <v>20</v>
      </c>
      <c r="E165" s="5">
        <f t="shared" si="5"/>
        <v>7.6077446840884023E-4</v>
      </c>
      <c r="F165" s="6">
        <f t="shared" si="6"/>
        <v>0.99619612765795607</v>
      </c>
    </row>
    <row xmlns:x14ac="http://schemas.microsoft.com/office/spreadsheetml/2009/9/ac" r="166" x14ac:dyDescent="0.25">
      <c r="A166" s="3">
        <v>34023</v>
      </c>
      <c r="B166" t="s">
        <v>46</v>
      </c>
      <c r="C166" t="s">
        <v>104</v>
      </c>
      <c r="D166" s="3">
        <v>20</v>
      </c>
      <c r="E166" s="5">
        <f t="shared" si="5"/>
        <v>7.6077446840884023E-4</v>
      </c>
      <c r="F166" s="6">
        <f t="shared" si="6"/>
        <v>0.9969569021263649</v>
      </c>
    </row>
    <row xmlns:x14ac="http://schemas.microsoft.com/office/spreadsheetml/2009/9/ac" r="167" x14ac:dyDescent="0.25">
      <c r="A167" s="3">
        <v>21111</v>
      </c>
      <c r="B167" t="s">
        <v>43</v>
      </c>
      <c r="C167" t="s">
        <v>83</v>
      </c>
      <c r="D167" s="3">
        <v>20</v>
      </c>
      <c r="E167" s="5">
        <f t="shared" si="5"/>
        <v>7.6077446840884023E-4</v>
      </c>
      <c r="F167" s="6">
        <f t="shared" si="6"/>
        <v>0.99771767659477373</v>
      </c>
    </row>
    <row xmlns:x14ac="http://schemas.microsoft.com/office/spreadsheetml/2009/9/ac" r="168" x14ac:dyDescent="0.25">
      <c r="A168" s="3">
        <v>53071</v>
      </c>
      <c r="B168" t="s">
        <v>40</v>
      </c>
      <c r="C168" t="s">
        <v>170</v>
      </c>
      <c r="D168" s="3">
        <v>20</v>
      </c>
      <c r="E168" s="5">
        <f t="shared" si="5"/>
        <v>7.6077446840884023E-4</v>
      </c>
      <c r="F168" s="6">
        <f t="shared" si="6"/>
        <v>0.99847845106318256</v>
      </c>
    </row>
    <row xmlns:x14ac="http://schemas.microsoft.com/office/spreadsheetml/2009/9/ac" r="169" x14ac:dyDescent="0.25">
      <c r="A169" s="3">
        <v>12071</v>
      </c>
      <c r="B169" t="s">
        <v>15</v>
      </c>
      <c r="C169" t="s">
        <v>226</v>
      </c>
      <c r="D169" s="3">
        <v>20</v>
      </c>
      <c r="E169" s="5">
        <f t="shared" si="5"/>
        <v>7.6077446840884023E-4</v>
      </c>
      <c r="F169" s="6">
        <f t="shared" si="6"/>
        <v>0.99923922553159139</v>
      </c>
    </row>
    <row xmlns:x14ac="http://schemas.microsoft.com/office/spreadsheetml/2009/9/ac" r="170" x14ac:dyDescent="0.25">
      <c r="A170" s="3">
        <v>41031</v>
      </c>
      <c r="B170" t="s">
        <v>3</v>
      </c>
      <c r="C170" t="s">
        <v>83</v>
      </c>
      <c r="D170" s="3">
        <v>20</v>
      </c>
      <c r="E170" s="5">
        <f t="shared" si="5"/>
        <v>7.6077446840884023E-4</v>
      </c>
      <c r="F170" s="6">
        <f t="shared" si="6"/>
        <v>1.0000000000000002</v>
      </c>
    </row>
    <row xmlns:x14ac="http://schemas.microsoft.com/office/spreadsheetml/2009/9/ac" r="171" x14ac:dyDescent="0.25">
      <c r="E171" s="5">
        <f t="shared" si="5"/>
        <v>0</v>
      </c>
      <c r="F171" s="6">
        <f t="shared" si="6"/>
        <v>1.0000000000000002</v>
      </c>
    </row>
    <row xmlns:x14ac="http://schemas.microsoft.com/office/spreadsheetml/2009/9/ac" r="172" x14ac:dyDescent="0.25">
      <c r="E172" s="5">
        <f t="shared" si="5"/>
        <v>0</v>
      </c>
      <c r="F172" s="6">
        <f t="shared" si="6"/>
        <v>1.0000000000000002</v>
      </c>
    </row>
    <row xmlns:x14ac="http://schemas.microsoft.com/office/spreadsheetml/2009/9/ac" r="173" x14ac:dyDescent="0.25">
      <c r="E173" s="5">
        <f t="shared" si="5"/>
        <v>0</v>
      </c>
      <c r="F173" s="6">
        <f t="shared" si="6"/>
        <v>1.0000000000000002</v>
      </c>
    </row>
    <row xmlns:x14ac="http://schemas.microsoft.com/office/spreadsheetml/2009/9/ac" r="174" x14ac:dyDescent="0.25">
      <c r="E174" s="5">
        <f t="shared" si="5"/>
        <v>0</v>
      </c>
      <c r="F174" s="6">
        <f t="shared" si="6"/>
        <v>1.0000000000000002</v>
      </c>
    </row>
    <row xmlns:x14ac="http://schemas.microsoft.com/office/spreadsheetml/2009/9/ac" r="175" x14ac:dyDescent="0.25">
      <c r="E175" s="5">
        <f t="shared" si="5"/>
        <v>0</v>
      </c>
      <c r="F175" s="6">
        <f t="shared" si="6"/>
        <v>1.0000000000000002</v>
      </c>
    </row>
    <row xmlns:x14ac="http://schemas.microsoft.com/office/spreadsheetml/2009/9/ac" r="176" x14ac:dyDescent="0.25">
      <c r="E176" s="5">
        <f t="shared" si="5"/>
        <v>0</v>
      </c>
      <c r="F176" s="6">
        <f t="shared" si="6"/>
        <v>1.0000000000000002</v>
      </c>
    </row>
    <row xmlns:x14ac="http://schemas.microsoft.com/office/spreadsheetml/2009/9/ac" r="177" x14ac:dyDescent="0.25">
      <c r="E177" s="5">
        <f t="shared" si="5"/>
        <v>0</v>
      </c>
      <c r="F177" s="6">
        <f t="shared" si="6"/>
        <v>1.0000000000000002</v>
      </c>
    </row>
    <row xmlns:x14ac="http://schemas.microsoft.com/office/spreadsheetml/2009/9/ac" r="178" x14ac:dyDescent="0.25">
      <c r="E178" s="5">
        <f t="shared" si="5"/>
        <v>0</v>
      </c>
      <c r="F178" s="6">
        <f t="shared" si="6"/>
        <v>1.0000000000000002</v>
      </c>
    </row>
    <row xmlns:x14ac="http://schemas.microsoft.com/office/spreadsheetml/2009/9/ac" r="179" x14ac:dyDescent="0.25">
      <c r="E179" s="5">
        <f t="shared" si="5"/>
        <v>0</v>
      </c>
      <c r="F179" s="6">
        <f t="shared" si="6"/>
        <v>1.0000000000000002</v>
      </c>
    </row>
    <row xmlns:x14ac="http://schemas.microsoft.com/office/spreadsheetml/2009/9/ac" r="180" x14ac:dyDescent="0.25">
      <c r="E180" s="5">
        <f t="shared" si="5"/>
        <v>0</v>
      </c>
      <c r="F180" s="6">
        <f t="shared" si="6"/>
        <v>1.0000000000000002</v>
      </c>
    </row>
    <row xmlns:x14ac="http://schemas.microsoft.com/office/spreadsheetml/2009/9/ac" r="181" x14ac:dyDescent="0.25">
      <c r="E181" s="5">
        <f t="shared" si="5"/>
        <v>0</v>
      </c>
      <c r="F181" s="6">
        <f t="shared" si="6"/>
        <v>1.0000000000000002</v>
      </c>
    </row>
    <row xmlns:x14ac="http://schemas.microsoft.com/office/spreadsheetml/2009/9/ac" r="182" x14ac:dyDescent="0.25">
      <c r="E182" s="5">
        <f t="shared" si="5"/>
        <v>0</v>
      </c>
      <c r="F182" s="6">
        <f t="shared" si="6"/>
        <v>1.0000000000000002</v>
      </c>
    </row>
    <row xmlns:x14ac="http://schemas.microsoft.com/office/spreadsheetml/2009/9/ac" r="183" x14ac:dyDescent="0.25">
      <c r="E183" s="5">
        <f t="shared" si="5"/>
        <v>0</v>
      </c>
      <c r="F183" s="6">
        <f t="shared" si="6"/>
        <v>1.0000000000000002</v>
      </c>
    </row>
    <row xmlns:x14ac="http://schemas.microsoft.com/office/spreadsheetml/2009/9/ac" r="184" x14ac:dyDescent="0.25">
      <c r="E184" s="5">
        <f t="shared" si="5"/>
        <v>0</v>
      </c>
      <c r="F184" s="6">
        <f t="shared" si="6"/>
        <v>1.0000000000000002</v>
      </c>
    </row>
    <row xmlns:x14ac="http://schemas.microsoft.com/office/spreadsheetml/2009/9/ac" r="185" x14ac:dyDescent="0.25">
      <c r="E185" s="5">
        <f t="shared" si="5"/>
        <v>0</v>
      </c>
      <c r="F185" s="6">
        <f t="shared" si="6"/>
        <v>1.0000000000000002</v>
      </c>
    </row>
    <row xmlns:x14ac="http://schemas.microsoft.com/office/spreadsheetml/2009/9/ac" r="186" x14ac:dyDescent="0.25">
      <c r="E186" s="5">
        <f t="shared" si="5"/>
        <v>0</v>
      </c>
      <c r="F186" s="6">
        <f t="shared" si="6"/>
        <v>1.0000000000000002</v>
      </c>
    </row>
    <row xmlns:x14ac="http://schemas.microsoft.com/office/spreadsheetml/2009/9/ac" r="187" x14ac:dyDescent="0.25">
      <c r="E187" s="5">
        <f t="shared" si="5"/>
        <v>0</v>
      </c>
      <c r="F187" s="6">
        <f t="shared" si="6"/>
        <v>1.0000000000000002</v>
      </c>
    </row>
    <row xmlns:x14ac="http://schemas.microsoft.com/office/spreadsheetml/2009/9/ac" r="188" x14ac:dyDescent="0.25">
      <c r="E188" s="5">
        <f t="shared" si="5"/>
        <v>0</v>
      </c>
      <c r="F188" s="6">
        <f t="shared" si="6"/>
        <v>1.0000000000000002</v>
      </c>
    </row>
    <row xmlns:x14ac="http://schemas.microsoft.com/office/spreadsheetml/2009/9/ac" r="189" x14ac:dyDescent="0.25">
      <c r="E189" s="5">
        <f t="shared" si="5"/>
        <v>0</v>
      </c>
      <c r="F189" s="6">
        <f t="shared" si="6"/>
        <v>1.0000000000000002</v>
      </c>
    </row>
    <row xmlns:x14ac="http://schemas.microsoft.com/office/spreadsheetml/2009/9/ac" r="190" x14ac:dyDescent="0.25">
      <c r="E190" s="5">
        <f t="shared" si="5"/>
        <v>0</v>
      </c>
      <c r="F190" s="6">
        <f t="shared" si="6"/>
        <v>1.0000000000000002</v>
      </c>
    </row>
    <row xmlns:x14ac="http://schemas.microsoft.com/office/spreadsheetml/2009/9/ac" r="191" x14ac:dyDescent="0.25">
      <c r="E191" s="5">
        <f t="shared" si="5"/>
        <v>0</v>
      </c>
      <c r="F191" s="6">
        <f t="shared" si="6"/>
        <v>1.0000000000000002</v>
      </c>
    </row>
    <row xmlns:x14ac="http://schemas.microsoft.com/office/spreadsheetml/2009/9/ac" r="192" x14ac:dyDescent="0.25">
      <c r="E192" s="5">
        <f t="shared" si="5"/>
        <v>0</v>
      </c>
      <c r="F192" s="6">
        <f t="shared" si="6"/>
        <v>1.0000000000000002</v>
      </c>
    </row>
    <row xmlns:x14ac="http://schemas.microsoft.com/office/spreadsheetml/2009/9/ac" r="193" x14ac:dyDescent="0.25">
      <c r="E193" s="5">
        <f t="shared" si="5"/>
        <v>0</v>
      </c>
      <c r="F193" s="6">
        <f t="shared" si="6"/>
        <v>1.0000000000000002</v>
      </c>
    </row>
    <row xmlns:x14ac="http://schemas.microsoft.com/office/spreadsheetml/2009/9/ac" r="194" x14ac:dyDescent="0.25">
      <c r="E194" s="5">
        <f t="shared" si="5"/>
        <v>0</v>
      </c>
      <c r="F194" s="6">
        <f t="shared" si="6"/>
        <v>1.0000000000000002</v>
      </c>
    </row>
    <row xmlns:x14ac="http://schemas.microsoft.com/office/spreadsheetml/2009/9/ac" r="195" x14ac:dyDescent="0.25">
      <c r="E195" s="5">
        <f t="shared" si="5"/>
        <v>0</v>
      </c>
      <c r="F195" s="6">
        <f t="shared" si="6"/>
        <v>1.0000000000000002</v>
      </c>
    </row>
    <row xmlns:x14ac="http://schemas.microsoft.com/office/spreadsheetml/2009/9/ac" r="196" x14ac:dyDescent="0.25">
      <c r="E196" s="5">
        <f t="shared" si="5"/>
        <v>0</v>
      </c>
      <c r="F196" s="6">
        <f t="shared" si="6"/>
        <v>1.0000000000000002</v>
      </c>
    </row>
    <row xmlns:x14ac="http://schemas.microsoft.com/office/spreadsheetml/2009/9/ac" r="197" x14ac:dyDescent="0.25">
      <c r="E197" s="5">
        <f t="shared" si="5"/>
        <v>0</v>
      </c>
      <c r="F197" s="6">
        <f t="shared" si="6"/>
        <v>1.0000000000000002</v>
      </c>
    </row>
    <row xmlns:x14ac="http://schemas.microsoft.com/office/spreadsheetml/2009/9/ac" r="198" x14ac:dyDescent="0.25">
      <c r="E198" s="5">
        <f t="shared" ref="E198:E236" si="7">D198/SUM($D:$D)</f>
        <v>0</v>
      </c>
      <c r="F198" s="6">
        <f t="shared" ref="F198:F236" si="8">F197+E198</f>
        <v>1.0000000000000002</v>
      </c>
    </row>
    <row xmlns:x14ac="http://schemas.microsoft.com/office/spreadsheetml/2009/9/ac" r="199" x14ac:dyDescent="0.25">
      <c r="E199" s="5">
        <f t="shared" si="7"/>
        <v>0</v>
      </c>
      <c r="F199" s="6">
        <f t="shared" si="8"/>
        <v>1.0000000000000002</v>
      </c>
    </row>
    <row xmlns:x14ac="http://schemas.microsoft.com/office/spreadsheetml/2009/9/ac" r="200" x14ac:dyDescent="0.25">
      <c r="E200" s="5">
        <f t="shared" si="7"/>
        <v>0</v>
      </c>
      <c r="F200" s="6">
        <f t="shared" si="8"/>
        <v>1.0000000000000002</v>
      </c>
    </row>
    <row xmlns:x14ac="http://schemas.microsoft.com/office/spreadsheetml/2009/9/ac" r="201" x14ac:dyDescent="0.25">
      <c r="E201" s="5">
        <f t="shared" si="7"/>
        <v>0</v>
      </c>
      <c r="F201" s="6">
        <f t="shared" si="8"/>
        <v>1.0000000000000002</v>
      </c>
    </row>
    <row xmlns:x14ac="http://schemas.microsoft.com/office/spreadsheetml/2009/9/ac" r="202" x14ac:dyDescent="0.25">
      <c r="E202" s="5">
        <f t="shared" si="7"/>
        <v>0</v>
      </c>
      <c r="F202" s="6">
        <f t="shared" si="8"/>
        <v>1.0000000000000002</v>
      </c>
    </row>
    <row xmlns:x14ac="http://schemas.microsoft.com/office/spreadsheetml/2009/9/ac" r="203" x14ac:dyDescent="0.25">
      <c r="E203" s="5">
        <f t="shared" si="7"/>
        <v>0</v>
      </c>
      <c r="F203" s="6">
        <f t="shared" si="8"/>
        <v>1.0000000000000002</v>
      </c>
    </row>
    <row xmlns:x14ac="http://schemas.microsoft.com/office/spreadsheetml/2009/9/ac" r="204" x14ac:dyDescent="0.25">
      <c r="E204" s="5">
        <f t="shared" si="7"/>
        <v>0</v>
      </c>
      <c r="F204" s="6">
        <f t="shared" si="8"/>
        <v>1.0000000000000002</v>
      </c>
    </row>
    <row xmlns:x14ac="http://schemas.microsoft.com/office/spreadsheetml/2009/9/ac" r="205" x14ac:dyDescent="0.25">
      <c r="E205" s="5">
        <f t="shared" si="7"/>
        <v>0</v>
      </c>
      <c r="F205" s="6">
        <f t="shared" si="8"/>
        <v>1.0000000000000002</v>
      </c>
    </row>
    <row xmlns:x14ac="http://schemas.microsoft.com/office/spreadsheetml/2009/9/ac" r="206" x14ac:dyDescent="0.25">
      <c r="E206" s="5">
        <f t="shared" si="7"/>
        <v>0</v>
      </c>
      <c r="F206" s="6">
        <f t="shared" si="8"/>
        <v>1.0000000000000002</v>
      </c>
    </row>
    <row xmlns:x14ac="http://schemas.microsoft.com/office/spreadsheetml/2009/9/ac" r="207" x14ac:dyDescent="0.25">
      <c r="E207" s="5">
        <f t="shared" si="7"/>
        <v>0</v>
      </c>
      <c r="F207" s="6">
        <f t="shared" si="8"/>
        <v>1.0000000000000002</v>
      </c>
    </row>
    <row xmlns:x14ac="http://schemas.microsoft.com/office/spreadsheetml/2009/9/ac" r="208" x14ac:dyDescent="0.25">
      <c r="E208" s="5">
        <f t="shared" si="7"/>
        <v>0</v>
      </c>
      <c r="F208" s="6">
        <f t="shared" si="8"/>
        <v>1.0000000000000002</v>
      </c>
    </row>
    <row xmlns:x14ac="http://schemas.microsoft.com/office/spreadsheetml/2009/9/ac" r="209" x14ac:dyDescent="0.25">
      <c r="E209" s="5">
        <f t="shared" si="7"/>
        <v>0</v>
      </c>
      <c r="F209" s="6">
        <f t="shared" si="8"/>
        <v>1.0000000000000002</v>
      </c>
    </row>
    <row xmlns:x14ac="http://schemas.microsoft.com/office/spreadsheetml/2009/9/ac" r="210" x14ac:dyDescent="0.25">
      <c r="E210" s="5">
        <f t="shared" si="7"/>
        <v>0</v>
      </c>
      <c r="F210" s="6">
        <f t="shared" si="8"/>
        <v>1.0000000000000002</v>
      </c>
    </row>
    <row xmlns:x14ac="http://schemas.microsoft.com/office/spreadsheetml/2009/9/ac" r="211" x14ac:dyDescent="0.25">
      <c r="E211" s="5">
        <f t="shared" si="7"/>
        <v>0</v>
      </c>
      <c r="F211" s="6">
        <f t="shared" si="8"/>
        <v>1.0000000000000002</v>
      </c>
    </row>
    <row xmlns:x14ac="http://schemas.microsoft.com/office/spreadsheetml/2009/9/ac" r="212" x14ac:dyDescent="0.25">
      <c r="E212" s="5">
        <f t="shared" si="7"/>
        <v>0</v>
      </c>
      <c r="F212" s="6">
        <f t="shared" si="8"/>
        <v>1.0000000000000002</v>
      </c>
    </row>
    <row xmlns:x14ac="http://schemas.microsoft.com/office/spreadsheetml/2009/9/ac" r="213" x14ac:dyDescent="0.25">
      <c r="E213" s="5">
        <f t="shared" si="7"/>
        <v>0</v>
      </c>
      <c r="F213" s="6">
        <f t="shared" si="8"/>
        <v>1.0000000000000002</v>
      </c>
    </row>
    <row xmlns:x14ac="http://schemas.microsoft.com/office/spreadsheetml/2009/9/ac" r="214" x14ac:dyDescent="0.25">
      <c r="E214" s="5">
        <f t="shared" si="7"/>
        <v>0</v>
      </c>
      <c r="F214" s="6">
        <f t="shared" si="8"/>
        <v>1.0000000000000002</v>
      </c>
    </row>
    <row xmlns:x14ac="http://schemas.microsoft.com/office/spreadsheetml/2009/9/ac" r="215" x14ac:dyDescent="0.25">
      <c r="E215" s="5">
        <f t="shared" si="7"/>
        <v>0</v>
      </c>
      <c r="F215" s="6">
        <f t="shared" si="8"/>
        <v>1.0000000000000002</v>
      </c>
    </row>
    <row xmlns:x14ac="http://schemas.microsoft.com/office/spreadsheetml/2009/9/ac" r="216" x14ac:dyDescent="0.25">
      <c r="E216" s="5">
        <f t="shared" si="7"/>
        <v>0</v>
      </c>
      <c r="F216" s="6">
        <f t="shared" si="8"/>
        <v>1.0000000000000002</v>
      </c>
    </row>
    <row xmlns:x14ac="http://schemas.microsoft.com/office/spreadsheetml/2009/9/ac" r="217" x14ac:dyDescent="0.25">
      <c r="E217" s="5">
        <f t="shared" si="7"/>
        <v>0</v>
      </c>
      <c r="F217" s="6">
        <f t="shared" si="8"/>
        <v>1.0000000000000002</v>
      </c>
    </row>
    <row xmlns:x14ac="http://schemas.microsoft.com/office/spreadsheetml/2009/9/ac" r="218" x14ac:dyDescent="0.25">
      <c r="E218" s="5">
        <f t="shared" si="7"/>
        <v>0</v>
      </c>
      <c r="F218" s="6">
        <f t="shared" si="8"/>
        <v>1.0000000000000002</v>
      </c>
    </row>
    <row xmlns:x14ac="http://schemas.microsoft.com/office/spreadsheetml/2009/9/ac" r="219" x14ac:dyDescent="0.25">
      <c r="E219" s="5">
        <f t="shared" si="7"/>
        <v>0</v>
      </c>
      <c r="F219" s="6">
        <f t="shared" si="8"/>
        <v>1.0000000000000002</v>
      </c>
    </row>
    <row xmlns:x14ac="http://schemas.microsoft.com/office/spreadsheetml/2009/9/ac" r="220" x14ac:dyDescent="0.25">
      <c r="E220" s="5">
        <f t="shared" si="7"/>
        <v>0</v>
      </c>
      <c r="F220" s="6">
        <f t="shared" si="8"/>
        <v>1.0000000000000002</v>
      </c>
    </row>
    <row xmlns:x14ac="http://schemas.microsoft.com/office/spreadsheetml/2009/9/ac" r="221" x14ac:dyDescent="0.25">
      <c r="E221" s="5">
        <f t="shared" si="7"/>
        <v>0</v>
      </c>
      <c r="F221" s="6">
        <f t="shared" si="8"/>
        <v>1.0000000000000002</v>
      </c>
    </row>
    <row xmlns:x14ac="http://schemas.microsoft.com/office/spreadsheetml/2009/9/ac" r="222" x14ac:dyDescent="0.25">
      <c r="E222" s="5">
        <f t="shared" si="7"/>
        <v>0</v>
      </c>
      <c r="F222" s="6">
        <f t="shared" si="8"/>
        <v>1.0000000000000002</v>
      </c>
    </row>
    <row xmlns:x14ac="http://schemas.microsoft.com/office/spreadsheetml/2009/9/ac" r="223" x14ac:dyDescent="0.25">
      <c r="E223" s="5">
        <f t="shared" si="7"/>
        <v>0</v>
      </c>
      <c r="F223" s="6">
        <f t="shared" si="8"/>
        <v>1.0000000000000002</v>
      </c>
    </row>
    <row xmlns:x14ac="http://schemas.microsoft.com/office/spreadsheetml/2009/9/ac" r="224" x14ac:dyDescent="0.25">
      <c r="E224" s="5">
        <f t="shared" si="7"/>
        <v>0</v>
      </c>
      <c r="F224" s="6">
        <f t="shared" si="8"/>
        <v>1.0000000000000002</v>
      </c>
    </row>
    <row xmlns:x14ac="http://schemas.microsoft.com/office/spreadsheetml/2009/9/ac" r="225" x14ac:dyDescent="0.25">
      <c r="E225" s="5">
        <f t="shared" si="7"/>
        <v>0</v>
      </c>
      <c r="F225" s="6">
        <f t="shared" si="8"/>
        <v>1.0000000000000002</v>
      </c>
    </row>
    <row xmlns:x14ac="http://schemas.microsoft.com/office/spreadsheetml/2009/9/ac" r="226" x14ac:dyDescent="0.25">
      <c r="E226" s="5">
        <f t="shared" si="7"/>
        <v>0</v>
      </c>
      <c r="F226" s="6">
        <f t="shared" si="8"/>
        <v>1.0000000000000002</v>
      </c>
    </row>
    <row xmlns:x14ac="http://schemas.microsoft.com/office/spreadsheetml/2009/9/ac" r="227" x14ac:dyDescent="0.25">
      <c r="E227" s="5">
        <f t="shared" si="7"/>
        <v>0</v>
      </c>
      <c r="F227" s="6">
        <f t="shared" si="8"/>
        <v>1.0000000000000002</v>
      </c>
    </row>
    <row xmlns:x14ac="http://schemas.microsoft.com/office/spreadsheetml/2009/9/ac" r="228" x14ac:dyDescent="0.25">
      <c r="E228" s="5">
        <f t="shared" si="7"/>
        <v>0</v>
      </c>
      <c r="F228" s="6">
        <f t="shared" si="8"/>
        <v>1.0000000000000002</v>
      </c>
    </row>
    <row xmlns:x14ac="http://schemas.microsoft.com/office/spreadsheetml/2009/9/ac" r="229" x14ac:dyDescent="0.25">
      <c r="E229" s="5">
        <f t="shared" si="7"/>
        <v>0</v>
      </c>
      <c r="F229" s="6">
        <f t="shared" si="8"/>
        <v>1.0000000000000002</v>
      </c>
    </row>
    <row xmlns:x14ac="http://schemas.microsoft.com/office/spreadsheetml/2009/9/ac" r="230" x14ac:dyDescent="0.25">
      <c r="E230" s="5">
        <f t="shared" si="7"/>
        <v>0</v>
      </c>
      <c r="F230" s="6">
        <f t="shared" si="8"/>
        <v>1.0000000000000002</v>
      </c>
    </row>
    <row xmlns:x14ac="http://schemas.microsoft.com/office/spreadsheetml/2009/9/ac" r="231" x14ac:dyDescent="0.25">
      <c r="E231" s="5">
        <f t="shared" si="7"/>
        <v>0</v>
      </c>
      <c r="F231" s="6">
        <f t="shared" si="8"/>
        <v>1.0000000000000002</v>
      </c>
    </row>
    <row xmlns:x14ac="http://schemas.microsoft.com/office/spreadsheetml/2009/9/ac" r="232" x14ac:dyDescent="0.25">
      <c r="E232" s="5">
        <f t="shared" si="7"/>
        <v>0</v>
      </c>
      <c r="F232" s="6">
        <f t="shared" si="8"/>
        <v>1.0000000000000002</v>
      </c>
    </row>
    <row xmlns:x14ac="http://schemas.microsoft.com/office/spreadsheetml/2009/9/ac" r="233" x14ac:dyDescent="0.25">
      <c r="E233" s="5">
        <f t="shared" si="7"/>
        <v>0</v>
      </c>
      <c r="F233" s="6">
        <f t="shared" si="8"/>
        <v>1.0000000000000002</v>
      </c>
    </row>
    <row xmlns:x14ac="http://schemas.microsoft.com/office/spreadsheetml/2009/9/ac" r="234" x14ac:dyDescent="0.25">
      <c r="E234" s="5">
        <f t="shared" si="7"/>
        <v>0</v>
      </c>
      <c r="F234" s="6">
        <f t="shared" si="8"/>
        <v>1.0000000000000002</v>
      </c>
    </row>
    <row xmlns:x14ac="http://schemas.microsoft.com/office/spreadsheetml/2009/9/ac" r="235" x14ac:dyDescent="0.25">
      <c r="E235" s="5">
        <f t="shared" si="7"/>
        <v>0</v>
      </c>
      <c r="F235" s="6">
        <f t="shared" si="8"/>
        <v>1.0000000000000002</v>
      </c>
    </row>
    <row xmlns:x14ac="http://schemas.microsoft.com/office/spreadsheetml/2009/9/ac" r="236" x14ac:dyDescent="0.25">
      <c r="E236" s="5">
        <f t="shared" si="7"/>
        <v>0</v>
      </c>
      <c r="F236" s="6">
        <f t="shared" si="8"/>
        <v>1.0000000000000002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1D3D-DE93-4A24-8004-F1D6BA89430E}">
  <dimension ref="A1:D81"/>
  <sheetViews>
    <sheetView workbookViewId="0">
      <selection activeCell="G17" sqref="G17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18.140625" bestFit="true" customWidth="true"/>
    <col min="3" max="3" width="22.28515625" bestFit="true" customWidth="true"/>
    <col min="4" max="4" width="18.140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</row>
    <row xmlns:x14ac="http://schemas.microsoft.com/office/spreadsheetml/2009/9/ac" r="2" x14ac:dyDescent="0.25">
      <c r="A2" s="2" t="s">
        <v>338</v>
      </c>
      <c r="B2" t="s">
        <v>400</v>
      </c>
    </row>
    <row xmlns:x14ac="http://schemas.microsoft.com/office/spreadsheetml/2009/9/ac" r="3" x14ac:dyDescent="0.25">
      <c r="A3" s="2" t="s">
        <v>398</v>
      </c>
      <c r="B3" s="7">
        <v>1</v>
      </c>
    </row>
    <row xmlns:x14ac="http://schemas.microsoft.com/office/spreadsheetml/2009/9/ac" r="5" x14ac:dyDescent="0.25">
      <c r="A5" s="2" t="s">
        <v>264</v>
      </c>
      <c r="B5" s="2" t="s">
        <v>2</v>
      </c>
      <c r="C5" s="2" t="s">
        <v>5</v>
      </c>
      <c r="D5" t="s">
        <v>399</v>
      </c>
    </row>
    <row xmlns:x14ac="http://schemas.microsoft.com/office/spreadsheetml/2009/9/ac" r="6" x14ac:dyDescent="0.25">
      <c r="A6" s="3">
        <v>41005</v>
      </c>
      <c r="B6" t="s">
        <v>3</v>
      </c>
      <c r="C6" t="s">
        <v>125</v>
      </c>
      <c r="D6">
        <v>2987</v>
      </c>
    </row>
    <row xmlns:x14ac="http://schemas.microsoft.com/office/spreadsheetml/2009/9/ac" r="7" x14ac:dyDescent="0.25">
      <c r="A7" s="3">
        <v>41067</v>
      </c>
      <c r="B7" t="s">
        <v>3</v>
      </c>
      <c r="C7" t="s">
        <v>143</v>
      </c>
      <c r="D7">
        <v>2051</v>
      </c>
    </row>
    <row xmlns:x14ac="http://schemas.microsoft.com/office/spreadsheetml/2009/9/ac" r="8" x14ac:dyDescent="0.25">
      <c r="A8" s="3">
        <v>53011</v>
      </c>
      <c r="B8" t="s">
        <v>40</v>
      </c>
      <c r="C8" t="s">
        <v>112</v>
      </c>
      <c r="D8">
        <v>1353</v>
      </c>
    </row>
    <row xmlns:x14ac="http://schemas.microsoft.com/office/spreadsheetml/2009/9/ac" r="9" x14ac:dyDescent="0.25">
      <c r="A9" s="3">
        <v>41039</v>
      </c>
      <c r="B9" t="s">
        <v>3</v>
      </c>
      <c r="C9" t="s">
        <v>136</v>
      </c>
      <c r="D9">
        <v>696</v>
      </c>
    </row>
    <row xmlns:x14ac="http://schemas.microsoft.com/office/spreadsheetml/2009/9/ac" r="10" x14ac:dyDescent="0.25">
      <c r="A10" s="3">
        <v>53033</v>
      </c>
      <c r="B10" t="s">
        <v>40</v>
      </c>
      <c r="C10" t="s">
        <v>160</v>
      </c>
      <c r="D10">
        <v>664</v>
      </c>
    </row>
    <row xmlns:x14ac="http://schemas.microsoft.com/office/spreadsheetml/2009/9/ac" r="11" x14ac:dyDescent="0.25">
      <c r="A11" s="3">
        <v>6037</v>
      </c>
      <c r="B11" t="s">
        <v>11</v>
      </c>
      <c r="C11" t="s">
        <v>61</v>
      </c>
      <c r="D11">
        <v>660</v>
      </c>
    </row>
    <row xmlns:x14ac="http://schemas.microsoft.com/office/spreadsheetml/2009/9/ac" r="12" x14ac:dyDescent="0.25">
      <c r="A12" s="3">
        <v>4013</v>
      </c>
      <c r="B12" t="s">
        <v>10</v>
      </c>
      <c r="C12" t="s">
        <v>53</v>
      </c>
      <c r="D12">
        <v>658</v>
      </c>
    </row>
    <row xmlns:x14ac="http://schemas.microsoft.com/office/spreadsheetml/2009/9/ac" r="13" x14ac:dyDescent="0.25">
      <c r="A13" s="3">
        <v>41000</v>
      </c>
      <c r="B13" t="s">
        <v>3</v>
      </c>
      <c r="C13" t="s">
        <v>276</v>
      </c>
      <c r="D13">
        <v>646</v>
      </c>
    </row>
    <row xmlns:x14ac="http://schemas.microsoft.com/office/spreadsheetml/2009/9/ac" r="14" x14ac:dyDescent="0.25">
      <c r="A14" s="3">
        <v>15000</v>
      </c>
      <c r="B14" t="s">
        <v>17</v>
      </c>
      <c r="C14" t="s">
        <v>276</v>
      </c>
      <c r="D14">
        <v>527</v>
      </c>
    </row>
    <row xmlns:x14ac="http://schemas.microsoft.com/office/spreadsheetml/2009/9/ac" r="15" x14ac:dyDescent="0.25">
      <c r="A15" s="3">
        <v>41047</v>
      </c>
      <c r="B15" t="s">
        <v>3</v>
      </c>
      <c r="C15" t="s">
        <v>99</v>
      </c>
      <c r="D15">
        <v>517</v>
      </c>
    </row>
    <row xmlns:x14ac="http://schemas.microsoft.com/office/spreadsheetml/2009/9/ac" r="16" x14ac:dyDescent="0.25">
      <c r="A16" s="3">
        <v>6075</v>
      </c>
      <c r="B16" t="s">
        <v>11</v>
      </c>
      <c r="C16" t="s">
        <v>70</v>
      </c>
      <c r="D16">
        <v>466</v>
      </c>
    </row>
    <row xmlns:x14ac="http://schemas.microsoft.com/office/spreadsheetml/2009/9/ac" r="17" x14ac:dyDescent="0.25">
      <c r="A17" s="3">
        <v>8000</v>
      </c>
      <c r="B17" t="s">
        <v>12</v>
      </c>
      <c r="C17" t="s">
        <v>276</v>
      </c>
      <c r="D17">
        <v>435</v>
      </c>
    </row>
    <row xmlns:x14ac="http://schemas.microsoft.com/office/spreadsheetml/2009/9/ac" r="18" x14ac:dyDescent="0.25">
      <c r="A18" s="3">
        <v>40000</v>
      </c>
      <c r="B18" t="s">
        <v>47</v>
      </c>
      <c r="C18" t="s">
        <v>276</v>
      </c>
      <c r="D18">
        <v>429</v>
      </c>
    </row>
    <row xmlns:x14ac="http://schemas.microsoft.com/office/spreadsheetml/2009/9/ac" r="19" x14ac:dyDescent="0.25">
      <c r="A19" s="3">
        <v>53063</v>
      </c>
      <c r="B19" t="s">
        <v>40</v>
      </c>
      <c r="C19" t="s">
        <v>168</v>
      </c>
      <c r="D19">
        <v>377</v>
      </c>
    </row>
    <row xmlns:x14ac="http://schemas.microsoft.com/office/spreadsheetml/2009/9/ac" r="20" x14ac:dyDescent="0.25">
      <c r="A20" s="3">
        <v>53061</v>
      </c>
      <c r="B20" t="s">
        <v>40</v>
      </c>
      <c r="C20" t="s">
        <v>167</v>
      </c>
      <c r="D20">
        <v>374</v>
      </c>
    </row>
    <row xmlns:x14ac="http://schemas.microsoft.com/office/spreadsheetml/2009/9/ac" r="21" x14ac:dyDescent="0.25">
      <c r="A21" s="3">
        <v>12091</v>
      </c>
      <c r="B21" t="s">
        <v>15</v>
      </c>
      <c r="C21" t="s">
        <v>278</v>
      </c>
      <c r="D21">
        <v>361</v>
      </c>
    </row>
    <row xmlns:x14ac="http://schemas.microsoft.com/office/spreadsheetml/2009/9/ac" r="22" x14ac:dyDescent="0.25">
      <c r="A22" s="3">
        <v>36047</v>
      </c>
      <c r="B22" t="s">
        <v>31</v>
      </c>
      <c r="C22" t="s">
        <v>116</v>
      </c>
      <c r="D22">
        <v>348</v>
      </c>
    </row>
    <row xmlns:x14ac="http://schemas.microsoft.com/office/spreadsheetml/2009/9/ac" r="23" x14ac:dyDescent="0.25">
      <c r="A23" s="3">
        <v>6001</v>
      </c>
      <c r="B23" t="s">
        <v>11</v>
      </c>
      <c r="C23" t="s">
        <v>56</v>
      </c>
      <c r="D23">
        <v>310</v>
      </c>
    </row>
    <row xmlns:x14ac="http://schemas.microsoft.com/office/spreadsheetml/2009/9/ac" r="24" x14ac:dyDescent="0.25">
      <c r="A24" s="3">
        <v>36081</v>
      </c>
      <c r="B24" t="s">
        <v>31</v>
      </c>
      <c r="C24" t="s">
        <v>118</v>
      </c>
      <c r="D24">
        <v>273</v>
      </c>
    </row>
    <row xmlns:x14ac="http://schemas.microsoft.com/office/spreadsheetml/2009/9/ac" r="25" x14ac:dyDescent="0.25">
      <c r="A25" s="3">
        <v>6099</v>
      </c>
      <c r="B25" t="s">
        <v>11</v>
      </c>
      <c r="C25" t="s">
        <v>325</v>
      </c>
      <c r="D25">
        <v>265</v>
      </c>
    </row>
    <row xmlns:x14ac="http://schemas.microsoft.com/office/spreadsheetml/2009/9/ac" r="26" x14ac:dyDescent="0.25">
      <c r="A26" s="3">
        <v>17031</v>
      </c>
      <c r="B26" t="s">
        <v>19</v>
      </c>
      <c r="C26" t="s">
        <v>98</v>
      </c>
      <c r="D26">
        <v>258</v>
      </c>
    </row>
    <row xmlns:x14ac="http://schemas.microsoft.com/office/spreadsheetml/2009/9/ac" r="27" x14ac:dyDescent="0.25">
      <c r="A27" s="3">
        <v>2020</v>
      </c>
      <c r="B27" t="s">
        <v>9</v>
      </c>
      <c r="C27" t="s">
        <v>52</v>
      </c>
      <c r="D27">
        <v>245</v>
      </c>
    </row>
    <row xmlns:x14ac="http://schemas.microsoft.com/office/spreadsheetml/2009/9/ac" r="28" x14ac:dyDescent="0.25">
      <c r="A28" s="3">
        <v>6061</v>
      </c>
      <c r="B28" t="s">
        <v>11</v>
      </c>
      <c r="C28" t="s">
        <v>65</v>
      </c>
      <c r="D28">
        <v>240</v>
      </c>
    </row>
    <row xmlns:x14ac="http://schemas.microsoft.com/office/spreadsheetml/2009/9/ac" r="29" x14ac:dyDescent="0.25">
      <c r="A29" s="3">
        <v>48027</v>
      </c>
      <c r="B29" t="s">
        <v>36</v>
      </c>
      <c r="C29" t="s">
        <v>306</v>
      </c>
      <c r="D29">
        <v>239</v>
      </c>
    </row>
    <row xmlns:x14ac="http://schemas.microsoft.com/office/spreadsheetml/2009/9/ac" r="30" x14ac:dyDescent="0.25">
      <c r="A30" s="3">
        <v>27053</v>
      </c>
      <c r="B30" t="s">
        <v>27</v>
      </c>
      <c r="C30" t="s">
        <v>107</v>
      </c>
      <c r="D30">
        <v>205</v>
      </c>
    </row>
    <row xmlns:x14ac="http://schemas.microsoft.com/office/spreadsheetml/2009/9/ac" r="31" x14ac:dyDescent="0.25">
      <c r="A31" s="3">
        <v>6065</v>
      </c>
      <c r="B31" t="s">
        <v>11</v>
      </c>
      <c r="C31" t="s">
        <v>66</v>
      </c>
      <c r="D31">
        <v>198</v>
      </c>
    </row>
    <row xmlns:x14ac="http://schemas.microsoft.com/office/spreadsheetml/2009/9/ac" r="32" x14ac:dyDescent="0.25">
      <c r="A32" s="3">
        <v>12083</v>
      </c>
      <c r="B32" t="s">
        <v>15</v>
      </c>
      <c r="C32" t="s">
        <v>99</v>
      </c>
      <c r="D32">
        <v>194</v>
      </c>
    </row>
    <row xmlns:x14ac="http://schemas.microsoft.com/office/spreadsheetml/2009/9/ac" r="33" x14ac:dyDescent="0.25">
      <c r="A33" s="3">
        <v>6073</v>
      </c>
      <c r="B33" t="s">
        <v>11</v>
      </c>
      <c r="C33" t="s">
        <v>69</v>
      </c>
      <c r="D33">
        <v>192</v>
      </c>
    </row>
    <row xmlns:x14ac="http://schemas.microsoft.com/office/spreadsheetml/2009/9/ac" r="34" x14ac:dyDescent="0.25">
      <c r="A34" s="3">
        <v>5143</v>
      </c>
      <c r="B34" t="s">
        <v>272</v>
      </c>
      <c r="C34" t="s">
        <v>143</v>
      </c>
      <c r="D34">
        <v>175</v>
      </c>
    </row>
    <row xmlns:x14ac="http://schemas.microsoft.com/office/spreadsheetml/2009/9/ac" r="35" x14ac:dyDescent="0.25">
      <c r="A35" s="3">
        <v>42101</v>
      </c>
      <c r="B35" t="s">
        <v>34</v>
      </c>
      <c r="C35" t="s">
        <v>146</v>
      </c>
      <c r="D35">
        <v>175</v>
      </c>
    </row>
    <row xmlns:x14ac="http://schemas.microsoft.com/office/spreadsheetml/2009/9/ac" r="36" x14ac:dyDescent="0.25">
      <c r="A36" s="3">
        <v>15003</v>
      </c>
      <c r="B36" t="s">
        <v>17</v>
      </c>
      <c r="C36" t="s">
        <v>93</v>
      </c>
      <c r="D36">
        <v>161</v>
      </c>
    </row>
    <row xmlns:x14ac="http://schemas.microsoft.com/office/spreadsheetml/2009/9/ac" r="37" x14ac:dyDescent="0.25">
      <c r="A37" s="3">
        <v>30000</v>
      </c>
      <c r="B37" t="s">
        <v>28</v>
      </c>
      <c r="C37" t="s">
        <v>276</v>
      </c>
      <c r="D37">
        <v>159</v>
      </c>
    </row>
    <row xmlns:x14ac="http://schemas.microsoft.com/office/spreadsheetml/2009/9/ac" r="38" x14ac:dyDescent="0.25">
      <c r="A38" s="3">
        <v>19000</v>
      </c>
      <c r="B38" t="s">
        <v>21</v>
      </c>
      <c r="C38" t="s">
        <v>276</v>
      </c>
      <c r="D38">
        <v>155</v>
      </c>
    </row>
    <row xmlns:x14ac="http://schemas.microsoft.com/office/spreadsheetml/2009/9/ac" r="39" x14ac:dyDescent="0.25">
      <c r="A39" s="3">
        <v>6081</v>
      </c>
      <c r="B39" t="s">
        <v>11</v>
      </c>
      <c r="C39" t="s">
        <v>72</v>
      </c>
      <c r="D39">
        <v>140</v>
      </c>
    </row>
    <row xmlns:x14ac="http://schemas.microsoft.com/office/spreadsheetml/2009/9/ac" r="40" x14ac:dyDescent="0.25">
      <c r="A40" s="3">
        <v>51107</v>
      </c>
      <c r="B40" t="s">
        <v>39</v>
      </c>
      <c r="C40" t="s">
        <v>379</v>
      </c>
      <c r="D40">
        <v>140</v>
      </c>
    </row>
    <row xmlns:x14ac="http://schemas.microsoft.com/office/spreadsheetml/2009/9/ac" r="41" x14ac:dyDescent="0.25">
      <c r="A41" s="3">
        <v>55117</v>
      </c>
      <c r="B41" t="s">
        <v>41</v>
      </c>
      <c r="C41" t="s">
        <v>380</v>
      </c>
      <c r="D41">
        <v>138</v>
      </c>
    </row>
    <row xmlns:x14ac="http://schemas.microsoft.com/office/spreadsheetml/2009/9/ac" r="42" x14ac:dyDescent="0.25">
      <c r="A42" s="3">
        <v>41019</v>
      </c>
      <c r="B42" t="s">
        <v>3</v>
      </c>
      <c r="C42" t="s">
        <v>131</v>
      </c>
      <c r="D42">
        <v>137</v>
      </c>
    </row>
    <row xmlns:x14ac="http://schemas.microsoft.com/office/spreadsheetml/2009/9/ac" r="43" x14ac:dyDescent="0.25">
      <c r="A43" s="3">
        <v>32003</v>
      </c>
      <c r="B43" t="s">
        <v>29</v>
      </c>
      <c r="C43" t="s">
        <v>112</v>
      </c>
      <c r="D43">
        <v>136</v>
      </c>
    </row>
    <row xmlns:x14ac="http://schemas.microsoft.com/office/spreadsheetml/2009/9/ac" r="44" x14ac:dyDescent="0.25">
      <c r="A44" s="3">
        <v>27163</v>
      </c>
      <c r="B44" t="s">
        <v>27</v>
      </c>
      <c r="C44" t="s">
        <v>143</v>
      </c>
      <c r="D44">
        <v>134</v>
      </c>
    </row>
    <row xmlns:x14ac="http://schemas.microsoft.com/office/spreadsheetml/2009/9/ac" r="45" x14ac:dyDescent="0.25">
      <c r="A45" s="3">
        <v>42027</v>
      </c>
      <c r="B45" t="s">
        <v>34</v>
      </c>
      <c r="C45" t="s">
        <v>312</v>
      </c>
      <c r="D45">
        <v>134</v>
      </c>
    </row>
    <row xmlns:x14ac="http://schemas.microsoft.com/office/spreadsheetml/2009/9/ac" r="46" x14ac:dyDescent="0.25">
      <c r="A46" s="3">
        <v>36001</v>
      </c>
      <c r="B46" t="s">
        <v>31</v>
      </c>
      <c r="C46" t="s">
        <v>315</v>
      </c>
      <c r="D46">
        <v>130</v>
      </c>
    </row>
    <row xmlns:x14ac="http://schemas.microsoft.com/office/spreadsheetml/2009/9/ac" r="47" x14ac:dyDescent="0.25">
      <c r="A47" s="3">
        <v>25025</v>
      </c>
      <c r="B47" t="s">
        <v>25</v>
      </c>
      <c r="C47" t="s">
        <v>105</v>
      </c>
      <c r="D47">
        <v>123</v>
      </c>
    </row>
    <row xmlns:x14ac="http://schemas.microsoft.com/office/spreadsheetml/2009/9/ac" r="48" x14ac:dyDescent="0.25">
      <c r="A48" s="3">
        <v>6059</v>
      </c>
      <c r="B48" t="s">
        <v>11</v>
      </c>
      <c r="C48" t="s">
        <v>64</v>
      </c>
      <c r="D48">
        <v>120</v>
      </c>
    </row>
    <row xmlns:x14ac="http://schemas.microsoft.com/office/spreadsheetml/2009/9/ac" r="49" x14ac:dyDescent="0.25">
      <c r="A49" s="3">
        <v>55025</v>
      </c>
      <c r="B49" t="s">
        <v>41</v>
      </c>
      <c r="C49" t="s">
        <v>173</v>
      </c>
      <c r="D49">
        <v>119</v>
      </c>
    </row>
    <row xmlns:x14ac="http://schemas.microsoft.com/office/spreadsheetml/2009/9/ac" r="50" x14ac:dyDescent="0.25">
      <c r="A50" s="3">
        <v>34000</v>
      </c>
      <c r="B50" t="s">
        <v>46</v>
      </c>
      <c r="C50" t="s">
        <v>276</v>
      </c>
      <c r="D50">
        <v>113</v>
      </c>
    </row>
    <row xmlns:x14ac="http://schemas.microsoft.com/office/spreadsheetml/2009/9/ac" r="51" x14ac:dyDescent="0.25">
      <c r="A51" s="3">
        <v>48029</v>
      </c>
      <c r="B51" t="s">
        <v>36</v>
      </c>
      <c r="C51" t="s">
        <v>149</v>
      </c>
      <c r="D51">
        <v>113</v>
      </c>
    </row>
    <row xmlns:x14ac="http://schemas.microsoft.com/office/spreadsheetml/2009/9/ac" r="52" x14ac:dyDescent="0.25">
      <c r="A52" s="3">
        <v>42045</v>
      </c>
      <c r="B52" t="s">
        <v>34</v>
      </c>
      <c r="C52" t="s">
        <v>292</v>
      </c>
      <c r="D52">
        <v>106</v>
      </c>
    </row>
    <row xmlns:x14ac="http://schemas.microsoft.com/office/spreadsheetml/2009/9/ac" r="53" x14ac:dyDescent="0.25">
      <c r="A53" s="3">
        <v>49057</v>
      </c>
      <c r="B53" t="s">
        <v>37</v>
      </c>
      <c r="C53" t="s">
        <v>220</v>
      </c>
      <c r="D53">
        <v>106</v>
      </c>
    </row>
    <row xmlns:x14ac="http://schemas.microsoft.com/office/spreadsheetml/2009/9/ac" r="54" x14ac:dyDescent="0.25">
      <c r="A54" s="3">
        <v>48303</v>
      </c>
      <c r="B54" t="s">
        <v>36</v>
      </c>
      <c r="C54" t="s">
        <v>313</v>
      </c>
      <c r="D54">
        <v>105</v>
      </c>
    </row>
    <row xmlns:x14ac="http://schemas.microsoft.com/office/spreadsheetml/2009/9/ac" r="55" x14ac:dyDescent="0.25">
      <c r="A55" s="3">
        <v>6095</v>
      </c>
      <c r="B55" t="s">
        <v>11</v>
      </c>
      <c r="C55" t="s">
        <v>180</v>
      </c>
      <c r="D55">
        <v>103</v>
      </c>
    </row>
    <row xmlns:x14ac="http://schemas.microsoft.com/office/spreadsheetml/2009/9/ac" r="56" x14ac:dyDescent="0.25">
      <c r="A56" s="3">
        <v>45000</v>
      </c>
      <c r="B56" t="s">
        <v>49</v>
      </c>
      <c r="C56" t="s">
        <v>276</v>
      </c>
      <c r="D56">
        <v>102</v>
      </c>
    </row>
    <row xmlns:x14ac="http://schemas.microsoft.com/office/spreadsheetml/2009/9/ac" r="57" x14ac:dyDescent="0.25">
      <c r="A57" s="3">
        <v>6000</v>
      </c>
      <c r="B57" t="s">
        <v>11</v>
      </c>
      <c r="C57" t="s">
        <v>276</v>
      </c>
      <c r="D57">
        <v>102</v>
      </c>
    </row>
    <row xmlns:x14ac="http://schemas.microsoft.com/office/spreadsheetml/2009/9/ac" r="58" x14ac:dyDescent="0.25">
      <c r="A58" s="3">
        <v>6097</v>
      </c>
      <c r="B58" t="s">
        <v>11</v>
      </c>
      <c r="C58" t="s">
        <v>77</v>
      </c>
      <c r="D58">
        <v>99</v>
      </c>
    </row>
    <row xmlns:x14ac="http://schemas.microsoft.com/office/spreadsheetml/2009/9/ac" r="59" x14ac:dyDescent="0.25">
      <c r="A59" s="3">
        <v>6071</v>
      </c>
      <c r="B59" t="s">
        <v>11</v>
      </c>
      <c r="C59" t="s">
        <v>68</v>
      </c>
      <c r="D59">
        <v>99</v>
      </c>
    </row>
    <row xmlns:x14ac="http://schemas.microsoft.com/office/spreadsheetml/2009/9/ac" r="60" x14ac:dyDescent="0.25">
      <c r="A60" s="3">
        <v>47037</v>
      </c>
      <c r="B60" t="s">
        <v>35</v>
      </c>
      <c r="C60" t="s">
        <v>147</v>
      </c>
      <c r="D60">
        <v>98</v>
      </c>
    </row>
    <row xmlns:x14ac="http://schemas.microsoft.com/office/spreadsheetml/2009/9/ac" r="61" x14ac:dyDescent="0.25">
      <c r="A61" s="3">
        <v>6041</v>
      </c>
      <c r="B61" t="s">
        <v>11</v>
      </c>
      <c r="C61" t="s">
        <v>62</v>
      </c>
      <c r="D61">
        <v>94</v>
      </c>
    </row>
    <row xmlns:x14ac="http://schemas.microsoft.com/office/spreadsheetml/2009/9/ac" r="62" x14ac:dyDescent="0.25">
      <c r="A62" s="3">
        <v>25000</v>
      </c>
      <c r="B62" t="s">
        <v>25</v>
      </c>
      <c r="C62" t="s">
        <v>276</v>
      </c>
      <c r="D62">
        <v>89</v>
      </c>
    </row>
    <row xmlns:x14ac="http://schemas.microsoft.com/office/spreadsheetml/2009/9/ac" r="63" x14ac:dyDescent="0.25">
      <c r="A63" s="3">
        <v>20045</v>
      </c>
      <c r="B63" t="s">
        <v>42</v>
      </c>
      <c r="C63" t="s">
        <v>131</v>
      </c>
      <c r="D63">
        <v>81</v>
      </c>
    </row>
    <row xmlns:x14ac="http://schemas.microsoft.com/office/spreadsheetml/2009/9/ac" r="64" x14ac:dyDescent="0.25">
      <c r="A64" s="3">
        <v>48113</v>
      </c>
      <c r="B64" t="s">
        <v>36</v>
      </c>
      <c r="C64" t="s">
        <v>150</v>
      </c>
      <c r="D64">
        <v>79</v>
      </c>
    </row>
    <row xmlns:x14ac="http://schemas.microsoft.com/office/spreadsheetml/2009/9/ac" r="65" x14ac:dyDescent="0.25">
      <c r="A65" s="3">
        <v>53067</v>
      </c>
      <c r="B65" t="s">
        <v>40</v>
      </c>
      <c r="C65" t="s">
        <v>169</v>
      </c>
      <c r="D65">
        <v>78</v>
      </c>
    </row>
    <row xmlns:x14ac="http://schemas.microsoft.com/office/spreadsheetml/2009/9/ac" r="66" x14ac:dyDescent="0.25">
      <c r="A66" s="3">
        <v>39049</v>
      </c>
      <c r="B66" t="s">
        <v>33</v>
      </c>
      <c r="C66" t="s">
        <v>122</v>
      </c>
      <c r="D66">
        <v>77</v>
      </c>
    </row>
    <row xmlns:x14ac="http://schemas.microsoft.com/office/spreadsheetml/2009/9/ac" r="67" x14ac:dyDescent="0.25">
      <c r="A67" s="3">
        <v>48201</v>
      </c>
      <c r="B67" t="s">
        <v>36</v>
      </c>
      <c r="C67" t="s">
        <v>151</v>
      </c>
      <c r="D67">
        <v>77</v>
      </c>
    </row>
    <row xmlns:x14ac="http://schemas.microsoft.com/office/spreadsheetml/2009/9/ac" r="68" x14ac:dyDescent="0.25">
      <c r="A68" s="3">
        <v>50000</v>
      </c>
      <c r="B68" t="s">
        <v>38</v>
      </c>
      <c r="C68" t="s">
        <v>276</v>
      </c>
      <c r="D68">
        <v>74</v>
      </c>
    </row>
    <row xmlns:x14ac="http://schemas.microsoft.com/office/spreadsheetml/2009/9/ac" r="69" x14ac:dyDescent="0.25">
      <c r="A69" s="3">
        <v>16000</v>
      </c>
      <c r="B69" t="s">
        <v>18</v>
      </c>
      <c r="C69" t="s">
        <v>276</v>
      </c>
      <c r="D69">
        <v>73</v>
      </c>
    </row>
    <row xmlns:x14ac="http://schemas.microsoft.com/office/spreadsheetml/2009/9/ac" r="70" x14ac:dyDescent="0.25">
      <c r="A70" s="3">
        <v>51041</v>
      </c>
      <c r="B70" t="s">
        <v>39</v>
      </c>
      <c r="C70" t="s">
        <v>378</v>
      </c>
      <c r="D70">
        <v>72</v>
      </c>
    </row>
    <row xmlns:x14ac="http://schemas.microsoft.com/office/spreadsheetml/2009/9/ac" r="71" x14ac:dyDescent="0.25">
      <c r="A71" s="3">
        <v>17043</v>
      </c>
      <c r="B71" t="s">
        <v>19</v>
      </c>
      <c r="C71" t="s">
        <v>187</v>
      </c>
      <c r="D71">
        <v>69</v>
      </c>
    </row>
    <row xmlns:x14ac="http://schemas.microsoft.com/office/spreadsheetml/2009/9/ac" r="72" x14ac:dyDescent="0.25">
      <c r="A72" s="3">
        <v>56000</v>
      </c>
      <c r="B72" t="s">
        <v>271</v>
      </c>
      <c r="C72" t="s">
        <v>276</v>
      </c>
      <c r="D72">
        <v>65</v>
      </c>
    </row>
    <row xmlns:x14ac="http://schemas.microsoft.com/office/spreadsheetml/2009/9/ac" r="73" x14ac:dyDescent="0.25">
      <c r="A73" s="3">
        <v>29189</v>
      </c>
      <c r="B73" t="s">
        <v>44</v>
      </c>
      <c r="C73" t="s">
        <v>197</v>
      </c>
      <c r="D73">
        <v>59</v>
      </c>
    </row>
    <row xmlns:x14ac="http://schemas.microsoft.com/office/spreadsheetml/2009/9/ac" r="74" x14ac:dyDescent="0.25">
      <c r="A74" s="3">
        <v>26125</v>
      </c>
      <c r="B74" t="s">
        <v>26</v>
      </c>
      <c r="C74" t="s">
        <v>194</v>
      </c>
      <c r="D74">
        <v>55</v>
      </c>
    </row>
    <row xmlns:x14ac="http://schemas.microsoft.com/office/spreadsheetml/2009/9/ac" r="75" x14ac:dyDescent="0.25">
      <c r="A75" s="3">
        <v>8069</v>
      </c>
      <c r="B75" t="s">
        <v>12</v>
      </c>
      <c r="C75" t="s">
        <v>84</v>
      </c>
      <c r="D75">
        <v>49</v>
      </c>
    </row>
    <row xmlns:x14ac="http://schemas.microsoft.com/office/spreadsheetml/2009/9/ac" r="76" x14ac:dyDescent="0.25">
      <c r="A76" s="3">
        <v>53000</v>
      </c>
      <c r="B76" t="s">
        <v>40</v>
      </c>
      <c r="C76" t="s">
        <v>276</v>
      </c>
      <c r="D76">
        <v>47</v>
      </c>
    </row>
    <row xmlns:x14ac="http://schemas.microsoft.com/office/spreadsheetml/2009/9/ac" r="77" x14ac:dyDescent="0.25">
      <c r="A77" s="3">
        <v>6023</v>
      </c>
      <c r="B77" t="s">
        <v>11</v>
      </c>
      <c r="C77" t="s">
        <v>59</v>
      </c>
      <c r="D77">
        <v>46</v>
      </c>
    </row>
    <row xmlns:x14ac="http://schemas.microsoft.com/office/spreadsheetml/2009/9/ac" r="78" x14ac:dyDescent="0.25">
      <c r="A78" s="3">
        <v>24027</v>
      </c>
      <c r="B78" t="s">
        <v>24</v>
      </c>
      <c r="C78" t="s">
        <v>353</v>
      </c>
      <c r="D78">
        <v>44</v>
      </c>
    </row>
    <row xmlns:x14ac="http://schemas.microsoft.com/office/spreadsheetml/2009/9/ac" r="79" x14ac:dyDescent="0.25">
      <c r="A79" s="3">
        <v>53053</v>
      </c>
      <c r="B79" t="s">
        <v>40</v>
      </c>
      <c r="C79" t="s">
        <v>165</v>
      </c>
      <c r="D79">
        <v>38</v>
      </c>
    </row>
    <row xmlns:x14ac="http://schemas.microsoft.com/office/spreadsheetml/2009/9/ac" r="80" x14ac:dyDescent="0.25">
      <c r="A80" s="3">
        <v>6047</v>
      </c>
      <c r="B80" t="s">
        <v>11</v>
      </c>
      <c r="C80" t="s">
        <v>376</v>
      </c>
      <c r="D80">
        <v>37</v>
      </c>
    </row>
    <row xmlns:x14ac="http://schemas.microsoft.com/office/spreadsheetml/2009/9/ac" r="81" x14ac:dyDescent="0.25">
      <c r="A81" s="3">
        <v>4000</v>
      </c>
      <c r="B81" t="s">
        <v>10</v>
      </c>
      <c r="C81" t="s">
        <v>276</v>
      </c>
      <c r="D81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DD14-2407-49F5-A133-33B81329F0D5}">
  <dimension ref="A1"/>
  <sheetViews>
    <sheetView workbookViewId="0"/>
  </sheetViews>
  <sheetFormatPr xmlns:x14ac="http://schemas.microsoft.com/office/spreadsheetml/2009/9/ac"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33"/>
  <sheetViews>
    <sheetView topLeftCell="A13" workbookViewId="0">
      <selection activeCell="P2" sqref="P2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8</v>
      </c>
      <c r="H1" t="s">
        <v>50</v>
      </c>
      <c r="I1" t="s">
        <v>51</v>
      </c>
      <c r="J1" t="s">
        <v>254</v>
      </c>
      <c r="K1" t="s">
        <v>255</v>
      </c>
      <c r="L1" t="s">
        <v>256</v>
      </c>
      <c r="M1" t="s">
        <v>257</v>
      </c>
      <c r="N1" t="s">
        <v>258</v>
      </c>
      <c r="O1" t="s">
        <v>259</v>
      </c>
      <c r="P1" t="s">
        <v>260</v>
      </c>
      <c r="Q1" t="s">
        <v>261</v>
      </c>
      <c r="R1" t="s">
        <v>262</v>
      </c>
      <c r="S1" t="s">
        <v>263</v>
      </c>
      <c r="T1" t="s">
        <v>264</v>
      </c>
      <c r="U1" t="s">
        <v>265</v>
      </c>
      <c r="V1" t="s">
        <v>266</v>
      </c>
      <c r="W1" t="s">
        <v>267</v>
      </c>
    </row>
    <row r="2">
      <c r="A2" s="1">
        <v>2016</v>
      </c>
      <c r="B2" s="1">
        <v>41</v>
      </c>
      <c r="C2" t="s">
        <v>3</v>
      </c>
      <c r="D2" s="1">
        <v>51</v>
      </c>
      <c r="E2" t="s">
        <v>6</v>
      </c>
      <c r="F2" s="1">
        <v>2</v>
      </c>
      <c r="G2" t="s">
        <v>9</v>
      </c>
      <c r="H2" s="1">
        <v>20</v>
      </c>
      <c r="I2" t="s">
        <v>52</v>
      </c>
      <c r="J2" s="1">
        <v>45</v>
      </c>
      <c r="K2" s="1">
        <v>65</v>
      </c>
      <c r="L2" s="1">
        <v>2004</v>
      </c>
      <c r="M2" s="1">
        <v>27256</v>
      </c>
      <c r="N2" s="1">
        <v>45439</v>
      </c>
      <c r="O2" s="1">
        <v>1565266</v>
      </c>
      <c r="P2" s="1">
        <v>326949</v>
      </c>
      <c r="Q2" s="1">
        <v>614640</v>
      </c>
      <c r="R2" s="1">
        <v>24887144</v>
      </c>
      <c r="S2" s="1">
        <v>41051</v>
      </c>
      <c r="T2" s="1">
        <v>41051</v>
      </c>
      <c r="U2" s="1">
        <v>2020</v>
      </c>
      <c r="V2" s="1">
        <v>1</v>
      </c>
      <c r="W2" s="1">
        <v>0</v>
      </c>
    </row>
    <row r="3">
      <c r="A3" s="1">
        <v>2016</v>
      </c>
      <c r="B3" s="1">
        <v>41</v>
      </c>
      <c r="C3" t="s">
        <v>3</v>
      </c>
      <c r="D3" s="1">
        <v>51</v>
      </c>
      <c r="E3" t="s">
        <v>6</v>
      </c>
      <c r="F3" s="1">
        <v>4</v>
      </c>
      <c r="G3" t="s">
        <v>10</v>
      </c>
      <c r="H3" s="1">
        <v>13</v>
      </c>
      <c r="I3" t="s">
        <v>53</v>
      </c>
      <c r="J3" s="1">
        <v>276</v>
      </c>
      <c r="K3" s="1">
        <v>439</v>
      </c>
      <c r="L3" s="1">
        <v>15704</v>
      </c>
      <c r="M3" s="1">
        <v>27256</v>
      </c>
      <c r="N3" s="1">
        <v>45439</v>
      </c>
      <c r="O3" s="1">
        <v>1565266</v>
      </c>
      <c r="P3" s="1">
        <v>326949</v>
      </c>
      <c r="Q3" s="1">
        <v>614640</v>
      </c>
      <c r="R3" s="1">
        <v>24887144</v>
      </c>
      <c r="S3" s="1">
        <v>41051</v>
      </c>
      <c r="T3" s="1">
        <v>41051</v>
      </c>
      <c r="U3" s="1">
        <v>4013</v>
      </c>
      <c r="V3" s="1">
        <v>1</v>
      </c>
      <c r="W3" s="1">
        <v>0</v>
      </c>
    </row>
    <row r="4">
      <c r="A4" s="1">
        <v>2016</v>
      </c>
      <c r="B4" s="1">
        <v>41</v>
      </c>
      <c r="C4" t="s">
        <v>3</v>
      </c>
      <c r="D4" s="1">
        <v>51</v>
      </c>
      <c r="E4" t="s">
        <v>6</v>
      </c>
      <c r="F4" s="1">
        <v>4</v>
      </c>
      <c r="G4" t="s">
        <v>10</v>
      </c>
      <c r="H4" s="1">
        <v>19</v>
      </c>
      <c r="I4" t="s">
        <v>54</v>
      </c>
      <c r="J4" s="1">
        <v>90</v>
      </c>
      <c r="K4" s="1">
        <v>117</v>
      </c>
      <c r="L4" s="1">
        <v>4583</v>
      </c>
      <c r="M4" s="1">
        <v>27256</v>
      </c>
      <c r="N4" s="1">
        <v>45439</v>
      </c>
      <c r="O4" s="1">
        <v>1565266</v>
      </c>
      <c r="P4" s="1">
        <v>326949</v>
      </c>
      <c r="Q4" s="1">
        <v>614640</v>
      </c>
      <c r="R4" s="1">
        <v>24887144</v>
      </c>
      <c r="S4" s="1">
        <v>41051</v>
      </c>
      <c r="T4" s="1">
        <v>41051</v>
      </c>
      <c r="U4" s="1">
        <v>4019</v>
      </c>
      <c r="V4" s="1">
        <v>1</v>
      </c>
      <c r="W4" s="1">
        <v>0</v>
      </c>
    </row>
    <row r="5">
      <c r="A5" s="1">
        <v>2016</v>
      </c>
      <c r="B5" s="1">
        <v>41</v>
      </c>
      <c r="C5" t="s">
        <v>3</v>
      </c>
      <c r="D5" s="1">
        <v>51</v>
      </c>
      <c r="E5" t="s">
        <v>6</v>
      </c>
      <c r="F5" s="1">
        <v>4</v>
      </c>
      <c r="G5" t="s">
        <v>10</v>
      </c>
      <c r="H5" s="1">
        <v>21</v>
      </c>
      <c r="I5" t="s">
        <v>55</v>
      </c>
      <c r="J5" s="1">
        <v>29</v>
      </c>
      <c r="K5" s="1">
        <v>66</v>
      </c>
      <c r="L5" s="1">
        <v>1369</v>
      </c>
      <c r="M5" s="1">
        <v>27256</v>
      </c>
      <c r="N5" s="1">
        <v>45439</v>
      </c>
      <c r="O5" s="1">
        <v>1565266</v>
      </c>
      <c r="P5" s="1">
        <v>326949</v>
      </c>
      <c r="Q5" s="1">
        <v>614640</v>
      </c>
      <c r="R5" s="1">
        <v>24887144</v>
      </c>
      <c r="S5" s="1">
        <v>41051</v>
      </c>
      <c r="T5" s="1">
        <v>41051</v>
      </c>
      <c r="U5" s="1">
        <v>4021</v>
      </c>
      <c r="V5" s="1">
        <v>1</v>
      </c>
      <c r="W5" s="1">
        <v>0</v>
      </c>
    </row>
    <row r="6">
      <c r="A6" s="1">
        <v>2016</v>
      </c>
      <c r="B6" s="1">
        <v>41</v>
      </c>
      <c r="C6" t="s">
        <v>3</v>
      </c>
      <c r="D6" s="1">
        <v>51</v>
      </c>
      <c r="E6" t="s">
        <v>6</v>
      </c>
      <c r="F6" s="1">
        <v>6</v>
      </c>
      <c r="G6" t="s">
        <v>11</v>
      </c>
      <c r="H6" s="1">
        <v>1</v>
      </c>
      <c r="I6" t="s">
        <v>56</v>
      </c>
      <c r="J6" s="1">
        <v>152</v>
      </c>
      <c r="K6" s="1">
        <v>186</v>
      </c>
      <c r="L6" s="1">
        <v>8567</v>
      </c>
      <c r="M6" s="1">
        <v>27256</v>
      </c>
      <c r="N6" s="1">
        <v>45439</v>
      </c>
      <c r="O6" s="1">
        <v>1565266</v>
      </c>
      <c r="P6" s="1">
        <v>326949</v>
      </c>
      <c r="Q6" s="1">
        <v>614640</v>
      </c>
      <c r="R6" s="1">
        <v>24887144</v>
      </c>
      <c r="S6" s="1">
        <v>41051</v>
      </c>
      <c r="T6" s="1">
        <v>41051</v>
      </c>
      <c r="U6" s="1">
        <v>6001</v>
      </c>
      <c r="V6" s="1">
        <v>1</v>
      </c>
      <c r="W6" s="1">
        <v>0</v>
      </c>
    </row>
    <row r="7">
      <c r="A7" s="1">
        <v>2016</v>
      </c>
      <c r="B7" s="1">
        <v>41</v>
      </c>
      <c r="C7" t="s">
        <v>3</v>
      </c>
      <c r="D7" s="1">
        <v>51</v>
      </c>
      <c r="E7" t="s">
        <v>6</v>
      </c>
      <c r="F7" s="1">
        <v>6</v>
      </c>
      <c r="G7" t="s">
        <v>11</v>
      </c>
      <c r="H7" s="1">
        <v>13</v>
      </c>
      <c r="I7" t="s">
        <v>57</v>
      </c>
      <c r="J7" s="1">
        <v>61</v>
      </c>
      <c r="K7" s="1">
        <v>89</v>
      </c>
      <c r="L7" s="1">
        <v>3601</v>
      </c>
      <c r="M7" s="1">
        <v>27256</v>
      </c>
      <c r="N7" s="1">
        <v>45439</v>
      </c>
      <c r="O7" s="1">
        <v>1565266</v>
      </c>
      <c r="P7" s="1">
        <v>326949</v>
      </c>
      <c r="Q7" s="1">
        <v>614640</v>
      </c>
      <c r="R7" s="1">
        <v>24887144</v>
      </c>
      <c r="S7" s="1">
        <v>41051</v>
      </c>
      <c r="T7" s="1">
        <v>41051</v>
      </c>
      <c r="U7" s="1">
        <v>6013</v>
      </c>
      <c r="V7" s="1">
        <v>1</v>
      </c>
      <c r="W7" s="1">
        <v>0</v>
      </c>
    </row>
    <row r="8">
      <c r="A8" s="1">
        <v>2016</v>
      </c>
      <c r="B8" s="1">
        <v>41</v>
      </c>
      <c r="C8" t="s">
        <v>3</v>
      </c>
      <c r="D8" s="1">
        <v>51</v>
      </c>
      <c r="E8" t="s">
        <v>6</v>
      </c>
      <c r="F8" s="1">
        <v>6</v>
      </c>
      <c r="G8" t="s">
        <v>11</v>
      </c>
      <c r="H8" s="1">
        <v>19</v>
      </c>
      <c r="I8" t="s">
        <v>58</v>
      </c>
      <c r="J8" s="1">
        <v>40</v>
      </c>
      <c r="K8" s="1">
        <v>73</v>
      </c>
      <c r="L8" s="1">
        <v>1176</v>
      </c>
      <c r="M8" s="1">
        <v>27256</v>
      </c>
      <c r="N8" s="1">
        <v>45439</v>
      </c>
      <c r="O8" s="1">
        <v>1565266</v>
      </c>
      <c r="P8" s="1">
        <v>326949</v>
      </c>
      <c r="Q8" s="1">
        <v>614640</v>
      </c>
      <c r="R8" s="1">
        <v>24887144</v>
      </c>
      <c r="S8" s="1">
        <v>41051</v>
      </c>
      <c r="T8" s="1">
        <v>41051</v>
      </c>
      <c r="U8" s="1">
        <v>6019</v>
      </c>
      <c r="V8" s="1">
        <v>1</v>
      </c>
      <c r="W8" s="1">
        <v>0</v>
      </c>
    </row>
    <row r="9">
      <c r="A9" s="1">
        <v>2016</v>
      </c>
      <c r="B9" s="1">
        <v>41</v>
      </c>
      <c r="C9" t="s">
        <v>3</v>
      </c>
      <c r="D9" s="1">
        <v>51</v>
      </c>
      <c r="E9" t="s">
        <v>6</v>
      </c>
      <c r="F9" s="1">
        <v>6</v>
      </c>
      <c r="G9" t="s">
        <v>11</v>
      </c>
      <c r="H9" s="1">
        <v>23</v>
      </c>
      <c r="I9" t="s">
        <v>59</v>
      </c>
      <c r="J9" s="1">
        <v>25</v>
      </c>
      <c r="K9" s="1">
        <v>33</v>
      </c>
      <c r="L9" s="1">
        <v>704</v>
      </c>
      <c r="M9" s="1">
        <v>27256</v>
      </c>
      <c r="N9" s="1">
        <v>45439</v>
      </c>
      <c r="O9" s="1">
        <v>1565266</v>
      </c>
      <c r="P9" s="1">
        <v>326949</v>
      </c>
      <c r="Q9" s="1">
        <v>614640</v>
      </c>
      <c r="R9" s="1">
        <v>24887144</v>
      </c>
      <c r="S9" s="1">
        <v>41051</v>
      </c>
      <c r="T9" s="1">
        <v>41051</v>
      </c>
      <c r="U9" s="1">
        <v>6023</v>
      </c>
      <c r="V9" s="1">
        <v>1</v>
      </c>
      <c r="W9" s="1">
        <v>0</v>
      </c>
    </row>
    <row r="10">
      <c r="A10" s="1">
        <v>2016</v>
      </c>
      <c r="B10" s="1">
        <v>41</v>
      </c>
      <c r="C10" t="s">
        <v>3</v>
      </c>
      <c r="D10" s="1">
        <v>51</v>
      </c>
      <c r="E10" t="s">
        <v>6</v>
      </c>
      <c r="F10" s="1">
        <v>6</v>
      </c>
      <c r="G10" t="s">
        <v>11</v>
      </c>
      <c r="H10" s="1">
        <v>29</v>
      </c>
      <c r="I10" t="s">
        <v>60</v>
      </c>
      <c r="J10" s="1">
        <v>22</v>
      </c>
      <c r="K10" s="1">
        <v>45</v>
      </c>
      <c r="L10" s="1">
        <v>929</v>
      </c>
      <c r="M10" s="1">
        <v>27256</v>
      </c>
      <c r="N10" s="1">
        <v>45439</v>
      </c>
      <c r="O10" s="1">
        <v>1565266</v>
      </c>
      <c r="P10" s="1">
        <v>326949</v>
      </c>
      <c r="Q10" s="1">
        <v>614640</v>
      </c>
      <c r="R10" s="1">
        <v>24887144</v>
      </c>
      <c r="S10" s="1">
        <v>41051</v>
      </c>
      <c r="T10" s="1">
        <v>41051</v>
      </c>
      <c r="U10" s="1">
        <v>6029</v>
      </c>
      <c r="V10" s="1">
        <v>1</v>
      </c>
      <c r="W10" s="1">
        <v>0</v>
      </c>
    </row>
    <row r="11">
      <c r="A11" s="1">
        <v>2016</v>
      </c>
      <c r="B11" s="1">
        <v>41</v>
      </c>
      <c r="C11" t="s">
        <v>3</v>
      </c>
      <c r="D11" s="1">
        <v>51</v>
      </c>
      <c r="E11" t="s">
        <v>6</v>
      </c>
      <c r="F11" s="1">
        <v>6</v>
      </c>
      <c r="G11" t="s">
        <v>11</v>
      </c>
      <c r="H11" s="1">
        <v>37</v>
      </c>
      <c r="I11" t="s">
        <v>61</v>
      </c>
      <c r="J11" s="1">
        <v>472</v>
      </c>
      <c r="K11" s="1">
        <v>629</v>
      </c>
      <c r="L11" s="1">
        <v>24302</v>
      </c>
      <c r="M11" s="1">
        <v>27256</v>
      </c>
      <c r="N11" s="1">
        <v>45439</v>
      </c>
      <c r="O11" s="1">
        <v>1565266</v>
      </c>
      <c r="P11" s="1">
        <v>326949</v>
      </c>
      <c r="Q11" s="1">
        <v>614640</v>
      </c>
      <c r="R11" s="1">
        <v>24887144</v>
      </c>
      <c r="S11" s="1">
        <v>41051</v>
      </c>
      <c r="T11" s="1">
        <v>41051</v>
      </c>
      <c r="U11" s="1">
        <v>6037</v>
      </c>
      <c r="V11" s="1">
        <v>1</v>
      </c>
      <c r="W11" s="1">
        <v>0</v>
      </c>
    </row>
    <row r="12">
      <c r="A12" s="1">
        <v>2016</v>
      </c>
      <c r="B12" s="1">
        <v>41</v>
      </c>
      <c r="C12" t="s">
        <v>3</v>
      </c>
      <c r="D12" s="1">
        <v>51</v>
      </c>
      <c r="E12" t="s">
        <v>6</v>
      </c>
      <c r="F12" s="1">
        <v>6</v>
      </c>
      <c r="G12" t="s">
        <v>11</v>
      </c>
      <c r="H12" s="1">
        <v>41</v>
      </c>
      <c r="I12" t="s">
        <v>62</v>
      </c>
      <c r="J12" s="1">
        <v>30</v>
      </c>
      <c r="K12" s="1">
        <v>48</v>
      </c>
      <c r="L12" s="1">
        <v>2945</v>
      </c>
      <c r="M12" s="1">
        <v>27256</v>
      </c>
      <c r="N12" s="1">
        <v>45439</v>
      </c>
      <c r="O12" s="1">
        <v>1565266</v>
      </c>
      <c r="P12" s="1">
        <v>326949</v>
      </c>
      <c r="Q12" s="1">
        <v>614640</v>
      </c>
      <c r="R12" s="1">
        <v>24887144</v>
      </c>
      <c r="S12" s="1">
        <v>41051</v>
      </c>
      <c r="T12" s="1">
        <v>41051</v>
      </c>
      <c r="U12" s="1">
        <v>6041</v>
      </c>
      <c r="V12" s="1">
        <v>1</v>
      </c>
      <c r="W12" s="1">
        <v>0</v>
      </c>
    </row>
    <row r="13">
      <c r="A13" s="1">
        <v>2016</v>
      </c>
      <c r="B13" s="1">
        <v>41</v>
      </c>
      <c r="C13" t="s">
        <v>3</v>
      </c>
      <c r="D13" s="1">
        <v>51</v>
      </c>
      <c r="E13" t="s">
        <v>6</v>
      </c>
      <c r="F13" s="1">
        <v>6</v>
      </c>
      <c r="G13" t="s">
        <v>11</v>
      </c>
      <c r="H13" s="1">
        <v>53</v>
      </c>
      <c r="I13" t="s">
        <v>63</v>
      </c>
      <c r="J13" s="1">
        <v>23</v>
      </c>
      <c r="K13" s="1">
        <v>29</v>
      </c>
      <c r="L13" s="1">
        <v>1429</v>
      </c>
      <c r="M13" s="1">
        <v>27256</v>
      </c>
      <c r="N13" s="1">
        <v>45439</v>
      </c>
      <c r="O13" s="1">
        <v>1565266</v>
      </c>
      <c r="P13" s="1">
        <v>326949</v>
      </c>
      <c r="Q13" s="1">
        <v>614640</v>
      </c>
      <c r="R13" s="1">
        <v>24887144</v>
      </c>
      <c r="S13" s="1">
        <v>41051</v>
      </c>
      <c r="T13" s="1">
        <v>41051</v>
      </c>
      <c r="U13" s="1">
        <v>6053</v>
      </c>
      <c r="V13" s="1">
        <v>1</v>
      </c>
      <c r="W13" s="1">
        <v>0</v>
      </c>
    </row>
    <row r="14">
      <c r="A14" s="1">
        <v>2016</v>
      </c>
      <c r="B14" s="1">
        <v>41</v>
      </c>
      <c r="C14" t="s">
        <v>3</v>
      </c>
      <c r="D14" s="1">
        <v>51</v>
      </c>
      <c r="E14" t="s">
        <v>6</v>
      </c>
      <c r="F14" s="1">
        <v>6</v>
      </c>
      <c r="G14" t="s">
        <v>11</v>
      </c>
      <c r="H14" s="1">
        <v>59</v>
      </c>
      <c r="I14" t="s">
        <v>64</v>
      </c>
      <c r="J14" s="1">
        <v>121</v>
      </c>
      <c r="K14" s="1">
        <v>185</v>
      </c>
      <c r="L14" s="1">
        <v>7058</v>
      </c>
      <c r="M14" s="1">
        <v>27256</v>
      </c>
      <c r="N14" s="1">
        <v>45439</v>
      </c>
      <c r="O14" s="1">
        <v>1565266</v>
      </c>
      <c r="P14" s="1">
        <v>326949</v>
      </c>
      <c r="Q14" s="1">
        <v>614640</v>
      </c>
      <c r="R14" s="1">
        <v>24887144</v>
      </c>
      <c r="S14" s="1">
        <v>41051</v>
      </c>
      <c r="T14" s="1">
        <v>41051</v>
      </c>
      <c r="U14" s="1">
        <v>6059</v>
      </c>
      <c r="V14" s="1">
        <v>1</v>
      </c>
      <c r="W14" s="1">
        <v>0</v>
      </c>
    </row>
    <row r="15">
      <c r="A15" s="1">
        <v>2016</v>
      </c>
      <c r="B15" s="1">
        <v>41</v>
      </c>
      <c r="C15" t="s">
        <v>3</v>
      </c>
      <c r="D15" s="1">
        <v>51</v>
      </c>
      <c r="E15" t="s">
        <v>6</v>
      </c>
      <c r="F15" s="1">
        <v>6</v>
      </c>
      <c r="G15" t="s">
        <v>11</v>
      </c>
      <c r="H15" s="1">
        <v>61</v>
      </c>
      <c r="I15" t="s">
        <v>65</v>
      </c>
      <c r="J15" s="1">
        <v>23</v>
      </c>
      <c r="K15" s="1">
        <v>35</v>
      </c>
      <c r="L15" s="1">
        <v>1425</v>
      </c>
      <c r="M15" s="1">
        <v>27256</v>
      </c>
      <c r="N15" s="1">
        <v>45439</v>
      </c>
      <c r="O15" s="1">
        <v>1565266</v>
      </c>
      <c r="P15" s="1">
        <v>326949</v>
      </c>
      <c r="Q15" s="1">
        <v>614640</v>
      </c>
      <c r="R15" s="1">
        <v>24887144</v>
      </c>
      <c r="S15" s="1">
        <v>41051</v>
      </c>
      <c r="T15" s="1">
        <v>41051</v>
      </c>
      <c r="U15" s="1">
        <v>6061</v>
      </c>
      <c r="V15" s="1">
        <v>1</v>
      </c>
      <c r="W15" s="1">
        <v>0</v>
      </c>
    </row>
    <row r="16">
      <c r="A16" s="1">
        <v>2016</v>
      </c>
      <c r="B16" s="1">
        <v>41</v>
      </c>
      <c r="C16" t="s">
        <v>3</v>
      </c>
      <c r="D16" s="1">
        <v>51</v>
      </c>
      <c r="E16" t="s">
        <v>6</v>
      </c>
      <c r="F16" s="1">
        <v>6</v>
      </c>
      <c r="G16" t="s">
        <v>11</v>
      </c>
      <c r="H16" s="1">
        <v>65</v>
      </c>
      <c r="I16" t="s">
        <v>66</v>
      </c>
      <c r="J16" s="1">
        <v>72</v>
      </c>
      <c r="K16" s="1">
        <v>111</v>
      </c>
      <c r="L16" s="1">
        <v>3879</v>
      </c>
      <c r="M16" s="1">
        <v>27256</v>
      </c>
      <c r="N16" s="1">
        <v>45439</v>
      </c>
      <c r="O16" s="1">
        <v>1565266</v>
      </c>
      <c r="P16" s="1">
        <v>326949</v>
      </c>
      <c r="Q16" s="1">
        <v>614640</v>
      </c>
      <c r="R16" s="1">
        <v>24887144</v>
      </c>
      <c r="S16" s="1">
        <v>41051</v>
      </c>
      <c r="T16" s="1">
        <v>41051</v>
      </c>
      <c r="U16" s="1">
        <v>6065</v>
      </c>
      <c r="V16" s="1">
        <v>1</v>
      </c>
      <c r="W16" s="1">
        <v>0</v>
      </c>
    </row>
    <row r="17">
      <c r="A17" s="1">
        <v>2016</v>
      </c>
      <c r="B17" s="1">
        <v>41</v>
      </c>
      <c r="C17" t="s">
        <v>3</v>
      </c>
      <c r="D17" s="1">
        <v>51</v>
      </c>
      <c r="E17" t="s">
        <v>6</v>
      </c>
      <c r="F17" s="1">
        <v>6</v>
      </c>
      <c r="G17" t="s">
        <v>11</v>
      </c>
      <c r="H17" s="1">
        <v>67</v>
      </c>
      <c r="I17" t="s">
        <v>67</v>
      </c>
      <c r="J17" s="1">
        <v>92</v>
      </c>
      <c r="K17" s="1">
        <v>170</v>
      </c>
      <c r="L17" s="1">
        <v>4183</v>
      </c>
      <c r="M17" s="1">
        <v>27256</v>
      </c>
      <c r="N17" s="1">
        <v>45439</v>
      </c>
      <c r="O17" s="1">
        <v>1565266</v>
      </c>
      <c r="P17" s="1">
        <v>326949</v>
      </c>
      <c r="Q17" s="1">
        <v>614640</v>
      </c>
      <c r="R17" s="1">
        <v>24887144</v>
      </c>
      <c r="S17" s="1">
        <v>41051</v>
      </c>
      <c r="T17" s="1">
        <v>41051</v>
      </c>
      <c r="U17" s="1">
        <v>6067</v>
      </c>
      <c r="V17" s="1">
        <v>1</v>
      </c>
      <c r="W17" s="1">
        <v>0</v>
      </c>
    </row>
    <row r="18">
      <c r="A18" s="1">
        <v>2016</v>
      </c>
      <c r="B18" s="1">
        <v>41</v>
      </c>
      <c r="C18" t="s">
        <v>3</v>
      </c>
      <c r="D18" s="1">
        <v>51</v>
      </c>
      <c r="E18" t="s">
        <v>6</v>
      </c>
      <c r="F18" s="1">
        <v>6</v>
      </c>
      <c r="G18" t="s">
        <v>11</v>
      </c>
      <c r="H18" s="1">
        <v>71</v>
      </c>
      <c r="I18" t="s">
        <v>68</v>
      </c>
      <c r="J18" s="1">
        <v>49</v>
      </c>
      <c r="K18" s="1">
        <v>97</v>
      </c>
      <c r="L18" s="1">
        <v>2977</v>
      </c>
      <c r="M18" s="1">
        <v>27256</v>
      </c>
      <c r="N18" s="1">
        <v>45439</v>
      </c>
      <c r="O18" s="1">
        <v>1565266</v>
      </c>
      <c r="P18" s="1">
        <v>326949</v>
      </c>
      <c r="Q18" s="1">
        <v>614640</v>
      </c>
      <c r="R18" s="1">
        <v>24887144</v>
      </c>
      <c r="S18" s="1">
        <v>41051</v>
      </c>
      <c r="T18" s="1">
        <v>41051</v>
      </c>
      <c r="U18" s="1">
        <v>6071</v>
      </c>
      <c r="V18" s="1">
        <v>1</v>
      </c>
      <c r="W18" s="1">
        <v>0</v>
      </c>
    </row>
    <row r="19">
      <c r="A19" s="1">
        <v>2016</v>
      </c>
      <c r="B19" s="1">
        <v>41</v>
      </c>
      <c r="C19" t="s">
        <v>3</v>
      </c>
      <c r="D19" s="1">
        <v>51</v>
      </c>
      <c r="E19" t="s">
        <v>6</v>
      </c>
      <c r="F19" s="1">
        <v>6</v>
      </c>
      <c r="G19" t="s">
        <v>11</v>
      </c>
      <c r="H19" s="1">
        <v>73</v>
      </c>
      <c r="I19" t="s">
        <v>69</v>
      </c>
      <c r="J19" s="1">
        <v>217</v>
      </c>
      <c r="K19" s="1">
        <v>326</v>
      </c>
      <c r="L19" s="1">
        <v>11604</v>
      </c>
      <c r="M19" s="1">
        <v>27256</v>
      </c>
      <c r="N19" s="1">
        <v>45439</v>
      </c>
      <c r="O19" s="1">
        <v>1565266</v>
      </c>
      <c r="P19" s="1">
        <v>326949</v>
      </c>
      <c r="Q19" s="1">
        <v>614640</v>
      </c>
      <c r="R19" s="1">
        <v>24887144</v>
      </c>
      <c r="S19" s="1">
        <v>41051</v>
      </c>
      <c r="T19" s="1">
        <v>41051</v>
      </c>
      <c r="U19" s="1">
        <v>6073</v>
      </c>
      <c r="V19" s="1">
        <v>1</v>
      </c>
      <c r="W19" s="1">
        <v>0</v>
      </c>
    </row>
    <row r="20">
      <c r="A20" s="1">
        <v>2016</v>
      </c>
      <c r="B20" s="1">
        <v>41</v>
      </c>
      <c r="C20" t="s">
        <v>3</v>
      </c>
      <c r="D20" s="1">
        <v>51</v>
      </c>
      <c r="E20" t="s">
        <v>6</v>
      </c>
      <c r="F20" s="1">
        <v>6</v>
      </c>
      <c r="G20" t="s">
        <v>11</v>
      </c>
      <c r="H20" s="1">
        <v>75</v>
      </c>
      <c r="I20" t="s">
        <v>70</v>
      </c>
      <c r="J20" s="1">
        <v>170</v>
      </c>
      <c r="K20" s="1">
        <v>198</v>
      </c>
      <c r="L20" s="1">
        <v>15375</v>
      </c>
      <c r="M20" s="1">
        <v>27256</v>
      </c>
      <c r="N20" s="1">
        <v>45439</v>
      </c>
      <c r="O20" s="1">
        <v>1565266</v>
      </c>
      <c r="P20" s="1">
        <v>326949</v>
      </c>
      <c r="Q20" s="1">
        <v>614640</v>
      </c>
      <c r="R20" s="1">
        <v>24887144</v>
      </c>
      <c r="S20" s="1">
        <v>41051</v>
      </c>
      <c r="T20" s="1">
        <v>41051</v>
      </c>
      <c r="U20" s="1">
        <v>6075</v>
      </c>
      <c r="V20" s="1">
        <v>1</v>
      </c>
      <c r="W20" s="1">
        <v>0</v>
      </c>
    </row>
    <row r="21">
      <c r="A21" s="1">
        <v>2016</v>
      </c>
      <c r="B21" s="1">
        <v>41</v>
      </c>
      <c r="C21" t="s">
        <v>3</v>
      </c>
      <c r="D21" s="1">
        <v>51</v>
      </c>
      <c r="E21" t="s">
        <v>6</v>
      </c>
      <c r="F21" s="1">
        <v>6</v>
      </c>
      <c r="G21" t="s">
        <v>11</v>
      </c>
      <c r="H21" s="1">
        <v>79</v>
      </c>
      <c r="I21" t="s">
        <v>71</v>
      </c>
      <c r="J21" s="1">
        <v>30</v>
      </c>
      <c r="K21" s="1">
        <v>41</v>
      </c>
      <c r="L21" s="1">
        <v>1389</v>
      </c>
      <c r="M21" s="1">
        <v>27256</v>
      </c>
      <c r="N21" s="1">
        <v>45439</v>
      </c>
      <c r="O21" s="1">
        <v>1565266</v>
      </c>
      <c r="P21" s="1">
        <v>326949</v>
      </c>
      <c r="Q21" s="1">
        <v>614640</v>
      </c>
      <c r="R21" s="1">
        <v>24887144</v>
      </c>
      <c r="S21" s="1">
        <v>41051</v>
      </c>
      <c r="T21" s="1">
        <v>41051</v>
      </c>
      <c r="U21" s="1">
        <v>6079</v>
      </c>
      <c r="V21" s="1">
        <v>1</v>
      </c>
      <c r="W21" s="1">
        <v>0</v>
      </c>
    </row>
    <row r="22">
      <c r="A22" s="1">
        <v>2016</v>
      </c>
      <c r="B22" s="1">
        <v>41</v>
      </c>
      <c r="C22" t="s">
        <v>3</v>
      </c>
      <c r="D22" s="1">
        <v>51</v>
      </c>
      <c r="E22" t="s">
        <v>6</v>
      </c>
      <c r="F22" s="1">
        <v>6</v>
      </c>
      <c r="G22" t="s">
        <v>11</v>
      </c>
      <c r="H22" s="1">
        <v>81</v>
      </c>
      <c r="I22" t="s">
        <v>72</v>
      </c>
      <c r="J22" s="1">
        <v>43</v>
      </c>
      <c r="K22" s="1">
        <v>58</v>
      </c>
      <c r="L22" s="1">
        <v>4550</v>
      </c>
      <c r="M22" s="1">
        <v>27256</v>
      </c>
      <c r="N22" s="1">
        <v>45439</v>
      </c>
      <c r="O22" s="1">
        <v>1565266</v>
      </c>
      <c r="P22" s="1">
        <v>326949</v>
      </c>
      <c r="Q22" s="1">
        <v>614640</v>
      </c>
      <c r="R22" s="1">
        <v>24887144</v>
      </c>
      <c r="S22" s="1">
        <v>41051</v>
      </c>
      <c r="T22" s="1">
        <v>41051</v>
      </c>
      <c r="U22" s="1">
        <v>6081</v>
      </c>
      <c r="V22" s="1">
        <v>1</v>
      </c>
      <c r="W22" s="1">
        <v>0</v>
      </c>
    </row>
    <row r="23">
      <c r="A23" s="1">
        <v>2016</v>
      </c>
      <c r="B23" s="1">
        <v>41</v>
      </c>
      <c r="C23" t="s">
        <v>3</v>
      </c>
      <c r="D23" s="1">
        <v>51</v>
      </c>
      <c r="E23" t="s">
        <v>6</v>
      </c>
      <c r="F23" s="1">
        <v>6</v>
      </c>
      <c r="G23" t="s">
        <v>11</v>
      </c>
      <c r="H23" s="1">
        <v>83</v>
      </c>
      <c r="I23" t="s">
        <v>73</v>
      </c>
      <c r="J23" s="1">
        <v>31</v>
      </c>
      <c r="K23" s="1">
        <v>44</v>
      </c>
      <c r="L23" s="1">
        <v>1348</v>
      </c>
      <c r="M23" s="1">
        <v>27256</v>
      </c>
      <c r="N23" s="1">
        <v>45439</v>
      </c>
      <c r="O23" s="1">
        <v>1565266</v>
      </c>
      <c r="P23" s="1">
        <v>326949</v>
      </c>
      <c r="Q23" s="1">
        <v>614640</v>
      </c>
      <c r="R23" s="1">
        <v>24887144</v>
      </c>
      <c r="S23" s="1">
        <v>41051</v>
      </c>
      <c r="T23" s="1">
        <v>41051</v>
      </c>
      <c r="U23" s="1">
        <v>6083</v>
      </c>
      <c r="V23" s="1">
        <v>1</v>
      </c>
      <c r="W23" s="1">
        <v>0</v>
      </c>
    </row>
    <row r="24">
      <c r="A24" s="1">
        <v>2016</v>
      </c>
      <c r="B24" s="1">
        <v>41</v>
      </c>
      <c r="C24" t="s">
        <v>3</v>
      </c>
      <c r="D24" s="1">
        <v>51</v>
      </c>
      <c r="E24" t="s">
        <v>6</v>
      </c>
      <c r="F24" s="1">
        <v>6</v>
      </c>
      <c r="G24" t="s">
        <v>11</v>
      </c>
      <c r="H24" s="1">
        <v>85</v>
      </c>
      <c r="I24" t="s">
        <v>74</v>
      </c>
      <c r="J24" s="1">
        <v>114</v>
      </c>
      <c r="K24" s="1">
        <v>170</v>
      </c>
      <c r="L24" s="1">
        <v>13876</v>
      </c>
      <c r="M24" s="1">
        <v>27256</v>
      </c>
      <c r="N24" s="1">
        <v>45439</v>
      </c>
      <c r="O24" s="1">
        <v>1565266</v>
      </c>
      <c r="P24" s="1">
        <v>326949</v>
      </c>
      <c r="Q24" s="1">
        <v>614640</v>
      </c>
      <c r="R24" s="1">
        <v>24887144</v>
      </c>
      <c r="S24" s="1">
        <v>41051</v>
      </c>
      <c r="T24" s="1">
        <v>41051</v>
      </c>
      <c r="U24" s="1">
        <v>6085</v>
      </c>
      <c r="V24" s="1">
        <v>1</v>
      </c>
      <c r="W24" s="1">
        <v>0</v>
      </c>
    </row>
    <row r="25">
      <c r="A25" s="1">
        <v>2016</v>
      </c>
      <c r="B25" s="1">
        <v>41</v>
      </c>
      <c r="C25" t="s">
        <v>3</v>
      </c>
      <c r="D25" s="1">
        <v>51</v>
      </c>
      <c r="E25" t="s">
        <v>6</v>
      </c>
      <c r="F25" s="1">
        <v>6</v>
      </c>
      <c r="G25" t="s">
        <v>11</v>
      </c>
      <c r="H25" s="1">
        <v>87</v>
      </c>
      <c r="I25" t="s">
        <v>75</v>
      </c>
      <c r="J25" s="1">
        <v>27</v>
      </c>
      <c r="K25" s="1">
        <v>35</v>
      </c>
      <c r="L25" s="1">
        <v>1071</v>
      </c>
      <c r="M25" s="1">
        <v>27256</v>
      </c>
      <c r="N25" s="1">
        <v>45439</v>
      </c>
      <c r="O25" s="1">
        <v>1565266</v>
      </c>
      <c r="P25" s="1">
        <v>326949</v>
      </c>
      <c r="Q25" s="1">
        <v>614640</v>
      </c>
      <c r="R25" s="1">
        <v>24887144</v>
      </c>
      <c r="S25" s="1">
        <v>41051</v>
      </c>
      <c r="T25" s="1">
        <v>41051</v>
      </c>
      <c r="U25" s="1">
        <v>6087</v>
      </c>
      <c r="V25" s="1">
        <v>1</v>
      </c>
      <c r="W25" s="1">
        <v>0</v>
      </c>
    </row>
    <row r="26">
      <c r="A26" s="1">
        <v>2016</v>
      </c>
      <c r="B26" s="1">
        <v>41</v>
      </c>
      <c r="C26" t="s">
        <v>3</v>
      </c>
      <c r="D26" s="1">
        <v>51</v>
      </c>
      <c r="E26" t="s">
        <v>6</v>
      </c>
      <c r="F26" s="1">
        <v>6</v>
      </c>
      <c r="G26" t="s">
        <v>11</v>
      </c>
      <c r="H26" s="1">
        <v>89</v>
      </c>
      <c r="I26" t="s">
        <v>76</v>
      </c>
      <c r="J26" s="1">
        <v>22</v>
      </c>
      <c r="K26" s="1">
        <v>35</v>
      </c>
      <c r="L26" s="1">
        <v>489</v>
      </c>
      <c r="M26" s="1">
        <v>27256</v>
      </c>
      <c r="N26" s="1">
        <v>45439</v>
      </c>
      <c r="O26" s="1">
        <v>1565266</v>
      </c>
      <c r="P26" s="1">
        <v>326949</v>
      </c>
      <c r="Q26" s="1">
        <v>614640</v>
      </c>
      <c r="R26" s="1">
        <v>24887144</v>
      </c>
      <c r="S26" s="1">
        <v>41051</v>
      </c>
      <c r="T26" s="1">
        <v>41051</v>
      </c>
      <c r="U26" s="1">
        <v>6089</v>
      </c>
      <c r="V26" s="1">
        <v>1</v>
      </c>
      <c r="W26" s="1">
        <v>0</v>
      </c>
    </row>
    <row r="27">
      <c r="A27" s="1">
        <v>2016</v>
      </c>
      <c r="B27" s="1">
        <v>41</v>
      </c>
      <c r="C27" t="s">
        <v>3</v>
      </c>
      <c r="D27" s="1">
        <v>51</v>
      </c>
      <c r="E27" t="s">
        <v>6</v>
      </c>
      <c r="F27" s="1">
        <v>6</v>
      </c>
      <c r="G27" t="s">
        <v>11</v>
      </c>
      <c r="H27" s="1">
        <v>97</v>
      </c>
      <c r="I27" t="s">
        <v>77</v>
      </c>
      <c r="J27" s="1">
        <v>41</v>
      </c>
      <c r="K27" s="1">
        <v>59</v>
      </c>
      <c r="L27" s="1">
        <v>1795</v>
      </c>
      <c r="M27" s="1">
        <v>27256</v>
      </c>
      <c r="N27" s="1">
        <v>45439</v>
      </c>
      <c r="O27" s="1">
        <v>1565266</v>
      </c>
      <c r="P27" s="1">
        <v>326949</v>
      </c>
      <c r="Q27" s="1">
        <v>614640</v>
      </c>
      <c r="R27" s="1">
        <v>24887144</v>
      </c>
      <c r="S27" s="1">
        <v>41051</v>
      </c>
      <c r="T27" s="1">
        <v>41051</v>
      </c>
      <c r="U27" s="1">
        <v>6097</v>
      </c>
      <c r="V27" s="1">
        <v>1</v>
      </c>
      <c r="W27" s="1">
        <v>0</v>
      </c>
    </row>
    <row r="28">
      <c r="A28" s="1">
        <v>2016</v>
      </c>
      <c r="B28" s="1">
        <v>41</v>
      </c>
      <c r="C28" t="s">
        <v>3</v>
      </c>
      <c r="D28" s="1">
        <v>51</v>
      </c>
      <c r="E28" t="s">
        <v>6</v>
      </c>
      <c r="F28" s="1">
        <v>6</v>
      </c>
      <c r="G28" t="s">
        <v>11</v>
      </c>
      <c r="H28" s="1">
        <v>111</v>
      </c>
      <c r="I28" t="s">
        <v>78</v>
      </c>
      <c r="J28" s="1">
        <v>38</v>
      </c>
      <c r="K28" s="1">
        <v>62</v>
      </c>
      <c r="L28" s="1">
        <v>1786</v>
      </c>
      <c r="M28" s="1">
        <v>27256</v>
      </c>
      <c r="N28" s="1">
        <v>45439</v>
      </c>
      <c r="O28" s="1">
        <v>1565266</v>
      </c>
      <c r="P28" s="1">
        <v>326949</v>
      </c>
      <c r="Q28" s="1">
        <v>614640</v>
      </c>
      <c r="R28" s="1">
        <v>24887144</v>
      </c>
      <c r="S28" s="1">
        <v>41051</v>
      </c>
      <c r="T28" s="1">
        <v>41051</v>
      </c>
      <c r="U28" s="1">
        <v>6111</v>
      </c>
      <c r="V28" s="1">
        <v>1</v>
      </c>
      <c r="W28" s="1">
        <v>0</v>
      </c>
    </row>
    <row r="29">
      <c r="A29" s="1">
        <v>2016</v>
      </c>
      <c r="B29" s="1">
        <v>41</v>
      </c>
      <c r="C29" t="s">
        <v>3</v>
      </c>
      <c r="D29" s="1">
        <v>51</v>
      </c>
      <c r="E29" t="s">
        <v>6</v>
      </c>
      <c r="F29" s="1">
        <v>8</v>
      </c>
      <c r="G29" t="s">
        <v>12</v>
      </c>
      <c r="H29" s="1">
        <v>5</v>
      </c>
      <c r="I29" t="s">
        <v>79</v>
      </c>
      <c r="J29" s="1">
        <v>29</v>
      </c>
      <c r="K29" s="1">
        <v>43</v>
      </c>
      <c r="L29" s="1">
        <v>1257</v>
      </c>
      <c r="M29" s="1">
        <v>27256</v>
      </c>
      <c r="N29" s="1">
        <v>45439</v>
      </c>
      <c r="O29" s="1">
        <v>1565266</v>
      </c>
      <c r="P29" s="1">
        <v>326949</v>
      </c>
      <c r="Q29" s="1">
        <v>614640</v>
      </c>
      <c r="R29" s="1">
        <v>24887144</v>
      </c>
      <c r="S29" s="1">
        <v>41051</v>
      </c>
      <c r="T29" s="1">
        <v>41051</v>
      </c>
      <c r="U29" s="1">
        <v>8005</v>
      </c>
      <c r="V29" s="1">
        <v>1</v>
      </c>
      <c r="W29" s="1">
        <v>0</v>
      </c>
    </row>
    <row r="30">
      <c r="A30" s="1">
        <v>2016</v>
      </c>
      <c r="B30" s="1">
        <v>41</v>
      </c>
      <c r="C30" t="s">
        <v>3</v>
      </c>
      <c r="D30" s="1">
        <v>51</v>
      </c>
      <c r="E30" t="s">
        <v>6</v>
      </c>
      <c r="F30" s="1">
        <v>8</v>
      </c>
      <c r="G30" t="s">
        <v>12</v>
      </c>
      <c r="H30" s="1">
        <v>13</v>
      </c>
      <c r="I30" t="s">
        <v>80</v>
      </c>
      <c r="J30" s="1">
        <v>41</v>
      </c>
      <c r="K30" s="1">
        <v>56</v>
      </c>
      <c r="L30" s="1">
        <v>2145</v>
      </c>
      <c r="M30" s="1">
        <v>27256</v>
      </c>
      <c r="N30" s="1">
        <v>45439</v>
      </c>
      <c r="O30" s="1">
        <v>1565266</v>
      </c>
      <c r="P30" s="1">
        <v>326949</v>
      </c>
      <c r="Q30" s="1">
        <v>614640</v>
      </c>
      <c r="R30" s="1">
        <v>24887144</v>
      </c>
      <c r="S30" s="1">
        <v>41051</v>
      </c>
      <c r="T30" s="1">
        <v>41051</v>
      </c>
      <c r="U30" s="1">
        <v>8013</v>
      </c>
      <c r="V30" s="1">
        <v>1</v>
      </c>
      <c r="W30" s="1">
        <v>0</v>
      </c>
    </row>
    <row r="31">
      <c r="A31" s="1">
        <v>2016</v>
      </c>
      <c r="B31" s="1">
        <v>41</v>
      </c>
      <c r="C31" t="s">
        <v>3</v>
      </c>
      <c r="D31" s="1">
        <v>51</v>
      </c>
      <c r="E31" t="s">
        <v>6</v>
      </c>
      <c r="F31" s="1">
        <v>8</v>
      </c>
      <c r="G31" t="s">
        <v>12</v>
      </c>
      <c r="H31" s="1">
        <v>31</v>
      </c>
      <c r="I31" t="s">
        <v>81</v>
      </c>
      <c r="J31" s="1">
        <v>99</v>
      </c>
      <c r="K31" s="1">
        <v>139</v>
      </c>
      <c r="L31" s="1">
        <v>7447</v>
      </c>
      <c r="M31" s="1">
        <v>27256</v>
      </c>
      <c r="N31" s="1">
        <v>45439</v>
      </c>
      <c r="O31" s="1">
        <v>1565266</v>
      </c>
      <c r="P31" s="1">
        <v>326949</v>
      </c>
      <c r="Q31" s="1">
        <v>614640</v>
      </c>
      <c r="R31" s="1">
        <v>24887144</v>
      </c>
      <c r="S31" s="1">
        <v>41051</v>
      </c>
      <c r="T31" s="1">
        <v>41051</v>
      </c>
      <c r="U31" s="1">
        <v>8031</v>
      </c>
      <c r="V31" s="1">
        <v>1</v>
      </c>
      <c r="W31" s="1">
        <v>0</v>
      </c>
    </row>
    <row r="32">
      <c r="A32" s="1">
        <v>2016</v>
      </c>
      <c r="B32" s="1">
        <v>41</v>
      </c>
      <c r="C32" t="s">
        <v>3</v>
      </c>
      <c r="D32" s="1">
        <v>51</v>
      </c>
      <c r="E32" t="s">
        <v>6</v>
      </c>
      <c r="F32" s="1">
        <v>8</v>
      </c>
      <c r="G32" t="s">
        <v>12</v>
      </c>
      <c r="H32" s="1">
        <v>41</v>
      </c>
      <c r="I32" t="s">
        <v>82</v>
      </c>
      <c r="J32" s="1">
        <v>32</v>
      </c>
      <c r="K32" s="1">
        <v>48</v>
      </c>
      <c r="L32" s="1">
        <v>1585</v>
      </c>
      <c r="M32" s="1">
        <v>27256</v>
      </c>
      <c r="N32" s="1">
        <v>45439</v>
      </c>
      <c r="O32" s="1">
        <v>1565266</v>
      </c>
      <c r="P32" s="1">
        <v>326949</v>
      </c>
      <c r="Q32" s="1">
        <v>614640</v>
      </c>
      <c r="R32" s="1">
        <v>24887144</v>
      </c>
      <c r="S32" s="1">
        <v>41051</v>
      </c>
      <c r="T32" s="1">
        <v>41051</v>
      </c>
      <c r="U32" s="1">
        <v>8041</v>
      </c>
      <c r="V32" s="1">
        <v>1</v>
      </c>
      <c r="W32" s="1">
        <v>0</v>
      </c>
    </row>
    <row r="33">
      <c r="A33" s="1">
        <v>2016</v>
      </c>
      <c r="B33" s="1">
        <v>41</v>
      </c>
      <c r="C33" t="s">
        <v>3</v>
      </c>
      <c r="D33" s="1">
        <v>51</v>
      </c>
      <c r="E33" t="s">
        <v>6</v>
      </c>
      <c r="F33" s="1">
        <v>8</v>
      </c>
      <c r="G33" t="s">
        <v>12</v>
      </c>
      <c r="H33" s="1">
        <v>59</v>
      </c>
      <c r="I33" t="s">
        <v>83</v>
      </c>
      <c r="J33" s="1">
        <v>42</v>
      </c>
      <c r="K33" s="1">
        <v>54</v>
      </c>
      <c r="L33" s="1">
        <v>2384</v>
      </c>
      <c r="M33" s="1">
        <v>27256</v>
      </c>
      <c r="N33" s="1">
        <v>45439</v>
      </c>
      <c r="O33" s="1">
        <v>1565266</v>
      </c>
      <c r="P33" s="1">
        <v>326949</v>
      </c>
      <c r="Q33" s="1">
        <v>614640</v>
      </c>
      <c r="R33" s="1">
        <v>24887144</v>
      </c>
      <c r="S33" s="1">
        <v>41051</v>
      </c>
      <c r="T33" s="1">
        <v>41051</v>
      </c>
      <c r="U33" s="1">
        <v>8059</v>
      </c>
      <c r="V33" s="1">
        <v>1</v>
      </c>
      <c r="W33" s="1">
        <v>0</v>
      </c>
    </row>
    <row r="34">
      <c r="A34" s="1">
        <v>2016</v>
      </c>
      <c r="B34" s="1">
        <v>41</v>
      </c>
      <c r="C34" t="s">
        <v>3</v>
      </c>
      <c r="D34" s="1">
        <v>51</v>
      </c>
      <c r="E34" t="s">
        <v>6</v>
      </c>
      <c r="F34" s="1">
        <v>8</v>
      </c>
      <c r="G34" t="s">
        <v>12</v>
      </c>
      <c r="H34" s="1">
        <v>69</v>
      </c>
      <c r="I34" t="s">
        <v>84</v>
      </c>
      <c r="J34" s="1">
        <v>27</v>
      </c>
      <c r="K34" s="1">
        <v>38</v>
      </c>
      <c r="L34" s="1">
        <v>1346</v>
      </c>
      <c r="M34" s="1">
        <v>27256</v>
      </c>
      <c r="N34" s="1">
        <v>45439</v>
      </c>
      <c r="O34" s="1">
        <v>1565266</v>
      </c>
      <c r="P34" s="1">
        <v>326949</v>
      </c>
      <c r="Q34" s="1">
        <v>614640</v>
      </c>
      <c r="R34" s="1">
        <v>24887144</v>
      </c>
      <c r="S34" s="1">
        <v>41051</v>
      </c>
      <c r="T34" s="1">
        <v>41051</v>
      </c>
      <c r="U34" s="1">
        <v>8069</v>
      </c>
      <c r="V34" s="1">
        <v>1</v>
      </c>
      <c r="W34" s="1">
        <v>0</v>
      </c>
    </row>
    <row r="35">
      <c r="A35" s="1">
        <v>2016</v>
      </c>
      <c r="B35" s="1">
        <v>41</v>
      </c>
      <c r="C35" t="s">
        <v>3</v>
      </c>
      <c r="D35" s="1">
        <v>51</v>
      </c>
      <c r="E35" t="s">
        <v>6</v>
      </c>
      <c r="F35" s="1">
        <v>9</v>
      </c>
      <c r="G35" t="s">
        <v>13</v>
      </c>
      <c r="H35" s="1">
        <v>9</v>
      </c>
      <c r="I35" t="s">
        <v>85</v>
      </c>
      <c r="J35" s="1">
        <v>20</v>
      </c>
      <c r="K35" s="1">
        <v>23</v>
      </c>
      <c r="L35" s="1">
        <v>833</v>
      </c>
      <c r="M35" s="1">
        <v>27256</v>
      </c>
      <c r="N35" s="1">
        <v>45439</v>
      </c>
      <c r="O35" s="1">
        <v>1565266</v>
      </c>
      <c r="P35" s="1">
        <v>326949</v>
      </c>
      <c r="Q35" s="1">
        <v>614640</v>
      </c>
      <c r="R35" s="1">
        <v>24887144</v>
      </c>
      <c r="S35" s="1">
        <v>41051</v>
      </c>
      <c r="T35" s="1">
        <v>41051</v>
      </c>
      <c r="U35" s="1">
        <v>9009</v>
      </c>
      <c r="V35" s="1">
        <v>1</v>
      </c>
      <c r="W35" s="1">
        <v>0</v>
      </c>
    </row>
    <row r="36">
      <c r="A36" s="1">
        <v>2016</v>
      </c>
      <c r="B36" s="1">
        <v>41</v>
      </c>
      <c r="C36" t="s">
        <v>3</v>
      </c>
      <c r="D36" s="1">
        <v>51</v>
      </c>
      <c r="E36" t="s">
        <v>6</v>
      </c>
      <c r="F36" s="1">
        <v>11</v>
      </c>
      <c r="G36" t="s">
        <v>14</v>
      </c>
      <c r="H36" s="1">
        <v>1</v>
      </c>
      <c r="I36" t="s">
        <v>14</v>
      </c>
      <c r="J36" s="1">
        <v>64</v>
      </c>
      <c r="K36" s="1">
        <v>76</v>
      </c>
      <c r="L36" s="1">
        <v>5880</v>
      </c>
      <c r="M36" s="1">
        <v>27256</v>
      </c>
      <c r="N36" s="1">
        <v>45439</v>
      </c>
      <c r="O36" s="1">
        <v>1565266</v>
      </c>
      <c r="P36" s="1">
        <v>326949</v>
      </c>
      <c r="Q36" s="1">
        <v>614640</v>
      </c>
      <c r="R36" s="1">
        <v>24887144</v>
      </c>
      <c r="S36" s="1">
        <v>41051</v>
      </c>
      <c r="T36" s="1">
        <v>41051</v>
      </c>
      <c r="U36" s="1">
        <v>11001</v>
      </c>
      <c r="V36" s="1">
        <v>1</v>
      </c>
      <c r="W36" s="1">
        <v>0</v>
      </c>
    </row>
    <row r="37">
      <c r="A37" s="1">
        <v>2016</v>
      </c>
      <c r="B37" s="1">
        <v>41</v>
      </c>
      <c r="C37" t="s">
        <v>3</v>
      </c>
      <c r="D37" s="1">
        <v>51</v>
      </c>
      <c r="E37" t="s">
        <v>6</v>
      </c>
      <c r="F37" s="1">
        <v>12</v>
      </c>
      <c r="G37" t="s">
        <v>15</v>
      </c>
      <c r="H37" s="1">
        <v>57</v>
      </c>
      <c r="I37" t="s">
        <v>86</v>
      </c>
      <c r="J37" s="1">
        <v>21</v>
      </c>
      <c r="K37" s="1">
        <v>47</v>
      </c>
      <c r="L37" s="1">
        <v>708</v>
      </c>
      <c r="M37" s="1">
        <v>27256</v>
      </c>
      <c r="N37" s="1">
        <v>45439</v>
      </c>
      <c r="O37" s="1">
        <v>1565266</v>
      </c>
      <c r="P37" s="1">
        <v>326949</v>
      </c>
      <c r="Q37" s="1">
        <v>614640</v>
      </c>
      <c r="R37" s="1">
        <v>24887144</v>
      </c>
      <c r="S37" s="1">
        <v>41051</v>
      </c>
      <c r="T37" s="1">
        <v>41051</v>
      </c>
      <c r="U37" s="1">
        <v>12057</v>
      </c>
      <c r="V37" s="1">
        <v>1</v>
      </c>
      <c r="W37" s="1">
        <v>0</v>
      </c>
    </row>
    <row r="38">
      <c r="A38" s="1">
        <v>2016</v>
      </c>
      <c r="B38" s="1">
        <v>41</v>
      </c>
      <c r="C38" t="s">
        <v>3</v>
      </c>
      <c r="D38" s="1">
        <v>51</v>
      </c>
      <c r="E38" t="s">
        <v>6</v>
      </c>
      <c r="F38" s="1">
        <v>12</v>
      </c>
      <c r="G38" t="s">
        <v>15</v>
      </c>
      <c r="H38" s="1">
        <v>86</v>
      </c>
      <c r="I38" t="s">
        <v>87</v>
      </c>
      <c r="J38" s="1">
        <v>56</v>
      </c>
      <c r="K38" s="1">
        <v>86</v>
      </c>
      <c r="L38" s="1">
        <v>2732</v>
      </c>
      <c r="M38" s="1">
        <v>27256</v>
      </c>
      <c r="N38" s="1">
        <v>45439</v>
      </c>
      <c r="O38" s="1">
        <v>1565266</v>
      </c>
      <c r="P38" s="1">
        <v>326949</v>
      </c>
      <c r="Q38" s="1">
        <v>614640</v>
      </c>
      <c r="R38" s="1">
        <v>24887144</v>
      </c>
      <c r="S38" s="1">
        <v>41051</v>
      </c>
      <c r="T38" s="1">
        <v>41051</v>
      </c>
      <c r="U38" s="1">
        <v>12086</v>
      </c>
      <c r="V38" s="1">
        <v>1</v>
      </c>
      <c r="W38" s="1">
        <v>0</v>
      </c>
    </row>
    <row r="39">
      <c r="A39" s="1">
        <v>2016</v>
      </c>
      <c r="B39" s="1">
        <v>41</v>
      </c>
      <c r="C39" t="s">
        <v>3</v>
      </c>
      <c r="D39" s="1">
        <v>51</v>
      </c>
      <c r="E39" t="s">
        <v>6</v>
      </c>
      <c r="F39" s="1">
        <v>12</v>
      </c>
      <c r="G39" t="s">
        <v>15</v>
      </c>
      <c r="H39" s="1">
        <v>95</v>
      </c>
      <c r="I39" t="s">
        <v>64</v>
      </c>
      <c r="J39" s="1">
        <v>30</v>
      </c>
      <c r="K39" s="1">
        <v>49</v>
      </c>
      <c r="L39" s="1">
        <v>1354</v>
      </c>
      <c r="M39" s="1">
        <v>27256</v>
      </c>
      <c r="N39" s="1">
        <v>45439</v>
      </c>
      <c r="O39" s="1">
        <v>1565266</v>
      </c>
      <c r="P39" s="1">
        <v>326949</v>
      </c>
      <c r="Q39" s="1">
        <v>614640</v>
      </c>
      <c r="R39" s="1">
        <v>24887144</v>
      </c>
      <c r="S39" s="1">
        <v>41051</v>
      </c>
      <c r="T39" s="1">
        <v>41051</v>
      </c>
      <c r="U39" s="1">
        <v>12095</v>
      </c>
      <c r="V39" s="1">
        <v>1</v>
      </c>
      <c r="W39" s="1">
        <v>0</v>
      </c>
    </row>
    <row r="40">
      <c r="A40" s="1">
        <v>2016</v>
      </c>
      <c r="B40" s="1">
        <v>41</v>
      </c>
      <c r="C40" t="s">
        <v>3</v>
      </c>
      <c r="D40" s="1">
        <v>51</v>
      </c>
      <c r="E40" t="s">
        <v>6</v>
      </c>
      <c r="F40" s="1">
        <v>12</v>
      </c>
      <c r="G40" t="s">
        <v>15</v>
      </c>
      <c r="H40" s="1">
        <v>99</v>
      </c>
      <c r="I40" t="s">
        <v>88</v>
      </c>
      <c r="J40" s="1">
        <v>29</v>
      </c>
      <c r="K40" s="1">
        <v>43</v>
      </c>
      <c r="L40" s="1">
        <v>1226</v>
      </c>
      <c r="M40" s="1">
        <v>27256</v>
      </c>
      <c r="N40" s="1">
        <v>45439</v>
      </c>
      <c r="O40" s="1">
        <v>1565266</v>
      </c>
      <c r="P40" s="1">
        <v>326949</v>
      </c>
      <c r="Q40" s="1">
        <v>614640</v>
      </c>
      <c r="R40" s="1">
        <v>24887144</v>
      </c>
      <c r="S40" s="1">
        <v>41051</v>
      </c>
      <c r="T40" s="1">
        <v>41051</v>
      </c>
      <c r="U40" s="1">
        <v>12099</v>
      </c>
      <c r="V40" s="1">
        <v>1</v>
      </c>
      <c r="W40" s="1">
        <v>0</v>
      </c>
    </row>
    <row r="41">
      <c r="A41" s="1">
        <v>2016</v>
      </c>
      <c r="B41" s="1">
        <v>41</v>
      </c>
      <c r="C41" t="s">
        <v>3</v>
      </c>
      <c r="D41" s="1">
        <v>51</v>
      </c>
      <c r="E41" t="s">
        <v>6</v>
      </c>
      <c r="F41" s="1">
        <v>12</v>
      </c>
      <c r="G41" t="s">
        <v>15</v>
      </c>
      <c r="H41" s="1">
        <v>103</v>
      </c>
      <c r="I41" t="s">
        <v>89</v>
      </c>
      <c r="J41" s="1">
        <v>22</v>
      </c>
      <c r="K41" s="1">
        <v>36</v>
      </c>
      <c r="L41" s="1">
        <v>1024</v>
      </c>
      <c r="M41" s="1">
        <v>27256</v>
      </c>
      <c r="N41" s="1">
        <v>45439</v>
      </c>
      <c r="O41" s="1">
        <v>1565266</v>
      </c>
      <c r="P41" s="1">
        <v>326949</v>
      </c>
      <c r="Q41" s="1">
        <v>614640</v>
      </c>
      <c r="R41" s="1">
        <v>24887144</v>
      </c>
      <c r="S41" s="1">
        <v>41051</v>
      </c>
      <c r="T41" s="1">
        <v>41051</v>
      </c>
      <c r="U41" s="1">
        <v>12103</v>
      </c>
      <c r="V41" s="1">
        <v>1</v>
      </c>
      <c r="W41" s="1">
        <v>0</v>
      </c>
    </row>
    <row r="42">
      <c r="A42" s="1">
        <v>2016</v>
      </c>
      <c r="B42" s="1">
        <v>41</v>
      </c>
      <c r="C42" t="s">
        <v>3</v>
      </c>
      <c r="D42" s="1">
        <v>51</v>
      </c>
      <c r="E42" t="s">
        <v>6</v>
      </c>
      <c r="F42" s="1">
        <v>13</v>
      </c>
      <c r="G42" t="s">
        <v>16</v>
      </c>
      <c r="H42" s="1">
        <v>89</v>
      </c>
      <c r="I42" t="s">
        <v>90</v>
      </c>
      <c r="J42" s="1">
        <v>24</v>
      </c>
      <c r="K42" s="1">
        <v>29</v>
      </c>
      <c r="L42" s="1">
        <v>795</v>
      </c>
      <c r="M42" s="1">
        <v>27256</v>
      </c>
      <c r="N42" s="1">
        <v>45439</v>
      </c>
      <c r="O42" s="1">
        <v>1565266</v>
      </c>
      <c r="P42" s="1">
        <v>326949</v>
      </c>
      <c r="Q42" s="1">
        <v>614640</v>
      </c>
      <c r="R42" s="1">
        <v>24887144</v>
      </c>
      <c r="S42" s="1">
        <v>41051</v>
      </c>
      <c r="T42" s="1">
        <v>41051</v>
      </c>
      <c r="U42" s="1">
        <v>13089</v>
      </c>
      <c r="V42" s="1">
        <v>1</v>
      </c>
      <c r="W42" s="1">
        <v>0</v>
      </c>
    </row>
    <row r="43">
      <c r="A43" s="1">
        <v>2016</v>
      </c>
      <c r="B43" s="1">
        <v>41</v>
      </c>
      <c r="C43" t="s">
        <v>3</v>
      </c>
      <c r="D43" s="1">
        <v>51</v>
      </c>
      <c r="E43" t="s">
        <v>6</v>
      </c>
      <c r="F43" s="1">
        <v>13</v>
      </c>
      <c r="G43" t="s">
        <v>16</v>
      </c>
      <c r="H43" s="1">
        <v>121</v>
      </c>
      <c r="I43" t="s">
        <v>91</v>
      </c>
      <c r="J43" s="1">
        <v>31</v>
      </c>
      <c r="K43" s="1">
        <v>41</v>
      </c>
      <c r="L43" s="1">
        <v>3296</v>
      </c>
      <c r="M43" s="1">
        <v>27256</v>
      </c>
      <c r="N43" s="1">
        <v>45439</v>
      </c>
      <c r="O43" s="1">
        <v>1565266</v>
      </c>
      <c r="P43" s="1">
        <v>326949</v>
      </c>
      <c r="Q43" s="1">
        <v>614640</v>
      </c>
      <c r="R43" s="1">
        <v>24887144</v>
      </c>
      <c r="S43" s="1">
        <v>41051</v>
      </c>
      <c r="T43" s="1">
        <v>41051</v>
      </c>
      <c r="U43" s="1">
        <v>13121</v>
      </c>
      <c r="V43" s="1">
        <v>1</v>
      </c>
      <c r="W43" s="1">
        <v>0</v>
      </c>
    </row>
    <row r="44">
      <c r="A44" s="1">
        <v>2016</v>
      </c>
      <c r="B44" s="1">
        <v>41</v>
      </c>
      <c r="C44" t="s">
        <v>3</v>
      </c>
      <c r="D44" s="1">
        <v>51</v>
      </c>
      <c r="E44" t="s">
        <v>6</v>
      </c>
      <c r="F44" s="1">
        <v>15</v>
      </c>
      <c r="G44" t="s">
        <v>17</v>
      </c>
      <c r="H44" s="1">
        <v>1</v>
      </c>
      <c r="I44" t="s">
        <v>92</v>
      </c>
      <c r="J44" s="1">
        <v>43</v>
      </c>
      <c r="K44" s="1">
        <v>76</v>
      </c>
      <c r="L44" s="1">
        <v>2095</v>
      </c>
      <c r="M44" s="1">
        <v>27256</v>
      </c>
      <c r="N44" s="1">
        <v>45439</v>
      </c>
      <c r="O44" s="1">
        <v>1565266</v>
      </c>
      <c r="P44" s="1">
        <v>326949</v>
      </c>
      <c r="Q44" s="1">
        <v>614640</v>
      </c>
      <c r="R44" s="1">
        <v>24887144</v>
      </c>
      <c r="S44" s="1">
        <v>41051</v>
      </c>
      <c r="T44" s="1">
        <v>41051</v>
      </c>
      <c r="U44" s="1">
        <v>15001</v>
      </c>
      <c r="V44" s="1">
        <v>1</v>
      </c>
      <c r="W44" s="1">
        <v>0</v>
      </c>
    </row>
    <row r="45">
      <c r="A45" s="1">
        <v>2016</v>
      </c>
      <c r="B45" s="1">
        <v>41</v>
      </c>
      <c r="C45" t="s">
        <v>3</v>
      </c>
      <c r="D45" s="1">
        <v>51</v>
      </c>
      <c r="E45" t="s">
        <v>6</v>
      </c>
      <c r="F45" s="1">
        <v>15</v>
      </c>
      <c r="G45" t="s">
        <v>17</v>
      </c>
      <c r="H45" s="1">
        <v>3</v>
      </c>
      <c r="I45" t="s">
        <v>93</v>
      </c>
      <c r="J45" s="1">
        <v>72</v>
      </c>
      <c r="K45" s="1">
        <v>112</v>
      </c>
      <c r="L45" s="1">
        <v>2808</v>
      </c>
      <c r="M45" s="1">
        <v>27256</v>
      </c>
      <c r="N45" s="1">
        <v>45439</v>
      </c>
      <c r="O45" s="1">
        <v>1565266</v>
      </c>
      <c r="P45" s="1">
        <v>326949</v>
      </c>
      <c r="Q45" s="1">
        <v>614640</v>
      </c>
      <c r="R45" s="1">
        <v>24887144</v>
      </c>
      <c r="S45" s="1">
        <v>41051</v>
      </c>
      <c r="T45" s="1">
        <v>41051</v>
      </c>
      <c r="U45" s="1">
        <v>15003</v>
      </c>
      <c r="V45" s="1">
        <v>1</v>
      </c>
      <c r="W45" s="1">
        <v>0</v>
      </c>
    </row>
    <row r="46">
      <c r="A46" s="1">
        <v>2016</v>
      </c>
      <c r="B46" s="1">
        <v>41</v>
      </c>
      <c r="C46" t="s">
        <v>3</v>
      </c>
      <c r="D46" s="1">
        <v>51</v>
      </c>
      <c r="E46" t="s">
        <v>6</v>
      </c>
      <c r="F46" s="1">
        <v>15</v>
      </c>
      <c r="G46" t="s">
        <v>17</v>
      </c>
      <c r="H46" s="1">
        <v>9</v>
      </c>
      <c r="I46" t="s">
        <v>94</v>
      </c>
      <c r="J46" s="1">
        <v>39</v>
      </c>
      <c r="K46" s="1">
        <v>56</v>
      </c>
      <c r="L46" s="1">
        <v>2041</v>
      </c>
      <c r="M46" s="1">
        <v>27256</v>
      </c>
      <c r="N46" s="1">
        <v>45439</v>
      </c>
      <c r="O46" s="1">
        <v>1565266</v>
      </c>
      <c r="P46" s="1">
        <v>326949</v>
      </c>
      <c r="Q46" s="1">
        <v>614640</v>
      </c>
      <c r="R46" s="1">
        <v>24887144</v>
      </c>
      <c r="S46" s="1">
        <v>41051</v>
      </c>
      <c r="T46" s="1">
        <v>41051</v>
      </c>
      <c r="U46" s="1">
        <v>15009</v>
      </c>
      <c r="V46" s="1">
        <v>1</v>
      </c>
      <c r="W46" s="1">
        <v>0</v>
      </c>
    </row>
    <row r="47">
      <c r="A47" s="1">
        <v>2016</v>
      </c>
      <c r="B47" s="1">
        <v>41</v>
      </c>
      <c r="C47" t="s">
        <v>3</v>
      </c>
      <c r="D47" s="1">
        <v>51</v>
      </c>
      <c r="E47" t="s">
        <v>6</v>
      </c>
      <c r="F47" s="1">
        <v>16</v>
      </c>
      <c r="G47" t="s">
        <v>18</v>
      </c>
      <c r="H47" s="1">
        <v>1</v>
      </c>
      <c r="I47" t="s">
        <v>95</v>
      </c>
      <c r="J47" s="1">
        <v>104</v>
      </c>
      <c r="K47" s="1">
        <v>175</v>
      </c>
      <c r="L47" s="1">
        <v>4799</v>
      </c>
      <c r="M47" s="1">
        <v>27256</v>
      </c>
      <c r="N47" s="1">
        <v>45439</v>
      </c>
      <c r="O47" s="1">
        <v>1565266</v>
      </c>
      <c r="P47" s="1">
        <v>326949</v>
      </c>
      <c r="Q47" s="1">
        <v>614640</v>
      </c>
      <c r="R47" s="1">
        <v>24887144</v>
      </c>
      <c r="S47" s="1">
        <v>41051</v>
      </c>
      <c r="T47" s="1">
        <v>41051</v>
      </c>
      <c r="U47" s="1">
        <v>16001</v>
      </c>
      <c r="V47" s="1">
        <v>1</v>
      </c>
      <c r="W47" s="1">
        <v>0</v>
      </c>
    </row>
    <row r="48">
      <c r="A48" s="1">
        <v>2016</v>
      </c>
      <c r="B48" s="1">
        <v>41</v>
      </c>
      <c r="C48" t="s">
        <v>3</v>
      </c>
      <c r="D48" s="1">
        <v>51</v>
      </c>
      <c r="E48" t="s">
        <v>6</v>
      </c>
      <c r="F48" s="1">
        <v>16</v>
      </c>
      <c r="G48" t="s">
        <v>18</v>
      </c>
      <c r="H48" s="1">
        <v>27</v>
      </c>
      <c r="I48" t="s">
        <v>96</v>
      </c>
      <c r="J48" s="1">
        <v>32</v>
      </c>
      <c r="K48" s="1">
        <v>59</v>
      </c>
      <c r="L48" s="1">
        <v>1324</v>
      </c>
      <c r="M48" s="1">
        <v>27256</v>
      </c>
      <c r="N48" s="1">
        <v>45439</v>
      </c>
      <c r="O48" s="1">
        <v>1565266</v>
      </c>
      <c r="P48" s="1">
        <v>326949</v>
      </c>
      <c r="Q48" s="1">
        <v>614640</v>
      </c>
      <c r="R48" s="1">
        <v>24887144</v>
      </c>
      <c r="S48" s="1">
        <v>41051</v>
      </c>
      <c r="T48" s="1">
        <v>41051</v>
      </c>
      <c r="U48" s="1">
        <v>16027</v>
      </c>
      <c r="V48" s="1">
        <v>1</v>
      </c>
      <c r="W48" s="1">
        <v>0</v>
      </c>
    </row>
    <row r="49">
      <c r="A49" s="1">
        <v>2016</v>
      </c>
      <c r="B49" s="1">
        <v>41</v>
      </c>
      <c r="C49" t="s">
        <v>3</v>
      </c>
      <c r="D49" s="1">
        <v>51</v>
      </c>
      <c r="E49" t="s">
        <v>6</v>
      </c>
      <c r="F49" s="1">
        <v>16</v>
      </c>
      <c r="G49" t="s">
        <v>18</v>
      </c>
      <c r="H49" s="1">
        <v>55</v>
      </c>
      <c r="I49" t="s">
        <v>97</v>
      </c>
      <c r="J49" s="1">
        <v>24</v>
      </c>
      <c r="K49" s="1">
        <v>50</v>
      </c>
      <c r="L49" s="1">
        <v>885</v>
      </c>
      <c r="M49" s="1">
        <v>27256</v>
      </c>
      <c r="N49" s="1">
        <v>45439</v>
      </c>
      <c r="O49" s="1">
        <v>1565266</v>
      </c>
      <c r="P49" s="1">
        <v>326949</v>
      </c>
      <c r="Q49" s="1">
        <v>614640</v>
      </c>
      <c r="R49" s="1">
        <v>24887144</v>
      </c>
      <c r="S49" s="1">
        <v>41051</v>
      </c>
      <c r="T49" s="1">
        <v>41051</v>
      </c>
      <c r="U49" s="1">
        <v>16055</v>
      </c>
      <c r="V49" s="1">
        <v>1</v>
      </c>
      <c r="W49" s="1">
        <v>0</v>
      </c>
    </row>
    <row r="50">
      <c r="A50" s="1">
        <v>2016</v>
      </c>
      <c r="B50" s="1">
        <v>41</v>
      </c>
      <c r="C50" t="s">
        <v>3</v>
      </c>
      <c r="D50" s="1">
        <v>51</v>
      </c>
      <c r="E50" t="s">
        <v>6</v>
      </c>
      <c r="F50" s="1">
        <v>17</v>
      </c>
      <c r="G50" t="s">
        <v>19</v>
      </c>
      <c r="H50" s="1">
        <v>31</v>
      </c>
      <c r="I50" t="s">
        <v>98</v>
      </c>
      <c r="J50" s="1">
        <v>148</v>
      </c>
      <c r="K50" s="1">
        <v>188</v>
      </c>
      <c r="L50" s="1">
        <v>8062</v>
      </c>
      <c r="M50" s="1">
        <v>27256</v>
      </c>
      <c r="N50" s="1">
        <v>45439</v>
      </c>
      <c r="O50" s="1">
        <v>1565266</v>
      </c>
      <c r="P50" s="1">
        <v>326949</v>
      </c>
      <c r="Q50" s="1">
        <v>614640</v>
      </c>
      <c r="R50" s="1">
        <v>24887144</v>
      </c>
      <c r="S50" s="1">
        <v>41051</v>
      </c>
      <c r="T50" s="1">
        <v>41051</v>
      </c>
      <c r="U50" s="1">
        <v>17031</v>
      </c>
      <c r="V50" s="1">
        <v>1</v>
      </c>
      <c r="W50" s="1">
        <v>0</v>
      </c>
    </row>
    <row r="51">
      <c r="A51" s="1">
        <v>2016</v>
      </c>
      <c r="B51" s="1">
        <v>41</v>
      </c>
      <c r="C51" t="s">
        <v>3</v>
      </c>
      <c r="D51" s="1">
        <v>51</v>
      </c>
      <c r="E51" t="s">
        <v>6</v>
      </c>
      <c r="F51" s="1">
        <v>18</v>
      </c>
      <c r="G51" t="s">
        <v>20</v>
      </c>
      <c r="H51" s="1">
        <v>97</v>
      </c>
      <c r="I51" t="s">
        <v>99</v>
      </c>
      <c r="J51" s="1">
        <v>20</v>
      </c>
      <c r="K51" s="1">
        <v>25</v>
      </c>
      <c r="L51" s="1">
        <v>880</v>
      </c>
      <c r="M51" s="1">
        <v>27256</v>
      </c>
      <c r="N51" s="1">
        <v>45439</v>
      </c>
      <c r="O51" s="1">
        <v>1565266</v>
      </c>
      <c r="P51" s="1">
        <v>326949</v>
      </c>
      <c r="Q51" s="1">
        <v>614640</v>
      </c>
      <c r="R51" s="1">
        <v>24887144</v>
      </c>
      <c r="S51" s="1">
        <v>41051</v>
      </c>
      <c r="T51" s="1">
        <v>41051</v>
      </c>
      <c r="U51" s="1">
        <v>18097</v>
      </c>
      <c r="V51" s="1">
        <v>1</v>
      </c>
      <c r="W51" s="1">
        <v>0</v>
      </c>
    </row>
    <row r="52">
      <c r="A52" s="1">
        <v>2016</v>
      </c>
      <c r="B52" s="1">
        <v>41</v>
      </c>
      <c r="C52" t="s">
        <v>3</v>
      </c>
      <c r="D52" s="1">
        <v>51</v>
      </c>
      <c r="E52" t="s">
        <v>6</v>
      </c>
      <c r="F52" s="1">
        <v>19</v>
      </c>
      <c r="G52" t="s">
        <v>21</v>
      </c>
      <c r="H52" s="1">
        <v>153</v>
      </c>
      <c r="I52" t="s">
        <v>100</v>
      </c>
      <c r="J52" s="1">
        <v>21</v>
      </c>
      <c r="K52" s="1">
        <v>24</v>
      </c>
      <c r="L52" s="1">
        <v>547</v>
      </c>
      <c r="M52" s="1">
        <v>27256</v>
      </c>
      <c r="N52" s="1">
        <v>45439</v>
      </c>
      <c r="O52" s="1">
        <v>1565266</v>
      </c>
      <c r="P52" s="1">
        <v>326949</v>
      </c>
      <c r="Q52" s="1">
        <v>614640</v>
      </c>
      <c r="R52" s="1">
        <v>24887144</v>
      </c>
      <c r="S52" s="1">
        <v>41051</v>
      </c>
      <c r="T52" s="1">
        <v>41051</v>
      </c>
      <c r="U52" s="1">
        <v>19153</v>
      </c>
      <c r="V52" s="1">
        <v>1</v>
      </c>
      <c r="W52" s="1">
        <v>0</v>
      </c>
    </row>
    <row r="53">
      <c r="A53" s="1">
        <v>2016</v>
      </c>
      <c r="B53" s="1">
        <v>41</v>
      </c>
      <c r="C53" t="s">
        <v>3</v>
      </c>
      <c r="D53" s="1">
        <v>51</v>
      </c>
      <c r="E53" t="s">
        <v>6</v>
      </c>
      <c r="F53" s="1">
        <v>22</v>
      </c>
      <c r="G53" t="s">
        <v>22</v>
      </c>
      <c r="H53" s="1">
        <v>71</v>
      </c>
      <c r="I53" t="s">
        <v>101</v>
      </c>
      <c r="J53" s="1">
        <v>37</v>
      </c>
      <c r="K53" s="1">
        <v>44</v>
      </c>
      <c r="L53" s="1">
        <v>1878</v>
      </c>
      <c r="M53" s="1">
        <v>27256</v>
      </c>
      <c r="N53" s="1">
        <v>45439</v>
      </c>
      <c r="O53" s="1">
        <v>1565266</v>
      </c>
      <c r="P53" s="1">
        <v>326949</v>
      </c>
      <c r="Q53" s="1">
        <v>614640</v>
      </c>
      <c r="R53" s="1">
        <v>24887144</v>
      </c>
      <c r="S53" s="1">
        <v>41051</v>
      </c>
      <c r="T53" s="1">
        <v>41051</v>
      </c>
      <c r="U53" s="1">
        <v>22071</v>
      </c>
      <c r="V53" s="1">
        <v>1</v>
      </c>
      <c r="W53" s="1">
        <v>0</v>
      </c>
    </row>
    <row r="54">
      <c r="A54" s="1">
        <v>2016</v>
      </c>
      <c r="B54" s="1">
        <v>41</v>
      </c>
      <c r="C54" t="s">
        <v>3</v>
      </c>
      <c r="D54" s="1">
        <v>51</v>
      </c>
      <c r="E54" t="s">
        <v>6</v>
      </c>
      <c r="F54" s="1">
        <v>23</v>
      </c>
      <c r="G54" t="s">
        <v>23</v>
      </c>
      <c r="H54" s="1">
        <v>5</v>
      </c>
      <c r="I54" t="s">
        <v>102</v>
      </c>
      <c r="J54" s="1">
        <v>21</v>
      </c>
      <c r="K54" s="1">
        <v>37</v>
      </c>
      <c r="L54" s="1">
        <v>1344</v>
      </c>
      <c r="M54" s="1">
        <v>27256</v>
      </c>
      <c r="N54" s="1">
        <v>45439</v>
      </c>
      <c r="O54" s="1">
        <v>1565266</v>
      </c>
      <c r="P54" s="1">
        <v>326949</v>
      </c>
      <c r="Q54" s="1">
        <v>614640</v>
      </c>
      <c r="R54" s="1">
        <v>24887144</v>
      </c>
      <c r="S54" s="1">
        <v>41051</v>
      </c>
      <c r="T54" s="1">
        <v>41051</v>
      </c>
      <c r="U54" s="1">
        <v>23005</v>
      </c>
      <c r="V54" s="1">
        <v>1</v>
      </c>
      <c r="W54" s="1">
        <v>0</v>
      </c>
    </row>
    <row r="55">
      <c r="A55" s="1">
        <v>2016</v>
      </c>
      <c r="B55" s="1">
        <v>41</v>
      </c>
      <c r="C55" t="s">
        <v>3</v>
      </c>
      <c r="D55" s="1">
        <v>51</v>
      </c>
      <c r="E55" t="s">
        <v>6</v>
      </c>
      <c r="F55" s="1">
        <v>24</v>
      </c>
      <c r="G55" t="s">
        <v>24</v>
      </c>
      <c r="H55" s="1">
        <v>31</v>
      </c>
      <c r="I55" t="s">
        <v>103</v>
      </c>
      <c r="J55" s="1">
        <v>23</v>
      </c>
      <c r="K55" s="1">
        <v>42</v>
      </c>
      <c r="L55" s="1">
        <v>1858</v>
      </c>
      <c r="M55" s="1">
        <v>27256</v>
      </c>
      <c r="N55" s="1">
        <v>45439</v>
      </c>
      <c r="O55" s="1">
        <v>1565266</v>
      </c>
      <c r="P55" s="1">
        <v>326949</v>
      </c>
      <c r="Q55" s="1">
        <v>614640</v>
      </c>
      <c r="R55" s="1">
        <v>24887144</v>
      </c>
      <c r="S55" s="1">
        <v>41051</v>
      </c>
      <c r="T55" s="1">
        <v>41051</v>
      </c>
      <c r="U55" s="1">
        <v>24031</v>
      </c>
      <c r="V55" s="1">
        <v>1</v>
      </c>
      <c r="W55" s="1">
        <v>0</v>
      </c>
    </row>
    <row r="56">
      <c r="A56" s="1">
        <v>2016</v>
      </c>
      <c r="B56" s="1">
        <v>41</v>
      </c>
      <c r="C56" t="s">
        <v>3</v>
      </c>
      <c r="D56" s="1">
        <v>51</v>
      </c>
      <c r="E56" t="s">
        <v>6</v>
      </c>
      <c r="F56" s="1">
        <v>25</v>
      </c>
      <c r="G56" t="s">
        <v>25</v>
      </c>
      <c r="H56" s="1">
        <v>17</v>
      </c>
      <c r="I56" t="s">
        <v>104</v>
      </c>
      <c r="J56" s="1">
        <v>52</v>
      </c>
      <c r="K56" s="1">
        <v>85</v>
      </c>
      <c r="L56" s="1">
        <v>4576</v>
      </c>
      <c r="M56" s="1">
        <v>27256</v>
      </c>
      <c r="N56" s="1">
        <v>45439</v>
      </c>
      <c r="O56" s="1">
        <v>1565266</v>
      </c>
      <c r="P56" s="1">
        <v>326949</v>
      </c>
      <c r="Q56" s="1">
        <v>614640</v>
      </c>
      <c r="R56" s="1">
        <v>24887144</v>
      </c>
      <c r="S56" s="1">
        <v>41051</v>
      </c>
      <c r="T56" s="1">
        <v>41051</v>
      </c>
      <c r="U56" s="1">
        <v>25017</v>
      </c>
      <c r="V56" s="1">
        <v>1</v>
      </c>
      <c r="W56" s="1">
        <v>0</v>
      </c>
    </row>
    <row r="57">
      <c r="A57" s="1">
        <v>2016</v>
      </c>
      <c r="B57" s="1">
        <v>41</v>
      </c>
      <c r="C57" t="s">
        <v>3</v>
      </c>
      <c r="D57" s="1">
        <v>51</v>
      </c>
      <c r="E57" t="s">
        <v>6</v>
      </c>
      <c r="F57" s="1">
        <v>25</v>
      </c>
      <c r="G57" t="s">
        <v>25</v>
      </c>
      <c r="H57" s="1">
        <v>25</v>
      </c>
      <c r="I57" t="s">
        <v>105</v>
      </c>
      <c r="J57" s="1">
        <v>58</v>
      </c>
      <c r="K57" s="1">
        <v>62</v>
      </c>
      <c r="L57" s="1">
        <v>2727</v>
      </c>
      <c r="M57" s="1">
        <v>27256</v>
      </c>
      <c r="N57" s="1">
        <v>45439</v>
      </c>
      <c r="O57" s="1">
        <v>1565266</v>
      </c>
      <c r="P57" s="1">
        <v>326949</v>
      </c>
      <c r="Q57" s="1">
        <v>614640</v>
      </c>
      <c r="R57" s="1">
        <v>24887144</v>
      </c>
      <c r="S57" s="1">
        <v>41051</v>
      </c>
      <c r="T57" s="1">
        <v>41051</v>
      </c>
      <c r="U57" s="1">
        <v>25025</v>
      </c>
      <c r="V57" s="1">
        <v>1</v>
      </c>
      <c r="W57" s="1">
        <v>0</v>
      </c>
    </row>
    <row r="58">
      <c r="A58" s="1">
        <v>2016</v>
      </c>
      <c r="B58" s="1">
        <v>41</v>
      </c>
      <c r="C58" t="s">
        <v>3</v>
      </c>
      <c r="D58" s="1">
        <v>51</v>
      </c>
      <c r="E58" t="s">
        <v>6</v>
      </c>
      <c r="F58" s="1">
        <v>26</v>
      </c>
      <c r="G58" t="s">
        <v>26</v>
      </c>
      <c r="H58" s="1">
        <v>161</v>
      </c>
      <c r="I58" t="s">
        <v>106</v>
      </c>
      <c r="J58" s="1">
        <v>21</v>
      </c>
      <c r="K58" s="1">
        <v>34</v>
      </c>
      <c r="L58" s="1">
        <v>1220</v>
      </c>
      <c r="M58" s="1">
        <v>27256</v>
      </c>
      <c r="N58" s="1">
        <v>45439</v>
      </c>
      <c r="O58" s="1">
        <v>1565266</v>
      </c>
      <c r="P58" s="1">
        <v>326949</v>
      </c>
      <c r="Q58" s="1">
        <v>614640</v>
      </c>
      <c r="R58" s="1">
        <v>24887144</v>
      </c>
      <c r="S58" s="1">
        <v>41051</v>
      </c>
      <c r="T58" s="1">
        <v>41051</v>
      </c>
      <c r="U58" s="1">
        <v>26161</v>
      </c>
      <c r="V58" s="1">
        <v>1</v>
      </c>
      <c r="W58" s="1">
        <v>0</v>
      </c>
    </row>
    <row r="59">
      <c r="A59" s="1">
        <v>2016</v>
      </c>
      <c r="B59" s="1">
        <v>41</v>
      </c>
      <c r="C59" t="s">
        <v>3</v>
      </c>
      <c r="D59" s="1">
        <v>51</v>
      </c>
      <c r="E59" t="s">
        <v>6</v>
      </c>
      <c r="F59" s="1">
        <v>27</v>
      </c>
      <c r="G59" t="s">
        <v>27</v>
      </c>
      <c r="H59" s="1">
        <v>53</v>
      </c>
      <c r="I59" t="s">
        <v>107</v>
      </c>
      <c r="J59" s="1">
        <v>80</v>
      </c>
      <c r="K59" s="1">
        <v>127</v>
      </c>
      <c r="L59" s="1">
        <v>4000</v>
      </c>
      <c r="M59" s="1">
        <v>27256</v>
      </c>
      <c r="N59" s="1">
        <v>45439</v>
      </c>
      <c r="O59" s="1">
        <v>1565266</v>
      </c>
      <c r="P59" s="1">
        <v>326949</v>
      </c>
      <c r="Q59" s="1">
        <v>614640</v>
      </c>
      <c r="R59" s="1">
        <v>24887144</v>
      </c>
      <c r="S59" s="1">
        <v>41051</v>
      </c>
      <c r="T59" s="1">
        <v>41051</v>
      </c>
      <c r="U59" s="1">
        <v>27053</v>
      </c>
      <c r="V59" s="1">
        <v>1</v>
      </c>
      <c r="W59" s="1">
        <v>0</v>
      </c>
    </row>
    <row r="60">
      <c r="A60" s="1">
        <v>2016</v>
      </c>
      <c r="B60" s="1">
        <v>41</v>
      </c>
      <c r="C60" t="s">
        <v>3</v>
      </c>
      <c r="D60" s="1">
        <v>51</v>
      </c>
      <c r="E60" t="s">
        <v>6</v>
      </c>
      <c r="F60" s="1">
        <v>27</v>
      </c>
      <c r="G60" t="s">
        <v>27</v>
      </c>
      <c r="H60" s="1">
        <v>123</v>
      </c>
      <c r="I60" t="s">
        <v>108</v>
      </c>
      <c r="J60" s="1">
        <v>23</v>
      </c>
      <c r="K60" s="1">
        <v>38</v>
      </c>
      <c r="L60" s="1">
        <v>1444</v>
      </c>
      <c r="M60" s="1">
        <v>27256</v>
      </c>
      <c r="N60" s="1">
        <v>45439</v>
      </c>
      <c r="O60" s="1">
        <v>1565266</v>
      </c>
      <c r="P60" s="1">
        <v>326949</v>
      </c>
      <c r="Q60" s="1">
        <v>614640</v>
      </c>
      <c r="R60" s="1">
        <v>24887144</v>
      </c>
      <c r="S60" s="1">
        <v>41051</v>
      </c>
      <c r="T60" s="1">
        <v>41051</v>
      </c>
      <c r="U60" s="1">
        <v>27123</v>
      </c>
      <c r="V60" s="1">
        <v>1</v>
      </c>
      <c r="W60" s="1">
        <v>0</v>
      </c>
    </row>
    <row r="61">
      <c r="A61" s="1">
        <v>2016</v>
      </c>
      <c r="B61" s="1">
        <v>41</v>
      </c>
      <c r="C61" t="s">
        <v>3</v>
      </c>
      <c r="D61" s="1">
        <v>51</v>
      </c>
      <c r="E61" t="s">
        <v>6</v>
      </c>
      <c r="F61" s="1">
        <v>30</v>
      </c>
      <c r="G61" t="s">
        <v>28</v>
      </c>
      <c r="H61" s="1">
        <v>31</v>
      </c>
      <c r="I61" t="s">
        <v>109</v>
      </c>
      <c r="J61" s="1">
        <v>24</v>
      </c>
      <c r="K61" s="1">
        <v>31</v>
      </c>
      <c r="L61" s="1">
        <v>1591</v>
      </c>
      <c r="M61" s="1">
        <v>27256</v>
      </c>
      <c r="N61" s="1">
        <v>45439</v>
      </c>
      <c r="O61" s="1">
        <v>1565266</v>
      </c>
      <c r="P61" s="1">
        <v>326949</v>
      </c>
      <c r="Q61" s="1">
        <v>614640</v>
      </c>
      <c r="R61" s="1">
        <v>24887144</v>
      </c>
      <c r="S61" s="1">
        <v>41051</v>
      </c>
      <c r="T61" s="1">
        <v>41051</v>
      </c>
      <c r="U61" s="1">
        <v>30031</v>
      </c>
      <c r="V61" s="1">
        <v>1</v>
      </c>
      <c r="W61" s="1">
        <v>0</v>
      </c>
    </row>
    <row r="62">
      <c r="A62" s="1">
        <v>2016</v>
      </c>
      <c r="B62" s="1">
        <v>41</v>
      </c>
      <c r="C62" t="s">
        <v>3</v>
      </c>
      <c r="D62" s="1">
        <v>51</v>
      </c>
      <c r="E62" t="s">
        <v>6</v>
      </c>
      <c r="F62" s="1">
        <v>30</v>
      </c>
      <c r="G62" t="s">
        <v>28</v>
      </c>
      <c r="H62" s="1">
        <v>63</v>
      </c>
      <c r="I62" t="s">
        <v>110</v>
      </c>
      <c r="J62" s="1">
        <v>56</v>
      </c>
      <c r="K62" s="1">
        <v>75</v>
      </c>
      <c r="L62" s="1">
        <v>2078</v>
      </c>
      <c r="M62" s="1">
        <v>27256</v>
      </c>
      <c r="N62" s="1">
        <v>45439</v>
      </c>
      <c r="O62" s="1">
        <v>1565266</v>
      </c>
      <c r="P62" s="1">
        <v>326949</v>
      </c>
      <c r="Q62" s="1">
        <v>614640</v>
      </c>
      <c r="R62" s="1">
        <v>24887144</v>
      </c>
      <c r="S62" s="1">
        <v>41051</v>
      </c>
      <c r="T62" s="1">
        <v>41051</v>
      </c>
      <c r="U62" s="1">
        <v>30063</v>
      </c>
      <c r="V62" s="1">
        <v>1</v>
      </c>
      <c r="W62" s="1">
        <v>0</v>
      </c>
    </row>
    <row r="63">
      <c r="A63" s="1">
        <v>2016</v>
      </c>
      <c r="B63" s="1">
        <v>41</v>
      </c>
      <c r="C63" t="s">
        <v>3</v>
      </c>
      <c r="D63" s="1">
        <v>51</v>
      </c>
      <c r="E63" t="s">
        <v>6</v>
      </c>
      <c r="F63" s="1">
        <v>30</v>
      </c>
      <c r="G63" t="s">
        <v>28</v>
      </c>
      <c r="H63" s="1">
        <v>111</v>
      </c>
      <c r="I63" t="s">
        <v>111</v>
      </c>
      <c r="J63" s="1">
        <v>21</v>
      </c>
      <c r="K63" s="1">
        <v>45</v>
      </c>
      <c r="L63" s="1">
        <v>801</v>
      </c>
      <c r="M63" s="1">
        <v>27256</v>
      </c>
      <c r="N63" s="1">
        <v>45439</v>
      </c>
      <c r="O63" s="1">
        <v>1565266</v>
      </c>
      <c r="P63" s="1">
        <v>326949</v>
      </c>
      <c r="Q63" s="1">
        <v>614640</v>
      </c>
      <c r="R63" s="1">
        <v>24887144</v>
      </c>
      <c r="S63" s="1">
        <v>41051</v>
      </c>
      <c r="T63" s="1">
        <v>41051</v>
      </c>
      <c r="U63" s="1">
        <v>30111</v>
      </c>
      <c r="V63" s="1">
        <v>1</v>
      </c>
      <c r="W63" s="1">
        <v>0</v>
      </c>
    </row>
    <row r="64">
      <c r="A64" s="1">
        <v>2016</v>
      </c>
      <c r="B64" s="1">
        <v>41</v>
      </c>
      <c r="C64" t="s">
        <v>3</v>
      </c>
      <c r="D64" s="1">
        <v>51</v>
      </c>
      <c r="E64" t="s">
        <v>6</v>
      </c>
      <c r="F64" s="1">
        <v>32</v>
      </c>
      <c r="G64" t="s">
        <v>29</v>
      </c>
      <c r="H64" s="1">
        <v>3</v>
      </c>
      <c r="I64" t="s">
        <v>112</v>
      </c>
      <c r="J64" s="1">
        <v>146</v>
      </c>
      <c r="K64" s="1">
        <v>234</v>
      </c>
      <c r="L64" s="1">
        <v>6380</v>
      </c>
      <c r="M64" s="1">
        <v>27256</v>
      </c>
      <c r="N64" s="1">
        <v>45439</v>
      </c>
      <c r="O64" s="1">
        <v>1565266</v>
      </c>
      <c r="P64" s="1">
        <v>326949</v>
      </c>
      <c r="Q64" s="1">
        <v>614640</v>
      </c>
      <c r="R64" s="1">
        <v>24887144</v>
      </c>
      <c r="S64" s="1">
        <v>41051</v>
      </c>
      <c r="T64" s="1">
        <v>41051</v>
      </c>
      <c r="U64" s="1">
        <v>32003</v>
      </c>
      <c r="V64" s="1">
        <v>1</v>
      </c>
      <c r="W64" s="1">
        <v>0</v>
      </c>
    </row>
    <row r="65">
      <c r="A65" s="1">
        <v>2016</v>
      </c>
      <c r="B65" s="1">
        <v>41</v>
      </c>
      <c r="C65" t="s">
        <v>3</v>
      </c>
      <c r="D65" s="1">
        <v>51</v>
      </c>
      <c r="E65" t="s">
        <v>6</v>
      </c>
      <c r="F65" s="1">
        <v>32</v>
      </c>
      <c r="G65" t="s">
        <v>29</v>
      </c>
      <c r="H65" s="1">
        <v>31</v>
      </c>
      <c r="I65" t="s">
        <v>113</v>
      </c>
      <c r="J65" s="1">
        <v>51</v>
      </c>
      <c r="K65" s="1">
        <v>77</v>
      </c>
      <c r="L65" s="1">
        <v>2950</v>
      </c>
      <c r="M65" s="1">
        <v>27256</v>
      </c>
      <c r="N65" s="1">
        <v>45439</v>
      </c>
      <c r="O65" s="1">
        <v>1565266</v>
      </c>
      <c r="P65" s="1">
        <v>326949</v>
      </c>
      <c r="Q65" s="1">
        <v>614640</v>
      </c>
      <c r="R65" s="1">
        <v>24887144</v>
      </c>
      <c r="S65" s="1">
        <v>41051</v>
      </c>
      <c r="T65" s="1">
        <v>41051</v>
      </c>
      <c r="U65" s="1">
        <v>32031</v>
      </c>
      <c r="V65" s="1">
        <v>1</v>
      </c>
      <c r="W65" s="1">
        <v>0</v>
      </c>
    </row>
    <row r="66">
      <c r="A66" s="1">
        <v>2016</v>
      </c>
      <c r="B66" s="1">
        <v>41</v>
      </c>
      <c r="C66" t="s">
        <v>3</v>
      </c>
      <c r="D66" s="1">
        <v>51</v>
      </c>
      <c r="E66" t="s">
        <v>6</v>
      </c>
      <c r="F66" s="1">
        <v>35</v>
      </c>
      <c r="G66" t="s">
        <v>30</v>
      </c>
      <c r="H66" s="1">
        <v>1</v>
      </c>
      <c r="I66" t="s">
        <v>114</v>
      </c>
      <c r="J66" s="1">
        <v>47</v>
      </c>
      <c r="K66" s="1">
        <v>70</v>
      </c>
      <c r="L66" s="1">
        <v>2573</v>
      </c>
      <c r="M66" s="1">
        <v>27256</v>
      </c>
      <c r="N66" s="1">
        <v>45439</v>
      </c>
      <c r="O66" s="1">
        <v>1565266</v>
      </c>
      <c r="P66" s="1">
        <v>326949</v>
      </c>
      <c r="Q66" s="1">
        <v>614640</v>
      </c>
      <c r="R66" s="1">
        <v>24887144</v>
      </c>
      <c r="S66" s="1">
        <v>41051</v>
      </c>
      <c r="T66" s="1">
        <v>41051</v>
      </c>
      <c r="U66" s="1">
        <v>35001</v>
      </c>
      <c r="V66" s="1">
        <v>1</v>
      </c>
      <c r="W66" s="1">
        <v>0</v>
      </c>
    </row>
    <row r="67">
      <c r="A67" s="1">
        <v>2016</v>
      </c>
      <c r="B67" s="1">
        <v>41</v>
      </c>
      <c r="C67" t="s">
        <v>3</v>
      </c>
      <c r="D67" s="1">
        <v>51</v>
      </c>
      <c r="E67" t="s">
        <v>6</v>
      </c>
      <c r="F67" s="1">
        <v>35</v>
      </c>
      <c r="G67" t="s">
        <v>30</v>
      </c>
      <c r="H67" s="1">
        <v>49</v>
      </c>
      <c r="I67" t="s">
        <v>115</v>
      </c>
      <c r="J67" s="1">
        <v>23</v>
      </c>
      <c r="K67" s="1">
        <v>34</v>
      </c>
      <c r="L67" s="1">
        <v>1094</v>
      </c>
      <c r="M67" s="1">
        <v>27256</v>
      </c>
      <c r="N67" s="1">
        <v>45439</v>
      </c>
      <c r="O67" s="1">
        <v>1565266</v>
      </c>
      <c r="P67" s="1">
        <v>326949</v>
      </c>
      <c r="Q67" s="1">
        <v>614640</v>
      </c>
      <c r="R67" s="1">
        <v>24887144</v>
      </c>
      <c r="S67" s="1">
        <v>41051</v>
      </c>
      <c r="T67" s="1">
        <v>41051</v>
      </c>
      <c r="U67" s="1">
        <v>35049</v>
      </c>
      <c r="V67" s="1">
        <v>1</v>
      </c>
      <c r="W67" s="1">
        <v>0</v>
      </c>
    </row>
    <row r="68">
      <c r="A68" s="1">
        <v>2016</v>
      </c>
      <c r="B68" s="1">
        <v>41</v>
      </c>
      <c r="C68" t="s">
        <v>3</v>
      </c>
      <c r="D68" s="1">
        <v>51</v>
      </c>
      <c r="E68" t="s">
        <v>6</v>
      </c>
      <c r="F68" s="1">
        <v>36</v>
      </c>
      <c r="G68" t="s">
        <v>31</v>
      </c>
      <c r="H68" s="1">
        <v>47</v>
      </c>
      <c r="I68" t="s">
        <v>116</v>
      </c>
      <c r="J68" s="1">
        <v>161</v>
      </c>
      <c r="K68" s="1">
        <v>191</v>
      </c>
      <c r="L68" s="1">
        <v>8623</v>
      </c>
      <c r="M68" s="1">
        <v>27256</v>
      </c>
      <c r="N68" s="1">
        <v>45439</v>
      </c>
      <c r="O68" s="1">
        <v>1565266</v>
      </c>
      <c r="P68" s="1">
        <v>326949</v>
      </c>
      <c r="Q68" s="1">
        <v>614640</v>
      </c>
      <c r="R68" s="1">
        <v>24887144</v>
      </c>
      <c r="S68" s="1">
        <v>41051</v>
      </c>
      <c r="T68" s="1">
        <v>41051</v>
      </c>
      <c r="U68" s="1">
        <v>36047</v>
      </c>
      <c r="V68" s="1">
        <v>1</v>
      </c>
      <c r="W68" s="1">
        <v>0</v>
      </c>
    </row>
    <row r="69">
      <c r="A69" s="1">
        <v>2016</v>
      </c>
      <c r="B69" s="1">
        <v>41</v>
      </c>
      <c r="C69" t="s">
        <v>3</v>
      </c>
      <c r="D69" s="1">
        <v>51</v>
      </c>
      <c r="E69" t="s">
        <v>6</v>
      </c>
      <c r="F69" s="1">
        <v>36</v>
      </c>
      <c r="G69" t="s">
        <v>31</v>
      </c>
      <c r="H69" s="1">
        <v>61</v>
      </c>
      <c r="I69" t="s">
        <v>117</v>
      </c>
      <c r="J69" s="1">
        <v>110</v>
      </c>
      <c r="K69" s="1">
        <v>132</v>
      </c>
      <c r="L69" s="1">
        <v>10880</v>
      </c>
      <c r="M69" s="1">
        <v>27256</v>
      </c>
      <c r="N69" s="1">
        <v>45439</v>
      </c>
      <c r="O69" s="1">
        <v>1565266</v>
      </c>
      <c r="P69" s="1">
        <v>326949</v>
      </c>
      <c r="Q69" s="1">
        <v>614640</v>
      </c>
      <c r="R69" s="1">
        <v>24887144</v>
      </c>
      <c r="S69" s="1">
        <v>41051</v>
      </c>
      <c r="T69" s="1">
        <v>41051</v>
      </c>
      <c r="U69" s="1">
        <v>36061</v>
      </c>
      <c r="V69" s="1">
        <v>1</v>
      </c>
      <c r="W69" s="1">
        <v>0</v>
      </c>
    </row>
    <row r="70">
      <c r="A70" s="1">
        <v>2016</v>
      </c>
      <c r="B70" s="1">
        <v>41</v>
      </c>
      <c r="C70" t="s">
        <v>3</v>
      </c>
      <c r="D70" s="1">
        <v>51</v>
      </c>
      <c r="E70" t="s">
        <v>6</v>
      </c>
      <c r="F70" s="1">
        <v>36</v>
      </c>
      <c r="G70" t="s">
        <v>31</v>
      </c>
      <c r="H70" s="1">
        <v>81</v>
      </c>
      <c r="I70" t="s">
        <v>118</v>
      </c>
      <c r="J70" s="1">
        <v>28</v>
      </c>
      <c r="K70" s="1">
        <v>34</v>
      </c>
      <c r="L70" s="1">
        <v>1351</v>
      </c>
      <c r="M70" s="1">
        <v>27256</v>
      </c>
      <c r="N70" s="1">
        <v>45439</v>
      </c>
      <c r="O70" s="1">
        <v>1565266</v>
      </c>
      <c r="P70" s="1">
        <v>326949</v>
      </c>
      <c r="Q70" s="1">
        <v>614640</v>
      </c>
      <c r="R70" s="1">
        <v>24887144</v>
      </c>
      <c r="S70" s="1">
        <v>41051</v>
      </c>
      <c r="T70" s="1">
        <v>41051</v>
      </c>
      <c r="U70" s="1">
        <v>36081</v>
      </c>
      <c r="V70" s="1">
        <v>1</v>
      </c>
      <c r="W70" s="1">
        <v>0</v>
      </c>
    </row>
    <row r="71">
      <c r="A71" s="1">
        <v>2016</v>
      </c>
      <c r="B71" s="1">
        <v>41</v>
      </c>
      <c r="C71" t="s">
        <v>3</v>
      </c>
      <c r="D71" s="1">
        <v>51</v>
      </c>
      <c r="E71" t="s">
        <v>6</v>
      </c>
      <c r="F71" s="1">
        <v>36</v>
      </c>
      <c r="G71" t="s">
        <v>31</v>
      </c>
      <c r="H71" s="1">
        <v>119</v>
      </c>
      <c r="I71" t="s">
        <v>119</v>
      </c>
      <c r="J71" s="1">
        <v>20</v>
      </c>
      <c r="K71" s="1">
        <v>31</v>
      </c>
      <c r="L71" s="1">
        <v>2173</v>
      </c>
      <c r="M71" s="1">
        <v>27256</v>
      </c>
      <c r="N71" s="1">
        <v>45439</v>
      </c>
      <c r="O71" s="1">
        <v>1565266</v>
      </c>
      <c r="P71" s="1">
        <v>326949</v>
      </c>
      <c r="Q71" s="1">
        <v>614640</v>
      </c>
      <c r="R71" s="1">
        <v>24887144</v>
      </c>
      <c r="S71" s="1">
        <v>41051</v>
      </c>
      <c r="T71" s="1">
        <v>41051</v>
      </c>
      <c r="U71" s="1">
        <v>36119</v>
      </c>
      <c r="V71" s="1">
        <v>1</v>
      </c>
      <c r="W71" s="1">
        <v>0</v>
      </c>
    </row>
    <row r="72">
      <c r="A72" s="1">
        <v>2016</v>
      </c>
      <c r="B72" s="1">
        <v>41</v>
      </c>
      <c r="C72" t="s">
        <v>3</v>
      </c>
      <c r="D72" s="1">
        <v>51</v>
      </c>
      <c r="E72" t="s">
        <v>6</v>
      </c>
      <c r="F72" s="1">
        <v>37</v>
      </c>
      <c r="G72" t="s">
        <v>32</v>
      </c>
      <c r="H72" s="1">
        <v>21</v>
      </c>
      <c r="I72" t="s">
        <v>120</v>
      </c>
      <c r="J72" s="1">
        <v>21</v>
      </c>
      <c r="K72" s="1">
        <v>32</v>
      </c>
      <c r="L72" s="1">
        <v>1438</v>
      </c>
      <c r="M72" s="1">
        <v>27256</v>
      </c>
      <c r="N72" s="1">
        <v>45439</v>
      </c>
      <c r="O72" s="1">
        <v>1565266</v>
      </c>
      <c r="P72" s="1">
        <v>326949</v>
      </c>
      <c r="Q72" s="1">
        <v>614640</v>
      </c>
      <c r="R72" s="1">
        <v>24887144</v>
      </c>
      <c r="S72" s="1">
        <v>41051</v>
      </c>
      <c r="T72" s="1">
        <v>41051</v>
      </c>
      <c r="U72" s="1">
        <v>37021</v>
      </c>
      <c r="V72" s="1">
        <v>1</v>
      </c>
      <c r="W72" s="1">
        <v>0</v>
      </c>
    </row>
    <row r="73">
      <c r="A73" s="1">
        <v>2016</v>
      </c>
      <c r="B73" s="1">
        <v>41</v>
      </c>
      <c r="C73" t="s">
        <v>3</v>
      </c>
      <c r="D73" s="1">
        <v>51</v>
      </c>
      <c r="E73" t="s">
        <v>6</v>
      </c>
      <c r="F73" s="1">
        <v>37</v>
      </c>
      <c r="G73" t="s">
        <v>32</v>
      </c>
      <c r="H73" s="1">
        <v>119</v>
      </c>
      <c r="I73" t="s">
        <v>121</v>
      </c>
      <c r="J73" s="1">
        <v>23</v>
      </c>
      <c r="K73" s="1">
        <v>36</v>
      </c>
      <c r="L73" s="1">
        <v>1160</v>
      </c>
      <c r="M73" s="1">
        <v>27256</v>
      </c>
      <c r="N73" s="1">
        <v>45439</v>
      </c>
      <c r="O73" s="1">
        <v>1565266</v>
      </c>
      <c r="P73" s="1">
        <v>326949</v>
      </c>
      <c r="Q73" s="1">
        <v>614640</v>
      </c>
      <c r="R73" s="1">
        <v>24887144</v>
      </c>
      <c r="S73" s="1">
        <v>41051</v>
      </c>
      <c r="T73" s="1">
        <v>41051</v>
      </c>
      <c r="U73" s="1">
        <v>37119</v>
      </c>
      <c r="V73" s="1">
        <v>1</v>
      </c>
      <c r="W73" s="1">
        <v>0</v>
      </c>
    </row>
    <row r="74">
      <c r="A74" s="1">
        <v>2016</v>
      </c>
      <c r="B74" s="1">
        <v>41</v>
      </c>
      <c r="C74" t="s">
        <v>3</v>
      </c>
      <c r="D74" s="1">
        <v>51</v>
      </c>
      <c r="E74" t="s">
        <v>6</v>
      </c>
      <c r="F74" s="1">
        <v>39</v>
      </c>
      <c r="G74" t="s">
        <v>33</v>
      </c>
      <c r="H74" s="1">
        <v>49</v>
      </c>
      <c r="I74" t="s">
        <v>122</v>
      </c>
      <c r="J74" s="1">
        <v>39</v>
      </c>
      <c r="K74" s="1">
        <v>80</v>
      </c>
      <c r="L74" s="1">
        <v>1383</v>
      </c>
      <c r="M74" s="1">
        <v>27256</v>
      </c>
      <c r="N74" s="1">
        <v>45439</v>
      </c>
      <c r="O74" s="1">
        <v>1565266</v>
      </c>
      <c r="P74" s="1">
        <v>326949</v>
      </c>
      <c r="Q74" s="1">
        <v>614640</v>
      </c>
      <c r="R74" s="1">
        <v>24887144</v>
      </c>
      <c r="S74" s="1">
        <v>41051</v>
      </c>
      <c r="T74" s="1">
        <v>41051</v>
      </c>
      <c r="U74" s="1">
        <v>39049</v>
      </c>
      <c r="V74" s="1">
        <v>1</v>
      </c>
      <c r="W74" s="1">
        <v>0</v>
      </c>
    </row>
    <row r="75">
      <c r="A75" s="1">
        <v>2016</v>
      </c>
      <c r="B75" s="1">
        <v>41</v>
      </c>
      <c r="C75" t="s">
        <v>3</v>
      </c>
      <c r="D75" s="1">
        <v>51</v>
      </c>
      <c r="E75" t="s">
        <v>6</v>
      </c>
      <c r="F75" s="1">
        <v>41</v>
      </c>
      <c r="G75" t="s">
        <v>3</v>
      </c>
      <c r="H75" s="1">
        <v>1</v>
      </c>
      <c r="I75" t="s">
        <v>123</v>
      </c>
      <c r="J75" s="1">
        <v>24</v>
      </c>
      <c r="K75" s="1">
        <v>38</v>
      </c>
      <c r="L75" s="1">
        <v>611</v>
      </c>
      <c r="M75" s="1">
        <v>27256</v>
      </c>
      <c r="N75" s="1">
        <v>45439</v>
      </c>
      <c r="O75" s="1">
        <v>1565266</v>
      </c>
      <c r="P75" s="1">
        <v>326949</v>
      </c>
      <c r="Q75" s="1">
        <v>614640</v>
      </c>
      <c r="R75" s="1">
        <v>24887144</v>
      </c>
      <c r="S75" s="1">
        <v>41051</v>
      </c>
      <c r="T75" s="1">
        <v>41051</v>
      </c>
      <c r="U75" s="1">
        <v>41001</v>
      </c>
      <c r="V75" s="1">
        <v>1</v>
      </c>
      <c r="W75" s="1">
        <v>0</v>
      </c>
    </row>
    <row r="76">
      <c r="A76" s="1">
        <v>2016</v>
      </c>
      <c r="B76" s="1">
        <v>41</v>
      </c>
      <c r="C76" t="s">
        <v>3</v>
      </c>
      <c r="D76" s="1">
        <v>51</v>
      </c>
      <c r="E76" t="s">
        <v>6</v>
      </c>
      <c r="F76" s="1">
        <v>41</v>
      </c>
      <c r="G76" t="s">
        <v>3</v>
      </c>
      <c r="H76" s="1">
        <v>3</v>
      </c>
      <c r="I76" t="s">
        <v>124</v>
      </c>
      <c r="J76" s="1">
        <v>189</v>
      </c>
      <c r="K76" s="1">
        <v>249</v>
      </c>
      <c r="L76" s="1">
        <v>6611</v>
      </c>
      <c r="M76" s="1">
        <v>27256</v>
      </c>
      <c r="N76" s="1">
        <v>45439</v>
      </c>
      <c r="O76" s="1">
        <v>1565266</v>
      </c>
      <c r="P76" s="1">
        <v>326949</v>
      </c>
      <c r="Q76" s="1">
        <v>614640</v>
      </c>
      <c r="R76" s="1">
        <v>24887144</v>
      </c>
      <c r="S76" s="1">
        <v>41051</v>
      </c>
      <c r="T76" s="1">
        <v>41051</v>
      </c>
      <c r="U76" s="1">
        <v>41003</v>
      </c>
      <c r="V76" s="1">
        <v>1</v>
      </c>
      <c r="W76" s="1">
        <v>0</v>
      </c>
    </row>
    <row r="77">
      <c r="A77" s="1">
        <v>2016</v>
      </c>
      <c r="B77" s="1">
        <v>41</v>
      </c>
      <c r="C77" t="s">
        <v>3</v>
      </c>
      <c r="D77" s="1">
        <v>51</v>
      </c>
      <c r="E77" t="s">
        <v>6</v>
      </c>
      <c r="F77" s="1">
        <v>41</v>
      </c>
      <c r="G77" t="s">
        <v>3</v>
      </c>
      <c r="H77" s="1">
        <v>5</v>
      </c>
      <c r="I77" t="s">
        <v>125</v>
      </c>
      <c r="J77" s="1">
        <v>5529</v>
      </c>
      <c r="K77" s="1">
        <v>10215</v>
      </c>
      <c r="L77" s="1">
        <v>352085</v>
      </c>
      <c r="M77" s="1">
        <v>27256</v>
      </c>
      <c r="N77" s="1">
        <v>45439</v>
      </c>
      <c r="O77" s="1">
        <v>1565266</v>
      </c>
      <c r="P77" s="1">
        <v>326949</v>
      </c>
      <c r="Q77" s="1">
        <v>614640</v>
      </c>
      <c r="R77" s="1">
        <v>24887144</v>
      </c>
      <c r="S77" s="1">
        <v>41051</v>
      </c>
      <c r="T77" s="1">
        <v>41051</v>
      </c>
      <c r="U77" s="1">
        <v>41005</v>
      </c>
      <c r="V77" s="1">
        <v>1</v>
      </c>
      <c r="W77" s="1">
        <v>0</v>
      </c>
    </row>
    <row r="78">
      <c r="A78" s="1">
        <v>2016</v>
      </c>
      <c r="B78" s="1">
        <v>41</v>
      </c>
      <c r="C78" t="s">
        <v>3</v>
      </c>
      <c r="D78" s="1">
        <v>51</v>
      </c>
      <c r="E78" t="s">
        <v>6</v>
      </c>
      <c r="F78" s="1">
        <v>41</v>
      </c>
      <c r="G78" t="s">
        <v>3</v>
      </c>
      <c r="H78" s="1">
        <v>7</v>
      </c>
      <c r="I78" t="s">
        <v>126</v>
      </c>
      <c r="J78" s="1">
        <v>153</v>
      </c>
      <c r="K78" s="1">
        <v>232</v>
      </c>
      <c r="L78" s="1">
        <v>8003</v>
      </c>
      <c r="M78" s="1">
        <v>27256</v>
      </c>
      <c r="N78" s="1">
        <v>45439</v>
      </c>
      <c r="O78" s="1">
        <v>1565266</v>
      </c>
      <c r="P78" s="1">
        <v>326949</v>
      </c>
      <c r="Q78" s="1">
        <v>614640</v>
      </c>
      <c r="R78" s="1">
        <v>24887144</v>
      </c>
      <c r="S78" s="1">
        <v>41051</v>
      </c>
      <c r="T78" s="1">
        <v>41051</v>
      </c>
      <c r="U78" s="1">
        <v>41007</v>
      </c>
      <c r="V78" s="1">
        <v>1</v>
      </c>
      <c r="W78" s="1">
        <v>0</v>
      </c>
    </row>
    <row r="79">
      <c r="A79" s="1">
        <v>2016</v>
      </c>
      <c r="B79" s="1">
        <v>41</v>
      </c>
      <c r="C79" t="s">
        <v>3</v>
      </c>
      <c r="D79" s="1">
        <v>51</v>
      </c>
      <c r="E79" t="s">
        <v>6</v>
      </c>
      <c r="F79" s="1">
        <v>41</v>
      </c>
      <c r="G79" t="s">
        <v>3</v>
      </c>
      <c r="H79" s="1">
        <v>9</v>
      </c>
      <c r="I79" t="s">
        <v>127</v>
      </c>
      <c r="J79" s="1">
        <v>356</v>
      </c>
      <c r="K79" s="1">
        <v>644</v>
      </c>
      <c r="L79" s="1">
        <v>18824</v>
      </c>
      <c r="M79" s="1">
        <v>27256</v>
      </c>
      <c r="N79" s="1">
        <v>45439</v>
      </c>
      <c r="O79" s="1">
        <v>1565266</v>
      </c>
      <c r="P79" s="1">
        <v>326949</v>
      </c>
      <c r="Q79" s="1">
        <v>614640</v>
      </c>
      <c r="R79" s="1">
        <v>24887144</v>
      </c>
      <c r="S79" s="1">
        <v>41051</v>
      </c>
      <c r="T79" s="1">
        <v>41051</v>
      </c>
      <c r="U79" s="1">
        <v>41009</v>
      </c>
      <c r="V79" s="1">
        <v>1</v>
      </c>
      <c r="W79" s="1">
        <v>0</v>
      </c>
    </row>
    <row r="80">
      <c r="A80" s="1">
        <v>2016</v>
      </c>
      <c r="B80" s="1">
        <v>41</v>
      </c>
      <c r="C80" t="s">
        <v>3</v>
      </c>
      <c r="D80" s="1">
        <v>51</v>
      </c>
      <c r="E80" t="s">
        <v>6</v>
      </c>
      <c r="F80" s="1">
        <v>41</v>
      </c>
      <c r="G80" t="s">
        <v>3</v>
      </c>
      <c r="H80" s="1">
        <v>11</v>
      </c>
      <c r="I80" t="s">
        <v>128</v>
      </c>
      <c r="J80" s="1">
        <v>43</v>
      </c>
      <c r="K80" s="1">
        <v>66</v>
      </c>
      <c r="L80" s="1">
        <v>1656</v>
      </c>
      <c r="M80" s="1">
        <v>27256</v>
      </c>
      <c r="N80" s="1">
        <v>45439</v>
      </c>
      <c r="O80" s="1">
        <v>1565266</v>
      </c>
      <c r="P80" s="1">
        <v>326949</v>
      </c>
      <c r="Q80" s="1">
        <v>614640</v>
      </c>
      <c r="R80" s="1">
        <v>24887144</v>
      </c>
      <c r="S80" s="1">
        <v>41051</v>
      </c>
      <c r="T80" s="1">
        <v>41051</v>
      </c>
      <c r="U80" s="1">
        <v>41011</v>
      </c>
      <c r="V80" s="1">
        <v>1</v>
      </c>
      <c r="W80" s="1">
        <v>0</v>
      </c>
    </row>
    <row r="81">
      <c r="A81" s="1">
        <v>2016</v>
      </c>
      <c r="B81" s="1">
        <v>41</v>
      </c>
      <c r="C81" t="s">
        <v>3</v>
      </c>
      <c r="D81" s="1">
        <v>51</v>
      </c>
      <c r="E81" t="s">
        <v>6</v>
      </c>
      <c r="F81" s="1">
        <v>41</v>
      </c>
      <c r="G81" t="s">
        <v>3</v>
      </c>
      <c r="H81" s="1">
        <v>13</v>
      </c>
      <c r="I81" t="s">
        <v>129</v>
      </c>
      <c r="J81" s="1">
        <v>39</v>
      </c>
      <c r="K81" s="1">
        <v>65</v>
      </c>
      <c r="L81" s="1">
        <v>2243</v>
      </c>
      <c r="M81" s="1">
        <v>27256</v>
      </c>
      <c r="N81" s="1">
        <v>45439</v>
      </c>
      <c r="O81" s="1">
        <v>1565266</v>
      </c>
      <c r="P81" s="1">
        <v>326949</v>
      </c>
      <c r="Q81" s="1">
        <v>614640</v>
      </c>
      <c r="R81" s="1">
        <v>24887144</v>
      </c>
      <c r="S81" s="1">
        <v>41051</v>
      </c>
      <c r="T81" s="1">
        <v>41051</v>
      </c>
      <c r="U81" s="1">
        <v>41013</v>
      </c>
      <c r="V81" s="1">
        <v>1</v>
      </c>
      <c r="W81" s="1">
        <v>0</v>
      </c>
    </row>
    <row r="82">
      <c r="A82" s="1">
        <v>2016</v>
      </c>
      <c r="B82" s="1">
        <v>41</v>
      </c>
      <c r="C82" t="s">
        <v>3</v>
      </c>
      <c r="D82" s="1">
        <v>51</v>
      </c>
      <c r="E82" t="s">
        <v>6</v>
      </c>
      <c r="F82" s="1">
        <v>41</v>
      </c>
      <c r="G82" t="s">
        <v>3</v>
      </c>
      <c r="H82" s="1">
        <v>17</v>
      </c>
      <c r="I82" t="s">
        <v>130</v>
      </c>
      <c r="J82" s="1">
        <v>435</v>
      </c>
      <c r="K82" s="1">
        <v>747</v>
      </c>
      <c r="L82" s="1">
        <v>33873</v>
      </c>
      <c r="M82" s="1">
        <v>27256</v>
      </c>
      <c r="N82" s="1">
        <v>45439</v>
      </c>
      <c r="O82" s="1">
        <v>1565266</v>
      </c>
      <c r="P82" s="1">
        <v>326949</v>
      </c>
      <c r="Q82" s="1">
        <v>614640</v>
      </c>
      <c r="R82" s="1">
        <v>24887144</v>
      </c>
      <c r="S82" s="1">
        <v>41051</v>
      </c>
      <c r="T82" s="1">
        <v>41051</v>
      </c>
      <c r="U82" s="1">
        <v>41017</v>
      </c>
      <c r="V82" s="1">
        <v>1</v>
      </c>
      <c r="W82" s="1">
        <v>0</v>
      </c>
    </row>
    <row r="83">
      <c r="A83" s="1">
        <v>2016</v>
      </c>
      <c r="B83" s="1">
        <v>41</v>
      </c>
      <c r="C83" t="s">
        <v>3</v>
      </c>
      <c r="D83" s="1">
        <v>51</v>
      </c>
      <c r="E83" t="s">
        <v>6</v>
      </c>
      <c r="F83" s="1">
        <v>41</v>
      </c>
      <c r="G83" t="s">
        <v>3</v>
      </c>
      <c r="H83" s="1">
        <v>19</v>
      </c>
      <c r="I83" t="s">
        <v>131</v>
      </c>
      <c r="J83" s="1">
        <v>57</v>
      </c>
      <c r="K83" s="1">
        <v>91</v>
      </c>
      <c r="L83" s="1">
        <v>2695</v>
      </c>
      <c r="M83" s="1">
        <v>27256</v>
      </c>
      <c r="N83" s="1">
        <v>45439</v>
      </c>
      <c r="O83" s="1">
        <v>1565266</v>
      </c>
      <c r="P83" s="1">
        <v>326949</v>
      </c>
      <c r="Q83" s="1">
        <v>614640</v>
      </c>
      <c r="R83" s="1">
        <v>24887144</v>
      </c>
      <c r="S83" s="1">
        <v>41051</v>
      </c>
      <c r="T83" s="1">
        <v>41051</v>
      </c>
      <c r="U83" s="1">
        <v>41019</v>
      </c>
      <c r="V83" s="1">
        <v>1</v>
      </c>
      <c r="W83" s="1">
        <v>0</v>
      </c>
    </row>
    <row r="84">
      <c r="A84" s="1">
        <v>2016</v>
      </c>
      <c r="B84" s="1">
        <v>41</v>
      </c>
      <c r="C84" t="s">
        <v>3</v>
      </c>
      <c r="D84" s="1">
        <v>51</v>
      </c>
      <c r="E84" t="s">
        <v>6</v>
      </c>
      <c r="F84" s="1">
        <v>41</v>
      </c>
      <c r="G84" t="s">
        <v>3</v>
      </c>
      <c r="H84" s="1">
        <v>27</v>
      </c>
      <c r="I84" t="s">
        <v>132</v>
      </c>
      <c r="J84" s="1">
        <v>101</v>
      </c>
      <c r="K84" s="1">
        <v>170</v>
      </c>
      <c r="L84" s="1">
        <v>6432</v>
      </c>
      <c r="M84" s="1">
        <v>27256</v>
      </c>
      <c r="N84" s="1">
        <v>45439</v>
      </c>
      <c r="O84" s="1">
        <v>1565266</v>
      </c>
      <c r="P84" s="1">
        <v>326949</v>
      </c>
      <c r="Q84" s="1">
        <v>614640</v>
      </c>
      <c r="R84" s="1">
        <v>24887144</v>
      </c>
      <c r="S84" s="1">
        <v>41051</v>
      </c>
      <c r="T84" s="1">
        <v>41051</v>
      </c>
      <c r="U84" s="1">
        <v>41027</v>
      </c>
      <c r="V84" s="1">
        <v>1</v>
      </c>
      <c r="W84" s="1">
        <v>0</v>
      </c>
    </row>
    <row r="85">
      <c r="A85" s="1">
        <v>2016</v>
      </c>
      <c r="B85" s="1">
        <v>41</v>
      </c>
      <c r="C85" t="s">
        <v>3</v>
      </c>
      <c r="D85" s="1">
        <v>51</v>
      </c>
      <c r="E85" t="s">
        <v>6</v>
      </c>
      <c r="F85" s="1">
        <v>41</v>
      </c>
      <c r="G85" t="s">
        <v>3</v>
      </c>
      <c r="H85" s="1">
        <v>29</v>
      </c>
      <c r="I85" t="s">
        <v>133</v>
      </c>
      <c r="J85" s="1">
        <v>178</v>
      </c>
      <c r="K85" s="1">
        <v>260</v>
      </c>
      <c r="L85" s="1">
        <v>7561</v>
      </c>
      <c r="M85" s="1">
        <v>27256</v>
      </c>
      <c r="N85" s="1">
        <v>45439</v>
      </c>
      <c r="O85" s="1">
        <v>1565266</v>
      </c>
      <c r="P85" s="1">
        <v>326949</v>
      </c>
      <c r="Q85" s="1">
        <v>614640</v>
      </c>
      <c r="R85" s="1">
        <v>24887144</v>
      </c>
      <c r="S85" s="1">
        <v>41051</v>
      </c>
      <c r="T85" s="1">
        <v>41051</v>
      </c>
      <c r="U85" s="1">
        <v>41029</v>
      </c>
      <c r="V85" s="1">
        <v>1</v>
      </c>
      <c r="W85" s="1">
        <v>0</v>
      </c>
    </row>
    <row r="86">
      <c r="A86" s="1">
        <v>2016</v>
      </c>
      <c r="B86" s="1">
        <v>41</v>
      </c>
      <c r="C86" t="s">
        <v>3</v>
      </c>
      <c r="D86" s="1">
        <v>51</v>
      </c>
      <c r="E86" t="s">
        <v>6</v>
      </c>
      <c r="F86" s="1">
        <v>41</v>
      </c>
      <c r="G86" t="s">
        <v>3</v>
      </c>
      <c r="H86" s="1">
        <v>31</v>
      </c>
      <c r="I86" t="s">
        <v>83</v>
      </c>
      <c r="J86" s="1">
        <v>38</v>
      </c>
      <c r="K86" s="1">
        <v>82</v>
      </c>
      <c r="L86" s="1">
        <v>1440</v>
      </c>
      <c r="M86" s="1">
        <v>27256</v>
      </c>
      <c r="N86" s="1">
        <v>45439</v>
      </c>
      <c r="O86" s="1">
        <v>1565266</v>
      </c>
      <c r="P86" s="1">
        <v>326949</v>
      </c>
      <c r="Q86" s="1">
        <v>614640</v>
      </c>
      <c r="R86" s="1">
        <v>24887144</v>
      </c>
      <c r="S86" s="1">
        <v>41051</v>
      </c>
      <c r="T86" s="1">
        <v>41051</v>
      </c>
      <c r="U86" s="1">
        <v>41031</v>
      </c>
      <c r="V86" s="1">
        <v>1</v>
      </c>
      <c r="W86" s="1">
        <v>0</v>
      </c>
    </row>
    <row r="87">
      <c r="A87" s="1">
        <v>2016</v>
      </c>
      <c r="B87" s="1">
        <v>41</v>
      </c>
      <c r="C87" t="s">
        <v>3</v>
      </c>
      <c r="D87" s="1">
        <v>51</v>
      </c>
      <c r="E87" t="s">
        <v>6</v>
      </c>
      <c r="F87" s="1">
        <v>41</v>
      </c>
      <c r="G87" t="s">
        <v>3</v>
      </c>
      <c r="H87" s="1">
        <v>33</v>
      </c>
      <c r="I87" t="s">
        <v>134</v>
      </c>
      <c r="J87" s="1">
        <v>49</v>
      </c>
      <c r="K87" s="1">
        <v>73</v>
      </c>
      <c r="L87" s="1">
        <v>690</v>
      </c>
      <c r="M87" s="1">
        <v>27256</v>
      </c>
      <c r="N87" s="1">
        <v>45439</v>
      </c>
      <c r="O87" s="1">
        <v>1565266</v>
      </c>
      <c r="P87" s="1">
        <v>326949</v>
      </c>
      <c r="Q87" s="1">
        <v>614640</v>
      </c>
      <c r="R87" s="1">
        <v>24887144</v>
      </c>
      <c r="S87" s="1">
        <v>41051</v>
      </c>
      <c r="T87" s="1">
        <v>41051</v>
      </c>
      <c r="U87" s="1">
        <v>41033</v>
      </c>
      <c r="V87" s="1">
        <v>1</v>
      </c>
      <c r="W87" s="1">
        <v>0</v>
      </c>
    </row>
    <row r="88">
      <c r="A88" s="1">
        <v>2016</v>
      </c>
      <c r="B88" s="1">
        <v>41</v>
      </c>
      <c r="C88" t="s">
        <v>3</v>
      </c>
      <c r="D88" s="1">
        <v>51</v>
      </c>
      <c r="E88" t="s">
        <v>6</v>
      </c>
      <c r="F88" s="1">
        <v>41</v>
      </c>
      <c r="G88" t="s">
        <v>3</v>
      </c>
      <c r="H88" s="1">
        <v>35</v>
      </c>
      <c r="I88" t="s">
        <v>135</v>
      </c>
      <c r="J88" s="1">
        <v>44</v>
      </c>
      <c r="K88" s="1">
        <v>62</v>
      </c>
      <c r="L88" s="1">
        <v>2069</v>
      </c>
      <c r="M88" s="1">
        <v>27256</v>
      </c>
      <c r="N88" s="1">
        <v>45439</v>
      </c>
      <c r="O88" s="1">
        <v>1565266</v>
      </c>
      <c r="P88" s="1">
        <v>326949</v>
      </c>
      <c r="Q88" s="1">
        <v>614640</v>
      </c>
      <c r="R88" s="1">
        <v>24887144</v>
      </c>
      <c r="S88" s="1">
        <v>41051</v>
      </c>
      <c r="T88" s="1">
        <v>41051</v>
      </c>
      <c r="U88" s="1">
        <v>41035</v>
      </c>
      <c r="V88" s="1">
        <v>1</v>
      </c>
      <c r="W88" s="1">
        <v>0</v>
      </c>
    </row>
    <row r="89">
      <c r="A89" s="1">
        <v>2016</v>
      </c>
      <c r="B89" s="1">
        <v>41</v>
      </c>
      <c r="C89" t="s">
        <v>3</v>
      </c>
      <c r="D89" s="1">
        <v>51</v>
      </c>
      <c r="E89" t="s">
        <v>6</v>
      </c>
      <c r="F89" s="1">
        <v>41</v>
      </c>
      <c r="G89" t="s">
        <v>3</v>
      </c>
      <c r="H89" s="1">
        <v>39</v>
      </c>
      <c r="I89" t="s">
        <v>136</v>
      </c>
      <c r="J89" s="1">
        <v>461</v>
      </c>
      <c r="K89" s="1">
        <v>661</v>
      </c>
      <c r="L89" s="1">
        <v>15175</v>
      </c>
      <c r="M89" s="1">
        <v>27256</v>
      </c>
      <c r="N89" s="1">
        <v>45439</v>
      </c>
      <c r="O89" s="1">
        <v>1565266</v>
      </c>
      <c r="P89" s="1">
        <v>326949</v>
      </c>
      <c r="Q89" s="1">
        <v>614640</v>
      </c>
      <c r="R89" s="1">
        <v>24887144</v>
      </c>
      <c r="S89" s="1">
        <v>41051</v>
      </c>
      <c r="T89" s="1">
        <v>41051</v>
      </c>
      <c r="U89" s="1">
        <v>41039</v>
      </c>
      <c r="V89" s="1">
        <v>1</v>
      </c>
      <c r="W89" s="1">
        <v>0</v>
      </c>
    </row>
    <row r="90">
      <c r="A90" s="1">
        <v>2016</v>
      </c>
      <c r="B90" s="1">
        <v>41</v>
      </c>
      <c r="C90" t="s">
        <v>3</v>
      </c>
      <c r="D90" s="1">
        <v>51</v>
      </c>
      <c r="E90" t="s">
        <v>6</v>
      </c>
      <c r="F90" s="1">
        <v>41</v>
      </c>
      <c r="G90" t="s">
        <v>3</v>
      </c>
      <c r="H90" s="1">
        <v>41</v>
      </c>
      <c r="I90" t="s">
        <v>137</v>
      </c>
      <c r="J90" s="1">
        <v>123</v>
      </c>
      <c r="K90" s="1">
        <v>189</v>
      </c>
      <c r="L90" s="1">
        <v>5722</v>
      </c>
      <c r="M90" s="1">
        <v>27256</v>
      </c>
      <c r="N90" s="1">
        <v>45439</v>
      </c>
      <c r="O90" s="1">
        <v>1565266</v>
      </c>
      <c r="P90" s="1">
        <v>326949</v>
      </c>
      <c r="Q90" s="1">
        <v>614640</v>
      </c>
      <c r="R90" s="1">
        <v>24887144</v>
      </c>
      <c r="S90" s="1">
        <v>41051</v>
      </c>
      <c r="T90" s="1">
        <v>41051</v>
      </c>
      <c r="U90" s="1">
        <v>41041</v>
      </c>
      <c r="V90" s="1">
        <v>1</v>
      </c>
      <c r="W90" s="1">
        <v>0</v>
      </c>
    </row>
    <row r="91">
      <c r="A91" s="1">
        <v>2016</v>
      </c>
      <c r="B91" s="1">
        <v>41</v>
      </c>
      <c r="C91" t="s">
        <v>3</v>
      </c>
      <c r="D91" s="1">
        <v>51</v>
      </c>
      <c r="E91" t="s">
        <v>6</v>
      </c>
      <c r="F91" s="1">
        <v>41</v>
      </c>
      <c r="G91" t="s">
        <v>3</v>
      </c>
      <c r="H91" s="1">
        <v>43</v>
      </c>
      <c r="I91" t="s">
        <v>138</v>
      </c>
      <c r="J91" s="1">
        <v>111</v>
      </c>
      <c r="K91" s="1">
        <v>180</v>
      </c>
      <c r="L91" s="1">
        <v>3501</v>
      </c>
      <c r="M91" s="1">
        <v>27256</v>
      </c>
      <c r="N91" s="1">
        <v>45439</v>
      </c>
      <c r="O91" s="1">
        <v>1565266</v>
      </c>
      <c r="P91" s="1">
        <v>326949</v>
      </c>
      <c r="Q91" s="1">
        <v>614640</v>
      </c>
      <c r="R91" s="1">
        <v>24887144</v>
      </c>
      <c r="S91" s="1">
        <v>41051</v>
      </c>
      <c r="T91" s="1">
        <v>41051</v>
      </c>
      <c r="U91" s="1">
        <v>41043</v>
      </c>
      <c r="V91" s="1">
        <v>1</v>
      </c>
      <c r="W91" s="1">
        <v>0</v>
      </c>
    </row>
    <row r="92">
      <c r="A92" s="1">
        <v>2016</v>
      </c>
      <c r="B92" s="1">
        <v>41</v>
      </c>
      <c r="C92" t="s">
        <v>3</v>
      </c>
      <c r="D92" s="1">
        <v>51</v>
      </c>
      <c r="E92" t="s">
        <v>6</v>
      </c>
      <c r="F92" s="1">
        <v>41</v>
      </c>
      <c r="G92" t="s">
        <v>3</v>
      </c>
      <c r="H92" s="1">
        <v>47</v>
      </c>
      <c r="I92" t="s">
        <v>99</v>
      </c>
      <c r="J92" s="1">
        <v>618</v>
      </c>
      <c r="K92" s="1">
        <v>1050</v>
      </c>
      <c r="L92" s="1">
        <v>26330</v>
      </c>
      <c r="M92" s="1">
        <v>27256</v>
      </c>
      <c r="N92" s="1">
        <v>45439</v>
      </c>
      <c r="O92" s="1">
        <v>1565266</v>
      </c>
      <c r="P92" s="1">
        <v>326949</v>
      </c>
      <c r="Q92" s="1">
        <v>614640</v>
      </c>
      <c r="R92" s="1">
        <v>24887144</v>
      </c>
      <c r="S92" s="1">
        <v>41051</v>
      </c>
      <c r="T92" s="1">
        <v>41051</v>
      </c>
      <c r="U92" s="1">
        <v>41047</v>
      </c>
      <c r="V92" s="1">
        <v>1</v>
      </c>
      <c r="W92" s="1">
        <v>0</v>
      </c>
    </row>
    <row r="93">
      <c r="A93" s="1">
        <v>2016</v>
      </c>
      <c r="B93" s="1">
        <v>41</v>
      </c>
      <c r="C93" t="s">
        <v>3</v>
      </c>
      <c r="D93" s="1">
        <v>51</v>
      </c>
      <c r="E93" t="s">
        <v>6</v>
      </c>
      <c r="F93" s="1">
        <v>41</v>
      </c>
      <c r="G93" t="s">
        <v>3</v>
      </c>
      <c r="H93" s="1">
        <v>53</v>
      </c>
      <c r="I93" t="s">
        <v>100</v>
      </c>
      <c r="J93" s="1">
        <v>104</v>
      </c>
      <c r="K93" s="1">
        <v>192</v>
      </c>
      <c r="L93" s="1">
        <v>4915</v>
      </c>
      <c r="M93" s="1">
        <v>27256</v>
      </c>
      <c r="N93" s="1">
        <v>45439</v>
      </c>
      <c r="O93" s="1">
        <v>1565266</v>
      </c>
      <c r="P93" s="1">
        <v>326949</v>
      </c>
      <c r="Q93" s="1">
        <v>614640</v>
      </c>
      <c r="R93" s="1">
        <v>24887144</v>
      </c>
      <c r="S93" s="1">
        <v>41051</v>
      </c>
      <c r="T93" s="1">
        <v>41051</v>
      </c>
      <c r="U93" s="1">
        <v>41053</v>
      </c>
      <c r="V93" s="1">
        <v>1</v>
      </c>
      <c r="W93" s="1">
        <v>0</v>
      </c>
    </row>
    <row r="94">
      <c r="A94" s="1">
        <v>2016</v>
      </c>
      <c r="B94" s="1">
        <v>41</v>
      </c>
      <c r="C94" t="s">
        <v>3</v>
      </c>
      <c r="D94" s="1">
        <v>51</v>
      </c>
      <c r="E94" t="s">
        <v>6</v>
      </c>
      <c r="F94" s="1">
        <v>41</v>
      </c>
      <c r="G94" t="s">
        <v>3</v>
      </c>
      <c r="H94" s="1">
        <v>57</v>
      </c>
      <c r="I94" t="s">
        <v>139</v>
      </c>
      <c r="J94" s="1">
        <v>133</v>
      </c>
      <c r="K94" s="1">
        <v>218</v>
      </c>
      <c r="L94" s="1">
        <v>9202</v>
      </c>
      <c r="M94" s="1">
        <v>27256</v>
      </c>
      <c r="N94" s="1">
        <v>45439</v>
      </c>
      <c r="O94" s="1">
        <v>1565266</v>
      </c>
      <c r="P94" s="1">
        <v>326949</v>
      </c>
      <c r="Q94" s="1">
        <v>614640</v>
      </c>
      <c r="R94" s="1">
        <v>24887144</v>
      </c>
      <c r="S94" s="1">
        <v>41051</v>
      </c>
      <c r="T94" s="1">
        <v>41051</v>
      </c>
      <c r="U94" s="1">
        <v>41057</v>
      </c>
      <c r="V94" s="1">
        <v>1</v>
      </c>
      <c r="W94" s="1">
        <v>0</v>
      </c>
    </row>
    <row r="95">
      <c r="A95" s="1">
        <v>2016</v>
      </c>
      <c r="B95" s="1">
        <v>41</v>
      </c>
      <c r="C95" t="s">
        <v>3</v>
      </c>
      <c r="D95" s="1">
        <v>51</v>
      </c>
      <c r="E95" t="s">
        <v>6</v>
      </c>
      <c r="F95" s="1">
        <v>41</v>
      </c>
      <c r="G95" t="s">
        <v>3</v>
      </c>
      <c r="H95" s="1">
        <v>59</v>
      </c>
      <c r="I95" t="s">
        <v>140</v>
      </c>
      <c r="J95" s="1">
        <v>56</v>
      </c>
      <c r="K95" s="1">
        <v>87</v>
      </c>
      <c r="L95" s="1">
        <v>1569</v>
      </c>
      <c r="M95" s="1">
        <v>27256</v>
      </c>
      <c r="N95" s="1">
        <v>45439</v>
      </c>
      <c r="O95" s="1">
        <v>1565266</v>
      </c>
      <c r="P95" s="1">
        <v>326949</v>
      </c>
      <c r="Q95" s="1">
        <v>614640</v>
      </c>
      <c r="R95" s="1">
        <v>24887144</v>
      </c>
      <c r="S95" s="1">
        <v>41051</v>
      </c>
      <c r="T95" s="1">
        <v>41051</v>
      </c>
      <c r="U95" s="1">
        <v>41059</v>
      </c>
      <c r="V95" s="1">
        <v>1</v>
      </c>
      <c r="W95" s="1">
        <v>0</v>
      </c>
    </row>
    <row r="96">
      <c r="A96" s="1">
        <v>2016</v>
      </c>
      <c r="B96" s="1">
        <v>41</v>
      </c>
      <c r="C96" t="s">
        <v>3</v>
      </c>
      <c r="D96" s="1">
        <v>51</v>
      </c>
      <c r="E96" t="s">
        <v>6</v>
      </c>
      <c r="F96" s="1">
        <v>41</v>
      </c>
      <c r="G96" t="s">
        <v>3</v>
      </c>
      <c r="H96" s="1">
        <v>61</v>
      </c>
      <c r="I96" t="s">
        <v>141</v>
      </c>
      <c r="J96" s="1">
        <v>27</v>
      </c>
      <c r="K96" s="1">
        <v>46</v>
      </c>
      <c r="L96" s="1">
        <v>1006</v>
      </c>
      <c r="M96" s="1">
        <v>27256</v>
      </c>
      <c r="N96" s="1">
        <v>45439</v>
      </c>
      <c r="O96" s="1">
        <v>1565266</v>
      </c>
      <c r="P96" s="1">
        <v>326949</v>
      </c>
      <c r="Q96" s="1">
        <v>614640</v>
      </c>
      <c r="R96" s="1">
        <v>24887144</v>
      </c>
      <c r="S96" s="1">
        <v>41051</v>
      </c>
      <c r="T96" s="1">
        <v>41051</v>
      </c>
      <c r="U96" s="1">
        <v>41061</v>
      </c>
      <c r="V96" s="1">
        <v>1</v>
      </c>
      <c r="W96" s="1">
        <v>0</v>
      </c>
    </row>
    <row r="97">
      <c r="A97" s="1">
        <v>2016</v>
      </c>
      <c r="B97" s="1">
        <v>41</v>
      </c>
      <c r="C97" t="s">
        <v>3</v>
      </c>
      <c r="D97" s="1">
        <v>51</v>
      </c>
      <c r="E97" t="s">
        <v>6</v>
      </c>
      <c r="F97" s="1">
        <v>41</v>
      </c>
      <c r="G97" t="s">
        <v>3</v>
      </c>
      <c r="H97" s="1">
        <v>65</v>
      </c>
      <c r="I97" t="s">
        <v>142</v>
      </c>
      <c r="J97" s="1">
        <v>69</v>
      </c>
      <c r="K97" s="1">
        <v>110</v>
      </c>
      <c r="L97" s="1">
        <v>2808</v>
      </c>
      <c r="M97" s="1">
        <v>27256</v>
      </c>
      <c r="N97" s="1">
        <v>45439</v>
      </c>
      <c r="O97" s="1">
        <v>1565266</v>
      </c>
      <c r="P97" s="1">
        <v>326949</v>
      </c>
      <c r="Q97" s="1">
        <v>614640</v>
      </c>
      <c r="R97" s="1">
        <v>24887144</v>
      </c>
      <c r="S97" s="1">
        <v>41051</v>
      </c>
      <c r="T97" s="1">
        <v>41051</v>
      </c>
      <c r="U97" s="1">
        <v>41065</v>
      </c>
      <c r="V97" s="1">
        <v>1</v>
      </c>
      <c r="W97" s="1">
        <v>0</v>
      </c>
    </row>
    <row r="98">
      <c r="A98" s="1">
        <v>2016</v>
      </c>
      <c r="B98" s="1">
        <v>41</v>
      </c>
      <c r="C98" t="s">
        <v>3</v>
      </c>
      <c r="D98" s="1">
        <v>51</v>
      </c>
      <c r="E98" t="s">
        <v>6</v>
      </c>
      <c r="F98" s="1">
        <v>41</v>
      </c>
      <c r="G98" t="s">
        <v>3</v>
      </c>
      <c r="H98" s="1">
        <v>67</v>
      </c>
      <c r="I98" t="s">
        <v>143</v>
      </c>
      <c r="J98" s="1">
        <v>4831</v>
      </c>
      <c r="K98" s="1">
        <v>7517</v>
      </c>
      <c r="L98" s="1">
        <v>299317</v>
      </c>
      <c r="M98" s="1">
        <v>27256</v>
      </c>
      <c r="N98" s="1">
        <v>45439</v>
      </c>
      <c r="O98" s="1">
        <v>1565266</v>
      </c>
      <c r="P98" s="1">
        <v>326949</v>
      </c>
      <c r="Q98" s="1">
        <v>614640</v>
      </c>
      <c r="R98" s="1">
        <v>24887144</v>
      </c>
      <c r="S98" s="1">
        <v>41051</v>
      </c>
      <c r="T98" s="1">
        <v>41051</v>
      </c>
      <c r="U98" s="1">
        <v>41067</v>
      </c>
      <c r="V98" s="1">
        <v>1</v>
      </c>
      <c r="W98" s="1">
        <v>0</v>
      </c>
    </row>
    <row r="99">
      <c r="A99" s="1">
        <v>2016</v>
      </c>
      <c r="B99" s="1">
        <v>41</v>
      </c>
      <c r="C99" t="s">
        <v>3</v>
      </c>
      <c r="D99" s="1">
        <v>51</v>
      </c>
      <c r="E99" t="s">
        <v>6</v>
      </c>
      <c r="F99" s="1">
        <v>41</v>
      </c>
      <c r="G99" t="s">
        <v>3</v>
      </c>
      <c r="H99" s="1">
        <v>71</v>
      </c>
      <c r="I99" t="s">
        <v>144</v>
      </c>
      <c r="J99" s="1">
        <v>230</v>
      </c>
      <c r="K99" s="1">
        <v>390</v>
      </c>
      <c r="L99" s="1">
        <v>13267</v>
      </c>
      <c r="M99" s="1">
        <v>27256</v>
      </c>
      <c r="N99" s="1">
        <v>45439</v>
      </c>
      <c r="O99" s="1">
        <v>1565266</v>
      </c>
      <c r="P99" s="1">
        <v>326949</v>
      </c>
      <c r="Q99" s="1">
        <v>614640</v>
      </c>
      <c r="R99" s="1">
        <v>24887144</v>
      </c>
      <c r="S99" s="1">
        <v>41051</v>
      </c>
      <c r="T99" s="1">
        <v>41051</v>
      </c>
      <c r="U99" s="1">
        <v>41071</v>
      </c>
      <c r="V99" s="1">
        <v>1</v>
      </c>
      <c r="W99" s="1">
        <v>0</v>
      </c>
    </row>
    <row r="100">
      <c r="A100" s="1">
        <v>2016</v>
      </c>
      <c r="B100" s="1">
        <v>41</v>
      </c>
      <c r="C100" t="s">
        <v>3</v>
      </c>
      <c r="D100" s="1">
        <v>51</v>
      </c>
      <c r="E100" t="s">
        <v>6</v>
      </c>
      <c r="F100" s="1">
        <v>42</v>
      </c>
      <c r="G100" t="s">
        <v>34</v>
      </c>
      <c r="H100" s="1">
        <v>3</v>
      </c>
      <c r="I100" t="s">
        <v>145</v>
      </c>
      <c r="J100" s="1">
        <v>31</v>
      </c>
      <c r="K100" s="1">
        <v>43</v>
      </c>
      <c r="L100" s="1">
        <v>1377</v>
      </c>
      <c r="M100" s="1">
        <v>27256</v>
      </c>
      <c r="N100" s="1">
        <v>45439</v>
      </c>
      <c r="O100" s="1">
        <v>1565266</v>
      </c>
      <c r="P100" s="1">
        <v>326949</v>
      </c>
      <c r="Q100" s="1">
        <v>614640</v>
      </c>
      <c r="R100" s="1">
        <v>24887144</v>
      </c>
      <c r="S100" s="1">
        <v>41051</v>
      </c>
      <c r="T100" s="1">
        <v>41051</v>
      </c>
      <c r="U100" s="1">
        <v>42003</v>
      </c>
      <c r="V100" s="1">
        <v>1</v>
      </c>
      <c r="W100" s="1">
        <v>0</v>
      </c>
    </row>
    <row r="101">
      <c r="A101" s="1">
        <v>2016</v>
      </c>
      <c r="B101" s="1">
        <v>41</v>
      </c>
      <c r="C101" t="s">
        <v>3</v>
      </c>
      <c r="D101" s="1">
        <v>51</v>
      </c>
      <c r="E101" t="s">
        <v>6</v>
      </c>
      <c r="F101" s="1">
        <v>42</v>
      </c>
      <c r="G101" t="s">
        <v>34</v>
      </c>
      <c r="H101" s="1">
        <v>101</v>
      </c>
      <c r="I101" t="s">
        <v>146</v>
      </c>
      <c r="J101" s="1">
        <v>46</v>
      </c>
      <c r="K101" s="1">
        <v>61</v>
      </c>
      <c r="L101" s="1">
        <v>1879</v>
      </c>
      <c r="M101" s="1">
        <v>27256</v>
      </c>
      <c r="N101" s="1">
        <v>45439</v>
      </c>
      <c r="O101" s="1">
        <v>1565266</v>
      </c>
      <c r="P101" s="1">
        <v>326949</v>
      </c>
      <c r="Q101" s="1">
        <v>614640</v>
      </c>
      <c r="R101" s="1">
        <v>24887144</v>
      </c>
      <c r="S101" s="1">
        <v>41051</v>
      </c>
      <c r="T101" s="1">
        <v>41051</v>
      </c>
      <c r="U101" s="1">
        <v>42101</v>
      </c>
      <c r="V101" s="1">
        <v>1</v>
      </c>
      <c r="W101" s="1">
        <v>0</v>
      </c>
    </row>
    <row r="102">
      <c r="A102" s="1">
        <v>2016</v>
      </c>
      <c r="B102" s="1">
        <v>41</v>
      </c>
      <c r="C102" t="s">
        <v>3</v>
      </c>
      <c r="D102" s="1">
        <v>51</v>
      </c>
      <c r="E102" t="s">
        <v>6</v>
      </c>
      <c r="F102" s="1">
        <v>47</v>
      </c>
      <c r="G102" t="s">
        <v>35</v>
      </c>
      <c r="H102" s="1">
        <v>37</v>
      </c>
      <c r="I102" t="s">
        <v>147</v>
      </c>
      <c r="J102" s="1">
        <v>40</v>
      </c>
      <c r="K102" s="1">
        <v>62</v>
      </c>
      <c r="L102" s="1">
        <v>2052</v>
      </c>
      <c r="M102" s="1">
        <v>27256</v>
      </c>
      <c r="N102" s="1">
        <v>45439</v>
      </c>
      <c r="O102" s="1">
        <v>1565266</v>
      </c>
      <c r="P102" s="1">
        <v>326949</v>
      </c>
      <c r="Q102" s="1">
        <v>614640</v>
      </c>
      <c r="R102" s="1">
        <v>24887144</v>
      </c>
      <c r="S102" s="1">
        <v>41051</v>
      </c>
      <c r="T102" s="1">
        <v>41051</v>
      </c>
      <c r="U102" s="1">
        <v>47037</v>
      </c>
      <c r="V102" s="1">
        <v>1</v>
      </c>
      <c r="W102" s="1">
        <v>0</v>
      </c>
    </row>
    <row r="103">
      <c r="A103" s="1">
        <v>2016</v>
      </c>
      <c r="B103" s="1">
        <v>41</v>
      </c>
      <c r="C103" t="s">
        <v>3</v>
      </c>
      <c r="D103" s="1">
        <v>51</v>
      </c>
      <c r="E103" t="s">
        <v>6</v>
      </c>
      <c r="F103" s="1">
        <v>47</v>
      </c>
      <c r="G103" t="s">
        <v>35</v>
      </c>
      <c r="H103" s="1">
        <v>93</v>
      </c>
      <c r="I103" t="s">
        <v>148</v>
      </c>
      <c r="J103" s="1">
        <v>21</v>
      </c>
      <c r="K103" s="1">
        <v>39</v>
      </c>
      <c r="L103" s="1">
        <v>1443</v>
      </c>
      <c r="M103" s="1">
        <v>27256</v>
      </c>
      <c r="N103" s="1">
        <v>45439</v>
      </c>
      <c r="O103" s="1">
        <v>1565266</v>
      </c>
      <c r="P103" s="1">
        <v>326949</v>
      </c>
      <c r="Q103" s="1">
        <v>614640</v>
      </c>
      <c r="R103" s="1">
        <v>24887144</v>
      </c>
      <c r="S103" s="1">
        <v>41051</v>
      </c>
      <c r="T103" s="1">
        <v>41051</v>
      </c>
      <c r="U103" s="1">
        <v>47093</v>
      </c>
      <c r="V103" s="1">
        <v>1</v>
      </c>
      <c r="W103" s="1">
        <v>0</v>
      </c>
    </row>
    <row r="104">
      <c r="A104" s="1">
        <v>2016</v>
      </c>
      <c r="B104" s="1">
        <v>41</v>
      </c>
      <c r="C104" t="s">
        <v>3</v>
      </c>
      <c r="D104" s="1">
        <v>51</v>
      </c>
      <c r="E104" t="s">
        <v>6</v>
      </c>
      <c r="F104" s="1">
        <v>48</v>
      </c>
      <c r="G104" t="s">
        <v>36</v>
      </c>
      <c r="H104" s="1">
        <v>29</v>
      </c>
      <c r="I104" t="s">
        <v>149</v>
      </c>
      <c r="J104" s="1">
        <v>28</v>
      </c>
      <c r="K104" s="1">
        <v>51</v>
      </c>
      <c r="L104" s="1">
        <v>1430</v>
      </c>
      <c r="M104" s="1">
        <v>27256</v>
      </c>
      <c r="N104" s="1">
        <v>45439</v>
      </c>
      <c r="O104" s="1">
        <v>1565266</v>
      </c>
      <c r="P104" s="1">
        <v>326949</v>
      </c>
      <c r="Q104" s="1">
        <v>614640</v>
      </c>
      <c r="R104" s="1">
        <v>24887144</v>
      </c>
      <c r="S104" s="1">
        <v>41051</v>
      </c>
      <c r="T104" s="1">
        <v>41051</v>
      </c>
      <c r="U104" s="1">
        <v>48029</v>
      </c>
      <c r="V104" s="1">
        <v>1</v>
      </c>
      <c r="W104" s="1">
        <v>0</v>
      </c>
    </row>
    <row r="105">
      <c r="A105" s="1">
        <v>2016</v>
      </c>
      <c r="B105" s="1">
        <v>41</v>
      </c>
      <c r="C105" t="s">
        <v>3</v>
      </c>
      <c r="D105" s="1">
        <v>51</v>
      </c>
      <c r="E105" t="s">
        <v>6</v>
      </c>
      <c r="F105" s="1">
        <v>48</v>
      </c>
      <c r="G105" t="s">
        <v>36</v>
      </c>
      <c r="H105" s="1">
        <v>113</v>
      </c>
      <c r="I105" t="s">
        <v>150</v>
      </c>
      <c r="J105" s="1">
        <v>52</v>
      </c>
      <c r="K105" s="1">
        <v>77</v>
      </c>
      <c r="L105" s="1">
        <v>2967</v>
      </c>
      <c r="M105" s="1">
        <v>27256</v>
      </c>
      <c r="N105" s="1">
        <v>45439</v>
      </c>
      <c r="O105" s="1">
        <v>1565266</v>
      </c>
      <c r="P105" s="1">
        <v>326949</v>
      </c>
      <c r="Q105" s="1">
        <v>614640</v>
      </c>
      <c r="R105" s="1">
        <v>24887144</v>
      </c>
      <c r="S105" s="1">
        <v>41051</v>
      </c>
      <c r="T105" s="1">
        <v>41051</v>
      </c>
      <c r="U105" s="1">
        <v>48113</v>
      </c>
      <c r="V105" s="1">
        <v>1</v>
      </c>
      <c r="W105" s="1">
        <v>0</v>
      </c>
    </row>
    <row r="106">
      <c r="A106" s="1">
        <v>2016</v>
      </c>
      <c r="B106" s="1">
        <v>41</v>
      </c>
      <c r="C106" t="s">
        <v>3</v>
      </c>
      <c r="D106" s="1">
        <v>51</v>
      </c>
      <c r="E106" t="s">
        <v>6</v>
      </c>
      <c r="F106" s="1">
        <v>48</v>
      </c>
      <c r="G106" t="s">
        <v>36</v>
      </c>
      <c r="H106" s="1">
        <v>201</v>
      </c>
      <c r="I106" t="s">
        <v>151</v>
      </c>
      <c r="J106" s="1">
        <v>61</v>
      </c>
      <c r="K106" s="1">
        <v>103</v>
      </c>
      <c r="L106" s="1">
        <v>3203</v>
      </c>
      <c r="M106" s="1">
        <v>27256</v>
      </c>
      <c r="N106" s="1">
        <v>45439</v>
      </c>
      <c r="O106" s="1">
        <v>1565266</v>
      </c>
      <c r="P106" s="1">
        <v>326949</v>
      </c>
      <c r="Q106" s="1">
        <v>614640</v>
      </c>
      <c r="R106" s="1">
        <v>24887144</v>
      </c>
      <c r="S106" s="1">
        <v>41051</v>
      </c>
      <c r="T106" s="1">
        <v>41051</v>
      </c>
      <c r="U106" s="1">
        <v>48201</v>
      </c>
      <c r="V106" s="1">
        <v>1</v>
      </c>
      <c r="W106" s="1">
        <v>0</v>
      </c>
    </row>
    <row r="107">
      <c r="A107" s="1">
        <v>2016</v>
      </c>
      <c r="B107" s="1">
        <v>41</v>
      </c>
      <c r="C107" t="s">
        <v>3</v>
      </c>
      <c r="D107" s="1">
        <v>51</v>
      </c>
      <c r="E107" t="s">
        <v>6</v>
      </c>
      <c r="F107" s="1">
        <v>48</v>
      </c>
      <c r="G107" t="s">
        <v>36</v>
      </c>
      <c r="H107" s="1">
        <v>439</v>
      </c>
      <c r="I107" t="s">
        <v>152</v>
      </c>
      <c r="J107" s="1">
        <v>51</v>
      </c>
      <c r="K107" s="1">
        <v>102</v>
      </c>
      <c r="L107" s="1">
        <v>2433</v>
      </c>
      <c r="M107" s="1">
        <v>27256</v>
      </c>
      <c r="N107" s="1">
        <v>45439</v>
      </c>
      <c r="O107" s="1">
        <v>1565266</v>
      </c>
      <c r="P107" s="1">
        <v>326949</v>
      </c>
      <c r="Q107" s="1">
        <v>614640</v>
      </c>
      <c r="R107" s="1">
        <v>24887144</v>
      </c>
      <c r="S107" s="1">
        <v>41051</v>
      </c>
      <c r="T107" s="1">
        <v>41051</v>
      </c>
      <c r="U107" s="1">
        <v>48439</v>
      </c>
      <c r="V107" s="1">
        <v>1</v>
      </c>
      <c r="W107" s="1">
        <v>0</v>
      </c>
    </row>
    <row r="108">
      <c r="A108" s="1">
        <v>2016</v>
      </c>
      <c r="B108" s="1">
        <v>41</v>
      </c>
      <c r="C108" t="s">
        <v>3</v>
      </c>
      <c r="D108" s="1">
        <v>51</v>
      </c>
      <c r="E108" t="s">
        <v>6</v>
      </c>
      <c r="F108" s="1">
        <v>48</v>
      </c>
      <c r="G108" t="s">
        <v>36</v>
      </c>
      <c r="H108" s="1">
        <v>453</v>
      </c>
      <c r="I108" t="s">
        <v>153</v>
      </c>
      <c r="J108" s="1">
        <v>104</v>
      </c>
      <c r="K108" s="1">
        <v>155</v>
      </c>
      <c r="L108" s="1">
        <v>6062</v>
      </c>
      <c r="M108" s="1">
        <v>27256</v>
      </c>
      <c r="N108" s="1">
        <v>45439</v>
      </c>
      <c r="O108" s="1">
        <v>1565266</v>
      </c>
      <c r="P108" s="1">
        <v>326949</v>
      </c>
      <c r="Q108" s="1">
        <v>614640</v>
      </c>
      <c r="R108" s="1">
        <v>24887144</v>
      </c>
      <c r="S108" s="1">
        <v>41051</v>
      </c>
      <c r="T108" s="1">
        <v>41051</v>
      </c>
      <c r="U108" s="1">
        <v>48453</v>
      </c>
      <c r="V108" s="1">
        <v>1</v>
      </c>
      <c r="W108" s="1">
        <v>0</v>
      </c>
    </row>
    <row r="109">
      <c r="A109" s="1">
        <v>2016</v>
      </c>
      <c r="B109" s="1">
        <v>41</v>
      </c>
      <c r="C109" t="s">
        <v>3</v>
      </c>
      <c r="D109" s="1">
        <v>51</v>
      </c>
      <c r="E109" t="s">
        <v>6</v>
      </c>
      <c r="F109" s="1">
        <v>49</v>
      </c>
      <c r="G109" t="s">
        <v>37</v>
      </c>
      <c r="H109" s="1">
        <v>35</v>
      </c>
      <c r="I109" t="s">
        <v>154</v>
      </c>
      <c r="J109" s="1">
        <v>92</v>
      </c>
      <c r="K109" s="1">
        <v>149</v>
      </c>
      <c r="L109" s="1">
        <v>5384</v>
      </c>
      <c r="M109" s="1">
        <v>27256</v>
      </c>
      <c r="N109" s="1">
        <v>45439</v>
      </c>
      <c r="O109" s="1">
        <v>1565266</v>
      </c>
      <c r="P109" s="1">
        <v>326949</v>
      </c>
      <c r="Q109" s="1">
        <v>614640</v>
      </c>
      <c r="R109" s="1">
        <v>24887144</v>
      </c>
      <c r="S109" s="1">
        <v>41051</v>
      </c>
      <c r="T109" s="1">
        <v>41051</v>
      </c>
      <c r="U109" s="1">
        <v>49035</v>
      </c>
      <c r="V109" s="1">
        <v>1</v>
      </c>
      <c r="W109" s="1">
        <v>0</v>
      </c>
    </row>
    <row r="110">
      <c r="A110" s="1">
        <v>2016</v>
      </c>
      <c r="B110" s="1">
        <v>41</v>
      </c>
      <c r="C110" t="s">
        <v>3</v>
      </c>
      <c r="D110" s="1">
        <v>51</v>
      </c>
      <c r="E110" t="s">
        <v>6</v>
      </c>
      <c r="F110" s="1">
        <v>50</v>
      </c>
      <c r="G110" t="s">
        <v>38</v>
      </c>
      <c r="H110" s="1">
        <v>7</v>
      </c>
      <c r="I110" t="s">
        <v>155</v>
      </c>
      <c r="J110" s="1">
        <v>31</v>
      </c>
      <c r="K110" s="1">
        <v>48</v>
      </c>
      <c r="L110" s="1">
        <v>1635</v>
      </c>
      <c r="M110" s="1">
        <v>27256</v>
      </c>
      <c r="N110" s="1">
        <v>45439</v>
      </c>
      <c r="O110" s="1">
        <v>1565266</v>
      </c>
      <c r="P110" s="1">
        <v>326949</v>
      </c>
      <c r="Q110" s="1">
        <v>614640</v>
      </c>
      <c r="R110" s="1">
        <v>24887144</v>
      </c>
      <c r="S110" s="1">
        <v>41051</v>
      </c>
      <c r="T110" s="1">
        <v>41051</v>
      </c>
      <c r="U110" s="1">
        <v>50007</v>
      </c>
      <c r="V110" s="1">
        <v>1</v>
      </c>
      <c r="W110" s="1">
        <v>0</v>
      </c>
    </row>
    <row r="111">
      <c r="A111" s="1">
        <v>2016</v>
      </c>
      <c r="B111" s="1">
        <v>41</v>
      </c>
      <c r="C111" t="s">
        <v>3</v>
      </c>
      <c r="D111" s="1">
        <v>51</v>
      </c>
      <c r="E111" t="s">
        <v>6</v>
      </c>
      <c r="F111" s="1">
        <v>51</v>
      </c>
      <c r="G111" t="s">
        <v>39</v>
      </c>
      <c r="H111" s="1">
        <v>59</v>
      </c>
      <c r="I111" t="s">
        <v>156</v>
      </c>
      <c r="J111" s="1">
        <v>26</v>
      </c>
      <c r="K111" s="1">
        <v>53</v>
      </c>
      <c r="L111" s="1">
        <v>1609</v>
      </c>
      <c r="M111" s="1">
        <v>27256</v>
      </c>
      <c r="N111" s="1">
        <v>45439</v>
      </c>
      <c r="O111" s="1">
        <v>1565266</v>
      </c>
      <c r="P111" s="1">
        <v>326949</v>
      </c>
      <c r="Q111" s="1">
        <v>614640</v>
      </c>
      <c r="R111" s="1">
        <v>24887144</v>
      </c>
      <c r="S111" s="1">
        <v>41051</v>
      </c>
      <c r="T111" s="1">
        <v>41051</v>
      </c>
      <c r="U111" s="1">
        <v>51059</v>
      </c>
      <c r="V111" s="1">
        <v>1</v>
      </c>
      <c r="W111" s="1">
        <v>0</v>
      </c>
    </row>
    <row r="112">
      <c r="A112" s="1">
        <v>2016</v>
      </c>
      <c r="B112" s="1">
        <v>41</v>
      </c>
      <c r="C112" t="s">
        <v>3</v>
      </c>
      <c r="D112" s="1">
        <v>51</v>
      </c>
      <c r="E112" t="s">
        <v>6</v>
      </c>
      <c r="F112" s="1">
        <v>53</v>
      </c>
      <c r="G112" t="s">
        <v>40</v>
      </c>
      <c r="H112" s="1">
        <v>5</v>
      </c>
      <c r="I112" t="s">
        <v>124</v>
      </c>
      <c r="J112" s="1">
        <v>40</v>
      </c>
      <c r="K112" s="1">
        <v>66</v>
      </c>
      <c r="L112" s="1">
        <v>1947</v>
      </c>
      <c r="M112" s="1">
        <v>27256</v>
      </c>
      <c r="N112" s="1">
        <v>45439</v>
      </c>
      <c r="O112" s="1">
        <v>1565266</v>
      </c>
      <c r="P112" s="1">
        <v>326949</v>
      </c>
      <c r="Q112" s="1">
        <v>614640</v>
      </c>
      <c r="R112" s="1">
        <v>24887144</v>
      </c>
      <c r="S112" s="1">
        <v>41051</v>
      </c>
      <c r="T112" s="1">
        <v>41051</v>
      </c>
      <c r="U112" s="1">
        <v>53005</v>
      </c>
      <c r="V112" s="1">
        <v>1</v>
      </c>
      <c r="W112" s="1">
        <v>0</v>
      </c>
    </row>
    <row r="113">
      <c r="A113" s="1">
        <v>2016</v>
      </c>
      <c r="B113" s="1">
        <v>41</v>
      </c>
      <c r="C113" t="s">
        <v>3</v>
      </c>
      <c r="D113" s="1">
        <v>51</v>
      </c>
      <c r="E113" t="s">
        <v>6</v>
      </c>
      <c r="F113" s="1">
        <v>53</v>
      </c>
      <c r="G113" t="s">
        <v>40</v>
      </c>
      <c r="H113" s="1">
        <v>11</v>
      </c>
      <c r="I113" t="s">
        <v>112</v>
      </c>
      <c r="J113" s="1">
        <v>2667</v>
      </c>
      <c r="K113" s="1">
        <v>5445</v>
      </c>
      <c r="L113" s="1">
        <v>146228</v>
      </c>
      <c r="M113" s="1">
        <v>27256</v>
      </c>
      <c r="N113" s="1">
        <v>45439</v>
      </c>
      <c r="O113" s="1">
        <v>1565266</v>
      </c>
      <c r="P113" s="1">
        <v>326949</v>
      </c>
      <c r="Q113" s="1">
        <v>614640</v>
      </c>
      <c r="R113" s="1">
        <v>24887144</v>
      </c>
      <c r="S113" s="1">
        <v>41051</v>
      </c>
      <c r="T113" s="1">
        <v>41051</v>
      </c>
      <c r="U113" s="1">
        <v>53011</v>
      </c>
      <c r="V113" s="1">
        <v>1</v>
      </c>
      <c r="W113" s="1">
        <v>0</v>
      </c>
    </row>
    <row r="114">
      <c r="A114" s="1">
        <v>2016</v>
      </c>
      <c r="B114" s="1">
        <v>41</v>
      </c>
      <c r="C114" t="s">
        <v>3</v>
      </c>
      <c r="D114" s="1">
        <v>51</v>
      </c>
      <c r="E114" t="s">
        <v>6</v>
      </c>
      <c r="F114" s="1">
        <v>53</v>
      </c>
      <c r="G114" t="s">
        <v>40</v>
      </c>
      <c r="H114" s="1">
        <v>15</v>
      </c>
      <c r="I114" t="s">
        <v>157</v>
      </c>
      <c r="J114" s="1">
        <v>131</v>
      </c>
      <c r="K114" s="1">
        <v>249</v>
      </c>
      <c r="L114" s="1">
        <v>5619</v>
      </c>
      <c r="M114" s="1">
        <v>27256</v>
      </c>
      <c r="N114" s="1">
        <v>45439</v>
      </c>
      <c r="O114" s="1">
        <v>1565266</v>
      </c>
      <c r="P114" s="1">
        <v>326949</v>
      </c>
      <c r="Q114" s="1">
        <v>614640</v>
      </c>
      <c r="R114" s="1">
        <v>24887144</v>
      </c>
      <c r="S114" s="1">
        <v>41051</v>
      </c>
      <c r="T114" s="1">
        <v>41051</v>
      </c>
      <c r="U114" s="1">
        <v>53015</v>
      </c>
      <c r="V114" s="1">
        <v>1</v>
      </c>
      <c r="W114" s="1">
        <v>0</v>
      </c>
    </row>
    <row r="115">
      <c r="A115" s="1">
        <v>2016</v>
      </c>
      <c r="B115" s="1">
        <v>41</v>
      </c>
      <c r="C115" t="s">
        <v>3</v>
      </c>
      <c r="D115" s="1">
        <v>51</v>
      </c>
      <c r="E115" t="s">
        <v>6</v>
      </c>
      <c r="F115" s="1">
        <v>53</v>
      </c>
      <c r="G115" t="s">
        <v>40</v>
      </c>
      <c r="H115" s="1">
        <v>27</v>
      </c>
      <c r="I115" t="s">
        <v>158</v>
      </c>
      <c r="J115" s="1">
        <v>21</v>
      </c>
      <c r="K115" s="1">
        <v>34</v>
      </c>
      <c r="L115" s="1">
        <v>1256</v>
      </c>
      <c r="M115" s="1">
        <v>27256</v>
      </c>
      <c r="N115" s="1">
        <v>45439</v>
      </c>
      <c r="O115" s="1">
        <v>1565266</v>
      </c>
      <c r="P115" s="1">
        <v>326949</v>
      </c>
      <c r="Q115" s="1">
        <v>614640</v>
      </c>
      <c r="R115" s="1">
        <v>24887144</v>
      </c>
      <c r="S115" s="1">
        <v>41051</v>
      </c>
      <c r="T115" s="1">
        <v>41051</v>
      </c>
      <c r="U115" s="1">
        <v>53027</v>
      </c>
      <c r="V115" s="1">
        <v>1</v>
      </c>
      <c r="W115" s="1">
        <v>0</v>
      </c>
    </row>
    <row r="116">
      <c r="A116" s="1">
        <v>2016</v>
      </c>
      <c r="B116" s="1">
        <v>41</v>
      </c>
      <c r="C116" t="s">
        <v>3</v>
      </c>
      <c r="D116" s="1">
        <v>51</v>
      </c>
      <c r="E116" t="s">
        <v>6</v>
      </c>
      <c r="F116" s="1">
        <v>53</v>
      </c>
      <c r="G116" t="s">
        <v>40</v>
      </c>
      <c r="H116" s="1">
        <v>29</v>
      </c>
      <c r="I116" t="s">
        <v>159</v>
      </c>
      <c r="J116" s="1">
        <v>23</v>
      </c>
      <c r="K116" s="1">
        <v>30</v>
      </c>
      <c r="L116" s="1">
        <v>557</v>
      </c>
      <c r="M116" s="1">
        <v>27256</v>
      </c>
      <c r="N116" s="1">
        <v>45439</v>
      </c>
      <c r="O116" s="1">
        <v>1565266</v>
      </c>
      <c r="P116" s="1">
        <v>326949</v>
      </c>
      <c r="Q116" s="1">
        <v>614640</v>
      </c>
      <c r="R116" s="1">
        <v>24887144</v>
      </c>
      <c r="S116" s="1">
        <v>41051</v>
      </c>
      <c r="T116" s="1">
        <v>41051</v>
      </c>
      <c r="U116" s="1">
        <v>53029</v>
      </c>
      <c r="V116" s="1">
        <v>1</v>
      </c>
      <c r="W116" s="1">
        <v>0</v>
      </c>
    </row>
    <row r="117">
      <c r="A117" s="1">
        <v>2016</v>
      </c>
      <c r="B117" s="1">
        <v>41</v>
      </c>
      <c r="C117" t="s">
        <v>3</v>
      </c>
      <c r="D117" s="1">
        <v>51</v>
      </c>
      <c r="E117" t="s">
        <v>6</v>
      </c>
      <c r="F117" s="1">
        <v>53</v>
      </c>
      <c r="G117" t="s">
        <v>40</v>
      </c>
      <c r="H117" s="1">
        <v>31</v>
      </c>
      <c r="I117" t="s">
        <v>83</v>
      </c>
      <c r="J117" s="1">
        <v>27</v>
      </c>
      <c r="K117" s="1">
        <v>45</v>
      </c>
      <c r="L117" s="1">
        <v>2521</v>
      </c>
      <c r="M117" s="1">
        <v>27256</v>
      </c>
      <c r="N117" s="1">
        <v>45439</v>
      </c>
      <c r="O117" s="1">
        <v>1565266</v>
      </c>
      <c r="P117" s="1">
        <v>326949</v>
      </c>
      <c r="Q117" s="1">
        <v>614640</v>
      </c>
      <c r="R117" s="1">
        <v>24887144</v>
      </c>
      <c r="S117" s="1">
        <v>41051</v>
      </c>
      <c r="T117" s="1">
        <v>41051</v>
      </c>
      <c r="U117" s="1">
        <v>53031</v>
      </c>
      <c r="V117" s="1">
        <v>1</v>
      </c>
      <c r="W117" s="1">
        <v>0</v>
      </c>
    </row>
    <row r="118">
      <c r="A118" s="1">
        <v>2016</v>
      </c>
      <c r="B118" s="1">
        <v>41</v>
      </c>
      <c r="C118" t="s">
        <v>3</v>
      </c>
      <c r="D118" s="1">
        <v>51</v>
      </c>
      <c r="E118" t="s">
        <v>6</v>
      </c>
      <c r="F118" s="1">
        <v>53</v>
      </c>
      <c r="G118" t="s">
        <v>40</v>
      </c>
      <c r="H118" s="1">
        <v>33</v>
      </c>
      <c r="I118" t="s">
        <v>160</v>
      </c>
      <c r="J118" s="1">
        <v>793</v>
      </c>
      <c r="K118" s="1">
        <v>1115</v>
      </c>
      <c r="L118" s="1">
        <v>52292</v>
      </c>
      <c r="M118" s="1">
        <v>27256</v>
      </c>
      <c r="N118" s="1">
        <v>45439</v>
      </c>
      <c r="O118" s="1">
        <v>1565266</v>
      </c>
      <c r="P118" s="1">
        <v>326949</v>
      </c>
      <c r="Q118" s="1">
        <v>614640</v>
      </c>
      <c r="R118" s="1">
        <v>24887144</v>
      </c>
      <c r="S118" s="1">
        <v>41051</v>
      </c>
      <c r="T118" s="1">
        <v>41051</v>
      </c>
      <c r="U118" s="1">
        <v>53033</v>
      </c>
      <c r="V118" s="1">
        <v>1</v>
      </c>
      <c r="W118" s="1">
        <v>0</v>
      </c>
    </row>
    <row r="119">
      <c r="A119" s="1">
        <v>2016</v>
      </c>
      <c r="B119" s="1">
        <v>41</v>
      </c>
      <c r="C119" t="s">
        <v>3</v>
      </c>
      <c r="D119" s="1">
        <v>51</v>
      </c>
      <c r="E119" t="s">
        <v>6</v>
      </c>
      <c r="F119" s="1">
        <v>53</v>
      </c>
      <c r="G119" t="s">
        <v>40</v>
      </c>
      <c r="H119" s="1">
        <v>35</v>
      </c>
      <c r="I119" t="s">
        <v>161</v>
      </c>
      <c r="J119" s="1">
        <v>50</v>
      </c>
      <c r="K119" s="1">
        <v>82</v>
      </c>
      <c r="L119" s="1">
        <v>2946</v>
      </c>
      <c r="M119" s="1">
        <v>27256</v>
      </c>
      <c r="N119" s="1">
        <v>45439</v>
      </c>
      <c r="O119" s="1">
        <v>1565266</v>
      </c>
      <c r="P119" s="1">
        <v>326949</v>
      </c>
      <c r="Q119" s="1">
        <v>614640</v>
      </c>
      <c r="R119" s="1">
        <v>24887144</v>
      </c>
      <c r="S119" s="1">
        <v>41051</v>
      </c>
      <c r="T119" s="1">
        <v>41051</v>
      </c>
      <c r="U119" s="1">
        <v>53035</v>
      </c>
      <c r="V119" s="1">
        <v>1</v>
      </c>
      <c r="W119" s="1">
        <v>0</v>
      </c>
    </row>
    <row r="120">
      <c r="A120" s="1">
        <v>2016</v>
      </c>
      <c r="B120" s="1">
        <v>41</v>
      </c>
      <c r="C120" t="s">
        <v>3</v>
      </c>
      <c r="D120" s="1">
        <v>51</v>
      </c>
      <c r="E120" t="s">
        <v>6</v>
      </c>
      <c r="F120" s="1">
        <v>53</v>
      </c>
      <c r="G120" t="s">
        <v>40</v>
      </c>
      <c r="H120" s="1">
        <v>39</v>
      </c>
      <c r="I120" t="s">
        <v>162</v>
      </c>
      <c r="J120" s="1">
        <v>54</v>
      </c>
      <c r="K120" s="1">
        <v>89</v>
      </c>
      <c r="L120" s="1">
        <v>4784</v>
      </c>
      <c r="M120" s="1">
        <v>27256</v>
      </c>
      <c r="N120" s="1">
        <v>45439</v>
      </c>
      <c r="O120" s="1">
        <v>1565266</v>
      </c>
      <c r="P120" s="1">
        <v>326949</v>
      </c>
      <c r="Q120" s="1">
        <v>614640</v>
      </c>
      <c r="R120" s="1">
        <v>24887144</v>
      </c>
      <c r="S120" s="1">
        <v>41051</v>
      </c>
      <c r="T120" s="1">
        <v>41051</v>
      </c>
      <c r="U120" s="1">
        <v>53039</v>
      </c>
      <c r="V120" s="1">
        <v>1</v>
      </c>
      <c r="W120" s="1">
        <v>0</v>
      </c>
    </row>
    <row r="121">
      <c r="A121" s="1">
        <v>2016</v>
      </c>
      <c r="B121" s="1">
        <v>41</v>
      </c>
      <c r="C121" t="s">
        <v>3</v>
      </c>
      <c r="D121" s="1">
        <v>51</v>
      </c>
      <c r="E121" t="s">
        <v>6</v>
      </c>
      <c r="F121" s="1">
        <v>53</v>
      </c>
      <c r="G121" t="s">
        <v>40</v>
      </c>
      <c r="H121" s="1">
        <v>41</v>
      </c>
      <c r="I121" t="s">
        <v>163</v>
      </c>
      <c r="J121" s="1">
        <v>23</v>
      </c>
      <c r="K121" s="1">
        <v>49</v>
      </c>
      <c r="L121" s="1">
        <v>1095</v>
      </c>
      <c r="M121" s="1">
        <v>27256</v>
      </c>
      <c r="N121" s="1">
        <v>45439</v>
      </c>
      <c r="O121" s="1">
        <v>1565266</v>
      </c>
      <c r="P121" s="1">
        <v>326949</v>
      </c>
      <c r="Q121" s="1">
        <v>614640</v>
      </c>
      <c r="R121" s="1">
        <v>24887144</v>
      </c>
      <c r="S121" s="1">
        <v>41051</v>
      </c>
      <c r="T121" s="1">
        <v>41051</v>
      </c>
      <c r="U121" s="1">
        <v>53041</v>
      </c>
      <c r="V121" s="1">
        <v>1</v>
      </c>
      <c r="W121" s="1">
        <v>0</v>
      </c>
    </row>
    <row r="122">
      <c r="A122" s="1">
        <v>2016</v>
      </c>
      <c r="B122" s="1">
        <v>41</v>
      </c>
      <c r="C122" t="s">
        <v>3</v>
      </c>
      <c r="D122" s="1">
        <v>51</v>
      </c>
      <c r="E122" t="s">
        <v>6</v>
      </c>
      <c r="F122" s="1">
        <v>53</v>
      </c>
      <c r="G122" t="s">
        <v>40</v>
      </c>
      <c r="H122" s="1">
        <v>49</v>
      </c>
      <c r="I122" t="s">
        <v>164</v>
      </c>
      <c r="J122" s="1">
        <v>36</v>
      </c>
      <c r="K122" s="1">
        <v>52</v>
      </c>
      <c r="L122" s="1">
        <v>2197</v>
      </c>
      <c r="M122" s="1">
        <v>27256</v>
      </c>
      <c r="N122" s="1">
        <v>45439</v>
      </c>
      <c r="O122" s="1">
        <v>1565266</v>
      </c>
      <c r="P122" s="1">
        <v>326949</v>
      </c>
      <c r="Q122" s="1">
        <v>614640</v>
      </c>
      <c r="R122" s="1">
        <v>24887144</v>
      </c>
      <c r="S122" s="1">
        <v>41051</v>
      </c>
      <c r="T122" s="1">
        <v>41051</v>
      </c>
      <c r="U122" s="1">
        <v>53049</v>
      </c>
      <c r="V122" s="1">
        <v>1</v>
      </c>
      <c r="W122" s="1">
        <v>0</v>
      </c>
    </row>
    <row r="123">
      <c r="A123" s="1">
        <v>2016</v>
      </c>
      <c r="B123" s="1">
        <v>41</v>
      </c>
      <c r="C123" t="s">
        <v>3</v>
      </c>
      <c r="D123" s="1">
        <v>51</v>
      </c>
      <c r="E123" t="s">
        <v>6</v>
      </c>
      <c r="F123" s="1">
        <v>53</v>
      </c>
      <c r="G123" t="s">
        <v>40</v>
      </c>
      <c r="H123" s="1">
        <v>53</v>
      </c>
      <c r="I123" t="s">
        <v>165</v>
      </c>
      <c r="J123" s="1">
        <v>166</v>
      </c>
      <c r="K123" s="1">
        <v>289</v>
      </c>
      <c r="L123" s="1">
        <v>8040</v>
      </c>
      <c r="M123" s="1">
        <v>27256</v>
      </c>
      <c r="N123" s="1">
        <v>45439</v>
      </c>
      <c r="O123" s="1">
        <v>1565266</v>
      </c>
      <c r="P123" s="1">
        <v>326949</v>
      </c>
      <c r="Q123" s="1">
        <v>614640</v>
      </c>
      <c r="R123" s="1">
        <v>24887144</v>
      </c>
      <c r="S123" s="1">
        <v>41051</v>
      </c>
      <c r="T123" s="1">
        <v>41051</v>
      </c>
      <c r="U123" s="1">
        <v>53053</v>
      </c>
      <c r="V123" s="1">
        <v>1</v>
      </c>
      <c r="W123" s="1">
        <v>0</v>
      </c>
    </row>
    <row r="124">
      <c r="A124" s="1">
        <v>2016</v>
      </c>
      <c r="B124" s="1">
        <v>41</v>
      </c>
      <c r="C124" t="s">
        <v>3</v>
      </c>
      <c r="D124" s="1">
        <v>51</v>
      </c>
      <c r="E124" t="s">
        <v>6</v>
      </c>
      <c r="F124" s="1">
        <v>53</v>
      </c>
      <c r="G124" t="s">
        <v>40</v>
      </c>
      <c r="H124" s="1">
        <v>59</v>
      </c>
      <c r="I124" t="s">
        <v>166</v>
      </c>
      <c r="J124" s="1">
        <v>44</v>
      </c>
      <c r="K124" s="1">
        <v>81</v>
      </c>
      <c r="L124" s="1">
        <v>2557</v>
      </c>
      <c r="M124" s="1">
        <v>27256</v>
      </c>
      <c r="N124" s="1">
        <v>45439</v>
      </c>
      <c r="O124" s="1">
        <v>1565266</v>
      </c>
      <c r="P124" s="1">
        <v>326949</v>
      </c>
      <c r="Q124" s="1">
        <v>614640</v>
      </c>
      <c r="R124" s="1">
        <v>24887144</v>
      </c>
      <c r="S124" s="1">
        <v>41051</v>
      </c>
      <c r="T124" s="1">
        <v>41051</v>
      </c>
      <c r="U124" s="1">
        <v>53059</v>
      </c>
      <c r="V124" s="1">
        <v>1</v>
      </c>
      <c r="W124" s="1">
        <v>0</v>
      </c>
    </row>
    <row r="125">
      <c r="A125" s="1">
        <v>2016</v>
      </c>
      <c r="B125" s="1">
        <v>41</v>
      </c>
      <c r="C125" t="s">
        <v>3</v>
      </c>
      <c r="D125" s="1">
        <v>51</v>
      </c>
      <c r="E125" t="s">
        <v>6</v>
      </c>
      <c r="F125" s="1">
        <v>53</v>
      </c>
      <c r="G125" t="s">
        <v>40</v>
      </c>
      <c r="H125" s="1">
        <v>61</v>
      </c>
      <c r="I125" t="s">
        <v>167</v>
      </c>
      <c r="J125" s="1">
        <v>106</v>
      </c>
      <c r="K125" s="1">
        <v>155</v>
      </c>
      <c r="L125" s="1">
        <v>4791</v>
      </c>
      <c r="M125" s="1">
        <v>27256</v>
      </c>
      <c r="N125" s="1">
        <v>45439</v>
      </c>
      <c r="O125" s="1">
        <v>1565266</v>
      </c>
      <c r="P125" s="1">
        <v>326949</v>
      </c>
      <c r="Q125" s="1">
        <v>614640</v>
      </c>
      <c r="R125" s="1">
        <v>24887144</v>
      </c>
      <c r="S125" s="1">
        <v>41051</v>
      </c>
      <c r="T125" s="1">
        <v>41051</v>
      </c>
      <c r="U125" s="1">
        <v>53061</v>
      </c>
      <c r="V125" s="1">
        <v>1</v>
      </c>
      <c r="W125" s="1">
        <v>0</v>
      </c>
    </row>
    <row r="126">
      <c r="A126" s="1">
        <v>2016</v>
      </c>
      <c r="B126" s="1">
        <v>41</v>
      </c>
      <c r="C126" t="s">
        <v>3</v>
      </c>
      <c r="D126" s="1">
        <v>51</v>
      </c>
      <c r="E126" t="s">
        <v>6</v>
      </c>
      <c r="F126" s="1">
        <v>53</v>
      </c>
      <c r="G126" t="s">
        <v>40</v>
      </c>
      <c r="H126" s="1">
        <v>63</v>
      </c>
      <c r="I126" t="s">
        <v>168</v>
      </c>
      <c r="J126" s="1">
        <v>118</v>
      </c>
      <c r="K126" s="1">
        <v>213</v>
      </c>
      <c r="L126" s="1">
        <v>5892</v>
      </c>
      <c r="M126" s="1">
        <v>27256</v>
      </c>
      <c r="N126" s="1">
        <v>45439</v>
      </c>
      <c r="O126" s="1">
        <v>1565266</v>
      </c>
      <c r="P126" s="1">
        <v>326949</v>
      </c>
      <c r="Q126" s="1">
        <v>614640</v>
      </c>
      <c r="R126" s="1">
        <v>24887144</v>
      </c>
      <c r="S126" s="1">
        <v>41051</v>
      </c>
      <c r="T126" s="1">
        <v>41051</v>
      </c>
      <c r="U126" s="1">
        <v>53063</v>
      </c>
      <c r="V126" s="1">
        <v>1</v>
      </c>
      <c r="W126" s="1">
        <v>0</v>
      </c>
    </row>
    <row r="127">
      <c r="A127" s="1">
        <v>2016</v>
      </c>
      <c r="B127" s="1">
        <v>41</v>
      </c>
      <c r="C127" t="s">
        <v>3</v>
      </c>
      <c r="D127" s="1">
        <v>51</v>
      </c>
      <c r="E127" t="s">
        <v>6</v>
      </c>
      <c r="F127" s="1">
        <v>53</v>
      </c>
      <c r="G127" t="s">
        <v>40</v>
      </c>
      <c r="H127" s="1">
        <v>67</v>
      </c>
      <c r="I127" t="s">
        <v>169</v>
      </c>
      <c r="J127" s="1">
        <v>107</v>
      </c>
      <c r="K127" s="1">
        <v>173</v>
      </c>
      <c r="L127" s="1">
        <v>4938</v>
      </c>
      <c r="M127" s="1">
        <v>27256</v>
      </c>
      <c r="N127" s="1">
        <v>45439</v>
      </c>
      <c r="O127" s="1">
        <v>1565266</v>
      </c>
      <c r="P127" s="1">
        <v>326949</v>
      </c>
      <c r="Q127" s="1">
        <v>614640</v>
      </c>
      <c r="R127" s="1">
        <v>24887144</v>
      </c>
      <c r="S127" s="1">
        <v>41051</v>
      </c>
      <c r="T127" s="1">
        <v>41051</v>
      </c>
      <c r="U127" s="1">
        <v>53067</v>
      </c>
      <c r="V127" s="1">
        <v>1</v>
      </c>
      <c r="W127" s="1">
        <v>0</v>
      </c>
    </row>
    <row r="128">
      <c r="A128" s="1">
        <v>2016</v>
      </c>
      <c r="B128" s="1">
        <v>41</v>
      </c>
      <c r="C128" t="s">
        <v>3</v>
      </c>
      <c r="D128" s="1">
        <v>51</v>
      </c>
      <c r="E128" t="s">
        <v>6</v>
      </c>
      <c r="F128" s="1">
        <v>53</v>
      </c>
      <c r="G128" t="s">
        <v>40</v>
      </c>
      <c r="H128" s="1">
        <v>71</v>
      </c>
      <c r="I128" t="s">
        <v>170</v>
      </c>
      <c r="J128" s="1">
        <v>24</v>
      </c>
      <c r="K128" s="1">
        <v>33</v>
      </c>
      <c r="L128" s="1">
        <v>1185</v>
      </c>
      <c r="M128" s="1">
        <v>27256</v>
      </c>
      <c r="N128" s="1">
        <v>45439</v>
      </c>
      <c r="O128" s="1">
        <v>1565266</v>
      </c>
      <c r="P128" s="1">
        <v>326949</v>
      </c>
      <c r="Q128" s="1">
        <v>614640</v>
      </c>
      <c r="R128" s="1">
        <v>24887144</v>
      </c>
      <c r="S128" s="1">
        <v>41051</v>
      </c>
      <c r="T128" s="1">
        <v>41051</v>
      </c>
      <c r="U128" s="1">
        <v>53071</v>
      </c>
      <c r="V128" s="1">
        <v>1</v>
      </c>
      <c r="W128" s="1">
        <v>0</v>
      </c>
    </row>
    <row r="129">
      <c r="A129" s="1">
        <v>2016</v>
      </c>
      <c r="B129" s="1">
        <v>41</v>
      </c>
      <c r="C129" t="s">
        <v>3</v>
      </c>
      <c r="D129" s="1">
        <v>51</v>
      </c>
      <c r="E129" t="s">
        <v>6</v>
      </c>
      <c r="F129" s="1">
        <v>53</v>
      </c>
      <c r="G129" t="s">
        <v>40</v>
      </c>
      <c r="H129" s="1">
        <v>73</v>
      </c>
      <c r="I129" t="s">
        <v>171</v>
      </c>
      <c r="J129" s="1">
        <v>76</v>
      </c>
      <c r="K129" s="1">
        <v>122</v>
      </c>
      <c r="L129" s="1">
        <v>3623</v>
      </c>
      <c r="M129" s="1">
        <v>27256</v>
      </c>
      <c r="N129" s="1">
        <v>45439</v>
      </c>
      <c r="O129" s="1">
        <v>1565266</v>
      </c>
      <c r="P129" s="1">
        <v>326949</v>
      </c>
      <c r="Q129" s="1">
        <v>614640</v>
      </c>
      <c r="R129" s="1">
        <v>24887144</v>
      </c>
      <c r="S129" s="1">
        <v>41051</v>
      </c>
      <c r="T129" s="1">
        <v>41051</v>
      </c>
      <c r="U129" s="1">
        <v>53073</v>
      </c>
      <c r="V129" s="1">
        <v>1</v>
      </c>
      <c r="W129" s="1">
        <v>0</v>
      </c>
    </row>
    <row r="130">
      <c r="A130" s="1">
        <v>2016</v>
      </c>
      <c r="B130" s="1">
        <v>41</v>
      </c>
      <c r="C130" t="s">
        <v>3</v>
      </c>
      <c r="D130" s="1">
        <v>51</v>
      </c>
      <c r="E130" t="s">
        <v>6</v>
      </c>
      <c r="F130" s="1">
        <v>53</v>
      </c>
      <c r="G130" t="s">
        <v>40</v>
      </c>
      <c r="H130" s="1">
        <v>77</v>
      </c>
      <c r="I130" t="s">
        <v>172</v>
      </c>
      <c r="J130" s="1">
        <v>39</v>
      </c>
      <c r="K130" s="1">
        <v>78</v>
      </c>
      <c r="L130" s="1">
        <v>1475</v>
      </c>
      <c r="M130" s="1">
        <v>27256</v>
      </c>
      <c r="N130" s="1">
        <v>45439</v>
      </c>
      <c r="O130" s="1">
        <v>1565266</v>
      </c>
      <c r="P130" s="1">
        <v>326949</v>
      </c>
      <c r="Q130" s="1">
        <v>614640</v>
      </c>
      <c r="R130" s="1">
        <v>24887144</v>
      </c>
      <c r="S130" s="1">
        <v>41051</v>
      </c>
      <c r="T130" s="1">
        <v>41051</v>
      </c>
      <c r="U130" s="1">
        <v>53077</v>
      </c>
      <c r="V130" s="1">
        <v>1</v>
      </c>
      <c r="W130" s="1">
        <v>0</v>
      </c>
    </row>
    <row r="131">
      <c r="A131" s="1">
        <v>2016</v>
      </c>
      <c r="B131" s="1">
        <v>41</v>
      </c>
      <c r="C131" t="s">
        <v>3</v>
      </c>
      <c r="D131" s="1">
        <v>51</v>
      </c>
      <c r="E131" t="s">
        <v>6</v>
      </c>
      <c r="F131" s="1">
        <v>55</v>
      </c>
      <c r="G131" t="s">
        <v>41</v>
      </c>
      <c r="H131" s="1">
        <v>25</v>
      </c>
      <c r="I131" t="s">
        <v>173</v>
      </c>
      <c r="J131" s="1">
        <v>31</v>
      </c>
      <c r="K131" s="1">
        <v>40</v>
      </c>
      <c r="L131" s="1">
        <v>1736</v>
      </c>
      <c r="M131" s="1">
        <v>27256</v>
      </c>
      <c r="N131" s="1">
        <v>45439</v>
      </c>
      <c r="O131" s="1">
        <v>1565266</v>
      </c>
      <c r="P131" s="1">
        <v>326949</v>
      </c>
      <c r="Q131" s="1">
        <v>614640</v>
      </c>
      <c r="R131" s="1">
        <v>24887144</v>
      </c>
      <c r="S131" s="1">
        <v>41051</v>
      </c>
      <c r="T131" s="1">
        <v>41051</v>
      </c>
      <c r="U131" s="1">
        <v>55025</v>
      </c>
      <c r="V131" s="1">
        <v>1</v>
      </c>
      <c r="W131" s="1">
        <v>0</v>
      </c>
    </row>
    <row r="132">
      <c r="A132" s="1">
        <v>2016</v>
      </c>
      <c r="B132" s="1">
        <v>41</v>
      </c>
      <c r="C132" t="s">
        <v>3</v>
      </c>
      <c r="D132" s="1">
        <v>51</v>
      </c>
      <c r="E132" t="s">
        <v>6</v>
      </c>
      <c r="F132" s="1">
        <v>55</v>
      </c>
      <c r="G132" t="s">
        <v>41</v>
      </c>
      <c r="H132" s="1">
        <v>79</v>
      </c>
      <c r="I132" t="s">
        <v>174</v>
      </c>
      <c r="J132" s="1">
        <v>22</v>
      </c>
      <c r="K132" s="1">
        <v>31</v>
      </c>
      <c r="L132" s="1">
        <v>842</v>
      </c>
      <c r="M132" s="1">
        <v>27256</v>
      </c>
      <c r="N132" s="1">
        <v>45439</v>
      </c>
      <c r="O132" s="1">
        <v>1565266</v>
      </c>
      <c r="P132" s="1">
        <v>326949</v>
      </c>
      <c r="Q132" s="1">
        <v>614640</v>
      </c>
      <c r="R132" s="1">
        <v>24887144</v>
      </c>
      <c r="S132" s="1">
        <v>41051</v>
      </c>
      <c r="T132" s="1">
        <v>41051</v>
      </c>
      <c r="U132" s="1">
        <v>55079</v>
      </c>
      <c r="V132" s="1">
        <v>1</v>
      </c>
      <c r="W132" s="1">
        <v>0</v>
      </c>
    </row>
    <row r="133">
      <c r="A133" s="1">
        <v>2017</v>
      </c>
      <c r="B133" s="1">
        <v>41</v>
      </c>
      <c r="C133" t="s">
        <v>3</v>
      </c>
      <c r="D133" s="1">
        <v>51</v>
      </c>
      <c r="E133" t="s">
        <v>6</v>
      </c>
      <c r="F133" s="1">
        <v>2</v>
      </c>
      <c r="G133" t="s">
        <v>9</v>
      </c>
      <c r="H133" s="1">
        <v>20</v>
      </c>
      <c r="I133" t="s">
        <v>52</v>
      </c>
      <c r="J133" s="1">
        <v>71</v>
      </c>
      <c r="K133" s="1">
        <v>97</v>
      </c>
      <c r="L133" s="1">
        <v>3446</v>
      </c>
      <c r="M133" s="1">
        <v>39037</v>
      </c>
      <c r="N133" s="1">
        <v>65103</v>
      </c>
      <c r="O133" s="1">
        <v>2442335</v>
      </c>
      <c r="P133" s="1">
        <v>334001</v>
      </c>
      <c r="Q133" s="1">
        <v>620621</v>
      </c>
      <c r="R133" s="1">
        <v>26145032</v>
      </c>
      <c r="S133" s="1">
        <v>41051</v>
      </c>
      <c r="T133" s="1">
        <v>41051</v>
      </c>
      <c r="U133" s="1">
        <v>2020</v>
      </c>
      <c r="V133" s="1">
        <v>1</v>
      </c>
      <c r="W133" s="1">
        <v>0</v>
      </c>
    </row>
    <row r="134">
      <c r="A134" s="1">
        <v>2017</v>
      </c>
      <c r="B134" s="1">
        <v>41</v>
      </c>
      <c r="C134" t="s">
        <v>3</v>
      </c>
      <c r="D134" s="1">
        <v>51</v>
      </c>
      <c r="E134" t="s">
        <v>6</v>
      </c>
      <c r="F134" s="1">
        <v>4</v>
      </c>
      <c r="G134" t="s">
        <v>10</v>
      </c>
      <c r="H134" s="1">
        <v>5</v>
      </c>
      <c r="I134" t="s">
        <v>175</v>
      </c>
      <c r="J134" s="1">
        <v>22</v>
      </c>
      <c r="K134" s="1">
        <v>31</v>
      </c>
      <c r="L134" s="1">
        <v>784</v>
      </c>
      <c r="M134" s="1">
        <v>39037</v>
      </c>
      <c r="N134" s="1">
        <v>65103</v>
      </c>
      <c r="O134" s="1">
        <v>2442335</v>
      </c>
      <c r="P134" s="1">
        <v>334001</v>
      </c>
      <c r="Q134" s="1">
        <v>620621</v>
      </c>
      <c r="R134" s="1">
        <v>26145032</v>
      </c>
      <c r="S134" s="1">
        <v>41051</v>
      </c>
      <c r="T134" s="1">
        <v>41051</v>
      </c>
      <c r="U134" s="1">
        <v>4005</v>
      </c>
      <c r="V134" s="1">
        <v>1</v>
      </c>
      <c r="W134" s="1">
        <v>0</v>
      </c>
    </row>
    <row r="135">
      <c r="A135" s="1">
        <v>2017</v>
      </c>
      <c r="B135" s="1">
        <v>41</v>
      </c>
      <c r="C135" t="s">
        <v>3</v>
      </c>
      <c r="D135" s="1">
        <v>51</v>
      </c>
      <c r="E135" t="s">
        <v>6</v>
      </c>
      <c r="F135" s="1">
        <v>4</v>
      </c>
      <c r="G135" t="s">
        <v>10</v>
      </c>
      <c r="H135" s="1">
        <v>13</v>
      </c>
      <c r="I135" t="s">
        <v>53</v>
      </c>
      <c r="J135" s="1">
        <v>441</v>
      </c>
      <c r="K135" s="1">
        <v>763</v>
      </c>
      <c r="L135" s="1">
        <v>28896</v>
      </c>
      <c r="M135" s="1">
        <v>39037</v>
      </c>
      <c r="N135" s="1">
        <v>65103</v>
      </c>
      <c r="O135" s="1">
        <v>2442335</v>
      </c>
      <c r="P135" s="1">
        <v>334001</v>
      </c>
      <c r="Q135" s="1">
        <v>620621</v>
      </c>
      <c r="R135" s="1">
        <v>26145032</v>
      </c>
      <c r="S135" s="1">
        <v>41051</v>
      </c>
      <c r="T135" s="1">
        <v>41051</v>
      </c>
      <c r="U135" s="1">
        <v>4013</v>
      </c>
      <c r="V135" s="1">
        <v>1</v>
      </c>
      <c r="W135" s="1">
        <v>0</v>
      </c>
    </row>
    <row r="136">
      <c r="A136" s="1">
        <v>2017</v>
      </c>
      <c r="B136" s="1">
        <v>41</v>
      </c>
      <c r="C136" t="s">
        <v>3</v>
      </c>
      <c r="D136" s="1">
        <v>51</v>
      </c>
      <c r="E136" t="s">
        <v>6</v>
      </c>
      <c r="F136" s="1">
        <v>4</v>
      </c>
      <c r="G136" t="s">
        <v>10</v>
      </c>
      <c r="H136" s="1">
        <v>19</v>
      </c>
      <c r="I136" t="s">
        <v>54</v>
      </c>
      <c r="J136" s="1">
        <v>154</v>
      </c>
      <c r="K136" s="1">
        <v>218</v>
      </c>
      <c r="L136" s="1">
        <v>8884</v>
      </c>
      <c r="M136" s="1">
        <v>39037</v>
      </c>
      <c r="N136" s="1">
        <v>65103</v>
      </c>
      <c r="O136" s="1">
        <v>2442335</v>
      </c>
      <c r="P136" s="1">
        <v>334001</v>
      </c>
      <c r="Q136" s="1">
        <v>620621</v>
      </c>
      <c r="R136" s="1">
        <v>26145032</v>
      </c>
      <c r="S136" s="1">
        <v>41051</v>
      </c>
      <c r="T136" s="1">
        <v>41051</v>
      </c>
      <c r="U136" s="1">
        <v>4019</v>
      </c>
      <c r="V136" s="1">
        <v>1</v>
      </c>
      <c r="W136" s="1">
        <v>0</v>
      </c>
    </row>
    <row r="137">
      <c r="A137" s="1">
        <v>2017</v>
      </c>
      <c r="B137" s="1">
        <v>41</v>
      </c>
      <c r="C137" t="s">
        <v>3</v>
      </c>
      <c r="D137" s="1">
        <v>51</v>
      </c>
      <c r="E137" t="s">
        <v>6</v>
      </c>
      <c r="F137" s="1">
        <v>4</v>
      </c>
      <c r="G137" t="s">
        <v>10</v>
      </c>
      <c r="H137" s="1">
        <v>21</v>
      </c>
      <c r="I137" t="s">
        <v>55</v>
      </c>
      <c r="J137" s="1">
        <v>38</v>
      </c>
      <c r="K137" s="1">
        <v>69</v>
      </c>
      <c r="L137" s="1">
        <v>3942</v>
      </c>
      <c r="M137" s="1">
        <v>39037</v>
      </c>
      <c r="N137" s="1">
        <v>65103</v>
      </c>
      <c r="O137" s="1">
        <v>2442335</v>
      </c>
      <c r="P137" s="1">
        <v>334001</v>
      </c>
      <c r="Q137" s="1">
        <v>620621</v>
      </c>
      <c r="R137" s="1">
        <v>26145032</v>
      </c>
      <c r="S137" s="1">
        <v>41051</v>
      </c>
      <c r="T137" s="1">
        <v>41051</v>
      </c>
      <c r="U137" s="1">
        <v>4021</v>
      </c>
      <c r="V137" s="1">
        <v>1</v>
      </c>
      <c r="W137" s="1">
        <v>0</v>
      </c>
    </row>
    <row r="138">
      <c r="A138" s="1">
        <v>2017</v>
      </c>
      <c r="B138" s="1">
        <v>41</v>
      </c>
      <c r="C138" t="s">
        <v>3</v>
      </c>
      <c r="D138" s="1">
        <v>51</v>
      </c>
      <c r="E138" t="s">
        <v>6</v>
      </c>
      <c r="F138" s="1">
        <v>4</v>
      </c>
      <c r="G138" t="s">
        <v>10</v>
      </c>
      <c r="H138" s="1">
        <v>25</v>
      </c>
      <c r="I138" t="s">
        <v>176</v>
      </c>
      <c r="J138" s="1">
        <v>41</v>
      </c>
      <c r="K138" s="1">
        <v>57</v>
      </c>
      <c r="L138" s="1">
        <v>2134</v>
      </c>
      <c r="M138" s="1">
        <v>39037</v>
      </c>
      <c r="N138" s="1">
        <v>65103</v>
      </c>
      <c r="O138" s="1">
        <v>2442335</v>
      </c>
      <c r="P138" s="1">
        <v>334001</v>
      </c>
      <c r="Q138" s="1">
        <v>620621</v>
      </c>
      <c r="R138" s="1">
        <v>26145032</v>
      </c>
      <c r="S138" s="1">
        <v>41051</v>
      </c>
      <c r="T138" s="1">
        <v>41051</v>
      </c>
      <c r="U138" s="1">
        <v>4025</v>
      </c>
      <c r="V138" s="1">
        <v>1</v>
      </c>
      <c r="W138" s="1">
        <v>0</v>
      </c>
    </row>
    <row r="139">
      <c r="A139" s="1">
        <v>2017</v>
      </c>
      <c r="B139" s="1">
        <v>41</v>
      </c>
      <c r="C139" t="s">
        <v>3</v>
      </c>
      <c r="D139" s="1">
        <v>51</v>
      </c>
      <c r="E139" t="s">
        <v>6</v>
      </c>
      <c r="F139" s="1">
        <v>6</v>
      </c>
      <c r="G139" t="s">
        <v>11</v>
      </c>
      <c r="H139" s="1">
        <v>1</v>
      </c>
      <c r="I139" t="s">
        <v>56</v>
      </c>
      <c r="J139" s="1">
        <v>231</v>
      </c>
      <c r="K139" s="1">
        <v>288</v>
      </c>
      <c r="L139" s="1">
        <v>16333</v>
      </c>
      <c r="M139" s="1">
        <v>39037</v>
      </c>
      <c r="N139" s="1">
        <v>65103</v>
      </c>
      <c r="O139" s="1">
        <v>2442335</v>
      </c>
      <c r="P139" s="1">
        <v>334001</v>
      </c>
      <c r="Q139" s="1">
        <v>620621</v>
      </c>
      <c r="R139" s="1">
        <v>26145032</v>
      </c>
      <c r="S139" s="1">
        <v>41051</v>
      </c>
      <c r="T139" s="1">
        <v>41051</v>
      </c>
      <c r="U139" s="1">
        <v>6001</v>
      </c>
      <c r="V139" s="1">
        <v>1</v>
      </c>
      <c r="W139" s="1">
        <v>0</v>
      </c>
    </row>
    <row r="140">
      <c r="A140" s="1">
        <v>2017</v>
      </c>
      <c r="B140" s="1">
        <v>41</v>
      </c>
      <c r="C140" t="s">
        <v>3</v>
      </c>
      <c r="D140" s="1">
        <v>51</v>
      </c>
      <c r="E140" t="s">
        <v>6</v>
      </c>
      <c r="F140" s="1">
        <v>6</v>
      </c>
      <c r="G140" t="s">
        <v>11</v>
      </c>
      <c r="H140" s="1">
        <v>7</v>
      </c>
      <c r="I140" t="s">
        <v>177</v>
      </c>
      <c r="J140" s="1">
        <v>38</v>
      </c>
      <c r="K140" s="1">
        <v>69</v>
      </c>
      <c r="L140" s="1">
        <v>1609</v>
      </c>
      <c r="M140" s="1">
        <v>39037</v>
      </c>
      <c r="N140" s="1">
        <v>65103</v>
      </c>
      <c r="O140" s="1">
        <v>2442335</v>
      </c>
      <c r="P140" s="1">
        <v>334001</v>
      </c>
      <c r="Q140" s="1">
        <v>620621</v>
      </c>
      <c r="R140" s="1">
        <v>26145032</v>
      </c>
      <c r="S140" s="1">
        <v>41051</v>
      </c>
      <c r="T140" s="1">
        <v>41051</v>
      </c>
      <c r="U140" s="1">
        <v>6007</v>
      </c>
      <c r="V140" s="1">
        <v>1</v>
      </c>
      <c r="W140" s="1">
        <v>0</v>
      </c>
    </row>
    <row r="141">
      <c r="A141" s="1">
        <v>2017</v>
      </c>
      <c r="B141" s="1">
        <v>41</v>
      </c>
      <c r="C141" t="s">
        <v>3</v>
      </c>
      <c r="D141" s="1">
        <v>51</v>
      </c>
      <c r="E141" t="s">
        <v>6</v>
      </c>
      <c r="F141" s="1">
        <v>6</v>
      </c>
      <c r="G141" t="s">
        <v>11</v>
      </c>
      <c r="H141" s="1">
        <v>13</v>
      </c>
      <c r="I141" t="s">
        <v>57</v>
      </c>
      <c r="J141" s="1">
        <v>63</v>
      </c>
      <c r="K141" s="1">
        <v>108</v>
      </c>
      <c r="L141" s="1">
        <v>6729</v>
      </c>
      <c r="M141" s="1">
        <v>39037</v>
      </c>
      <c r="N141" s="1">
        <v>65103</v>
      </c>
      <c r="O141" s="1">
        <v>2442335</v>
      </c>
      <c r="P141" s="1">
        <v>334001</v>
      </c>
      <c r="Q141" s="1">
        <v>620621</v>
      </c>
      <c r="R141" s="1">
        <v>26145032</v>
      </c>
      <c r="S141" s="1">
        <v>41051</v>
      </c>
      <c r="T141" s="1">
        <v>41051</v>
      </c>
      <c r="U141" s="1">
        <v>6013</v>
      </c>
      <c r="V141" s="1">
        <v>1</v>
      </c>
      <c r="W141" s="1">
        <v>0</v>
      </c>
    </row>
    <row r="142">
      <c r="A142" s="1">
        <v>2017</v>
      </c>
      <c r="B142" s="1">
        <v>41</v>
      </c>
      <c r="C142" t="s">
        <v>3</v>
      </c>
      <c r="D142" s="1">
        <v>51</v>
      </c>
      <c r="E142" t="s">
        <v>6</v>
      </c>
      <c r="F142" s="1">
        <v>6</v>
      </c>
      <c r="G142" t="s">
        <v>11</v>
      </c>
      <c r="H142" s="1">
        <v>19</v>
      </c>
      <c r="I142" t="s">
        <v>58</v>
      </c>
      <c r="J142" s="1">
        <v>27</v>
      </c>
      <c r="K142" s="1">
        <v>44</v>
      </c>
      <c r="L142" s="1">
        <v>998</v>
      </c>
      <c r="M142" s="1">
        <v>39037</v>
      </c>
      <c r="N142" s="1">
        <v>65103</v>
      </c>
      <c r="O142" s="1">
        <v>2442335</v>
      </c>
      <c r="P142" s="1">
        <v>334001</v>
      </c>
      <c r="Q142" s="1">
        <v>620621</v>
      </c>
      <c r="R142" s="1">
        <v>26145032</v>
      </c>
      <c r="S142" s="1">
        <v>41051</v>
      </c>
      <c r="T142" s="1">
        <v>41051</v>
      </c>
      <c r="U142" s="1">
        <v>6019</v>
      </c>
      <c r="V142" s="1">
        <v>1</v>
      </c>
      <c r="W142" s="1">
        <v>0</v>
      </c>
    </row>
    <row r="143">
      <c r="A143" s="1">
        <v>2017</v>
      </c>
      <c r="B143" s="1">
        <v>41</v>
      </c>
      <c r="C143" t="s">
        <v>3</v>
      </c>
      <c r="D143" s="1">
        <v>51</v>
      </c>
      <c r="E143" t="s">
        <v>6</v>
      </c>
      <c r="F143" s="1">
        <v>6</v>
      </c>
      <c r="G143" t="s">
        <v>11</v>
      </c>
      <c r="H143" s="1">
        <v>23</v>
      </c>
      <c r="I143" t="s">
        <v>59</v>
      </c>
      <c r="J143" s="1">
        <v>37</v>
      </c>
      <c r="K143" s="1">
        <v>47</v>
      </c>
      <c r="L143" s="1">
        <v>1007</v>
      </c>
      <c r="M143" s="1">
        <v>39037</v>
      </c>
      <c r="N143" s="1">
        <v>65103</v>
      </c>
      <c r="O143" s="1">
        <v>2442335</v>
      </c>
      <c r="P143" s="1">
        <v>334001</v>
      </c>
      <c r="Q143" s="1">
        <v>620621</v>
      </c>
      <c r="R143" s="1">
        <v>26145032</v>
      </c>
      <c r="S143" s="1">
        <v>41051</v>
      </c>
      <c r="T143" s="1">
        <v>41051</v>
      </c>
      <c r="U143" s="1">
        <v>6023</v>
      </c>
      <c r="V143" s="1">
        <v>1</v>
      </c>
      <c r="W143" s="1">
        <v>0</v>
      </c>
    </row>
    <row r="144">
      <c r="A144" s="1">
        <v>2017</v>
      </c>
      <c r="B144" s="1">
        <v>41</v>
      </c>
      <c r="C144" t="s">
        <v>3</v>
      </c>
      <c r="D144" s="1">
        <v>51</v>
      </c>
      <c r="E144" t="s">
        <v>6</v>
      </c>
      <c r="F144" s="1">
        <v>6</v>
      </c>
      <c r="G144" t="s">
        <v>11</v>
      </c>
      <c r="H144" s="1">
        <v>29</v>
      </c>
      <c r="I144" t="s">
        <v>60</v>
      </c>
      <c r="J144" s="1">
        <v>25</v>
      </c>
      <c r="K144" s="1">
        <v>44</v>
      </c>
      <c r="L144" s="1">
        <v>1232</v>
      </c>
      <c r="M144" s="1">
        <v>39037</v>
      </c>
      <c r="N144" s="1">
        <v>65103</v>
      </c>
      <c r="O144" s="1">
        <v>2442335</v>
      </c>
      <c r="P144" s="1">
        <v>334001</v>
      </c>
      <c r="Q144" s="1">
        <v>620621</v>
      </c>
      <c r="R144" s="1">
        <v>26145032</v>
      </c>
      <c r="S144" s="1">
        <v>41051</v>
      </c>
      <c r="T144" s="1">
        <v>41051</v>
      </c>
      <c r="U144" s="1">
        <v>6029</v>
      </c>
      <c r="V144" s="1">
        <v>1</v>
      </c>
      <c r="W144" s="1">
        <v>0</v>
      </c>
    </row>
    <row r="145">
      <c r="A145" s="1">
        <v>2017</v>
      </c>
      <c r="B145" s="1">
        <v>41</v>
      </c>
      <c r="C145" t="s">
        <v>3</v>
      </c>
      <c r="D145" s="1">
        <v>51</v>
      </c>
      <c r="E145" t="s">
        <v>6</v>
      </c>
      <c r="F145" s="1">
        <v>6</v>
      </c>
      <c r="G145" t="s">
        <v>11</v>
      </c>
      <c r="H145" s="1">
        <v>37</v>
      </c>
      <c r="I145" t="s">
        <v>61</v>
      </c>
      <c r="J145" s="1">
        <v>737</v>
      </c>
      <c r="K145" s="1">
        <v>988</v>
      </c>
      <c r="L145" s="1">
        <v>51507</v>
      </c>
      <c r="M145" s="1">
        <v>39037</v>
      </c>
      <c r="N145" s="1">
        <v>65103</v>
      </c>
      <c r="O145" s="1">
        <v>2442335</v>
      </c>
      <c r="P145" s="1">
        <v>334001</v>
      </c>
      <c r="Q145" s="1">
        <v>620621</v>
      </c>
      <c r="R145" s="1">
        <v>26145032</v>
      </c>
      <c r="S145" s="1">
        <v>41051</v>
      </c>
      <c r="T145" s="1">
        <v>41051</v>
      </c>
      <c r="U145" s="1">
        <v>6037</v>
      </c>
      <c r="V145" s="1">
        <v>1</v>
      </c>
      <c r="W145" s="1">
        <v>0</v>
      </c>
    </row>
    <row r="146">
      <c r="A146" s="1">
        <v>2017</v>
      </c>
      <c r="B146" s="1">
        <v>41</v>
      </c>
      <c r="C146" t="s">
        <v>3</v>
      </c>
      <c r="D146" s="1">
        <v>51</v>
      </c>
      <c r="E146" t="s">
        <v>6</v>
      </c>
      <c r="F146" s="1">
        <v>6</v>
      </c>
      <c r="G146" t="s">
        <v>11</v>
      </c>
      <c r="H146" s="1">
        <v>41</v>
      </c>
      <c r="I146" t="s">
        <v>62</v>
      </c>
      <c r="J146" s="1">
        <v>44</v>
      </c>
      <c r="K146" s="1">
        <v>76</v>
      </c>
      <c r="L146" s="1">
        <v>3514</v>
      </c>
      <c r="M146" s="1">
        <v>39037</v>
      </c>
      <c r="N146" s="1">
        <v>65103</v>
      </c>
      <c r="O146" s="1">
        <v>2442335</v>
      </c>
      <c r="P146" s="1">
        <v>334001</v>
      </c>
      <c r="Q146" s="1">
        <v>620621</v>
      </c>
      <c r="R146" s="1">
        <v>26145032</v>
      </c>
      <c r="S146" s="1">
        <v>41051</v>
      </c>
      <c r="T146" s="1">
        <v>41051</v>
      </c>
      <c r="U146" s="1">
        <v>6041</v>
      </c>
      <c r="V146" s="1">
        <v>1</v>
      </c>
      <c r="W146" s="1">
        <v>0</v>
      </c>
    </row>
    <row r="147">
      <c r="A147" s="1">
        <v>2017</v>
      </c>
      <c r="B147" s="1">
        <v>41</v>
      </c>
      <c r="C147" t="s">
        <v>3</v>
      </c>
      <c r="D147" s="1">
        <v>51</v>
      </c>
      <c r="E147" t="s">
        <v>6</v>
      </c>
      <c r="F147" s="1">
        <v>6</v>
      </c>
      <c r="G147" t="s">
        <v>11</v>
      </c>
      <c r="H147" s="1">
        <v>45</v>
      </c>
      <c r="I147" t="s">
        <v>178</v>
      </c>
      <c r="J147" s="1">
        <v>21</v>
      </c>
      <c r="K147" s="1">
        <v>28</v>
      </c>
      <c r="L147" s="1">
        <v>662</v>
      </c>
      <c r="M147" s="1">
        <v>39037</v>
      </c>
      <c r="N147" s="1">
        <v>65103</v>
      </c>
      <c r="O147" s="1">
        <v>2442335</v>
      </c>
      <c r="P147" s="1">
        <v>334001</v>
      </c>
      <c r="Q147" s="1">
        <v>620621</v>
      </c>
      <c r="R147" s="1">
        <v>26145032</v>
      </c>
      <c r="S147" s="1">
        <v>41051</v>
      </c>
      <c r="T147" s="1">
        <v>41051</v>
      </c>
      <c r="U147" s="1">
        <v>6045</v>
      </c>
      <c r="V147" s="1">
        <v>1</v>
      </c>
      <c r="W147" s="1">
        <v>0</v>
      </c>
    </row>
    <row r="148">
      <c r="A148" s="1">
        <v>2017</v>
      </c>
      <c r="B148" s="1">
        <v>41</v>
      </c>
      <c r="C148" t="s">
        <v>3</v>
      </c>
      <c r="D148" s="1">
        <v>51</v>
      </c>
      <c r="E148" t="s">
        <v>6</v>
      </c>
      <c r="F148" s="1">
        <v>6</v>
      </c>
      <c r="G148" t="s">
        <v>11</v>
      </c>
      <c r="H148" s="1">
        <v>53</v>
      </c>
      <c r="I148" t="s">
        <v>63</v>
      </c>
      <c r="J148" s="1">
        <v>32</v>
      </c>
      <c r="K148" s="1">
        <v>57</v>
      </c>
      <c r="L148" s="1">
        <v>2364</v>
      </c>
      <c r="M148" s="1">
        <v>39037</v>
      </c>
      <c r="N148" s="1">
        <v>65103</v>
      </c>
      <c r="O148" s="1">
        <v>2442335</v>
      </c>
      <c r="P148" s="1">
        <v>334001</v>
      </c>
      <c r="Q148" s="1">
        <v>620621</v>
      </c>
      <c r="R148" s="1">
        <v>26145032</v>
      </c>
      <c r="S148" s="1">
        <v>41051</v>
      </c>
      <c r="T148" s="1">
        <v>41051</v>
      </c>
      <c r="U148" s="1">
        <v>6053</v>
      </c>
      <c r="V148" s="1">
        <v>1</v>
      </c>
      <c r="W148" s="1">
        <v>0</v>
      </c>
    </row>
    <row r="149">
      <c r="A149" s="1">
        <v>2017</v>
      </c>
      <c r="B149" s="1">
        <v>41</v>
      </c>
      <c r="C149" t="s">
        <v>3</v>
      </c>
      <c r="D149" s="1">
        <v>51</v>
      </c>
      <c r="E149" t="s">
        <v>6</v>
      </c>
      <c r="F149" s="1">
        <v>6</v>
      </c>
      <c r="G149" t="s">
        <v>11</v>
      </c>
      <c r="H149" s="1">
        <v>59</v>
      </c>
      <c r="I149" t="s">
        <v>64</v>
      </c>
      <c r="J149" s="1">
        <v>173</v>
      </c>
      <c r="K149" s="1">
        <v>243</v>
      </c>
      <c r="L149" s="1">
        <v>11538</v>
      </c>
      <c r="M149" s="1">
        <v>39037</v>
      </c>
      <c r="N149" s="1">
        <v>65103</v>
      </c>
      <c r="O149" s="1">
        <v>2442335</v>
      </c>
      <c r="P149" s="1">
        <v>334001</v>
      </c>
      <c r="Q149" s="1">
        <v>620621</v>
      </c>
      <c r="R149" s="1">
        <v>26145032</v>
      </c>
      <c r="S149" s="1">
        <v>41051</v>
      </c>
      <c r="T149" s="1">
        <v>41051</v>
      </c>
      <c r="U149" s="1">
        <v>6059</v>
      </c>
      <c r="V149" s="1">
        <v>1</v>
      </c>
      <c r="W149" s="1">
        <v>0</v>
      </c>
    </row>
    <row r="150">
      <c r="A150" s="1">
        <v>2017</v>
      </c>
      <c r="B150" s="1">
        <v>41</v>
      </c>
      <c r="C150" t="s">
        <v>3</v>
      </c>
      <c r="D150" s="1">
        <v>51</v>
      </c>
      <c r="E150" t="s">
        <v>6</v>
      </c>
      <c r="F150" s="1">
        <v>6</v>
      </c>
      <c r="G150" t="s">
        <v>11</v>
      </c>
      <c r="H150" s="1">
        <v>61</v>
      </c>
      <c r="I150" t="s">
        <v>65</v>
      </c>
      <c r="J150" s="1">
        <v>39</v>
      </c>
      <c r="K150" s="1">
        <v>66</v>
      </c>
      <c r="L150" s="1">
        <v>2449</v>
      </c>
      <c r="M150" s="1">
        <v>39037</v>
      </c>
      <c r="N150" s="1">
        <v>65103</v>
      </c>
      <c r="O150" s="1">
        <v>2442335</v>
      </c>
      <c r="P150" s="1">
        <v>334001</v>
      </c>
      <c r="Q150" s="1">
        <v>620621</v>
      </c>
      <c r="R150" s="1">
        <v>26145032</v>
      </c>
      <c r="S150" s="1">
        <v>41051</v>
      </c>
      <c r="T150" s="1">
        <v>41051</v>
      </c>
      <c r="U150" s="1">
        <v>6061</v>
      </c>
      <c r="V150" s="1">
        <v>1</v>
      </c>
      <c r="W150" s="1">
        <v>0</v>
      </c>
    </row>
    <row r="151">
      <c r="A151" s="1">
        <v>2017</v>
      </c>
      <c r="B151" s="1">
        <v>41</v>
      </c>
      <c r="C151" t="s">
        <v>3</v>
      </c>
      <c r="D151" s="1">
        <v>51</v>
      </c>
      <c r="E151" t="s">
        <v>6</v>
      </c>
      <c r="F151" s="1">
        <v>6</v>
      </c>
      <c r="G151" t="s">
        <v>11</v>
      </c>
      <c r="H151" s="1">
        <v>65</v>
      </c>
      <c r="I151" t="s">
        <v>66</v>
      </c>
      <c r="J151" s="1">
        <v>124</v>
      </c>
      <c r="K151" s="1">
        <v>188</v>
      </c>
      <c r="L151" s="1">
        <v>7671</v>
      </c>
      <c r="M151" s="1">
        <v>39037</v>
      </c>
      <c r="N151" s="1">
        <v>65103</v>
      </c>
      <c r="O151" s="1">
        <v>2442335</v>
      </c>
      <c r="P151" s="1">
        <v>334001</v>
      </c>
      <c r="Q151" s="1">
        <v>620621</v>
      </c>
      <c r="R151" s="1">
        <v>26145032</v>
      </c>
      <c r="S151" s="1">
        <v>41051</v>
      </c>
      <c r="T151" s="1">
        <v>41051</v>
      </c>
      <c r="U151" s="1">
        <v>6065</v>
      </c>
      <c r="V151" s="1">
        <v>1</v>
      </c>
      <c r="W151" s="1">
        <v>0</v>
      </c>
    </row>
    <row r="152">
      <c r="A152" s="1">
        <v>2017</v>
      </c>
      <c r="B152" s="1">
        <v>41</v>
      </c>
      <c r="C152" t="s">
        <v>3</v>
      </c>
      <c r="D152" s="1">
        <v>51</v>
      </c>
      <c r="E152" t="s">
        <v>6</v>
      </c>
      <c r="F152" s="1">
        <v>6</v>
      </c>
      <c r="G152" t="s">
        <v>11</v>
      </c>
      <c r="H152" s="1">
        <v>67</v>
      </c>
      <c r="I152" t="s">
        <v>67</v>
      </c>
      <c r="J152" s="1">
        <v>152</v>
      </c>
      <c r="K152" s="1">
        <v>237</v>
      </c>
      <c r="L152" s="1">
        <v>7077</v>
      </c>
      <c r="M152" s="1">
        <v>39037</v>
      </c>
      <c r="N152" s="1">
        <v>65103</v>
      </c>
      <c r="O152" s="1">
        <v>2442335</v>
      </c>
      <c r="P152" s="1">
        <v>334001</v>
      </c>
      <c r="Q152" s="1">
        <v>620621</v>
      </c>
      <c r="R152" s="1">
        <v>26145032</v>
      </c>
      <c r="S152" s="1">
        <v>41051</v>
      </c>
      <c r="T152" s="1">
        <v>41051</v>
      </c>
      <c r="U152" s="1">
        <v>6067</v>
      </c>
      <c r="V152" s="1">
        <v>1</v>
      </c>
      <c r="W152" s="1">
        <v>0</v>
      </c>
    </row>
    <row r="153">
      <c r="A153" s="1">
        <v>2017</v>
      </c>
      <c r="B153" s="1">
        <v>41</v>
      </c>
      <c r="C153" t="s">
        <v>3</v>
      </c>
      <c r="D153" s="1">
        <v>51</v>
      </c>
      <c r="E153" t="s">
        <v>6</v>
      </c>
      <c r="F153" s="1">
        <v>6</v>
      </c>
      <c r="G153" t="s">
        <v>11</v>
      </c>
      <c r="H153" s="1">
        <v>71</v>
      </c>
      <c r="I153" t="s">
        <v>68</v>
      </c>
      <c r="J153" s="1">
        <v>53</v>
      </c>
      <c r="K153" s="1">
        <v>73</v>
      </c>
      <c r="L153" s="1">
        <v>2414</v>
      </c>
      <c r="M153" s="1">
        <v>39037</v>
      </c>
      <c r="N153" s="1">
        <v>65103</v>
      </c>
      <c r="O153" s="1">
        <v>2442335</v>
      </c>
      <c r="P153" s="1">
        <v>334001</v>
      </c>
      <c r="Q153" s="1">
        <v>620621</v>
      </c>
      <c r="R153" s="1">
        <v>26145032</v>
      </c>
      <c r="S153" s="1">
        <v>41051</v>
      </c>
      <c r="T153" s="1">
        <v>41051</v>
      </c>
      <c r="U153" s="1">
        <v>6071</v>
      </c>
      <c r="V153" s="1">
        <v>1</v>
      </c>
      <c r="W153" s="1">
        <v>0</v>
      </c>
    </row>
    <row r="154">
      <c r="A154" s="1">
        <v>2017</v>
      </c>
      <c r="B154" s="1">
        <v>41</v>
      </c>
      <c r="C154" t="s">
        <v>3</v>
      </c>
      <c r="D154" s="1">
        <v>51</v>
      </c>
      <c r="E154" t="s">
        <v>6</v>
      </c>
      <c r="F154" s="1">
        <v>6</v>
      </c>
      <c r="G154" t="s">
        <v>11</v>
      </c>
      <c r="H154" s="1">
        <v>73</v>
      </c>
      <c r="I154" t="s">
        <v>69</v>
      </c>
      <c r="J154" s="1">
        <v>378</v>
      </c>
      <c r="K154" s="1">
        <v>570</v>
      </c>
      <c r="L154" s="1">
        <v>22148</v>
      </c>
      <c r="M154" s="1">
        <v>39037</v>
      </c>
      <c r="N154" s="1">
        <v>65103</v>
      </c>
      <c r="O154" s="1">
        <v>2442335</v>
      </c>
      <c r="P154" s="1">
        <v>334001</v>
      </c>
      <c r="Q154" s="1">
        <v>620621</v>
      </c>
      <c r="R154" s="1">
        <v>26145032</v>
      </c>
      <c r="S154" s="1">
        <v>41051</v>
      </c>
      <c r="T154" s="1">
        <v>41051</v>
      </c>
      <c r="U154" s="1">
        <v>6073</v>
      </c>
      <c r="V154" s="1">
        <v>1</v>
      </c>
      <c r="W154" s="1">
        <v>0</v>
      </c>
    </row>
    <row r="155">
      <c r="A155" s="1">
        <v>2017</v>
      </c>
      <c r="B155" s="1">
        <v>41</v>
      </c>
      <c r="C155" t="s">
        <v>3</v>
      </c>
      <c r="D155" s="1">
        <v>51</v>
      </c>
      <c r="E155" t="s">
        <v>6</v>
      </c>
      <c r="F155" s="1">
        <v>6</v>
      </c>
      <c r="G155" t="s">
        <v>11</v>
      </c>
      <c r="H155" s="1">
        <v>75</v>
      </c>
      <c r="I155" t="s">
        <v>70</v>
      </c>
      <c r="J155" s="1">
        <v>246</v>
      </c>
      <c r="K155" s="1">
        <v>298</v>
      </c>
      <c r="L155" s="1">
        <v>21848</v>
      </c>
      <c r="M155" s="1">
        <v>39037</v>
      </c>
      <c r="N155" s="1">
        <v>65103</v>
      </c>
      <c r="O155" s="1">
        <v>2442335</v>
      </c>
      <c r="P155" s="1">
        <v>334001</v>
      </c>
      <c r="Q155" s="1">
        <v>620621</v>
      </c>
      <c r="R155" s="1">
        <v>26145032</v>
      </c>
      <c r="S155" s="1">
        <v>41051</v>
      </c>
      <c r="T155" s="1">
        <v>41051</v>
      </c>
      <c r="U155" s="1">
        <v>6075</v>
      </c>
      <c r="V155" s="1">
        <v>1</v>
      </c>
      <c r="W155" s="1">
        <v>0</v>
      </c>
    </row>
    <row r="156">
      <c r="A156" s="1">
        <v>2017</v>
      </c>
      <c r="B156" s="1">
        <v>41</v>
      </c>
      <c r="C156" t="s">
        <v>3</v>
      </c>
      <c r="D156" s="1">
        <v>51</v>
      </c>
      <c r="E156" t="s">
        <v>6</v>
      </c>
      <c r="F156" s="1">
        <v>6</v>
      </c>
      <c r="G156" t="s">
        <v>11</v>
      </c>
      <c r="H156" s="1">
        <v>77</v>
      </c>
      <c r="I156" t="s">
        <v>179</v>
      </c>
      <c r="J156" s="1">
        <v>25</v>
      </c>
      <c r="K156" s="1">
        <v>38</v>
      </c>
      <c r="L156" s="1">
        <v>585</v>
      </c>
      <c r="M156" s="1">
        <v>39037</v>
      </c>
      <c r="N156" s="1">
        <v>65103</v>
      </c>
      <c r="O156" s="1">
        <v>2442335</v>
      </c>
      <c r="P156" s="1">
        <v>334001</v>
      </c>
      <c r="Q156" s="1">
        <v>620621</v>
      </c>
      <c r="R156" s="1">
        <v>26145032</v>
      </c>
      <c r="S156" s="1">
        <v>41051</v>
      </c>
      <c r="T156" s="1">
        <v>41051</v>
      </c>
      <c r="U156" s="1">
        <v>6077</v>
      </c>
      <c r="V156" s="1">
        <v>1</v>
      </c>
      <c r="W156" s="1">
        <v>0</v>
      </c>
    </row>
    <row r="157">
      <c r="A157" s="1">
        <v>2017</v>
      </c>
      <c r="B157" s="1">
        <v>41</v>
      </c>
      <c r="C157" t="s">
        <v>3</v>
      </c>
      <c r="D157" s="1">
        <v>51</v>
      </c>
      <c r="E157" t="s">
        <v>6</v>
      </c>
      <c r="F157" s="1">
        <v>6</v>
      </c>
      <c r="G157" t="s">
        <v>11</v>
      </c>
      <c r="H157" s="1">
        <v>79</v>
      </c>
      <c r="I157" t="s">
        <v>71</v>
      </c>
      <c r="J157" s="1">
        <v>35</v>
      </c>
      <c r="K157" s="1">
        <v>53</v>
      </c>
      <c r="L157" s="1">
        <v>1598</v>
      </c>
      <c r="M157" s="1">
        <v>39037</v>
      </c>
      <c r="N157" s="1">
        <v>65103</v>
      </c>
      <c r="O157" s="1">
        <v>2442335</v>
      </c>
      <c r="P157" s="1">
        <v>334001</v>
      </c>
      <c r="Q157" s="1">
        <v>620621</v>
      </c>
      <c r="R157" s="1">
        <v>26145032</v>
      </c>
      <c r="S157" s="1">
        <v>41051</v>
      </c>
      <c r="T157" s="1">
        <v>41051</v>
      </c>
      <c r="U157" s="1">
        <v>6079</v>
      </c>
      <c r="V157" s="1">
        <v>1</v>
      </c>
      <c r="W157" s="1">
        <v>0</v>
      </c>
    </row>
    <row r="158">
      <c r="A158" s="1">
        <v>2017</v>
      </c>
      <c r="B158" s="1">
        <v>41</v>
      </c>
      <c r="C158" t="s">
        <v>3</v>
      </c>
      <c r="D158" s="1">
        <v>51</v>
      </c>
      <c r="E158" t="s">
        <v>6</v>
      </c>
      <c r="F158" s="1">
        <v>6</v>
      </c>
      <c r="G158" t="s">
        <v>11</v>
      </c>
      <c r="H158" s="1">
        <v>81</v>
      </c>
      <c r="I158" t="s">
        <v>72</v>
      </c>
      <c r="J158" s="1">
        <v>71</v>
      </c>
      <c r="K158" s="1">
        <v>106</v>
      </c>
      <c r="L158" s="1">
        <v>7015</v>
      </c>
      <c r="M158" s="1">
        <v>39037</v>
      </c>
      <c r="N158" s="1">
        <v>65103</v>
      </c>
      <c r="O158" s="1">
        <v>2442335</v>
      </c>
      <c r="P158" s="1">
        <v>334001</v>
      </c>
      <c r="Q158" s="1">
        <v>620621</v>
      </c>
      <c r="R158" s="1">
        <v>26145032</v>
      </c>
      <c r="S158" s="1">
        <v>41051</v>
      </c>
      <c r="T158" s="1">
        <v>41051</v>
      </c>
      <c r="U158" s="1">
        <v>6081</v>
      </c>
      <c r="V158" s="1">
        <v>1</v>
      </c>
      <c r="W158" s="1">
        <v>0</v>
      </c>
    </row>
    <row r="159">
      <c r="A159" s="1">
        <v>2017</v>
      </c>
      <c r="B159" s="1">
        <v>41</v>
      </c>
      <c r="C159" t="s">
        <v>3</v>
      </c>
      <c r="D159" s="1">
        <v>51</v>
      </c>
      <c r="E159" t="s">
        <v>6</v>
      </c>
      <c r="F159" s="1">
        <v>6</v>
      </c>
      <c r="G159" t="s">
        <v>11</v>
      </c>
      <c r="H159" s="1">
        <v>83</v>
      </c>
      <c r="I159" t="s">
        <v>73</v>
      </c>
      <c r="J159" s="1">
        <v>59</v>
      </c>
      <c r="K159" s="1">
        <v>79</v>
      </c>
      <c r="L159" s="1">
        <v>5225</v>
      </c>
      <c r="M159" s="1">
        <v>39037</v>
      </c>
      <c r="N159" s="1">
        <v>65103</v>
      </c>
      <c r="O159" s="1">
        <v>2442335</v>
      </c>
      <c r="P159" s="1">
        <v>334001</v>
      </c>
      <c r="Q159" s="1">
        <v>620621</v>
      </c>
      <c r="R159" s="1">
        <v>26145032</v>
      </c>
      <c r="S159" s="1">
        <v>41051</v>
      </c>
      <c r="T159" s="1">
        <v>41051</v>
      </c>
      <c r="U159" s="1">
        <v>6083</v>
      </c>
      <c r="V159" s="1">
        <v>1</v>
      </c>
      <c r="W159" s="1">
        <v>0</v>
      </c>
    </row>
    <row r="160">
      <c r="A160" s="1">
        <v>2017</v>
      </c>
      <c r="B160" s="1">
        <v>41</v>
      </c>
      <c r="C160" t="s">
        <v>3</v>
      </c>
      <c r="D160" s="1">
        <v>51</v>
      </c>
      <c r="E160" t="s">
        <v>6</v>
      </c>
      <c r="F160" s="1">
        <v>6</v>
      </c>
      <c r="G160" t="s">
        <v>11</v>
      </c>
      <c r="H160" s="1">
        <v>85</v>
      </c>
      <c r="I160" t="s">
        <v>74</v>
      </c>
      <c r="J160" s="1">
        <v>164</v>
      </c>
      <c r="K160" s="1">
        <v>249</v>
      </c>
      <c r="L160" s="1">
        <v>22764</v>
      </c>
      <c r="M160" s="1">
        <v>39037</v>
      </c>
      <c r="N160" s="1">
        <v>65103</v>
      </c>
      <c r="O160" s="1">
        <v>2442335</v>
      </c>
      <c r="P160" s="1">
        <v>334001</v>
      </c>
      <c r="Q160" s="1">
        <v>620621</v>
      </c>
      <c r="R160" s="1">
        <v>26145032</v>
      </c>
      <c r="S160" s="1">
        <v>41051</v>
      </c>
      <c r="T160" s="1">
        <v>41051</v>
      </c>
      <c r="U160" s="1">
        <v>6085</v>
      </c>
      <c r="V160" s="1">
        <v>1</v>
      </c>
      <c r="W160" s="1">
        <v>0</v>
      </c>
    </row>
    <row r="161">
      <c r="A161" s="1">
        <v>2017</v>
      </c>
      <c r="B161" s="1">
        <v>41</v>
      </c>
      <c r="C161" t="s">
        <v>3</v>
      </c>
      <c r="D161" s="1">
        <v>51</v>
      </c>
      <c r="E161" t="s">
        <v>6</v>
      </c>
      <c r="F161" s="1">
        <v>6</v>
      </c>
      <c r="G161" t="s">
        <v>11</v>
      </c>
      <c r="H161" s="1">
        <v>87</v>
      </c>
      <c r="I161" t="s">
        <v>75</v>
      </c>
      <c r="J161" s="1">
        <v>50</v>
      </c>
      <c r="K161" s="1">
        <v>63</v>
      </c>
      <c r="L161" s="1">
        <v>2749</v>
      </c>
      <c r="M161" s="1">
        <v>39037</v>
      </c>
      <c r="N161" s="1">
        <v>65103</v>
      </c>
      <c r="O161" s="1">
        <v>2442335</v>
      </c>
      <c r="P161" s="1">
        <v>334001</v>
      </c>
      <c r="Q161" s="1">
        <v>620621</v>
      </c>
      <c r="R161" s="1">
        <v>26145032</v>
      </c>
      <c r="S161" s="1">
        <v>41051</v>
      </c>
      <c r="T161" s="1">
        <v>41051</v>
      </c>
      <c r="U161" s="1">
        <v>6087</v>
      </c>
      <c r="V161" s="1">
        <v>1</v>
      </c>
      <c r="W161" s="1">
        <v>0</v>
      </c>
    </row>
    <row r="162">
      <c r="A162" s="1">
        <v>2017</v>
      </c>
      <c r="B162" s="1">
        <v>41</v>
      </c>
      <c r="C162" t="s">
        <v>3</v>
      </c>
      <c r="D162" s="1">
        <v>51</v>
      </c>
      <c r="E162" t="s">
        <v>6</v>
      </c>
      <c r="F162" s="1">
        <v>6</v>
      </c>
      <c r="G162" t="s">
        <v>11</v>
      </c>
      <c r="H162" s="1">
        <v>89</v>
      </c>
      <c r="I162" t="s">
        <v>76</v>
      </c>
      <c r="J162" s="1">
        <v>33</v>
      </c>
      <c r="K162" s="1">
        <v>54</v>
      </c>
      <c r="L162" s="1">
        <v>2108</v>
      </c>
      <c r="M162" s="1">
        <v>39037</v>
      </c>
      <c r="N162" s="1">
        <v>65103</v>
      </c>
      <c r="O162" s="1">
        <v>2442335</v>
      </c>
      <c r="P162" s="1">
        <v>334001</v>
      </c>
      <c r="Q162" s="1">
        <v>620621</v>
      </c>
      <c r="R162" s="1">
        <v>26145032</v>
      </c>
      <c r="S162" s="1">
        <v>41051</v>
      </c>
      <c r="T162" s="1">
        <v>41051</v>
      </c>
      <c r="U162" s="1">
        <v>6089</v>
      </c>
      <c r="V162" s="1">
        <v>1</v>
      </c>
      <c r="W162" s="1">
        <v>0</v>
      </c>
    </row>
    <row r="163">
      <c r="A163" s="1">
        <v>2017</v>
      </c>
      <c r="B163" s="1">
        <v>41</v>
      </c>
      <c r="C163" t="s">
        <v>3</v>
      </c>
      <c r="D163" s="1">
        <v>51</v>
      </c>
      <c r="E163" t="s">
        <v>6</v>
      </c>
      <c r="F163" s="1">
        <v>6</v>
      </c>
      <c r="G163" t="s">
        <v>11</v>
      </c>
      <c r="H163" s="1">
        <v>95</v>
      </c>
      <c r="I163" t="s">
        <v>180</v>
      </c>
      <c r="J163" s="1">
        <v>27</v>
      </c>
      <c r="K163" s="1">
        <v>46</v>
      </c>
      <c r="L163" s="1">
        <v>1011</v>
      </c>
      <c r="M163" s="1">
        <v>39037</v>
      </c>
      <c r="N163" s="1">
        <v>65103</v>
      </c>
      <c r="O163" s="1">
        <v>2442335</v>
      </c>
      <c r="P163" s="1">
        <v>334001</v>
      </c>
      <c r="Q163" s="1">
        <v>620621</v>
      </c>
      <c r="R163" s="1">
        <v>26145032</v>
      </c>
      <c r="S163" s="1">
        <v>41051</v>
      </c>
      <c r="T163" s="1">
        <v>41051</v>
      </c>
      <c r="U163" s="1">
        <v>6095</v>
      </c>
      <c r="V163" s="1">
        <v>1</v>
      </c>
      <c r="W163" s="1">
        <v>0</v>
      </c>
    </row>
    <row r="164">
      <c r="A164" s="1">
        <v>2017</v>
      </c>
      <c r="B164" s="1">
        <v>41</v>
      </c>
      <c r="C164" t="s">
        <v>3</v>
      </c>
      <c r="D164" s="1">
        <v>51</v>
      </c>
      <c r="E164" t="s">
        <v>6</v>
      </c>
      <c r="F164" s="1">
        <v>6</v>
      </c>
      <c r="G164" t="s">
        <v>11</v>
      </c>
      <c r="H164" s="1">
        <v>97</v>
      </c>
      <c r="I164" t="s">
        <v>77</v>
      </c>
      <c r="J164" s="1">
        <v>69</v>
      </c>
      <c r="K164" s="1">
        <v>109</v>
      </c>
      <c r="L164" s="1">
        <v>3135</v>
      </c>
      <c r="M164" s="1">
        <v>39037</v>
      </c>
      <c r="N164" s="1">
        <v>65103</v>
      </c>
      <c r="O164" s="1">
        <v>2442335</v>
      </c>
      <c r="P164" s="1">
        <v>334001</v>
      </c>
      <c r="Q164" s="1">
        <v>620621</v>
      </c>
      <c r="R164" s="1">
        <v>26145032</v>
      </c>
      <c r="S164" s="1">
        <v>41051</v>
      </c>
      <c r="T164" s="1">
        <v>41051</v>
      </c>
      <c r="U164" s="1">
        <v>6097</v>
      </c>
      <c r="V164" s="1">
        <v>1</v>
      </c>
      <c r="W164" s="1">
        <v>0</v>
      </c>
    </row>
    <row r="165">
      <c r="A165" s="1">
        <v>2017</v>
      </c>
      <c r="B165" s="1">
        <v>41</v>
      </c>
      <c r="C165" t="s">
        <v>3</v>
      </c>
      <c r="D165" s="1">
        <v>51</v>
      </c>
      <c r="E165" t="s">
        <v>6</v>
      </c>
      <c r="F165" s="1">
        <v>6</v>
      </c>
      <c r="G165" t="s">
        <v>11</v>
      </c>
      <c r="H165" s="1">
        <v>111</v>
      </c>
      <c r="I165" t="s">
        <v>78</v>
      </c>
      <c r="J165" s="1">
        <v>55</v>
      </c>
      <c r="K165" s="1">
        <v>77</v>
      </c>
      <c r="L165" s="1">
        <v>2054</v>
      </c>
      <c r="M165" s="1">
        <v>39037</v>
      </c>
      <c r="N165" s="1">
        <v>65103</v>
      </c>
      <c r="O165" s="1">
        <v>2442335</v>
      </c>
      <c r="P165" s="1">
        <v>334001</v>
      </c>
      <c r="Q165" s="1">
        <v>620621</v>
      </c>
      <c r="R165" s="1">
        <v>26145032</v>
      </c>
      <c r="S165" s="1">
        <v>41051</v>
      </c>
      <c r="T165" s="1">
        <v>41051</v>
      </c>
      <c r="U165" s="1">
        <v>6111</v>
      </c>
      <c r="V165" s="1">
        <v>1</v>
      </c>
      <c r="W165" s="1">
        <v>0</v>
      </c>
    </row>
    <row r="166">
      <c r="A166" s="1">
        <v>2017</v>
      </c>
      <c r="B166" s="1">
        <v>41</v>
      </c>
      <c r="C166" t="s">
        <v>3</v>
      </c>
      <c r="D166" s="1">
        <v>51</v>
      </c>
      <c r="E166" t="s">
        <v>6</v>
      </c>
      <c r="F166" s="1">
        <v>6</v>
      </c>
      <c r="G166" t="s">
        <v>11</v>
      </c>
      <c r="H166" s="1">
        <v>113</v>
      </c>
      <c r="I166" t="s">
        <v>181</v>
      </c>
      <c r="J166" s="1">
        <v>27</v>
      </c>
      <c r="K166" s="1">
        <v>36</v>
      </c>
      <c r="L166" s="1">
        <v>1279</v>
      </c>
      <c r="M166" s="1">
        <v>39037</v>
      </c>
      <c r="N166" s="1">
        <v>65103</v>
      </c>
      <c r="O166" s="1">
        <v>2442335</v>
      </c>
      <c r="P166" s="1">
        <v>334001</v>
      </c>
      <c r="Q166" s="1">
        <v>620621</v>
      </c>
      <c r="R166" s="1">
        <v>26145032</v>
      </c>
      <c r="S166" s="1">
        <v>41051</v>
      </c>
      <c r="T166" s="1">
        <v>41051</v>
      </c>
      <c r="U166" s="1">
        <v>6113</v>
      </c>
      <c r="V166" s="1">
        <v>1</v>
      </c>
      <c r="W166" s="1">
        <v>0</v>
      </c>
    </row>
    <row r="167">
      <c r="A167" s="1">
        <v>2017</v>
      </c>
      <c r="B167" s="1">
        <v>41</v>
      </c>
      <c r="C167" t="s">
        <v>3</v>
      </c>
      <c r="D167" s="1">
        <v>51</v>
      </c>
      <c r="E167" t="s">
        <v>6</v>
      </c>
      <c r="F167" s="1">
        <v>8</v>
      </c>
      <c r="G167" t="s">
        <v>12</v>
      </c>
      <c r="H167" s="1">
        <v>5</v>
      </c>
      <c r="I167" t="s">
        <v>79</v>
      </c>
      <c r="J167" s="1">
        <v>45</v>
      </c>
      <c r="K167" s="1">
        <v>64</v>
      </c>
      <c r="L167" s="1">
        <v>2301</v>
      </c>
      <c r="M167" s="1">
        <v>39037</v>
      </c>
      <c r="N167" s="1">
        <v>65103</v>
      </c>
      <c r="O167" s="1">
        <v>2442335</v>
      </c>
      <c r="P167" s="1">
        <v>334001</v>
      </c>
      <c r="Q167" s="1">
        <v>620621</v>
      </c>
      <c r="R167" s="1">
        <v>26145032</v>
      </c>
      <c r="S167" s="1">
        <v>41051</v>
      </c>
      <c r="T167" s="1">
        <v>41051</v>
      </c>
      <c r="U167" s="1">
        <v>8005</v>
      </c>
      <c r="V167" s="1">
        <v>1</v>
      </c>
      <c r="W167" s="1">
        <v>0</v>
      </c>
    </row>
    <row r="168">
      <c r="A168" s="1">
        <v>2017</v>
      </c>
      <c r="B168" s="1">
        <v>41</v>
      </c>
      <c r="C168" t="s">
        <v>3</v>
      </c>
      <c r="D168" s="1">
        <v>51</v>
      </c>
      <c r="E168" t="s">
        <v>6</v>
      </c>
      <c r="F168" s="1">
        <v>8</v>
      </c>
      <c r="G168" t="s">
        <v>12</v>
      </c>
      <c r="H168" s="1">
        <v>13</v>
      </c>
      <c r="I168" t="s">
        <v>80</v>
      </c>
      <c r="J168" s="1">
        <v>93</v>
      </c>
      <c r="K168" s="1">
        <v>121</v>
      </c>
      <c r="L168" s="1">
        <v>4682</v>
      </c>
      <c r="M168" s="1">
        <v>39037</v>
      </c>
      <c r="N168" s="1">
        <v>65103</v>
      </c>
      <c r="O168" s="1">
        <v>2442335</v>
      </c>
      <c r="P168" s="1">
        <v>334001</v>
      </c>
      <c r="Q168" s="1">
        <v>620621</v>
      </c>
      <c r="R168" s="1">
        <v>26145032</v>
      </c>
      <c r="S168" s="1">
        <v>41051</v>
      </c>
      <c r="T168" s="1">
        <v>41051</v>
      </c>
      <c r="U168" s="1">
        <v>8013</v>
      </c>
      <c r="V168" s="1">
        <v>1</v>
      </c>
      <c r="W168" s="1">
        <v>0</v>
      </c>
    </row>
    <row r="169">
      <c r="A169" s="1">
        <v>2017</v>
      </c>
      <c r="B169" s="1">
        <v>41</v>
      </c>
      <c r="C169" t="s">
        <v>3</v>
      </c>
      <c r="D169" s="1">
        <v>51</v>
      </c>
      <c r="E169" t="s">
        <v>6</v>
      </c>
      <c r="F169" s="1">
        <v>8</v>
      </c>
      <c r="G169" t="s">
        <v>12</v>
      </c>
      <c r="H169" s="1">
        <v>31</v>
      </c>
      <c r="I169" t="s">
        <v>81</v>
      </c>
      <c r="J169" s="1">
        <v>163</v>
      </c>
      <c r="K169" s="1">
        <v>224</v>
      </c>
      <c r="L169" s="1">
        <v>11046</v>
      </c>
      <c r="M169" s="1">
        <v>39037</v>
      </c>
      <c r="N169" s="1">
        <v>65103</v>
      </c>
      <c r="O169" s="1">
        <v>2442335</v>
      </c>
      <c r="P169" s="1">
        <v>334001</v>
      </c>
      <c r="Q169" s="1">
        <v>620621</v>
      </c>
      <c r="R169" s="1">
        <v>26145032</v>
      </c>
      <c r="S169" s="1">
        <v>41051</v>
      </c>
      <c r="T169" s="1">
        <v>41051</v>
      </c>
      <c r="U169" s="1">
        <v>8031</v>
      </c>
      <c r="V169" s="1">
        <v>1</v>
      </c>
      <c r="W169" s="1">
        <v>0</v>
      </c>
    </row>
    <row r="170">
      <c r="A170" s="1">
        <v>2017</v>
      </c>
      <c r="B170" s="1">
        <v>41</v>
      </c>
      <c r="C170" t="s">
        <v>3</v>
      </c>
      <c r="D170" s="1">
        <v>51</v>
      </c>
      <c r="E170" t="s">
        <v>6</v>
      </c>
      <c r="F170" s="1">
        <v>8</v>
      </c>
      <c r="G170" t="s">
        <v>12</v>
      </c>
      <c r="H170" s="1">
        <v>41</v>
      </c>
      <c r="I170" t="s">
        <v>82</v>
      </c>
      <c r="J170" s="1">
        <v>55</v>
      </c>
      <c r="K170" s="1">
        <v>95</v>
      </c>
      <c r="L170" s="1">
        <v>2349</v>
      </c>
      <c r="M170" s="1">
        <v>39037</v>
      </c>
      <c r="N170" s="1">
        <v>65103</v>
      </c>
      <c r="O170" s="1">
        <v>2442335</v>
      </c>
      <c r="P170" s="1">
        <v>334001</v>
      </c>
      <c r="Q170" s="1">
        <v>620621</v>
      </c>
      <c r="R170" s="1">
        <v>26145032</v>
      </c>
      <c r="S170" s="1">
        <v>41051</v>
      </c>
      <c r="T170" s="1">
        <v>41051</v>
      </c>
      <c r="U170" s="1">
        <v>8041</v>
      </c>
      <c r="V170" s="1">
        <v>1</v>
      </c>
      <c r="W170" s="1">
        <v>0</v>
      </c>
    </row>
    <row r="171">
      <c r="A171" s="1">
        <v>2017</v>
      </c>
      <c r="B171" s="1">
        <v>41</v>
      </c>
      <c r="C171" t="s">
        <v>3</v>
      </c>
      <c r="D171" s="1">
        <v>51</v>
      </c>
      <c r="E171" t="s">
        <v>6</v>
      </c>
      <c r="F171" s="1">
        <v>8</v>
      </c>
      <c r="G171" t="s">
        <v>12</v>
      </c>
      <c r="H171" s="1">
        <v>59</v>
      </c>
      <c r="I171" t="s">
        <v>83</v>
      </c>
      <c r="J171" s="1">
        <v>55</v>
      </c>
      <c r="K171" s="1">
        <v>87</v>
      </c>
      <c r="L171" s="1">
        <v>3625</v>
      </c>
      <c r="M171" s="1">
        <v>39037</v>
      </c>
      <c r="N171" s="1">
        <v>65103</v>
      </c>
      <c r="O171" s="1">
        <v>2442335</v>
      </c>
      <c r="P171" s="1">
        <v>334001</v>
      </c>
      <c r="Q171" s="1">
        <v>620621</v>
      </c>
      <c r="R171" s="1">
        <v>26145032</v>
      </c>
      <c r="S171" s="1">
        <v>41051</v>
      </c>
      <c r="T171" s="1">
        <v>41051</v>
      </c>
      <c r="U171" s="1">
        <v>8059</v>
      </c>
      <c r="V171" s="1">
        <v>1</v>
      </c>
      <c r="W171" s="1">
        <v>0</v>
      </c>
    </row>
    <row r="172">
      <c r="A172" s="1">
        <v>2017</v>
      </c>
      <c r="B172" s="1">
        <v>41</v>
      </c>
      <c r="C172" t="s">
        <v>3</v>
      </c>
      <c r="D172" s="1">
        <v>51</v>
      </c>
      <c r="E172" t="s">
        <v>6</v>
      </c>
      <c r="F172" s="1">
        <v>8</v>
      </c>
      <c r="G172" t="s">
        <v>12</v>
      </c>
      <c r="H172" s="1">
        <v>69</v>
      </c>
      <c r="I172" t="s">
        <v>84</v>
      </c>
      <c r="J172" s="1">
        <v>61</v>
      </c>
      <c r="K172" s="1">
        <v>82</v>
      </c>
      <c r="L172" s="1">
        <v>2838</v>
      </c>
      <c r="M172" s="1">
        <v>39037</v>
      </c>
      <c r="N172" s="1">
        <v>65103</v>
      </c>
      <c r="O172" s="1">
        <v>2442335</v>
      </c>
      <c r="P172" s="1">
        <v>334001</v>
      </c>
      <c r="Q172" s="1">
        <v>620621</v>
      </c>
      <c r="R172" s="1">
        <v>26145032</v>
      </c>
      <c r="S172" s="1">
        <v>41051</v>
      </c>
      <c r="T172" s="1">
        <v>41051</v>
      </c>
      <c r="U172" s="1">
        <v>8069</v>
      </c>
      <c r="V172" s="1">
        <v>1</v>
      </c>
      <c r="W172" s="1">
        <v>0</v>
      </c>
    </row>
    <row r="173">
      <c r="A173" s="1">
        <v>2017</v>
      </c>
      <c r="B173" s="1">
        <v>41</v>
      </c>
      <c r="C173" t="s">
        <v>3</v>
      </c>
      <c r="D173" s="1">
        <v>51</v>
      </c>
      <c r="E173" t="s">
        <v>6</v>
      </c>
      <c r="F173" s="1">
        <v>9</v>
      </c>
      <c r="G173" t="s">
        <v>13</v>
      </c>
      <c r="H173" s="1">
        <v>3</v>
      </c>
      <c r="I173" t="s">
        <v>182</v>
      </c>
      <c r="J173" s="1">
        <v>20</v>
      </c>
      <c r="K173" s="1">
        <v>27</v>
      </c>
      <c r="L173" s="1">
        <v>387</v>
      </c>
      <c r="M173" s="1">
        <v>39037</v>
      </c>
      <c r="N173" s="1">
        <v>65103</v>
      </c>
      <c r="O173" s="1">
        <v>2442335</v>
      </c>
      <c r="P173" s="1">
        <v>334001</v>
      </c>
      <c r="Q173" s="1">
        <v>620621</v>
      </c>
      <c r="R173" s="1">
        <v>26145032</v>
      </c>
      <c r="S173" s="1">
        <v>41051</v>
      </c>
      <c r="T173" s="1">
        <v>41051</v>
      </c>
      <c r="U173" s="1">
        <v>9003</v>
      </c>
      <c r="V173" s="1">
        <v>1</v>
      </c>
      <c r="W173" s="1">
        <v>0</v>
      </c>
    </row>
    <row r="174">
      <c r="A174" s="1">
        <v>2017</v>
      </c>
      <c r="B174" s="1">
        <v>41</v>
      </c>
      <c r="C174" t="s">
        <v>3</v>
      </c>
      <c r="D174" s="1">
        <v>51</v>
      </c>
      <c r="E174" t="s">
        <v>6</v>
      </c>
      <c r="F174" s="1">
        <v>9</v>
      </c>
      <c r="G174" t="s">
        <v>13</v>
      </c>
      <c r="H174" s="1">
        <v>9</v>
      </c>
      <c r="I174" t="s">
        <v>85</v>
      </c>
      <c r="J174" s="1">
        <v>39</v>
      </c>
      <c r="K174" s="1">
        <v>58</v>
      </c>
      <c r="L174" s="1">
        <v>2049</v>
      </c>
      <c r="M174" s="1">
        <v>39037</v>
      </c>
      <c r="N174" s="1">
        <v>65103</v>
      </c>
      <c r="O174" s="1">
        <v>2442335</v>
      </c>
      <c r="P174" s="1">
        <v>334001</v>
      </c>
      <c r="Q174" s="1">
        <v>620621</v>
      </c>
      <c r="R174" s="1">
        <v>26145032</v>
      </c>
      <c r="S174" s="1">
        <v>41051</v>
      </c>
      <c r="T174" s="1">
        <v>41051</v>
      </c>
      <c r="U174" s="1">
        <v>9009</v>
      </c>
      <c r="V174" s="1">
        <v>1</v>
      </c>
      <c r="W174" s="1">
        <v>0</v>
      </c>
    </row>
    <row r="175">
      <c r="A175" s="1">
        <v>2017</v>
      </c>
      <c r="B175" s="1">
        <v>41</v>
      </c>
      <c r="C175" t="s">
        <v>3</v>
      </c>
      <c r="D175" s="1">
        <v>51</v>
      </c>
      <c r="E175" t="s">
        <v>6</v>
      </c>
      <c r="F175" s="1">
        <v>11</v>
      </c>
      <c r="G175" t="s">
        <v>14</v>
      </c>
      <c r="H175" s="1">
        <v>1</v>
      </c>
      <c r="I175" t="s">
        <v>14</v>
      </c>
      <c r="J175" s="1">
        <v>88</v>
      </c>
      <c r="K175" s="1">
        <v>99</v>
      </c>
      <c r="L175" s="1">
        <v>4650</v>
      </c>
      <c r="M175" s="1">
        <v>39037</v>
      </c>
      <c r="N175" s="1">
        <v>65103</v>
      </c>
      <c r="O175" s="1">
        <v>2442335</v>
      </c>
      <c r="P175" s="1">
        <v>334001</v>
      </c>
      <c r="Q175" s="1">
        <v>620621</v>
      </c>
      <c r="R175" s="1">
        <v>26145032</v>
      </c>
      <c r="S175" s="1">
        <v>41051</v>
      </c>
      <c r="T175" s="1">
        <v>41051</v>
      </c>
      <c r="U175" s="1">
        <v>11001</v>
      </c>
      <c r="V175" s="1">
        <v>1</v>
      </c>
      <c r="W175" s="1">
        <v>0</v>
      </c>
    </row>
    <row r="176">
      <c r="A176" s="1">
        <v>2017</v>
      </c>
      <c r="B176" s="1">
        <v>41</v>
      </c>
      <c r="C176" t="s">
        <v>3</v>
      </c>
      <c r="D176" s="1">
        <v>51</v>
      </c>
      <c r="E176" t="s">
        <v>6</v>
      </c>
      <c r="F176" s="1">
        <v>12</v>
      </c>
      <c r="G176" t="s">
        <v>15</v>
      </c>
      <c r="H176" s="1">
        <v>11</v>
      </c>
      <c r="I176" t="s">
        <v>183</v>
      </c>
      <c r="J176" s="1">
        <v>30</v>
      </c>
      <c r="K176" s="1">
        <v>50</v>
      </c>
      <c r="L176" s="1">
        <v>2367</v>
      </c>
      <c r="M176" s="1">
        <v>39037</v>
      </c>
      <c r="N176" s="1">
        <v>65103</v>
      </c>
      <c r="O176" s="1">
        <v>2442335</v>
      </c>
      <c r="P176" s="1">
        <v>334001</v>
      </c>
      <c r="Q176" s="1">
        <v>620621</v>
      </c>
      <c r="R176" s="1">
        <v>26145032</v>
      </c>
      <c r="S176" s="1">
        <v>41051</v>
      </c>
      <c r="T176" s="1">
        <v>41051</v>
      </c>
      <c r="U176" s="1">
        <v>12011</v>
      </c>
      <c r="V176" s="1">
        <v>1</v>
      </c>
      <c r="W176" s="1">
        <v>0</v>
      </c>
    </row>
    <row r="177">
      <c r="A177" s="1">
        <v>2017</v>
      </c>
      <c r="B177" s="1">
        <v>41</v>
      </c>
      <c r="C177" t="s">
        <v>3</v>
      </c>
      <c r="D177" s="1">
        <v>51</v>
      </c>
      <c r="E177" t="s">
        <v>6</v>
      </c>
      <c r="F177" s="1">
        <v>12</v>
      </c>
      <c r="G177" t="s">
        <v>15</v>
      </c>
      <c r="H177" s="1">
        <v>31</v>
      </c>
      <c r="I177" t="s">
        <v>184</v>
      </c>
      <c r="J177" s="1">
        <v>33</v>
      </c>
      <c r="K177" s="1">
        <v>67</v>
      </c>
      <c r="L177" s="1">
        <v>2365</v>
      </c>
      <c r="M177" s="1">
        <v>39037</v>
      </c>
      <c r="N177" s="1">
        <v>65103</v>
      </c>
      <c r="O177" s="1">
        <v>2442335</v>
      </c>
      <c r="P177" s="1">
        <v>334001</v>
      </c>
      <c r="Q177" s="1">
        <v>620621</v>
      </c>
      <c r="R177" s="1">
        <v>26145032</v>
      </c>
      <c r="S177" s="1">
        <v>41051</v>
      </c>
      <c r="T177" s="1">
        <v>41051</v>
      </c>
      <c r="U177" s="1">
        <v>12031</v>
      </c>
      <c r="V177" s="1">
        <v>1</v>
      </c>
      <c r="W177" s="1">
        <v>0</v>
      </c>
    </row>
    <row r="178">
      <c r="A178" s="1">
        <v>2017</v>
      </c>
      <c r="B178" s="1">
        <v>41</v>
      </c>
      <c r="C178" t="s">
        <v>3</v>
      </c>
      <c r="D178" s="1">
        <v>51</v>
      </c>
      <c r="E178" t="s">
        <v>6</v>
      </c>
      <c r="F178" s="1">
        <v>12</v>
      </c>
      <c r="G178" t="s">
        <v>15</v>
      </c>
      <c r="H178" s="1">
        <v>57</v>
      </c>
      <c r="I178" t="s">
        <v>86</v>
      </c>
      <c r="J178" s="1">
        <v>30</v>
      </c>
      <c r="K178" s="1">
        <v>50</v>
      </c>
      <c r="L178" s="1">
        <v>1419</v>
      </c>
      <c r="M178" s="1">
        <v>39037</v>
      </c>
      <c r="N178" s="1">
        <v>65103</v>
      </c>
      <c r="O178" s="1">
        <v>2442335</v>
      </c>
      <c r="P178" s="1">
        <v>334001</v>
      </c>
      <c r="Q178" s="1">
        <v>620621</v>
      </c>
      <c r="R178" s="1">
        <v>26145032</v>
      </c>
      <c r="S178" s="1">
        <v>41051</v>
      </c>
      <c r="T178" s="1">
        <v>41051</v>
      </c>
      <c r="U178" s="1">
        <v>12057</v>
      </c>
      <c r="V178" s="1">
        <v>1</v>
      </c>
      <c r="W178" s="1">
        <v>0</v>
      </c>
    </row>
    <row r="179">
      <c r="A179" s="1">
        <v>2017</v>
      </c>
      <c r="B179" s="1">
        <v>41</v>
      </c>
      <c r="C179" t="s">
        <v>3</v>
      </c>
      <c r="D179" s="1">
        <v>51</v>
      </c>
      <c r="E179" t="s">
        <v>6</v>
      </c>
      <c r="F179" s="1">
        <v>12</v>
      </c>
      <c r="G179" t="s">
        <v>15</v>
      </c>
      <c r="H179" s="1">
        <v>86</v>
      </c>
      <c r="I179" t="s">
        <v>87</v>
      </c>
      <c r="J179" s="1">
        <v>47</v>
      </c>
      <c r="K179" s="1">
        <v>75</v>
      </c>
      <c r="L179" s="1">
        <v>3566</v>
      </c>
      <c r="M179" s="1">
        <v>39037</v>
      </c>
      <c r="N179" s="1">
        <v>65103</v>
      </c>
      <c r="O179" s="1">
        <v>2442335</v>
      </c>
      <c r="P179" s="1">
        <v>334001</v>
      </c>
      <c r="Q179" s="1">
        <v>620621</v>
      </c>
      <c r="R179" s="1">
        <v>26145032</v>
      </c>
      <c r="S179" s="1">
        <v>41051</v>
      </c>
      <c r="T179" s="1">
        <v>41051</v>
      </c>
      <c r="U179" s="1">
        <v>12086</v>
      </c>
      <c r="V179" s="1">
        <v>1</v>
      </c>
      <c r="W179" s="1">
        <v>0</v>
      </c>
    </row>
    <row r="180">
      <c r="A180" s="1">
        <v>2017</v>
      </c>
      <c r="B180" s="1">
        <v>41</v>
      </c>
      <c r="C180" t="s">
        <v>3</v>
      </c>
      <c r="D180" s="1">
        <v>51</v>
      </c>
      <c r="E180" t="s">
        <v>6</v>
      </c>
      <c r="F180" s="1">
        <v>12</v>
      </c>
      <c r="G180" t="s">
        <v>15</v>
      </c>
      <c r="H180" s="1">
        <v>95</v>
      </c>
      <c r="I180" t="s">
        <v>64</v>
      </c>
      <c r="J180" s="1">
        <v>38</v>
      </c>
      <c r="K180" s="1">
        <v>66</v>
      </c>
      <c r="L180" s="1">
        <v>1778</v>
      </c>
      <c r="M180" s="1">
        <v>39037</v>
      </c>
      <c r="N180" s="1">
        <v>65103</v>
      </c>
      <c r="O180" s="1">
        <v>2442335</v>
      </c>
      <c r="P180" s="1">
        <v>334001</v>
      </c>
      <c r="Q180" s="1">
        <v>620621</v>
      </c>
      <c r="R180" s="1">
        <v>26145032</v>
      </c>
      <c r="S180" s="1">
        <v>41051</v>
      </c>
      <c r="T180" s="1">
        <v>41051</v>
      </c>
      <c r="U180" s="1">
        <v>12095</v>
      </c>
      <c r="V180" s="1">
        <v>1</v>
      </c>
      <c r="W180" s="1">
        <v>0</v>
      </c>
    </row>
    <row r="181">
      <c r="A181" s="1">
        <v>2017</v>
      </c>
      <c r="B181" s="1">
        <v>41</v>
      </c>
      <c r="C181" t="s">
        <v>3</v>
      </c>
      <c r="D181" s="1">
        <v>51</v>
      </c>
      <c r="E181" t="s">
        <v>6</v>
      </c>
      <c r="F181" s="1">
        <v>12</v>
      </c>
      <c r="G181" t="s">
        <v>15</v>
      </c>
      <c r="H181" s="1">
        <v>99</v>
      </c>
      <c r="I181" t="s">
        <v>88</v>
      </c>
      <c r="J181" s="1">
        <v>32</v>
      </c>
      <c r="K181" s="1">
        <v>55</v>
      </c>
      <c r="L181" s="1">
        <v>1964</v>
      </c>
      <c r="M181" s="1">
        <v>39037</v>
      </c>
      <c r="N181" s="1">
        <v>65103</v>
      </c>
      <c r="O181" s="1">
        <v>2442335</v>
      </c>
      <c r="P181" s="1">
        <v>334001</v>
      </c>
      <c r="Q181" s="1">
        <v>620621</v>
      </c>
      <c r="R181" s="1">
        <v>26145032</v>
      </c>
      <c r="S181" s="1">
        <v>41051</v>
      </c>
      <c r="T181" s="1">
        <v>41051</v>
      </c>
      <c r="U181" s="1">
        <v>12099</v>
      </c>
      <c r="V181" s="1">
        <v>1</v>
      </c>
      <c r="W181" s="1">
        <v>0</v>
      </c>
    </row>
    <row r="182">
      <c r="A182" s="1">
        <v>2017</v>
      </c>
      <c r="B182" s="1">
        <v>41</v>
      </c>
      <c r="C182" t="s">
        <v>3</v>
      </c>
      <c r="D182" s="1">
        <v>51</v>
      </c>
      <c r="E182" t="s">
        <v>6</v>
      </c>
      <c r="F182" s="1">
        <v>12</v>
      </c>
      <c r="G182" t="s">
        <v>15</v>
      </c>
      <c r="H182" s="1">
        <v>103</v>
      </c>
      <c r="I182" t="s">
        <v>89</v>
      </c>
      <c r="J182" s="1">
        <v>52</v>
      </c>
      <c r="K182" s="1">
        <v>85</v>
      </c>
      <c r="L182" s="1">
        <v>3043</v>
      </c>
      <c r="M182" s="1">
        <v>39037</v>
      </c>
      <c r="N182" s="1">
        <v>65103</v>
      </c>
      <c r="O182" s="1">
        <v>2442335</v>
      </c>
      <c r="P182" s="1">
        <v>334001</v>
      </c>
      <c r="Q182" s="1">
        <v>620621</v>
      </c>
      <c r="R182" s="1">
        <v>26145032</v>
      </c>
      <c r="S182" s="1">
        <v>41051</v>
      </c>
      <c r="T182" s="1">
        <v>41051</v>
      </c>
      <c r="U182" s="1">
        <v>12103</v>
      </c>
      <c r="V182" s="1">
        <v>1</v>
      </c>
      <c r="W182" s="1">
        <v>0</v>
      </c>
    </row>
    <row r="183">
      <c r="A183" s="1">
        <v>2017</v>
      </c>
      <c r="B183" s="1">
        <v>41</v>
      </c>
      <c r="C183" t="s">
        <v>3</v>
      </c>
      <c r="D183" s="1">
        <v>51</v>
      </c>
      <c r="E183" t="s">
        <v>6</v>
      </c>
      <c r="F183" s="1">
        <v>13</v>
      </c>
      <c r="G183" t="s">
        <v>16</v>
      </c>
      <c r="H183" s="1">
        <v>89</v>
      </c>
      <c r="I183" t="s">
        <v>90</v>
      </c>
      <c r="J183" s="1">
        <v>40</v>
      </c>
      <c r="K183" s="1">
        <v>70</v>
      </c>
      <c r="L183" s="1">
        <v>3101</v>
      </c>
      <c r="M183" s="1">
        <v>39037</v>
      </c>
      <c r="N183" s="1">
        <v>65103</v>
      </c>
      <c r="O183" s="1">
        <v>2442335</v>
      </c>
      <c r="P183" s="1">
        <v>334001</v>
      </c>
      <c r="Q183" s="1">
        <v>620621</v>
      </c>
      <c r="R183" s="1">
        <v>26145032</v>
      </c>
      <c r="S183" s="1">
        <v>41051</v>
      </c>
      <c r="T183" s="1">
        <v>41051</v>
      </c>
      <c r="U183" s="1">
        <v>13089</v>
      </c>
      <c r="V183" s="1">
        <v>1</v>
      </c>
      <c r="W183" s="1">
        <v>0</v>
      </c>
    </row>
    <row r="184">
      <c r="A184" s="1">
        <v>2017</v>
      </c>
      <c r="B184" s="1">
        <v>41</v>
      </c>
      <c r="C184" t="s">
        <v>3</v>
      </c>
      <c r="D184" s="1">
        <v>51</v>
      </c>
      <c r="E184" t="s">
        <v>6</v>
      </c>
      <c r="F184" s="1">
        <v>13</v>
      </c>
      <c r="G184" t="s">
        <v>16</v>
      </c>
      <c r="H184" s="1">
        <v>121</v>
      </c>
      <c r="I184" t="s">
        <v>91</v>
      </c>
      <c r="J184" s="1">
        <v>53</v>
      </c>
      <c r="K184" s="1">
        <v>75</v>
      </c>
      <c r="L184" s="1">
        <v>5116</v>
      </c>
      <c r="M184" s="1">
        <v>39037</v>
      </c>
      <c r="N184" s="1">
        <v>65103</v>
      </c>
      <c r="O184" s="1">
        <v>2442335</v>
      </c>
      <c r="P184" s="1">
        <v>334001</v>
      </c>
      <c r="Q184" s="1">
        <v>620621</v>
      </c>
      <c r="R184" s="1">
        <v>26145032</v>
      </c>
      <c r="S184" s="1">
        <v>41051</v>
      </c>
      <c r="T184" s="1">
        <v>41051</v>
      </c>
      <c r="U184" s="1">
        <v>13121</v>
      </c>
      <c r="V184" s="1">
        <v>1</v>
      </c>
      <c r="W184" s="1">
        <v>0</v>
      </c>
    </row>
    <row r="185">
      <c r="A185" s="1">
        <v>2017</v>
      </c>
      <c r="B185" s="1">
        <v>41</v>
      </c>
      <c r="C185" t="s">
        <v>3</v>
      </c>
      <c r="D185" s="1">
        <v>51</v>
      </c>
      <c r="E185" t="s">
        <v>6</v>
      </c>
      <c r="F185" s="1">
        <v>15</v>
      </c>
      <c r="G185" t="s">
        <v>17</v>
      </c>
      <c r="H185" s="1">
        <v>1</v>
      </c>
      <c r="I185" t="s">
        <v>92</v>
      </c>
      <c r="J185" s="1">
        <v>65</v>
      </c>
      <c r="K185" s="1">
        <v>103</v>
      </c>
      <c r="L185" s="1">
        <v>2989</v>
      </c>
      <c r="M185" s="1">
        <v>39037</v>
      </c>
      <c r="N185" s="1">
        <v>65103</v>
      </c>
      <c r="O185" s="1">
        <v>2442335</v>
      </c>
      <c r="P185" s="1">
        <v>334001</v>
      </c>
      <c r="Q185" s="1">
        <v>620621</v>
      </c>
      <c r="R185" s="1">
        <v>26145032</v>
      </c>
      <c r="S185" s="1">
        <v>41051</v>
      </c>
      <c r="T185" s="1">
        <v>41051</v>
      </c>
      <c r="U185" s="1">
        <v>15001</v>
      </c>
      <c r="V185" s="1">
        <v>1</v>
      </c>
      <c r="W185" s="1">
        <v>0</v>
      </c>
    </row>
    <row r="186">
      <c r="A186" s="1">
        <v>2017</v>
      </c>
      <c r="B186" s="1">
        <v>41</v>
      </c>
      <c r="C186" t="s">
        <v>3</v>
      </c>
      <c r="D186" s="1">
        <v>51</v>
      </c>
      <c r="E186" t="s">
        <v>6</v>
      </c>
      <c r="F186" s="1">
        <v>15</v>
      </c>
      <c r="G186" t="s">
        <v>17</v>
      </c>
      <c r="H186" s="1">
        <v>3</v>
      </c>
      <c r="I186" t="s">
        <v>93</v>
      </c>
      <c r="J186" s="1">
        <v>97</v>
      </c>
      <c r="K186" s="1">
        <v>157</v>
      </c>
      <c r="L186" s="1">
        <v>6818</v>
      </c>
      <c r="M186" s="1">
        <v>39037</v>
      </c>
      <c r="N186" s="1">
        <v>65103</v>
      </c>
      <c r="O186" s="1">
        <v>2442335</v>
      </c>
      <c r="P186" s="1">
        <v>334001</v>
      </c>
      <c r="Q186" s="1">
        <v>620621</v>
      </c>
      <c r="R186" s="1">
        <v>26145032</v>
      </c>
      <c r="S186" s="1">
        <v>41051</v>
      </c>
      <c r="T186" s="1">
        <v>41051</v>
      </c>
      <c r="U186" s="1">
        <v>15003</v>
      </c>
      <c r="V186" s="1">
        <v>1</v>
      </c>
      <c r="W186" s="1">
        <v>0</v>
      </c>
    </row>
    <row r="187">
      <c r="A187" s="1">
        <v>2017</v>
      </c>
      <c r="B187" s="1">
        <v>41</v>
      </c>
      <c r="C187" t="s">
        <v>3</v>
      </c>
      <c r="D187" s="1">
        <v>51</v>
      </c>
      <c r="E187" t="s">
        <v>6</v>
      </c>
      <c r="F187" s="1">
        <v>15</v>
      </c>
      <c r="G187" t="s">
        <v>17</v>
      </c>
      <c r="H187" s="1">
        <v>7</v>
      </c>
      <c r="I187" t="s">
        <v>185</v>
      </c>
      <c r="J187" s="1">
        <v>26</v>
      </c>
      <c r="K187" s="1">
        <v>35</v>
      </c>
      <c r="L187" s="1">
        <v>760</v>
      </c>
      <c r="M187" s="1">
        <v>39037</v>
      </c>
      <c r="N187" s="1">
        <v>65103</v>
      </c>
      <c r="O187" s="1">
        <v>2442335</v>
      </c>
      <c r="P187" s="1">
        <v>334001</v>
      </c>
      <c r="Q187" s="1">
        <v>620621</v>
      </c>
      <c r="R187" s="1">
        <v>26145032</v>
      </c>
      <c r="S187" s="1">
        <v>41051</v>
      </c>
      <c r="T187" s="1">
        <v>41051</v>
      </c>
      <c r="U187" s="1">
        <v>15007</v>
      </c>
      <c r="V187" s="1">
        <v>1</v>
      </c>
      <c r="W187" s="1">
        <v>0</v>
      </c>
    </row>
    <row r="188">
      <c r="A188" s="1">
        <v>2017</v>
      </c>
      <c r="B188" s="1">
        <v>41</v>
      </c>
      <c r="C188" t="s">
        <v>3</v>
      </c>
      <c r="D188" s="1">
        <v>51</v>
      </c>
      <c r="E188" t="s">
        <v>6</v>
      </c>
      <c r="F188" s="1">
        <v>15</v>
      </c>
      <c r="G188" t="s">
        <v>17</v>
      </c>
      <c r="H188" s="1">
        <v>9</v>
      </c>
      <c r="I188" t="s">
        <v>94</v>
      </c>
      <c r="J188" s="1">
        <v>38</v>
      </c>
      <c r="K188" s="1">
        <v>62</v>
      </c>
      <c r="L188" s="1">
        <v>2417</v>
      </c>
      <c r="M188" s="1">
        <v>39037</v>
      </c>
      <c r="N188" s="1">
        <v>65103</v>
      </c>
      <c r="O188" s="1">
        <v>2442335</v>
      </c>
      <c r="P188" s="1">
        <v>334001</v>
      </c>
      <c r="Q188" s="1">
        <v>620621</v>
      </c>
      <c r="R188" s="1">
        <v>26145032</v>
      </c>
      <c r="S188" s="1">
        <v>41051</v>
      </c>
      <c r="T188" s="1">
        <v>41051</v>
      </c>
      <c r="U188" s="1">
        <v>15009</v>
      </c>
      <c r="V188" s="1">
        <v>1</v>
      </c>
      <c r="W188" s="1">
        <v>0</v>
      </c>
    </row>
    <row r="189">
      <c r="A189" s="1">
        <v>2017</v>
      </c>
      <c r="B189" s="1">
        <v>41</v>
      </c>
      <c r="C189" t="s">
        <v>3</v>
      </c>
      <c r="D189" s="1">
        <v>51</v>
      </c>
      <c r="E189" t="s">
        <v>6</v>
      </c>
      <c r="F189" s="1">
        <v>16</v>
      </c>
      <c r="G189" t="s">
        <v>18</v>
      </c>
      <c r="H189" s="1">
        <v>1</v>
      </c>
      <c r="I189" t="s">
        <v>95</v>
      </c>
      <c r="J189" s="1">
        <v>201</v>
      </c>
      <c r="K189" s="1">
        <v>369</v>
      </c>
      <c r="L189" s="1">
        <v>11868</v>
      </c>
      <c r="M189" s="1">
        <v>39037</v>
      </c>
      <c r="N189" s="1">
        <v>65103</v>
      </c>
      <c r="O189" s="1">
        <v>2442335</v>
      </c>
      <c r="P189" s="1">
        <v>334001</v>
      </c>
      <c r="Q189" s="1">
        <v>620621</v>
      </c>
      <c r="R189" s="1">
        <v>26145032</v>
      </c>
      <c r="S189" s="1">
        <v>41051</v>
      </c>
      <c r="T189" s="1">
        <v>41051</v>
      </c>
      <c r="U189" s="1">
        <v>16001</v>
      </c>
      <c r="V189" s="1">
        <v>1</v>
      </c>
      <c r="W189" s="1">
        <v>0</v>
      </c>
    </row>
    <row r="190">
      <c r="A190" s="1">
        <v>2017</v>
      </c>
      <c r="B190" s="1">
        <v>41</v>
      </c>
      <c r="C190" t="s">
        <v>3</v>
      </c>
      <c r="D190" s="1">
        <v>51</v>
      </c>
      <c r="E190" t="s">
        <v>6</v>
      </c>
      <c r="F190" s="1">
        <v>16</v>
      </c>
      <c r="G190" t="s">
        <v>18</v>
      </c>
      <c r="H190" s="1">
        <v>13</v>
      </c>
      <c r="I190" t="s">
        <v>186</v>
      </c>
      <c r="J190" s="1">
        <v>21</v>
      </c>
      <c r="K190" s="1">
        <v>29</v>
      </c>
      <c r="L190" s="1">
        <v>1681</v>
      </c>
      <c r="M190" s="1">
        <v>39037</v>
      </c>
      <c r="N190" s="1">
        <v>65103</v>
      </c>
      <c r="O190" s="1">
        <v>2442335</v>
      </c>
      <c r="P190" s="1">
        <v>334001</v>
      </c>
      <c r="Q190" s="1">
        <v>620621</v>
      </c>
      <c r="R190" s="1">
        <v>26145032</v>
      </c>
      <c r="S190" s="1">
        <v>41051</v>
      </c>
      <c r="T190" s="1">
        <v>41051</v>
      </c>
      <c r="U190" s="1">
        <v>16013</v>
      </c>
      <c r="V190" s="1">
        <v>1</v>
      </c>
      <c r="W190" s="1">
        <v>0</v>
      </c>
    </row>
    <row r="191">
      <c r="A191" s="1">
        <v>2017</v>
      </c>
      <c r="B191" s="1">
        <v>41</v>
      </c>
      <c r="C191" t="s">
        <v>3</v>
      </c>
      <c r="D191" s="1">
        <v>51</v>
      </c>
      <c r="E191" t="s">
        <v>6</v>
      </c>
      <c r="F191" s="1">
        <v>16</v>
      </c>
      <c r="G191" t="s">
        <v>18</v>
      </c>
      <c r="H191" s="1">
        <v>27</v>
      </c>
      <c r="I191" t="s">
        <v>96</v>
      </c>
      <c r="J191" s="1">
        <v>79</v>
      </c>
      <c r="K191" s="1">
        <v>168</v>
      </c>
      <c r="L191" s="1">
        <v>3258</v>
      </c>
      <c r="M191" s="1">
        <v>39037</v>
      </c>
      <c r="N191" s="1">
        <v>65103</v>
      </c>
      <c r="O191" s="1">
        <v>2442335</v>
      </c>
      <c r="P191" s="1">
        <v>334001</v>
      </c>
      <c r="Q191" s="1">
        <v>620621</v>
      </c>
      <c r="R191" s="1">
        <v>26145032</v>
      </c>
      <c r="S191" s="1">
        <v>41051</v>
      </c>
      <c r="T191" s="1">
        <v>41051</v>
      </c>
      <c r="U191" s="1">
        <v>16027</v>
      </c>
      <c r="V191" s="1">
        <v>1</v>
      </c>
      <c r="W191" s="1">
        <v>0</v>
      </c>
    </row>
    <row r="192">
      <c r="A192" s="1">
        <v>2017</v>
      </c>
      <c r="B192" s="1">
        <v>41</v>
      </c>
      <c r="C192" t="s">
        <v>3</v>
      </c>
      <c r="D192" s="1">
        <v>51</v>
      </c>
      <c r="E192" t="s">
        <v>6</v>
      </c>
      <c r="F192" s="1">
        <v>16</v>
      </c>
      <c r="G192" t="s">
        <v>18</v>
      </c>
      <c r="H192" s="1">
        <v>55</v>
      </c>
      <c r="I192" t="s">
        <v>97</v>
      </c>
      <c r="J192" s="1">
        <v>52</v>
      </c>
      <c r="K192" s="1">
        <v>88</v>
      </c>
      <c r="L192" s="1">
        <v>2633</v>
      </c>
      <c r="M192" s="1">
        <v>39037</v>
      </c>
      <c r="N192" s="1">
        <v>65103</v>
      </c>
      <c r="O192" s="1">
        <v>2442335</v>
      </c>
      <c r="P192" s="1">
        <v>334001</v>
      </c>
      <c r="Q192" s="1">
        <v>620621</v>
      </c>
      <c r="R192" s="1">
        <v>26145032</v>
      </c>
      <c r="S192" s="1">
        <v>41051</v>
      </c>
      <c r="T192" s="1">
        <v>41051</v>
      </c>
      <c r="U192" s="1">
        <v>16055</v>
      </c>
      <c r="V192" s="1">
        <v>1</v>
      </c>
      <c r="W192" s="1">
        <v>0</v>
      </c>
    </row>
    <row r="193">
      <c r="A193" s="1">
        <v>2017</v>
      </c>
      <c r="B193" s="1">
        <v>41</v>
      </c>
      <c r="C193" t="s">
        <v>3</v>
      </c>
      <c r="D193" s="1">
        <v>51</v>
      </c>
      <c r="E193" t="s">
        <v>6</v>
      </c>
      <c r="F193" s="1">
        <v>17</v>
      </c>
      <c r="G193" t="s">
        <v>19</v>
      </c>
      <c r="H193" s="1">
        <v>31</v>
      </c>
      <c r="I193" t="s">
        <v>98</v>
      </c>
      <c r="J193" s="1">
        <v>224</v>
      </c>
      <c r="K193" s="1">
        <v>278</v>
      </c>
      <c r="L193" s="1">
        <v>12727</v>
      </c>
      <c r="M193" s="1">
        <v>39037</v>
      </c>
      <c r="N193" s="1">
        <v>65103</v>
      </c>
      <c r="O193" s="1">
        <v>2442335</v>
      </c>
      <c r="P193" s="1">
        <v>334001</v>
      </c>
      <c r="Q193" s="1">
        <v>620621</v>
      </c>
      <c r="R193" s="1">
        <v>26145032</v>
      </c>
      <c r="S193" s="1">
        <v>41051</v>
      </c>
      <c r="T193" s="1">
        <v>41051</v>
      </c>
      <c r="U193" s="1">
        <v>17031</v>
      </c>
      <c r="V193" s="1">
        <v>1</v>
      </c>
      <c r="W193" s="1">
        <v>0</v>
      </c>
    </row>
    <row r="194">
      <c r="A194" s="1">
        <v>2017</v>
      </c>
      <c r="B194" s="1">
        <v>41</v>
      </c>
      <c r="C194" t="s">
        <v>3</v>
      </c>
      <c r="D194" s="1">
        <v>51</v>
      </c>
      <c r="E194" t="s">
        <v>6</v>
      </c>
      <c r="F194" s="1">
        <v>17</v>
      </c>
      <c r="G194" t="s">
        <v>19</v>
      </c>
      <c r="H194" s="1">
        <v>43</v>
      </c>
      <c r="I194" t="s">
        <v>187</v>
      </c>
      <c r="J194" s="1">
        <v>28</v>
      </c>
      <c r="K194" s="1">
        <v>37</v>
      </c>
      <c r="L194" s="1">
        <v>1608</v>
      </c>
      <c r="M194" s="1">
        <v>39037</v>
      </c>
      <c r="N194" s="1">
        <v>65103</v>
      </c>
      <c r="O194" s="1">
        <v>2442335</v>
      </c>
      <c r="P194" s="1">
        <v>334001</v>
      </c>
      <c r="Q194" s="1">
        <v>620621</v>
      </c>
      <c r="R194" s="1">
        <v>26145032</v>
      </c>
      <c r="S194" s="1">
        <v>41051</v>
      </c>
      <c r="T194" s="1">
        <v>41051</v>
      </c>
      <c r="U194" s="1">
        <v>17043</v>
      </c>
      <c r="V194" s="1">
        <v>1</v>
      </c>
      <c r="W194" s="1">
        <v>0</v>
      </c>
    </row>
    <row r="195">
      <c r="A195" s="1">
        <v>2017</v>
      </c>
      <c r="B195" s="1">
        <v>41</v>
      </c>
      <c r="C195" t="s">
        <v>3</v>
      </c>
      <c r="D195" s="1">
        <v>51</v>
      </c>
      <c r="E195" t="s">
        <v>6</v>
      </c>
      <c r="F195" s="1">
        <v>18</v>
      </c>
      <c r="G195" t="s">
        <v>20</v>
      </c>
      <c r="H195" s="1">
        <v>97</v>
      </c>
      <c r="I195" t="s">
        <v>99</v>
      </c>
      <c r="J195" s="1">
        <v>31</v>
      </c>
      <c r="K195" s="1">
        <v>45</v>
      </c>
      <c r="L195" s="1">
        <v>1358</v>
      </c>
      <c r="M195" s="1">
        <v>39037</v>
      </c>
      <c r="N195" s="1">
        <v>65103</v>
      </c>
      <c r="O195" s="1">
        <v>2442335</v>
      </c>
      <c r="P195" s="1">
        <v>334001</v>
      </c>
      <c r="Q195" s="1">
        <v>620621</v>
      </c>
      <c r="R195" s="1">
        <v>26145032</v>
      </c>
      <c r="S195" s="1">
        <v>41051</v>
      </c>
      <c r="T195" s="1">
        <v>41051</v>
      </c>
      <c r="U195" s="1">
        <v>18097</v>
      </c>
      <c r="V195" s="1">
        <v>1</v>
      </c>
      <c r="W195" s="1">
        <v>0</v>
      </c>
    </row>
    <row r="196">
      <c r="A196" s="1">
        <v>2017</v>
      </c>
      <c r="B196" s="1">
        <v>41</v>
      </c>
      <c r="C196" t="s">
        <v>3</v>
      </c>
      <c r="D196" s="1">
        <v>51</v>
      </c>
      <c r="E196" t="s">
        <v>6</v>
      </c>
      <c r="F196" s="1">
        <v>19</v>
      </c>
      <c r="G196" t="s">
        <v>21</v>
      </c>
      <c r="H196" s="1">
        <v>153</v>
      </c>
      <c r="I196" t="s">
        <v>100</v>
      </c>
      <c r="J196" s="1">
        <v>23</v>
      </c>
      <c r="K196" s="1">
        <v>49</v>
      </c>
      <c r="L196" s="1">
        <v>1182</v>
      </c>
      <c r="M196" s="1">
        <v>39037</v>
      </c>
      <c r="N196" s="1">
        <v>65103</v>
      </c>
      <c r="O196" s="1">
        <v>2442335</v>
      </c>
      <c r="P196" s="1">
        <v>334001</v>
      </c>
      <c r="Q196" s="1">
        <v>620621</v>
      </c>
      <c r="R196" s="1">
        <v>26145032</v>
      </c>
      <c r="S196" s="1">
        <v>41051</v>
      </c>
      <c r="T196" s="1">
        <v>41051</v>
      </c>
      <c r="U196" s="1">
        <v>19153</v>
      </c>
      <c r="V196" s="1">
        <v>1</v>
      </c>
      <c r="W196" s="1">
        <v>0</v>
      </c>
    </row>
    <row r="197">
      <c r="A197" s="1">
        <v>2017</v>
      </c>
      <c r="B197" s="1">
        <v>41</v>
      </c>
      <c r="C197" t="s">
        <v>3</v>
      </c>
      <c r="D197" s="1">
        <v>51</v>
      </c>
      <c r="E197" t="s">
        <v>6</v>
      </c>
      <c r="F197" s="1">
        <v>20</v>
      </c>
      <c r="G197" t="s">
        <v>42</v>
      </c>
      <c r="H197" s="1">
        <v>91</v>
      </c>
      <c r="I197" t="s">
        <v>188</v>
      </c>
      <c r="J197" s="1">
        <v>22</v>
      </c>
      <c r="K197" s="1">
        <v>56</v>
      </c>
      <c r="L197" s="1">
        <v>2364</v>
      </c>
      <c r="M197" s="1">
        <v>39037</v>
      </c>
      <c r="N197" s="1">
        <v>65103</v>
      </c>
      <c r="O197" s="1">
        <v>2442335</v>
      </c>
      <c r="P197" s="1">
        <v>334001</v>
      </c>
      <c r="Q197" s="1">
        <v>620621</v>
      </c>
      <c r="R197" s="1">
        <v>26145032</v>
      </c>
      <c r="S197" s="1">
        <v>41051</v>
      </c>
      <c r="T197" s="1">
        <v>41051</v>
      </c>
      <c r="U197" s="1">
        <v>20091</v>
      </c>
      <c r="V197" s="1">
        <v>1</v>
      </c>
      <c r="W197" s="1">
        <v>0</v>
      </c>
    </row>
    <row r="198">
      <c r="A198" s="1">
        <v>2017</v>
      </c>
      <c r="B198" s="1">
        <v>41</v>
      </c>
      <c r="C198" t="s">
        <v>3</v>
      </c>
      <c r="D198" s="1">
        <v>51</v>
      </c>
      <c r="E198" t="s">
        <v>6</v>
      </c>
      <c r="F198" s="1">
        <v>21</v>
      </c>
      <c r="G198" t="s">
        <v>43</v>
      </c>
      <c r="H198" s="1">
        <v>111</v>
      </c>
      <c r="I198" t="s">
        <v>83</v>
      </c>
      <c r="J198" s="1">
        <v>30</v>
      </c>
      <c r="K198" s="1">
        <v>42</v>
      </c>
      <c r="L198" s="1">
        <v>1639</v>
      </c>
      <c r="M198" s="1">
        <v>39037</v>
      </c>
      <c r="N198" s="1">
        <v>65103</v>
      </c>
      <c r="O198" s="1">
        <v>2442335</v>
      </c>
      <c r="P198" s="1">
        <v>334001</v>
      </c>
      <c r="Q198" s="1">
        <v>620621</v>
      </c>
      <c r="R198" s="1">
        <v>26145032</v>
      </c>
      <c r="S198" s="1">
        <v>41051</v>
      </c>
      <c r="T198" s="1">
        <v>41051</v>
      </c>
      <c r="U198" s="1">
        <v>21111</v>
      </c>
      <c r="V198" s="1">
        <v>1</v>
      </c>
      <c r="W198" s="1">
        <v>0</v>
      </c>
    </row>
    <row r="199">
      <c r="A199" s="1">
        <v>2017</v>
      </c>
      <c r="B199" s="1">
        <v>41</v>
      </c>
      <c r="C199" t="s">
        <v>3</v>
      </c>
      <c r="D199" s="1">
        <v>51</v>
      </c>
      <c r="E199" t="s">
        <v>6</v>
      </c>
      <c r="F199" s="1">
        <v>22</v>
      </c>
      <c r="G199" t="s">
        <v>22</v>
      </c>
      <c r="H199" s="1">
        <v>71</v>
      </c>
      <c r="I199" t="s">
        <v>101</v>
      </c>
      <c r="J199" s="1">
        <v>62</v>
      </c>
      <c r="K199" s="1">
        <v>84</v>
      </c>
      <c r="L199" s="1">
        <v>2451</v>
      </c>
      <c r="M199" s="1">
        <v>39037</v>
      </c>
      <c r="N199" s="1">
        <v>65103</v>
      </c>
      <c r="O199" s="1">
        <v>2442335</v>
      </c>
      <c r="P199" s="1">
        <v>334001</v>
      </c>
      <c r="Q199" s="1">
        <v>620621</v>
      </c>
      <c r="R199" s="1">
        <v>26145032</v>
      </c>
      <c r="S199" s="1">
        <v>41051</v>
      </c>
      <c r="T199" s="1">
        <v>41051</v>
      </c>
      <c r="U199" s="1">
        <v>22071</v>
      </c>
      <c r="V199" s="1">
        <v>1</v>
      </c>
      <c r="W199" s="1">
        <v>0</v>
      </c>
    </row>
    <row r="200">
      <c r="A200" s="1">
        <v>2017</v>
      </c>
      <c r="B200" s="1">
        <v>41</v>
      </c>
      <c r="C200" t="s">
        <v>3</v>
      </c>
      <c r="D200" s="1">
        <v>51</v>
      </c>
      <c r="E200" t="s">
        <v>6</v>
      </c>
      <c r="F200" s="1">
        <v>23</v>
      </c>
      <c r="G200" t="s">
        <v>23</v>
      </c>
      <c r="H200" s="1">
        <v>5</v>
      </c>
      <c r="I200" t="s">
        <v>102</v>
      </c>
      <c r="J200" s="1">
        <v>48</v>
      </c>
      <c r="K200" s="1">
        <v>66</v>
      </c>
      <c r="L200" s="1">
        <v>2386</v>
      </c>
      <c r="M200" s="1">
        <v>39037</v>
      </c>
      <c r="N200" s="1">
        <v>65103</v>
      </c>
      <c r="O200" s="1">
        <v>2442335</v>
      </c>
      <c r="P200" s="1">
        <v>334001</v>
      </c>
      <c r="Q200" s="1">
        <v>620621</v>
      </c>
      <c r="R200" s="1">
        <v>26145032</v>
      </c>
      <c r="S200" s="1">
        <v>41051</v>
      </c>
      <c r="T200" s="1">
        <v>41051</v>
      </c>
      <c r="U200" s="1">
        <v>23005</v>
      </c>
      <c r="V200" s="1">
        <v>1</v>
      </c>
      <c r="W200" s="1">
        <v>0</v>
      </c>
    </row>
    <row r="201">
      <c r="A201" s="1">
        <v>2017</v>
      </c>
      <c r="B201" s="1">
        <v>41</v>
      </c>
      <c r="C201" t="s">
        <v>3</v>
      </c>
      <c r="D201" s="1">
        <v>51</v>
      </c>
      <c r="E201" t="s">
        <v>6</v>
      </c>
      <c r="F201" s="1">
        <v>24</v>
      </c>
      <c r="G201" t="s">
        <v>24</v>
      </c>
      <c r="H201" s="1">
        <v>31</v>
      </c>
      <c r="I201" t="s">
        <v>103</v>
      </c>
      <c r="J201" s="1">
        <v>31</v>
      </c>
      <c r="K201" s="1">
        <v>50</v>
      </c>
      <c r="L201" s="1">
        <v>1800</v>
      </c>
      <c r="M201" s="1">
        <v>39037</v>
      </c>
      <c r="N201" s="1">
        <v>65103</v>
      </c>
      <c r="O201" s="1">
        <v>2442335</v>
      </c>
      <c r="P201" s="1">
        <v>334001</v>
      </c>
      <c r="Q201" s="1">
        <v>620621</v>
      </c>
      <c r="R201" s="1">
        <v>26145032</v>
      </c>
      <c r="S201" s="1">
        <v>41051</v>
      </c>
      <c r="T201" s="1">
        <v>41051</v>
      </c>
      <c r="U201" s="1">
        <v>24031</v>
      </c>
      <c r="V201" s="1">
        <v>1</v>
      </c>
      <c r="W201" s="1">
        <v>0</v>
      </c>
    </row>
    <row r="202">
      <c r="A202" s="1">
        <v>2017</v>
      </c>
      <c r="B202" s="1">
        <v>41</v>
      </c>
      <c r="C202" t="s">
        <v>3</v>
      </c>
      <c r="D202" s="1">
        <v>51</v>
      </c>
      <c r="E202" t="s">
        <v>6</v>
      </c>
      <c r="F202" s="1">
        <v>24</v>
      </c>
      <c r="G202" t="s">
        <v>24</v>
      </c>
      <c r="H202" s="1">
        <v>33</v>
      </c>
      <c r="I202" t="s">
        <v>189</v>
      </c>
      <c r="J202" s="1">
        <v>20</v>
      </c>
      <c r="K202" s="1">
        <v>29</v>
      </c>
      <c r="L202" s="1">
        <v>1043</v>
      </c>
      <c r="M202" s="1">
        <v>39037</v>
      </c>
      <c r="N202" s="1">
        <v>65103</v>
      </c>
      <c r="O202" s="1">
        <v>2442335</v>
      </c>
      <c r="P202" s="1">
        <v>334001</v>
      </c>
      <c r="Q202" s="1">
        <v>620621</v>
      </c>
      <c r="R202" s="1">
        <v>26145032</v>
      </c>
      <c r="S202" s="1">
        <v>41051</v>
      </c>
      <c r="T202" s="1">
        <v>41051</v>
      </c>
      <c r="U202" s="1">
        <v>24033</v>
      </c>
      <c r="V202" s="1">
        <v>1</v>
      </c>
      <c r="W202" s="1">
        <v>0</v>
      </c>
    </row>
    <row r="203">
      <c r="A203" s="1">
        <v>2017</v>
      </c>
      <c r="B203" s="1">
        <v>41</v>
      </c>
      <c r="C203" t="s">
        <v>3</v>
      </c>
      <c r="D203" s="1">
        <v>51</v>
      </c>
      <c r="E203" t="s">
        <v>6</v>
      </c>
      <c r="F203" s="1">
        <v>24</v>
      </c>
      <c r="G203" t="s">
        <v>24</v>
      </c>
      <c r="H203" s="1">
        <v>510</v>
      </c>
      <c r="I203" t="s">
        <v>190</v>
      </c>
      <c r="J203" s="1">
        <v>42</v>
      </c>
      <c r="K203" s="1">
        <v>57</v>
      </c>
      <c r="L203" s="1">
        <v>2739</v>
      </c>
      <c r="M203" s="1">
        <v>39037</v>
      </c>
      <c r="N203" s="1">
        <v>65103</v>
      </c>
      <c r="O203" s="1">
        <v>2442335</v>
      </c>
      <c r="P203" s="1">
        <v>334001</v>
      </c>
      <c r="Q203" s="1">
        <v>620621</v>
      </c>
      <c r="R203" s="1">
        <v>26145032</v>
      </c>
      <c r="S203" s="1">
        <v>41051</v>
      </c>
      <c r="T203" s="1">
        <v>41051</v>
      </c>
      <c r="U203" s="1">
        <v>24510</v>
      </c>
      <c r="V203" s="1">
        <v>1</v>
      </c>
      <c r="W203" s="1">
        <v>0</v>
      </c>
    </row>
    <row r="204">
      <c r="A204" s="1">
        <v>2017</v>
      </c>
      <c r="B204" s="1">
        <v>41</v>
      </c>
      <c r="C204" t="s">
        <v>3</v>
      </c>
      <c r="D204" s="1">
        <v>51</v>
      </c>
      <c r="E204" t="s">
        <v>6</v>
      </c>
      <c r="F204" s="1">
        <v>25</v>
      </c>
      <c r="G204" t="s">
        <v>25</v>
      </c>
      <c r="H204" s="1">
        <v>15</v>
      </c>
      <c r="I204" t="s">
        <v>191</v>
      </c>
      <c r="J204" s="1">
        <v>26</v>
      </c>
      <c r="K204" s="1">
        <v>42</v>
      </c>
      <c r="L204" s="1">
        <v>2205</v>
      </c>
      <c r="M204" s="1">
        <v>39037</v>
      </c>
      <c r="N204" s="1">
        <v>65103</v>
      </c>
      <c r="O204" s="1">
        <v>2442335</v>
      </c>
      <c r="P204" s="1">
        <v>334001</v>
      </c>
      <c r="Q204" s="1">
        <v>620621</v>
      </c>
      <c r="R204" s="1">
        <v>26145032</v>
      </c>
      <c r="S204" s="1">
        <v>41051</v>
      </c>
      <c r="T204" s="1">
        <v>41051</v>
      </c>
      <c r="U204" s="1">
        <v>25015</v>
      </c>
      <c r="V204" s="1">
        <v>1</v>
      </c>
      <c r="W204" s="1">
        <v>0</v>
      </c>
    </row>
    <row r="205">
      <c r="A205" s="1">
        <v>2017</v>
      </c>
      <c r="B205" s="1">
        <v>41</v>
      </c>
      <c r="C205" t="s">
        <v>3</v>
      </c>
      <c r="D205" s="1">
        <v>51</v>
      </c>
      <c r="E205" t="s">
        <v>6</v>
      </c>
      <c r="F205" s="1">
        <v>25</v>
      </c>
      <c r="G205" t="s">
        <v>25</v>
      </c>
      <c r="H205" s="1">
        <v>17</v>
      </c>
      <c r="I205" t="s">
        <v>104</v>
      </c>
      <c r="J205" s="1">
        <v>98</v>
      </c>
      <c r="K205" s="1">
        <v>140</v>
      </c>
      <c r="L205" s="1">
        <v>7308</v>
      </c>
      <c r="M205" s="1">
        <v>39037</v>
      </c>
      <c r="N205" s="1">
        <v>65103</v>
      </c>
      <c r="O205" s="1">
        <v>2442335</v>
      </c>
      <c r="P205" s="1">
        <v>334001</v>
      </c>
      <c r="Q205" s="1">
        <v>620621</v>
      </c>
      <c r="R205" s="1">
        <v>26145032</v>
      </c>
      <c r="S205" s="1">
        <v>41051</v>
      </c>
      <c r="T205" s="1">
        <v>41051</v>
      </c>
      <c r="U205" s="1">
        <v>25017</v>
      </c>
      <c r="V205" s="1">
        <v>1</v>
      </c>
      <c r="W205" s="1">
        <v>0</v>
      </c>
    </row>
    <row r="206">
      <c r="A206" s="1">
        <v>2017</v>
      </c>
      <c r="B206" s="1">
        <v>41</v>
      </c>
      <c r="C206" t="s">
        <v>3</v>
      </c>
      <c r="D206" s="1">
        <v>51</v>
      </c>
      <c r="E206" t="s">
        <v>6</v>
      </c>
      <c r="F206" s="1">
        <v>25</v>
      </c>
      <c r="G206" t="s">
        <v>25</v>
      </c>
      <c r="H206" s="1">
        <v>21</v>
      </c>
      <c r="I206" t="s">
        <v>192</v>
      </c>
      <c r="J206" s="1">
        <v>24</v>
      </c>
      <c r="K206" s="1">
        <v>35</v>
      </c>
      <c r="L206" s="1">
        <v>3706</v>
      </c>
      <c r="M206" s="1">
        <v>39037</v>
      </c>
      <c r="N206" s="1">
        <v>65103</v>
      </c>
      <c r="O206" s="1">
        <v>2442335</v>
      </c>
      <c r="P206" s="1">
        <v>334001</v>
      </c>
      <c r="Q206" s="1">
        <v>620621</v>
      </c>
      <c r="R206" s="1">
        <v>26145032</v>
      </c>
      <c r="S206" s="1">
        <v>41051</v>
      </c>
      <c r="T206" s="1">
        <v>41051</v>
      </c>
      <c r="U206" s="1">
        <v>25021</v>
      </c>
      <c r="V206" s="1">
        <v>1</v>
      </c>
      <c r="W206" s="1">
        <v>0</v>
      </c>
    </row>
    <row r="207">
      <c r="A207" s="1">
        <v>2017</v>
      </c>
      <c r="B207" s="1">
        <v>41</v>
      </c>
      <c r="C207" t="s">
        <v>3</v>
      </c>
      <c r="D207" s="1">
        <v>51</v>
      </c>
      <c r="E207" t="s">
        <v>6</v>
      </c>
      <c r="F207" s="1">
        <v>25</v>
      </c>
      <c r="G207" t="s">
        <v>25</v>
      </c>
      <c r="H207" s="1">
        <v>25</v>
      </c>
      <c r="I207" t="s">
        <v>105</v>
      </c>
      <c r="J207" s="1">
        <v>66</v>
      </c>
      <c r="K207" s="1">
        <v>82</v>
      </c>
      <c r="L207" s="1">
        <v>6898</v>
      </c>
      <c r="M207" s="1">
        <v>39037</v>
      </c>
      <c r="N207" s="1">
        <v>65103</v>
      </c>
      <c r="O207" s="1">
        <v>2442335</v>
      </c>
      <c r="P207" s="1">
        <v>334001</v>
      </c>
      <c r="Q207" s="1">
        <v>620621</v>
      </c>
      <c r="R207" s="1">
        <v>26145032</v>
      </c>
      <c r="S207" s="1">
        <v>41051</v>
      </c>
      <c r="T207" s="1">
        <v>41051</v>
      </c>
      <c r="U207" s="1">
        <v>25025</v>
      </c>
      <c r="V207" s="1">
        <v>1</v>
      </c>
      <c r="W207" s="1">
        <v>0</v>
      </c>
    </row>
    <row r="208">
      <c r="A208" s="1">
        <v>2017</v>
      </c>
      <c r="B208" s="1">
        <v>41</v>
      </c>
      <c r="C208" t="s">
        <v>3</v>
      </c>
      <c r="D208" s="1">
        <v>51</v>
      </c>
      <c r="E208" t="s">
        <v>6</v>
      </c>
      <c r="F208" s="1">
        <v>26</v>
      </c>
      <c r="G208" t="s">
        <v>26</v>
      </c>
      <c r="H208" s="1">
        <v>81</v>
      </c>
      <c r="I208" t="s">
        <v>193</v>
      </c>
      <c r="J208" s="1">
        <v>24</v>
      </c>
      <c r="K208" s="1">
        <v>44</v>
      </c>
      <c r="L208" s="1">
        <v>1589</v>
      </c>
      <c r="M208" s="1">
        <v>39037</v>
      </c>
      <c r="N208" s="1">
        <v>65103</v>
      </c>
      <c r="O208" s="1">
        <v>2442335</v>
      </c>
      <c r="P208" s="1">
        <v>334001</v>
      </c>
      <c r="Q208" s="1">
        <v>620621</v>
      </c>
      <c r="R208" s="1">
        <v>26145032</v>
      </c>
      <c r="S208" s="1">
        <v>41051</v>
      </c>
      <c r="T208" s="1">
        <v>41051</v>
      </c>
      <c r="U208" s="1">
        <v>26081</v>
      </c>
      <c r="V208" s="1">
        <v>1</v>
      </c>
      <c r="W208" s="1">
        <v>0</v>
      </c>
    </row>
    <row r="209">
      <c r="A209" s="1">
        <v>2017</v>
      </c>
      <c r="B209" s="1">
        <v>41</v>
      </c>
      <c r="C209" t="s">
        <v>3</v>
      </c>
      <c r="D209" s="1">
        <v>51</v>
      </c>
      <c r="E209" t="s">
        <v>6</v>
      </c>
      <c r="F209" s="1">
        <v>26</v>
      </c>
      <c r="G209" t="s">
        <v>26</v>
      </c>
      <c r="H209" s="1">
        <v>125</v>
      </c>
      <c r="I209" t="s">
        <v>194</v>
      </c>
      <c r="J209" s="1">
        <v>41</v>
      </c>
      <c r="K209" s="1">
        <v>63</v>
      </c>
      <c r="L209" s="1">
        <v>2780</v>
      </c>
      <c r="M209" s="1">
        <v>39037</v>
      </c>
      <c r="N209" s="1">
        <v>65103</v>
      </c>
      <c r="O209" s="1">
        <v>2442335</v>
      </c>
      <c r="P209" s="1">
        <v>334001</v>
      </c>
      <c r="Q209" s="1">
        <v>620621</v>
      </c>
      <c r="R209" s="1">
        <v>26145032</v>
      </c>
      <c r="S209" s="1">
        <v>41051</v>
      </c>
      <c r="T209" s="1">
        <v>41051</v>
      </c>
      <c r="U209" s="1">
        <v>26125</v>
      </c>
      <c r="V209" s="1">
        <v>1</v>
      </c>
      <c r="W209" s="1">
        <v>0</v>
      </c>
    </row>
    <row r="210">
      <c r="A210" s="1">
        <v>2017</v>
      </c>
      <c r="B210" s="1">
        <v>41</v>
      </c>
      <c r="C210" t="s">
        <v>3</v>
      </c>
      <c r="D210" s="1">
        <v>51</v>
      </c>
      <c r="E210" t="s">
        <v>6</v>
      </c>
      <c r="F210" s="1">
        <v>26</v>
      </c>
      <c r="G210" t="s">
        <v>26</v>
      </c>
      <c r="H210" s="1">
        <v>161</v>
      </c>
      <c r="I210" t="s">
        <v>106</v>
      </c>
      <c r="J210" s="1">
        <v>43</v>
      </c>
      <c r="K210" s="1">
        <v>61</v>
      </c>
      <c r="L210" s="1">
        <v>2403</v>
      </c>
      <c r="M210" s="1">
        <v>39037</v>
      </c>
      <c r="N210" s="1">
        <v>65103</v>
      </c>
      <c r="O210" s="1">
        <v>2442335</v>
      </c>
      <c r="P210" s="1">
        <v>334001</v>
      </c>
      <c r="Q210" s="1">
        <v>620621</v>
      </c>
      <c r="R210" s="1">
        <v>26145032</v>
      </c>
      <c r="S210" s="1">
        <v>41051</v>
      </c>
      <c r="T210" s="1">
        <v>41051</v>
      </c>
      <c r="U210" s="1">
        <v>26161</v>
      </c>
      <c r="V210" s="1">
        <v>1</v>
      </c>
      <c r="W210" s="1">
        <v>0</v>
      </c>
    </row>
    <row r="211">
      <c r="A211" s="1">
        <v>2017</v>
      </c>
      <c r="B211" s="1">
        <v>41</v>
      </c>
      <c r="C211" t="s">
        <v>3</v>
      </c>
      <c r="D211" s="1">
        <v>51</v>
      </c>
      <c r="E211" t="s">
        <v>6</v>
      </c>
      <c r="F211" s="1">
        <v>26</v>
      </c>
      <c r="G211" t="s">
        <v>26</v>
      </c>
      <c r="H211" s="1">
        <v>163</v>
      </c>
      <c r="I211" t="s">
        <v>195</v>
      </c>
      <c r="J211" s="1">
        <v>39</v>
      </c>
      <c r="K211" s="1">
        <v>55</v>
      </c>
      <c r="L211" s="1">
        <v>1621</v>
      </c>
      <c r="M211" s="1">
        <v>39037</v>
      </c>
      <c r="N211" s="1">
        <v>65103</v>
      </c>
      <c r="O211" s="1">
        <v>2442335</v>
      </c>
      <c r="P211" s="1">
        <v>334001</v>
      </c>
      <c r="Q211" s="1">
        <v>620621</v>
      </c>
      <c r="R211" s="1">
        <v>26145032</v>
      </c>
      <c r="S211" s="1">
        <v>41051</v>
      </c>
      <c r="T211" s="1">
        <v>41051</v>
      </c>
      <c r="U211" s="1">
        <v>26163</v>
      </c>
      <c r="V211" s="1">
        <v>1</v>
      </c>
      <c r="W211" s="1">
        <v>0</v>
      </c>
    </row>
    <row r="212">
      <c r="A212" s="1">
        <v>2017</v>
      </c>
      <c r="B212" s="1">
        <v>41</v>
      </c>
      <c r="C212" t="s">
        <v>3</v>
      </c>
      <c r="D212" s="1">
        <v>51</v>
      </c>
      <c r="E212" t="s">
        <v>6</v>
      </c>
      <c r="F212" s="1">
        <v>27</v>
      </c>
      <c r="G212" t="s">
        <v>27</v>
      </c>
      <c r="H212" s="1">
        <v>53</v>
      </c>
      <c r="I212" t="s">
        <v>107</v>
      </c>
      <c r="J212" s="1">
        <v>146</v>
      </c>
      <c r="K212" s="1">
        <v>222</v>
      </c>
      <c r="L212" s="1">
        <v>8404</v>
      </c>
      <c r="M212" s="1">
        <v>39037</v>
      </c>
      <c r="N212" s="1">
        <v>65103</v>
      </c>
      <c r="O212" s="1">
        <v>2442335</v>
      </c>
      <c r="P212" s="1">
        <v>334001</v>
      </c>
      <c r="Q212" s="1">
        <v>620621</v>
      </c>
      <c r="R212" s="1">
        <v>26145032</v>
      </c>
      <c r="S212" s="1">
        <v>41051</v>
      </c>
      <c r="T212" s="1">
        <v>41051</v>
      </c>
      <c r="U212" s="1">
        <v>27053</v>
      </c>
      <c r="V212" s="1">
        <v>1</v>
      </c>
      <c r="W212" s="1">
        <v>0</v>
      </c>
    </row>
    <row r="213">
      <c r="A213" s="1">
        <v>2017</v>
      </c>
      <c r="B213" s="1">
        <v>41</v>
      </c>
      <c r="C213" t="s">
        <v>3</v>
      </c>
      <c r="D213" s="1">
        <v>51</v>
      </c>
      <c r="E213" t="s">
        <v>6</v>
      </c>
      <c r="F213" s="1">
        <v>27</v>
      </c>
      <c r="G213" t="s">
        <v>27</v>
      </c>
      <c r="H213" s="1">
        <v>123</v>
      </c>
      <c r="I213" t="s">
        <v>108</v>
      </c>
      <c r="J213" s="1">
        <v>41</v>
      </c>
      <c r="K213" s="1">
        <v>67</v>
      </c>
      <c r="L213" s="1">
        <v>1933</v>
      </c>
      <c r="M213" s="1">
        <v>39037</v>
      </c>
      <c r="N213" s="1">
        <v>65103</v>
      </c>
      <c r="O213" s="1">
        <v>2442335</v>
      </c>
      <c r="P213" s="1">
        <v>334001</v>
      </c>
      <c r="Q213" s="1">
        <v>620621</v>
      </c>
      <c r="R213" s="1">
        <v>26145032</v>
      </c>
      <c r="S213" s="1">
        <v>41051</v>
      </c>
      <c r="T213" s="1">
        <v>41051</v>
      </c>
      <c r="U213" s="1">
        <v>27123</v>
      </c>
      <c r="V213" s="1">
        <v>1</v>
      </c>
      <c r="W213" s="1">
        <v>0</v>
      </c>
    </row>
    <row r="214">
      <c r="A214" s="1">
        <v>2017</v>
      </c>
      <c r="B214" s="1">
        <v>41</v>
      </c>
      <c r="C214" t="s">
        <v>3</v>
      </c>
      <c r="D214" s="1">
        <v>51</v>
      </c>
      <c r="E214" t="s">
        <v>6</v>
      </c>
      <c r="F214" s="1">
        <v>29</v>
      </c>
      <c r="G214" t="s">
        <v>44</v>
      </c>
      <c r="H214" s="1">
        <v>77</v>
      </c>
      <c r="I214" t="s">
        <v>196</v>
      </c>
      <c r="J214" s="1">
        <v>24</v>
      </c>
      <c r="K214" s="1">
        <v>51</v>
      </c>
      <c r="L214" s="1">
        <v>1092</v>
      </c>
      <c r="M214" s="1">
        <v>39037</v>
      </c>
      <c r="N214" s="1">
        <v>65103</v>
      </c>
      <c r="O214" s="1">
        <v>2442335</v>
      </c>
      <c r="P214" s="1">
        <v>334001</v>
      </c>
      <c r="Q214" s="1">
        <v>620621</v>
      </c>
      <c r="R214" s="1">
        <v>26145032</v>
      </c>
      <c r="S214" s="1">
        <v>41051</v>
      </c>
      <c r="T214" s="1">
        <v>41051</v>
      </c>
      <c r="U214" s="1">
        <v>29077</v>
      </c>
      <c r="V214" s="1">
        <v>1</v>
      </c>
      <c r="W214" s="1">
        <v>0</v>
      </c>
    </row>
    <row r="215">
      <c r="A215" s="1">
        <v>2017</v>
      </c>
      <c r="B215" s="1">
        <v>41</v>
      </c>
      <c r="C215" t="s">
        <v>3</v>
      </c>
      <c r="D215" s="1">
        <v>51</v>
      </c>
      <c r="E215" t="s">
        <v>6</v>
      </c>
      <c r="F215" s="1">
        <v>29</v>
      </c>
      <c r="G215" t="s">
        <v>44</v>
      </c>
      <c r="H215" s="1">
        <v>95</v>
      </c>
      <c r="I215" t="s">
        <v>133</v>
      </c>
      <c r="J215" s="1">
        <v>35</v>
      </c>
      <c r="K215" s="1">
        <v>57</v>
      </c>
      <c r="L215" s="1">
        <v>1876</v>
      </c>
      <c r="M215" s="1">
        <v>39037</v>
      </c>
      <c r="N215" s="1">
        <v>65103</v>
      </c>
      <c r="O215" s="1">
        <v>2442335</v>
      </c>
      <c r="P215" s="1">
        <v>334001</v>
      </c>
      <c r="Q215" s="1">
        <v>620621</v>
      </c>
      <c r="R215" s="1">
        <v>26145032</v>
      </c>
      <c r="S215" s="1">
        <v>41051</v>
      </c>
      <c r="T215" s="1">
        <v>41051</v>
      </c>
      <c r="U215" s="1">
        <v>29095</v>
      </c>
      <c r="V215" s="1">
        <v>1</v>
      </c>
      <c r="W215" s="1">
        <v>0</v>
      </c>
    </row>
    <row r="216">
      <c r="A216" s="1">
        <v>2017</v>
      </c>
      <c r="B216" s="1">
        <v>41</v>
      </c>
      <c r="C216" t="s">
        <v>3</v>
      </c>
      <c r="D216" s="1">
        <v>51</v>
      </c>
      <c r="E216" t="s">
        <v>6</v>
      </c>
      <c r="F216" s="1">
        <v>29</v>
      </c>
      <c r="G216" t="s">
        <v>44</v>
      </c>
      <c r="H216" s="1">
        <v>189</v>
      </c>
      <c r="I216" t="s">
        <v>197</v>
      </c>
      <c r="J216" s="1">
        <v>22</v>
      </c>
      <c r="K216" s="1">
        <v>40</v>
      </c>
      <c r="L216" s="1">
        <v>1530</v>
      </c>
      <c r="M216" s="1">
        <v>39037</v>
      </c>
      <c r="N216" s="1">
        <v>65103</v>
      </c>
      <c r="O216" s="1">
        <v>2442335</v>
      </c>
      <c r="P216" s="1">
        <v>334001</v>
      </c>
      <c r="Q216" s="1">
        <v>620621</v>
      </c>
      <c r="R216" s="1">
        <v>26145032</v>
      </c>
      <c r="S216" s="1">
        <v>41051</v>
      </c>
      <c r="T216" s="1">
        <v>41051</v>
      </c>
      <c r="U216" s="1">
        <v>29189</v>
      </c>
      <c r="V216" s="1">
        <v>1</v>
      </c>
      <c r="W216" s="1">
        <v>0</v>
      </c>
    </row>
    <row r="217">
      <c r="A217" s="1">
        <v>2017</v>
      </c>
      <c r="B217" s="1">
        <v>41</v>
      </c>
      <c r="C217" t="s">
        <v>3</v>
      </c>
      <c r="D217" s="1">
        <v>51</v>
      </c>
      <c r="E217" t="s">
        <v>6</v>
      </c>
      <c r="F217" s="1">
        <v>29</v>
      </c>
      <c r="G217" t="s">
        <v>44</v>
      </c>
      <c r="H217" s="1">
        <v>510</v>
      </c>
      <c r="I217" t="s">
        <v>198</v>
      </c>
      <c r="J217" s="1">
        <v>26</v>
      </c>
      <c r="K217" s="1">
        <v>36</v>
      </c>
      <c r="L217" s="1">
        <v>1503</v>
      </c>
      <c r="M217" s="1">
        <v>39037</v>
      </c>
      <c r="N217" s="1">
        <v>65103</v>
      </c>
      <c r="O217" s="1">
        <v>2442335</v>
      </c>
      <c r="P217" s="1">
        <v>334001</v>
      </c>
      <c r="Q217" s="1">
        <v>620621</v>
      </c>
      <c r="R217" s="1">
        <v>26145032</v>
      </c>
      <c r="S217" s="1">
        <v>41051</v>
      </c>
      <c r="T217" s="1">
        <v>41051</v>
      </c>
      <c r="U217" s="1">
        <v>29510</v>
      </c>
      <c r="V217" s="1">
        <v>1</v>
      </c>
      <c r="W217" s="1">
        <v>0</v>
      </c>
    </row>
    <row r="218">
      <c r="A218" s="1">
        <v>2017</v>
      </c>
      <c r="B218" s="1">
        <v>41</v>
      </c>
      <c r="C218" t="s">
        <v>3</v>
      </c>
      <c r="D218" s="1">
        <v>51</v>
      </c>
      <c r="E218" t="s">
        <v>6</v>
      </c>
      <c r="F218" s="1">
        <v>30</v>
      </c>
      <c r="G218" t="s">
        <v>28</v>
      </c>
      <c r="H218" s="1">
        <v>29</v>
      </c>
      <c r="I218" t="s">
        <v>199</v>
      </c>
      <c r="J218" s="1">
        <v>33</v>
      </c>
      <c r="K218" s="1">
        <v>55</v>
      </c>
      <c r="L218" s="1">
        <v>2245</v>
      </c>
      <c r="M218" s="1">
        <v>39037</v>
      </c>
      <c r="N218" s="1">
        <v>65103</v>
      </c>
      <c r="O218" s="1">
        <v>2442335</v>
      </c>
      <c r="P218" s="1">
        <v>334001</v>
      </c>
      <c r="Q218" s="1">
        <v>620621</v>
      </c>
      <c r="R218" s="1">
        <v>26145032</v>
      </c>
      <c r="S218" s="1">
        <v>41051</v>
      </c>
      <c r="T218" s="1">
        <v>41051</v>
      </c>
      <c r="U218" s="1">
        <v>30029</v>
      </c>
      <c r="V218" s="1">
        <v>1</v>
      </c>
      <c r="W218" s="1">
        <v>0</v>
      </c>
    </row>
    <row r="219">
      <c r="A219" s="1">
        <v>2017</v>
      </c>
      <c r="B219" s="1">
        <v>41</v>
      </c>
      <c r="C219" t="s">
        <v>3</v>
      </c>
      <c r="D219" s="1">
        <v>51</v>
      </c>
      <c r="E219" t="s">
        <v>6</v>
      </c>
      <c r="F219" s="1">
        <v>30</v>
      </c>
      <c r="G219" t="s">
        <v>28</v>
      </c>
      <c r="H219" s="1">
        <v>31</v>
      </c>
      <c r="I219" t="s">
        <v>109</v>
      </c>
      <c r="J219" s="1">
        <v>44</v>
      </c>
      <c r="K219" s="1">
        <v>65</v>
      </c>
      <c r="L219" s="1">
        <v>1690</v>
      </c>
      <c r="M219" s="1">
        <v>39037</v>
      </c>
      <c r="N219" s="1">
        <v>65103</v>
      </c>
      <c r="O219" s="1">
        <v>2442335</v>
      </c>
      <c r="P219" s="1">
        <v>334001</v>
      </c>
      <c r="Q219" s="1">
        <v>620621</v>
      </c>
      <c r="R219" s="1">
        <v>26145032</v>
      </c>
      <c r="S219" s="1">
        <v>41051</v>
      </c>
      <c r="T219" s="1">
        <v>41051</v>
      </c>
      <c r="U219" s="1">
        <v>30031</v>
      </c>
      <c r="V219" s="1">
        <v>1</v>
      </c>
      <c r="W219" s="1">
        <v>0</v>
      </c>
    </row>
    <row r="220">
      <c r="A220" s="1">
        <v>2017</v>
      </c>
      <c r="B220" s="1">
        <v>41</v>
      </c>
      <c r="C220" t="s">
        <v>3</v>
      </c>
      <c r="D220" s="1">
        <v>51</v>
      </c>
      <c r="E220" t="s">
        <v>6</v>
      </c>
      <c r="F220" s="1">
        <v>30</v>
      </c>
      <c r="G220" t="s">
        <v>28</v>
      </c>
      <c r="H220" s="1">
        <v>49</v>
      </c>
      <c r="I220" t="s">
        <v>200</v>
      </c>
      <c r="J220" s="1">
        <v>27</v>
      </c>
      <c r="K220" s="1">
        <v>40</v>
      </c>
      <c r="L220" s="1">
        <v>1183</v>
      </c>
      <c r="M220" s="1">
        <v>39037</v>
      </c>
      <c r="N220" s="1">
        <v>65103</v>
      </c>
      <c r="O220" s="1">
        <v>2442335</v>
      </c>
      <c r="P220" s="1">
        <v>334001</v>
      </c>
      <c r="Q220" s="1">
        <v>620621</v>
      </c>
      <c r="R220" s="1">
        <v>26145032</v>
      </c>
      <c r="S220" s="1">
        <v>41051</v>
      </c>
      <c r="T220" s="1">
        <v>41051</v>
      </c>
      <c r="U220" s="1">
        <v>30049</v>
      </c>
      <c r="V220" s="1">
        <v>1</v>
      </c>
      <c r="W220" s="1">
        <v>0</v>
      </c>
    </row>
    <row r="221">
      <c r="A221" s="1">
        <v>2017</v>
      </c>
      <c r="B221" s="1">
        <v>41</v>
      </c>
      <c r="C221" t="s">
        <v>3</v>
      </c>
      <c r="D221" s="1">
        <v>51</v>
      </c>
      <c r="E221" t="s">
        <v>6</v>
      </c>
      <c r="F221" s="1">
        <v>30</v>
      </c>
      <c r="G221" t="s">
        <v>28</v>
      </c>
      <c r="H221" s="1">
        <v>63</v>
      </c>
      <c r="I221" t="s">
        <v>110</v>
      </c>
      <c r="J221" s="1">
        <v>50</v>
      </c>
      <c r="K221" s="1">
        <v>76</v>
      </c>
      <c r="L221" s="1">
        <v>2666</v>
      </c>
      <c r="M221" s="1">
        <v>39037</v>
      </c>
      <c r="N221" s="1">
        <v>65103</v>
      </c>
      <c r="O221" s="1">
        <v>2442335</v>
      </c>
      <c r="P221" s="1">
        <v>334001</v>
      </c>
      <c r="Q221" s="1">
        <v>620621</v>
      </c>
      <c r="R221" s="1">
        <v>26145032</v>
      </c>
      <c r="S221" s="1">
        <v>41051</v>
      </c>
      <c r="T221" s="1">
        <v>41051</v>
      </c>
      <c r="U221" s="1">
        <v>30063</v>
      </c>
      <c r="V221" s="1">
        <v>1</v>
      </c>
      <c r="W221" s="1">
        <v>0</v>
      </c>
    </row>
    <row r="222">
      <c r="A222" s="1">
        <v>2017</v>
      </c>
      <c r="B222" s="1">
        <v>41</v>
      </c>
      <c r="C222" t="s">
        <v>3</v>
      </c>
      <c r="D222" s="1">
        <v>51</v>
      </c>
      <c r="E222" t="s">
        <v>6</v>
      </c>
      <c r="F222" s="1">
        <v>31</v>
      </c>
      <c r="G222" t="s">
        <v>45</v>
      </c>
      <c r="H222" s="1">
        <v>55</v>
      </c>
      <c r="I222" t="s">
        <v>131</v>
      </c>
      <c r="J222" s="1">
        <v>35</v>
      </c>
      <c r="K222" s="1">
        <v>63</v>
      </c>
      <c r="L222" s="1">
        <v>2133</v>
      </c>
      <c r="M222" s="1">
        <v>39037</v>
      </c>
      <c r="N222" s="1">
        <v>65103</v>
      </c>
      <c r="O222" s="1">
        <v>2442335</v>
      </c>
      <c r="P222" s="1">
        <v>334001</v>
      </c>
      <c r="Q222" s="1">
        <v>620621</v>
      </c>
      <c r="R222" s="1">
        <v>26145032</v>
      </c>
      <c r="S222" s="1">
        <v>41051</v>
      </c>
      <c r="T222" s="1">
        <v>41051</v>
      </c>
      <c r="U222" s="1">
        <v>31055</v>
      </c>
      <c r="V222" s="1">
        <v>1</v>
      </c>
      <c r="W222" s="1">
        <v>0</v>
      </c>
    </row>
    <row r="223">
      <c r="A223" s="1">
        <v>2017</v>
      </c>
      <c r="B223" s="1">
        <v>41</v>
      </c>
      <c r="C223" t="s">
        <v>3</v>
      </c>
      <c r="D223" s="1">
        <v>51</v>
      </c>
      <c r="E223" t="s">
        <v>6</v>
      </c>
      <c r="F223" s="1">
        <v>32</v>
      </c>
      <c r="G223" t="s">
        <v>29</v>
      </c>
      <c r="H223" s="1">
        <v>3</v>
      </c>
      <c r="I223" t="s">
        <v>112</v>
      </c>
      <c r="J223" s="1">
        <v>244</v>
      </c>
      <c r="K223" s="1">
        <v>432</v>
      </c>
      <c r="L223" s="1">
        <v>11924</v>
      </c>
      <c r="M223" s="1">
        <v>39037</v>
      </c>
      <c r="N223" s="1">
        <v>65103</v>
      </c>
      <c r="O223" s="1">
        <v>2442335</v>
      </c>
      <c r="P223" s="1">
        <v>334001</v>
      </c>
      <c r="Q223" s="1">
        <v>620621</v>
      </c>
      <c r="R223" s="1">
        <v>26145032</v>
      </c>
      <c r="S223" s="1">
        <v>41051</v>
      </c>
      <c r="T223" s="1">
        <v>41051</v>
      </c>
      <c r="U223" s="1">
        <v>32003</v>
      </c>
      <c r="V223" s="1">
        <v>1</v>
      </c>
      <c r="W223" s="1">
        <v>0</v>
      </c>
    </row>
    <row r="224">
      <c r="A224" s="1">
        <v>2017</v>
      </c>
      <c r="B224" s="1">
        <v>41</v>
      </c>
      <c r="C224" t="s">
        <v>3</v>
      </c>
      <c r="D224" s="1">
        <v>51</v>
      </c>
      <c r="E224" t="s">
        <v>6</v>
      </c>
      <c r="F224" s="1">
        <v>32</v>
      </c>
      <c r="G224" t="s">
        <v>29</v>
      </c>
      <c r="H224" s="1">
        <v>31</v>
      </c>
      <c r="I224" t="s">
        <v>113</v>
      </c>
      <c r="J224" s="1">
        <v>80</v>
      </c>
      <c r="K224" s="1">
        <v>120</v>
      </c>
      <c r="L224" s="1">
        <v>3260</v>
      </c>
      <c r="M224" s="1">
        <v>39037</v>
      </c>
      <c r="N224" s="1">
        <v>65103</v>
      </c>
      <c r="O224" s="1">
        <v>2442335</v>
      </c>
      <c r="P224" s="1">
        <v>334001</v>
      </c>
      <c r="Q224" s="1">
        <v>620621</v>
      </c>
      <c r="R224" s="1">
        <v>26145032</v>
      </c>
      <c r="S224" s="1">
        <v>41051</v>
      </c>
      <c r="T224" s="1">
        <v>41051</v>
      </c>
      <c r="U224" s="1">
        <v>32031</v>
      </c>
      <c r="V224" s="1">
        <v>1</v>
      </c>
      <c r="W224" s="1">
        <v>0</v>
      </c>
    </row>
    <row r="225">
      <c r="A225" s="1">
        <v>2017</v>
      </c>
      <c r="B225" s="1">
        <v>41</v>
      </c>
      <c r="C225" t="s">
        <v>3</v>
      </c>
      <c r="D225" s="1">
        <v>51</v>
      </c>
      <c r="E225" t="s">
        <v>6</v>
      </c>
      <c r="F225" s="1">
        <v>34</v>
      </c>
      <c r="G225" t="s">
        <v>46</v>
      </c>
      <c r="H225" s="1">
        <v>17</v>
      </c>
      <c r="I225" t="s">
        <v>201</v>
      </c>
      <c r="J225" s="1">
        <v>24</v>
      </c>
      <c r="K225" s="1">
        <v>36</v>
      </c>
      <c r="L225" s="1">
        <v>1746</v>
      </c>
      <c r="M225" s="1">
        <v>39037</v>
      </c>
      <c r="N225" s="1">
        <v>65103</v>
      </c>
      <c r="O225" s="1">
        <v>2442335</v>
      </c>
      <c r="P225" s="1">
        <v>334001</v>
      </c>
      <c r="Q225" s="1">
        <v>620621</v>
      </c>
      <c r="R225" s="1">
        <v>26145032</v>
      </c>
      <c r="S225" s="1">
        <v>41051</v>
      </c>
      <c r="T225" s="1">
        <v>41051</v>
      </c>
      <c r="U225" s="1">
        <v>34017</v>
      </c>
      <c r="V225" s="1">
        <v>1</v>
      </c>
      <c r="W225" s="1">
        <v>0</v>
      </c>
    </row>
    <row r="226">
      <c r="A226" s="1">
        <v>2017</v>
      </c>
      <c r="B226" s="1">
        <v>41</v>
      </c>
      <c r="C226" t="s">
        <v>3</v>
      </c>
      <c r="D226" s="1">
        <v>51</v>
      </c>
      <c r="E226" t="s">
        <v>6</v>
      </c>
      <c r="F226" s="1">
        <v>35</v>
      </c>
      <c r="G226" t="s">
        <v>30</v>
      </c>
      <c r="H226" s="1">
        <v>1</v>
      </c>
      <c r="I226" t="s">
        <v>114</v>
      </c>
      <c r="J226" s="1">
        <v>65</v>
      </c>
      <c r="K226" s="1">
        <v>99</v>
      </c>
      <c r="L226" s="1">
        <v>2903</v>
      </c>
      <c r="M226" s="1">
        <v>39037</v>
      </c>
      <c r="N226" s="1">
        <v>65103</v>
      </c>
      <c r="O226" s="1">
        <v>2442335</v>
      </c>
      <c r="P226" s="1">
        <v>334001</v>
      </c>
      <c r="Q226" s="1">
        <v>620621</v>
      </c>
      <c r="R226" s="1">
        <v>26145032</v>
      </c>
      <c r="S226" s="1">
        <v>41051</v>
      </c>
      <c r="T226" s="1">
        <v>41051</v>
      </c>
      <c r="U226" s="1">
        <v>35001</v>
      </c>
      <c r="V226" s="1">
        <v>1</v>
      </c>
      <c r="W226" s="1">
        <v>0</v>
      </c>
    </row>
    <row r="227">
      <c r="A227" s="1">
        <v>2017</v>
      </c>
      <c r="B227" s="1">
        <v>41</v>
      </c>
      <c r="C227" t="s">
        <v>3</v>
      </c>
      <c r="D227" s="1">
        <v>51</v>
      </c>
      <c r="E227" t="s">
        <v>6</v>
      </c>
      <c r="F227" s="1">
        <v>35</v>
      </c>
      <c r="G227" t="s">
        <v>30</v>
      </c>
      <c r="H227" s="1">
        <v>49</v>
      </c>
      <c r="I227" t="s">
        <v>115</v>
      </c>
      <c r="J227" s="1">
        <v>50</v>
      </c>
      <c r="K227" s="1">
        <v>64</v>
      </c>
      <c r="L227" s="1">
        <v>2423</v>
      </c>
      <c r="M227" s="1">
        <v>39037</v>
      </c>
      <c r="N227" s="1">
        <v>65103</v>
      </c>
      <c r="O227" s="1">
        <v>2442335</v>
      </c>
      <c r="P227" s="1">
        <v>334001</v>
      </c>
      <c r="Q227" s="1">
        <v>620621</v>
      </c>
      <c r="R227" s="1">
        <v>26145032</v>
      </c>
      <c r="S227" s="1">
        <v>41051</v>
      </c>
      <c r="T227" s="1">
        <v>41051</v>
      </c>
      <c r="U227" s="1">
        <v>35049</v>
      </c>
      <c r="V227" s="1">
        <v>1</v>
      </c>
      <c r="W227" s="1">
        <v>0</v>
      </c>
    </row>
    <row r="228">
      <c r="A228" s="1">
        <v>2017</v>
      </c>
      <c r="B228" s="1">
        <v>41</v>
      </c>
      <c r="C228" t="s">
        <v>3</v>
      </c>
      <c r="D228" s="1">
        <v>51</v>
      </c>
      <c r="E228" t="s">
        <v>6</v>
      </c>
      <c r="F228" s="1">
        <v>36</v>
      </c>
      <c r="G228" t="s">
        <v>31</v>
      </c>
      <c r="H228" s="1">
        <v>29</v>
      </c>
      <c r="I228" t="s">
        <v>202</v>
      </c>
      <c r="J228" s="1">
        <v>23</v>
      </c>
      <c r="K228" s="1">
        <v>33</v>
      </c>
      <c r="L228" s="1">
        <v>800</v>
      </c>
      <c r="M228" s="1">
        <v>39037</v>
      </c>
      <c r="N228" s="1">
        <v>65103</v>
      </c>
      <c r="O228" s="1">
        <v>2442335</v>
      </c>
      <c r="P228" s="1">
        <v>334001</v>
      </c>
      <c r="Q228" s="1">
        <v>620621</v>
      </c>
      <c r="R228" s="1">
        <v>26145032</v>
      </c>
      <c r="S228" s="1">
        <v>41051</v>
      </c>
      <c r="T228" s="1">
        <v>41051</v>
      </c>
      <c r="U228" s="1">
        <v>36029</v>
      </c>
      <c r="V228" s="1">
        <v>1</v>
      </c>
      <c r="W228" s="1">
        <v>0</v>
      </c>
    </row>
    <row r="229">
      <c r="A229" s="1">
        <v>2017</v>
      </c>
      <c r="B229" s="1">
        <v>41</v>
      </c>
      <c r="C229" t="s">
        <v>3</v>
      </c>
      <c r="D229" s="1">
        <v>51</v>
      </c>
      <c r="E229" t="s">
        <v>6</v>
      </c>
      <c r="F229" s="1">
        <v>36</v>
      </c>
      <c r="G229" t="s">
        <v>31</v>
      </c>
      <c r="H229" s="1">
        <v>47</v>
      </c>
      <c r="I229" t="s">
        <v>116</v>
      </c>
      <c r="J229" s="1">
        <v>255</v>
      </c>
      <c r="K229" s="1">
        <v>302</v>
      </c>
      <c r="L229" s="1">
        <v>14827</v>
      </c>
      <c r="M229" s="1">
        <v>39037</v>
      </c>
      <c r="N229" s="1">
        <v>65103</v>
      </c>
      <c r="O229" s="1">
        <v>2442335</v>
      </c>
      <c r="P229" s="1">
        <v>334001</v>
      </c>
      <c r="Q229" s="1">
        <v>620621</v>
      </c>
      <c r="R229" s="1">
        <v>26145032</v>
      </c>
      <c r="S229" s="1">
        <v>41051</v>
      </c>
      <c r="T229" s="1">
        <v>41051</v>
      </c>
      <c r="U229" s="1">
        <v>36047</v>
      </c>
      <c r="V229" s="1">
        <v>1</v>
      </c>
      <c r="W229" s="1">
        <v>0</v>
      </c>
    </row>
    <row r="230">
      <c r="A230" s="1">
        <v>2017</v>
      </c>
      <c r="B230" s="1">
        <v>41</v>
      </c>
      <c r="C230" t="s">
        <v>3</v>
      </c>
      <c r="D230" s="1">
        <v>51</v>
      </c>
      <c r="E230" t="s">
        <v>6</v>
      </c>
      <c r="F230" s="1">
        <v>36</v>
      </c>
      <c r="G230" t="s">
        <v>31</v>
      </c>
      <c r="H230" s="1">
        <v>55</v>
      </c>
      <c r="I230" t="s">
        <v>203</v>
      </c>
      <c r="J230" s="1">
        <v>26</v>
      </c>
      <c r="K230" s="1">
        <v>50</v>
      </c>
      <c r="L230" s="1">
        <v>1660</v>
      </c>
      <c r="M230" s="1">
        <v>39037</v>
      </c>
      <c r="N230" s="1">
        <v>65103</v>
      </c>
      <c r="O230" s="1">
        <v>2442335</v>
      </c>
      <c r="P230" s="1">
        <v>334001</v>
      </c>
      <c r="Q230" s="1">
        <v>620621</v>
      </c>
      <c r="R230" s="1">
        <v>26145032</v>
      </c>
      <c r="S230" s="1">
        <v>41051</v>
      </c>
      <c r="T230" s="1">
        <v>41051</v>
      </c>
      <c r="U230" s="1">
        <v>36055</v>
      </c>
      <c r="V230" s="1">
        <v>1</v>
      </c>
      <c r="W230" s="1">
        <v>0</v>
      </c>
    </row>
    <row r="231">
      <c r="A231" s="1">
        <v>2017</v>
      </c>
      <c r="B231" s="1">
        <v>41</v>
      </c>
      <c r="C231" t="s">
        <v>3</v>
      </c>
      <c r="D231" s="1">
        <v>51</v>
      </c>
      <c r="E231" t="s">
        <v>6</v>
      </c>
      <c r="F231" s="1">
        <v>36</v>
      </c>
      <c r="G231" t="s">
        <v>31</v>
      </c>
      <c r="H231" s="1">
        <v>61</v>
      </c>
      <c r="I231" t="s">
        <v>117</v>
      </c>
      <c r="J231" s="1">
        <v>124</v>
      </c>
      <c r="K231" s="1">
        <v>147</v>
      </c>
      <c r="L231" s="1">
        <v>11004</v>
      </c>
      <c r="M231" s="1">
        <v>39037</v>
      </c>
      <c r="N231" s="1">
        <v>65103</v>
      </c>
      <c r="O231" s="1">
        <v>2442335</v>
      </c>
      <c r="P231" s="1">
        <v>334001</v>
      </c>
      <c r="Q231" s="1">
        <v>620621</v>
      </c>
      <c r="R231" s="1">
        <v>26145032</v>
      </c>
      <c r="S231" s="1">
        <v>41051</v>
      </c>
      <c r="T231" s="1">
        <v>41051</v>
      </c>
      <c r="U231" s="1">
        <v>36061</v>
      </c>
      <c r="V231" s="1">
        <v>1</v>
      </c>
      <c r="W231" s="1">
        <v>0</v>
      </c>
    </row>
    <row r="232">
      <c r="A232" s="1">
        <v>2017</v>
      </c>
      <c r="B232" s="1">
        <v>41</v>
      </c>
      <c r="C232" t="s">
        <v>3</v>
      </c>
      <c r="D232" s="1">
        <v>51</v>
      </c>
      <c r="E232" t="s">
        <v>6</v>
      </c>
      <c r="F232" s="1">
        <v>36</v>
      </c>
      <c r="G232" t="s">
        <v>31</v>
      </c>
      <c r="H232" s="1">
        <v>67</v>
      </c>
      <c r="I232" t="s">
        <v>204</v>
      </c>
      <c r="J232" s="1">
        <v>20</v>
      </c>
      <c r="K232" s="1">
        <v>29</v>
      </c>
      <c r="L232" s="1">
        <v>1096</v>
      </c>
      <c r="M232" s="1">
        <v>39037</v>
      </c>
      <c r="N232" s="1">
        <v>65103</v>
      </c>
      <c r="O232" s="1">
        <v>2442335</v>
      </c>
      <c r="P232" s="1">
        <v>334001</v>
      </c>
      <c r="Q232" s="1">
        <v>620621</v>
      </c>
      <c r="R232" s="1">
        <v>26145032</v>
      </c>
      <c r="S232" s="1">
        <v>41051</v>
      </c>
      <c r="T232" s="1">
        <v>41051</v>
      </c>
      <c r="U232" s="1">
        <v>36067</v>
      </c>
      <c r="V232" s="1">
        <v>1</v>
      </c>
      <c r="W232" s="1">
        <v>0</v>
      </c>
    </row>
    <row r="233">
      <c r="A233" s="1">
        <v>2017</v>
      </c>
      <c r="B233" s="1">
        <v>41</v>
      </c>
      <c r="C233" t="s">
        <v>3</v>
      </c>
      <c r="D233" s="1">
        <v>51</v>
      </c>
      <c r="E233" t="s">
        <v>6</v>
      </c>
      <c r="F233" s="1">
        <v>36</v>
      </c>
      <c r="G233" t="s">
        <v>31</v>
      </c>
      <c r="H233" s="1">
        <v>81</v>
      </c>
      <c r="I233" t="s">
        <v>118</v>
      </c>
      <c r="J233" s="1">
        <v>28</v>
      </c>
      <c r="K233" s="1">
        <v>30</v>
      </c>
      <c r="L233" s="1">
        <v>1256</v>
      </c>
      <c r="M233" s="1">
        <v>39037</v>
      </c>
      <c r="N233" s="1">
        <v>65103</v>
      </c>
      <c r="O233" s="1">
        <v>2442335</v>
      </c>
      <c r="P233" s="1">
        <v>334001</v>
      </c>
      <c r="Q233" s="1">
        <v>620621</v>
      </c>
      <c r="R233" s="1">
        <v>26145032</v>
      </c>
      <c r="S233" s="1">
        <v>41051</v>
      </c>
      <c r="T233" s="1">
        <v>41051</v>
      </c>
      <c r="U233" s="1">
        <v>36081</v>
      </c>
      <c r="V233" s="1">
        <v>1</v>
      </c>
      <c r="W233" s="1">
        <v>0</v>
      </c>
    </row>
    <row r="234">
      <c r="A234" s="1">
        <v>2017</v>
      </c>
      <c r="B234" s="1">
        <v>41</v>
      </c>
      <c r="C234" t="s">
        <v>3</v>
      </c>
      <c r="D234" s="1">
        <v>51</v>
      </c>
      <c r="E234" t="s">
        <v>6</v>
      </c>
      <c r="F234" s="1">
        <v>37</v>
      </c>
      <c r="G234" t="s">
        <v>32</v>
      </c>
      <c r="H234" s="1">
        <v>21</v>
      </c>
      <c r="I234" t="s">
        <v>120</v>
      </c>
      <c r="J234" s="1">
        <v>38</v>
      </c>
      <c r="K234" s="1">
        <v>57</v>
      </c>
      <c r="L234" s="1">
        <v>2265</v>
      </c>
      <c r="M234" s="1">
        <v>39037</v>
      </c>
      <c r="N234" s="1">
        <v>65103</v>
      </c>
      <c r="O234" s="1">
        <v>2442335</v>
      </c>
      <c r="P234" s="1">
        <v>334001</v>
      </c>
      <c r="Q234" s="1">
        <v>620621</v>
      </c>
      <c r="R234" s="1">
        <v>26145032</v>
      </c>
      <c r="S234" s="1">
        <v>41051</v>
      </c>
      <c r="T234" s="1">
        <v>41051</v>
      </c>
      <c r="U234" s="1">
        <v>37021</v>
      </c>
      <c r="V234" s="1">
        <v>1</v>
      </c>
      <c r="W234" s="1">
        <v>0</v>
      </c>
    </row>
    <row r="235">
      <c r="A235" s="1">
        <v>2017</v>
      </c>
      <c r="B235" s="1">
        <v>41</v>
      </c>
      <c r="C235" t="s">
        <v>3</v>
      </c>
      <c r="D235" s="1">
        <v>51</v>
      </c>
      <c r="E235" t="s">
        <v>6</v>
      </c>
      <c r="F235" s="1">
        <v>37</v>
      </c>
      <c r="G235" t="s">
        <v>32</v>
      </c>
      <c r="H235" s="1">
        <v>63</v>
      </c>
      <c r="I235" t="s">
        <v>205</v>
      </c>
      <c r="J235" s="1">
        <v>40</v>
      </c>
      <c r="K235" s="1">
        <v>54</v>
      </c>
      <c r="L235" s="1">
        <v>2344</v>
      </c>
      <c r="M235" s="1">
        <v>39037</v>
      </c>
      <c r="N235" s="1">
        <v>65103</v>
      </c>
      <c r="O235" s="1">
        <v>2442335</v>
      </c>
      <c r="P235" s="1">
        <v>334001</v>
      </c>
      <c r="Q235" s="1">
        <v>620621</v>
      </c>
      <c r="R235" s="1">
        <v>26145032</v>
      </c>
      <c r="S235" s="1">
        <v>41051</v>
      </c>
      <c r="T235" s="1">
        <v>41051</v>
      </c>
      <c r="U235" s="1">
        <v>37063</v>
      </c>
      <c r="V235" s="1">
        <v>1</v>
      </c>
      <c r="W235" s="1">
        <v>0</v>
      </c>
    </row>
    <row r="236">
      <c r="A236" s="1">
        <v>2017</v>
      </c>
      <c r="B236" s="1">
        <v>41</v>
      </c>
      <c r="C236" t="s">
        <v>3</v>
      </c>
      <c r="D236" s="1">
        <v>51</v>
      </c>
      <c r="E236" t="s">
        <v>6</v>
      </c>
      <c r="F236" s="1">
        <v>37</v>
      </c>
      <c r="G236" t="s">
        <v>32</v>
      </c>
      <c r="H236" s="1">
        <v>119</v>
      </c>
      <c r="I236" t="s">
        <v>121</v>
      </c>
      <c r="J236" s="1">
        <v>39</v>
      </c>
      <c r="K236" s="1">
        <v>61</v>
      </c>
      <c r="L236" s="1">
        <v>1923</v>
      </c>
      <c r="M236" s="1">
        <v>39037</v>
      </c>
      <c r="N236" s="1">
        <v>65103</v>
      </c>
      <c r="O236" s="1">
        <v>2442335</v>
      </c>
      <c r="P236" s="1">
        <v>334001</v>
      </c>
      <c r="Q236" s="1">
        <v>620621</v>
      </c>
      <c r="R236" s="1">
        <v>26145032</v>
      </c>
      <c r="S236" s="1">
        <v>41051</v>
      </c>
      <c r="T236" s="1">
        <v>41051</v>
      </c>
      <c r="U236" s="1">
        <v>37119</v>
      </c>
      <c r="V236" s="1">
        <v>1</v>
      </c>
      <c r="W236" s="1">
        <v>0</v>
      </c>
    </row>
    <row r="237">
      <c r="A237" s="1">
        <v>2017</v>
      </c>
      <c r="B237" s="1">
        <v>41</v>
      </c>
      <c r="C237" t="s">
        <v>3</v>
      </c>
      <c r="D237" s="1">
        <v>51</v>
      </c>
      <c r="E237" t="s">
        <v>6</v>
      </c>
      <c r="F237" s="1">
        <v>37</v>
      </c>
      <c r="G237" t="s">
        <v>32</v>
      </c>
      <c r="H237" s="1">
        <v>135</v>
      </c>
      <c r="I237" t="s">
        <v>64</v>
      </c>
      <c r="J237" s="1">
        <v>25</v>
      </c>
      <c r="K237" s="1">
        <v>38</v>
      </c>
      <c r="L237" s="1">
        <v>1367</v>
      </c>
      <c r="M237" s="1">
        <v>39037</v>
      </c>
      <c r="N237" s="1">
        <v>65103</v>
      </c>
      <c r="O237" s="1">
        <v>2442335</v>
      </c>
      <c r="P237" s="1">
        <v>334001</v>
      </c>
      <c r="Q237" s="1">
        <v>620621</v>
      </c>
      <c r="R237" s="1">
        <v>26145032</v>
      </c>
      <c r="S237" s="1">
        <v>41051</v>
      </c>
      <c r="T237" s="1">
        <v>41051</v>
      </c>
      <c r="U237" s="1">
        <v>37135</v>
      </c>
      <c r="V237" s="1">
        <v>1</v>
      </c>
      <c r="W237" s="1">
        <v>0</v>
      </c>
    </row>
    <row r="238">
      <c r="A238" s="1">
        <v>2017</v>
      </c>
      <c r="B238" s="1">
        <v>41</v>
      </c>
      <c r="C238" t="s">
        <v>3</v>
      </c>
      <c r="D238" s="1">
        <v>51</v>
      </c>
      <c r="E238" t="s">
        <v>6</v>
      </c>
      <c r="F238" s="1">
        <v>37</v>
      </c>
      <c r="G238" t="s">
        <v>32</v>
      </c>
      <c r="H238" s="1">
        <v>183</v>
      </c>
      <c r="I238" t="s">
        <v>206</v>
      </c>
      <c r="J238" s="1">
        <v>35</v>
      </c>
      <c r="K238" s="1">
        <v>56</v>
      </c>
      <c r="L238" s="1">
        <v>2721</v>
      </c>
      <c r="M238" s="1">
        <v>39037</v>
      </c>
      <c r="N238" s="1">
        <v>65103</v>
      </c>
      <c r="O238" s="1">
        <v>2442335</v>
      </c>
      <c r="P238" s="1">
        <v>334001</v>
      </c>
      <c r="Q238" s="1">
        <v>620621</v>
      </c>
      <c r="R238" s="1">
        <v>26145032</v>
      </c>
      <c r="S238" s="1">
        <v>41051</v>
      </c>
      <c r="T238" s="1">
        <v>41051</v>
      </c>
      <c r="U238" s="1">
        <v>37183</v>
      </c>
      <c r="V238" s="1">
        <v>1</v>
      </c>
      <c r="W238" s="1">
        <v>0</v>
      </c>
    </row>
    <row r="239">
      <c r="A239" s="1">
        <v>2017</v>
      </c>
      <c r="B239" s="1">
        <v>41</v>
      </c>
      <c r="C239" t="s">
        <v>3</v>
      </c>
      <c r="D239" s="1">
        <v>51</v>
      </c>
      <c r="E239" t="s">
        <v>6</v>
      </c>
      <c r="F239" s="1">
        <v>39</v>
      </c>
      <c r="G239" t="s">
        <v>33</v>
      </c>
      <c r="H239" s="1">
        <v>35</v>
      </c>
      <c r="I239" t="s">
        <v>207</v>
      </c>
      <c r="J239" s="1">
        <v>38</v>
      </c>
      <c r="K239" s="1">
        <v>66</v>
      </c>
      <c r="L239" s="1">
        <v>1907</v>
      </c>
      <c r="M239" s="1">
        <v>39037</v>
      </c>
      <c r="N239" s="1">
        <v>65103</v>
      </c>
      <c r="O239" s="1">
        <v>2442335</v>
      </c>
      <c r="P239" s="1">
        <v>334001</v>
      </c>
      <c r="Q239" s="1">
        <v>620621</v>
      </c>
      <c r="R239" s="1">
        <v>26145032</v>
      </c>
      <c r="S239" s="1">
        <v>41051</v>
      </c>
      <c r="T239" s="1">
        <v>41051</v>
      </c>
      <c r="U239" s="1">
        <v>39035</v>
      </c>
      <c r="V239" s="1">
        <v>1</v>
      </c>
      <c r="W239" s="1">
        <v>0</v>
      </c>
    </row>
    <row r="240">
      <c r="A240" s="1">
        <v>2017</v>
      </c>
      <c r="B240" s="1">
        <v>41</v>
      </c>
      <c r="C240" t="s">
        <v>3</v>
      </c>
      <c r="D240" s="1">
        <v>51</v>
      </c>
      <c r="E240" t="s">
        <v>6</v>
      </c>
      <c r="F240" s="1">
        <v>39</v>
      </c>
      <c r="G240" t="s">
        <v>33</v>
      </c>
      <c r="H240" s="1">
        <v>49</v>
      </c>
      <c r="I240" t="s">
        <v>122</v>
      </c>
      <c r="J240" s="1">
        <v>62</v>
      </c>
      <c r="K240" s="1">
        <v>97</v>
      </c>
      <c r="L240" s="1">
        <v>2765</v>
      </c>
      <c r="M240" s="1">
        <v>39037</v>
      </c>
      <c r="N240" s="1">
        <v>65103</v>
      </c>
      <c r="O240" s="1">
        <v>2442335</v>
      </c>
      <c r="P240" s="1">
        <v>334001</v>
      </c>
      <c r="Q240" s="1">
        <v>620621</v>
      </c>
      <c r="R240" s="1">
        <v>26145032</v>
      </c>
      <c r="S240" s="1">
        <v>41051</v>
      </c>
      <c r="T240" s="1">
        <v>41051</v>
      </c>
      <c r="U240" s="1">
        <v>39049</v>
      </c>
      <c r="V240" s="1">
        <v>1</v>
      </c>
      <c r="W240" s="1">
        <v>0</v>
      </c>
    </row>
    <row r="241">
      <c r="A241" s="1">
        <v>2017</v>
      </c>
      <c r="B241" s="1">
        <v>41</v>
      </c>
      <c r="C241" t="s">
        <v>3</v>
      </c>
      <c r="D241" s="1">
        <v>51</v>
      </c>
      <c r="E241" t="s">
        <v>6</v>
      </c>
      <c r="F241" s="1">
        <v>39</v>
      </c>
      <c r="G241" t="s">
        <v>33</v>
      </c>
      <c r="H241" s="1">
        <v>61</v>
      </c>
      <c r="I241" t="s">
        <v>208</v>
      </c>
      <c r="J241" s="1">
        <v>30</v>
      </c>
      <c r="K241" s="1">
        <v>49</v>
      </c>
      <c r="L241" s="1">
        <v>1392</v>
      </c>
      <c r="M241" s="1">
        <v>39037</v>
      </c>
      <c r="N241" s="1">
        <v>65103</v>
      </c>
      <c r="O241" s="1">
        <v>2442335</v>
      </c>
      <c r="P241" s="1">
        <v>334001</v>
      </c>
      <c r="Q241" s="1">
        <v>620621</v>
      </c>
      <c r="R241" s="1">
        <v>26145032</v>
      </c>
      <c r="S241" s="1">
        <v>41051</v>
      </c>
      <c r="T241" s="1">
        <v>41051</v>
      </c>
      <c r="U241" s="1">
        <v>39061</v>
      </c>
      <c r="V241" s="1">
        <v>1</v>
      </c>
      <c r="W241" s="1">
        <v>0</v>
      </c>
    </row>
    <row r="242">
      <c r="A242" s="1">
        <v>2017</v>
      </c>
      <c r="B242" s="1">
        <v>41</v>
      </c>
      <c r="C242" t="s">
        <v>3</v>
      </c>
      <c r="D242" s="1">
        <v>51</v>
      </c>
      <c r="E242" t="s">
        <v>6</v>
      </c>
      <c r="F242" s="1">
        <v>40</v>
      </c>
      <c r="G242" t="s">
        <v>47</v>
      </c>
      <c r="H242" s="1">
        <v>109</v>
      </c>
      <c r="I242" t="s">
        <v>209</v>
      </c>
      <c r="J242" s="1">
        <v>22</v>
      </c>
      <c r="K242" s="1">
        <v>35</v>
      </c>
      <c r="L242" s="1">
        <v>1301</v>
      </c>
      <c r="M242" s="1">
        <v>39037</v>
      </c>
      <c r="N242" s="1">
        <v>65103</v>
      </c>
      <c r="O242" s="1">
        <v>2442335</v>
      </c>
      <c r="P242" s="1">
        <v>334001</v>
      </c>
      <c r="Q242" s="1">
        <v>620621</v>
      </c>
      <c r="R242" s="1">
        <v>26145032</v>
      </c>
      <c r="S242" s="1">
        <v>41051</v>
      </c>
      <c r="T242" s="1">
        <v>41051</v>
      </c>
      <c r="U242" s="1">
        <v>40109</v>
      </c>
      <c r="V242" s="1">
        <v>1</v>
      </c>
      <c r="W242" s="1">
        <v>0</v>
      </c>
    </row>
    <row r="243">
      <c r="A243" s="1">
        <v>2017</v>
      </c>
      <c r="B243" s="1">
        <v>41</v>
      </c>
      <c r="C243" t="s">
        <v>3</v>
      </c>
      <c r="D243" s="1">
        <v>51</v>
      </c>
      <c r="E243" t="s">
        <v>6</v>
      </c>
      <c r="F243" s="1">
        <v>41</v>
      </c>
      <c r="G243" t="s">
        <v>3</v>
      </c>
      <c r="H243" s="1">
        <v>1</v>
      </c>
      <c r="I243" t="s">
        <v>123</v>
      </c>
      <c r="J243" s="1">
        <v>25</v>
      </c>
      <c r="K243" s="1">
        <v>42</v>
      </c>
      <c r="L243" s="1">
        <v>1442</v>
      </c>
      <c r="M243" s="1">
        <v>39037</v>
      </c>
      <c r="N243" s="1">
        <v>65103</v>
      </c>
      <c r="O243" s="1">
        <v>2442335</v>
      </c>
      <c r="P243" s="1">
        <v>334001</v>
      </c>
      <c r="Q243" s="1">
        <v>620621</v>
      </c>
      <c r="R243" s="1">
        <v>26145032</v>
      </c>
      <c r="S243" s="1">
        <v>41051</v>
      </c>
      <c r="T243" s="1">
        <v>41051</v>
      </c>
      <c r="U243" s="1">
        <v>41001</v>
      </c>
      <c r="V243" s="1">
        <v>1</v>
      </c>
      <c r="W243" s="1">
        <v>0</v>
      </c>
    </row>
    <row r="244">
      <c r="A244" s="1">
        <v>2017</v>
      </c>
      <c r="B244" s="1">
        <v>41</v>
      </c>
      <c r="C244" t="s">
        <v>3</v>
      </c>
      <c r="D244" s="1">
        <v>51</v>
      </c>
      <c r="E244" t="s">
        <v>6</v>
      </c>
      <c r="F244" s="1">
        <v>41</v>
      </c>
      <c r="G244" t="s">
        <v>3</v>
      </c>
      <c r="H244" s="1">
        <v>3</v>
      </c>
      <c r="I244" t="s">
        <v>124</v>
      </c>
      <c r="J244" s="1">
        <v>235</v>
      </c>
      <c r="K244" s="1">
        <v>342</v>
      </c>
      <c r="L244" s="1">
        <v>10530</v>
      </c>
      <c r="M244" s="1">
        <v>39037</v>
      </c>
      <c r="N244" s="1">
        <v>65103</v>
      </c>
      <c r="O244" s="1">
        <v>2442335</v>
      </c>
      <c r="P244" s="1">
        <v>334001</v>
      </c>
      <c r="Q244" s="1">
        <v>620621</v>
      </c>
      <c r="R244" s="1">
        <v>26145032</v>
      </c>
      <c r="S244" s="1">
        <v>41051</v>
      </c>
      <c r="T244" s="1">
        <v>41051</v>
      </c>
      <c r="U244" s="1">
        <v>41003</v>
      </c>
      <c r="V244" s="1">
        <v>1</v>
      </c>
      <c r="W244" s="1">
        <v>0</v>
      </c>
    </row>
    <row r="245">
      <c r="A245" s="1">
        <v>2017</v>
      </c>
      <c r="B245" s="1">
        <v>41</v>
      </c>
      <c r="C245" t="s">
        <v>3</v>
      </c>
      <c r="D245" s="1">
        <v>51</v>
      </c>
      <c r="E245" t="s">
        <v>6</v>
      </c>
      <c r="F245" s="1">
        <v>41</v>
      </c>
      <c r="G245" t="s">
        <v>3</v>
      </c>
      <c r="H245" s="1">
        <v>5</v>
      </c>
      <c r="I245" t="s">
        <v>125</v>
      </c>
      <c r="J245" s="1">
        <v>7499</v>
      </c>
      <c r="K245" s="1">
        <v>13814</v>
      </c>
      <c r="L245" s="1">
        <v>520879</v>
      </c>
      <c r="M245" s="1">
        <v>39037</v>
      </c>
      <c r="N245" s="1">
        <v>65103</v>
      </c>
      <c r="O245" s="1">
        <v>2442335</v>
      </c>
      <c r="P245" s="1">
        <v>334001</v>
      </c>
      <c r="Q245" s="1">
        <v>620621</v>
      </c>
      <c r="R245" s="1">
        <v>26145032</v>
      </c>
      <c r="S245" s="1">
        <v>41051</v>
      </c>
      <c r="T245" s="1">
        <v>41051</v>
      </c>
      <c r="U245" s="1">
        <v>41005</v>
      </c>
      <c r="V245" s="1">
        <v>1</v>
      </c>
      <c r="W245" s="1">
        <v>0</v>
      </c>
    </row>
    <row r="246">
      <c r="A246" s="1">
        <v>2017</v>
      </c>
      <c r="B246" s="1">
        <v>41</v>
      </c>
      <c r="C246" t="s">
        <v>3</v>
      </c>
      <c r="D246" s="1">
        <v>51</v>
      </c>
      <c r="E246" t="s">
        <v>6</v>
      </c>
      <c r="F246" s="1">
        <v>41</v>
      </c>
      <c r="G246" t="s">
        <v>3</v>
      </c>
      <c r="H246" s="1">
        <v>7</v>
      </c>
      <c r="I246" t="s">
        <v>126</v>
      </c>
      <c r="J246" s="1">
        <v>219</v>
      </c>
      <c r="K246" s="1">
        <v>346</v>
      </c>
      <c r="L246" s="1">
        <v>11752</v>
      </c>
      <c r="M246" s="1">
        <v>39037</v>
      </c>
      <c r="N246" s="1">
        <v>65103</v>
      </c>
      <c r="O246" s="1">
        <v>2442335</v>
      </c>
      <c r="P246" s="1">
        <v>334001</v>
      </c>
      <c r="Q246" s="1">
        <v>620621</v>
      </c>
      <c r="R246" s="1">
        <v>26145032</v>
      </c>
      <c r="S246" s="1">
        <v>41051</v>
      </c>
      <c r="T246" s="1">
        <v>41051</v>
      </c>
      <c r="U246" s="1">
        <v>41007</v>
      </c>
      <c r="V246" s="1">
        <v>1</v>
      </c>
      <c r="W246" s="1">
        <v>0</v>
      </c>
    </row>
    <row r="247">
      <c r="A247" s="1">
        <v>2017</v>
      </c>
      <c r="B247" s="1">
        <v>41</v>
      </c>
      <c r="C247" t="s">
        <v>3</v>
      </c>
      <c r="D247" s="1">
        <v>51</v>
      </c>
      <c r="E247" t="s">
        <v>6</v>
      </c>
      <c r="F247" s="1">
        <v>41</v>
      </c>
      <c r="G247" t="s">
        <v>3</v>
      </c>
      <c r="H247" s="1">
        <v>9</v>
      </c>
      <c r="I247" t="s">
        <v>127</v>
      </c>
      <c r="J247" s="1">
        <v>508</v>
      </c>
      <c r="K247" s="1">
        <v>980</v>
      </c>
      <c r="L247" s="1">
        <v>30573</v>
      </c>
      <c r="M247" s="1">
        <v>39037</v>
      </c>
      <c r="N247" s="1">
        <v>65103</v>
      </c>
      <c r="O247" s="1">
        <v>2442335</v>
      </c>
      <c r="P247" s="1">
        <v>334001</v>
      </c>
      <c r="Q247" s="1">
        <v>620621</v>
      </c>
      <c r="R247" s="1">
        <v>26145032</v>
      </c>
      <c r="S247" s="1">
        <v>41051</v>
      </c>
      <c r="T247" s="1">
        <v>41051</v>
      </c>
      <c r="U247" s="1">
        <v>41009</v>
      </c>
      <c r="V247" s="1">
        <v>1</v>
      </c>
      <c r="W247" s="1">
        <v>0</v>
      </c>
    </row>
    <row r="248">
      <c r="A248" s="1">
        <v>2017</v>
      </c>
      <c r="B248" s="1">
        <v>41</v>
      </c>
      <c r="C248" t="s">
        <v>3</v>
      </c>
      <c r="D248" s="1">
        <v>51</v>
      </c>
      <c r="E248" t="s">
        <v>6</v>
      </c>
      <c r="F248" s="1">
        <v>41</v>
      </c>
      <c r="G248" t="s">
        <v>3</v>
      </c>
      <c r="H248" s="1">
        <v>11</v>
      </c>
      <c r="I248" t="s">
        <v>128</v>
      </c>
      <c r="J248" s="1">
        <v>62</v>
      </c>
      <c r="K248" s="1">
        <v>117</v>
      </c>
      <c r="L248" s="1">
        <v>2794</v>
      </c>
      <c r="M248" s="1">
        <v>39037</v>
      </c>
      <c r="N248" s="1">
        <v>65103</v>
      </c>
      <c r="O248" s="1">
        <v>2442335</v>
      </c>
      <c r="P248" s="1">
        <v>334001</v>
      </c>
      <c r="Q248" s="1">
        <v>620621</v>
      </c>
      <c r="R248" s="1">
        <v>26145032</v>
      </c>
      <c r="S248" s="1">
        <v>41051</v>
      </c>
      <c r="T248" s="1">
        <v>41051</v>
      </c>
      <c r="U248" s="1">
        <v>41011</v>
      </c>
      <c r="V248" s="1">
        <v>1</v>
      </c>
      <c r="W248" s="1">
        <v>0</v>
      </c>
    </row>
    <row r="249">
      <c r="A249" s="1">
        <v>2017</v>
      </c>
      <c r="B249" s="1">
        <v>41</v>
      </c>
      <c r="C249" t="s">
        <v>3</v>
      </c>
      <c r="D249" s="1">
        <v>51</v>
      </c>
      <c r="E249" t="s">
        <v>6</v>
      </c>
      <c r="F249" s="1">
        <v>41</v>
      </c>
      <c r="G249" t="s">
        <v>3</v>
      </c>
      <c r="H249" s="1">
        <v>13</v>
      </c>
      <c r="I249" t="s">
        <v>129</v>
      </c>
      <c r="J249" s="1">
        <v>43</v>
      </c>
      <c r="K249" s="1">
        <v>75</v>
      </c>
      <c r="L249" s="1">
        <v>2258</v>
      </c>
      <c r="M249" s="1">
        <v>39037</v>
      </c>
      <c r="N249" s="1">
        <v>65103</v>
      </c>
      <c r="O249" s="1">
        <v>2442335</v>
      </c>
      <c r="P249" s="1">
        <v>334001</v>
      </c>
      <c r="Q249" s="1">
        <v>620621</v>
      </c>
      <c r="R249" s="1">
        <v>26145032</v>
      </c>
      <c r="S249" s="1">
        <v>41051</v>
      </c>
      <c r="T249" s="1">
        <v>41051</v>
      </c>
      <c r="U249" s="1">
        <v>41013</v>
      </c>
      <c r="V249" s="1">
        <v>1</v>
      </c>
      <c r="W249" s="1">
        <v>0</v>
      </c>
    </row>
    <row r="250">
      <c r="A250" s="1">
        <v>2017</v>
      </c>
      <c r="B250" s="1">
        <v>41</v>
      </c>
      <c r="C250" t="s">
        <v>3</v>
      </c>
      <c r="D250" s="1">
        <v>51</v>
      </c>
      <c r="E250" t="s">
        <v>6</v>
      </c>
      <c r="F250" s="1">
        <v>41</v>
      </c>
      <c r="G250" t="s">
        <v>3</v>
      </c>
      <c r="H250" s="1">
        <v>15</v>
      </c>
      <c r="I250" t="s">
        <v>210</v>
      </c>
      <c r="J250" s="1">
        <v>26</v>
      </c>
      <c r="K250" s="1">
        <v>43</v>
      </c>
      <c r="L250" s="1">
        <v>827</v>
      </c>
      <c r="M250" s="1">
        <v>39037</v>
      </c>
      <c r="N250" s="1">
        <v>65103</v>
      </c>
      <c r="O250" s="1">
        <v>2442335</v>
      </c>
      <c r="P250" s="1">
        <v>334001</v>
      </c>
      <c r="Q250" s="1">
        <v>620621</v>
      </c>
      <c r="R250" s="1">
        <v>26145032</v>
      </c>
      <c r="S250" s="1">
        <v>41051</v>
      </c>
      <c r="T250" s="1">
        <v>41051</v>
      </c>
      <c r="U250" s="1">
        <v>41015</v>
      </c>
      <c r="V250" s="1">
        <v>1</v>
      </c>
      <c r="W250" s="1">
        <v>0</v>
      </c>
    </row>
    <row r="251">
      <c r="A251" s="1">
        <v>2017</v>
      </c>
      <c r="B251" s="1">
        <v>41</v>
      </c>
      <c r="C251" t="s">
        <v>3</v>
      </c>
      <c r="D251" s="1">
        <v>51</v>
      </c>
      <c r="E251" t="s">
        <v>6</v>
      </c>
      <c r="F251" s="1">
        <v>41</v>
      </c>
      <c r="G251" t="s">
        <v>3</v>
      </c>
      <c r="H251" s="1">
        <v>17</v>
      </c>
      <c r="I251" t="s">
        <v>130</v>
      </c>
      <c r="J251" s="1">
        <v>697</v>
      </c>
      <c r="K251" s="1">
        <v>1175</v>
      </c>
      <c r="L251" s="1">
        <v>57662</v>
      </c>
      <c r="M251" s="1">
        <v>39037</v>
      </c>
      <c r="N251" s="1">
        <v>65103</v>
      </c>
      <c r="O251" s="1">
        <v>2442335</v>
      </c>
      <c r="P251" s="1">
        <v>334001</v>
      </c>
      <c r="Q251" s="1">
        <v>620621</v>
      </c>
      <c r="R251" s="1">
        <v>26145032</v>
      </c>
      <c r="S251" s="1">
        <v>41051</v>
      </c>
      <c r="T251" s="1">
        <v>41051</v>
      </c>
      <c r="U251" s="1">
        <v>41017</v>
      </c>
      <c r="V251" s="1">
        <v>1</v>
      </c>
      <c r="W251" s="1">
        <v>0</v>
      </c>
    </row>
    <row r="252">
      <c r="A252" s="1">
        <v>2017</v>
      </c>
      <c r="B252" s="1">
        <v>41</v>
      </c>
      <c r="C252" t="s">
        <v>3</v>
      </c>
      <c r="D252" s="1">
        <v>51</v>
      </c>
      <c r="E252" t="s">
        <v>6</v>
      </c>
      <c r="F252" s="1">
        <v>41</v>
      </c>
      <c r="G252" t="s">
        <v>3</v>
      </c>
      <c r="H252" s="1">
        <v>19</v>
      </c>
      <c r="I252" t="s">
        <v>131</v>
      </c>
      <c r="J252" s="1">
        <v>102</v>
      </c>
      <c r="K252" s="1">
        <v>168</v>
      </c>
      <c r="L252" s="1">
        <v>4781</v>
      </c>
      <c r="M252" s="1">
        <v>39037</v>
      </c>
      <c r="N252" s="1">
        <v>65103</v>
      </c>
      <c r="O252" s="1">
        <v>2442335</v>
      </c>
      <c r="P252" s="1">
        <v>334001</v>
      </c>
      <c r="Q252" s="1">
        <v>620621</v>
      </c>
      <c r="R252" s="1">
        <v>26145032</v>
      </c>
      <c r="S252" s="1">
        <v>41051</v>
      </c>
      <c r="T252" s="1">
        <v>41051</v>
      </c>
      <c r="U252" s="1">
        <v>41019</v>
      </c>
      <c r="V252" s="1">
        <v>1</v>
      </c>
      <c r="W252" s="1">
        <v>0</v>
      </c>
    </row>
    <row r="253">
      <c r="A253" s="1">
        <v>2017</v>
      </c>
      <c r="B253" s="1">
        <v>41</v>
      </c>
      <c r="C253" t="s">
        <v>3</v>
      </c>
      <c r="D253" s="1">
        <v>51</v>
      </c>
      <c r="E253" t="s">
        <v>6</v>
      </c>
      <c r="F253" s="1">
        <v>41</v>
      </c>
      <c r="G253" t="s">
        <v>3</v>
      </c>
      <c r="H253" s="1">
        <v>27</v>
      </c>
      <c r="I253" t="s">
        <v>132</v>
      </c>
      <c r="J253" s="1">
        <v>178</v>
      </c>
      <c r="K253" s="1">
        <v>300</v>
      </c>
      <c r="L253" s="1">
        <v>13095</v>
      </c>
      <c r="M253" s="1">
        <v>39037</v>
      </c>
      <c r="N253" s="1">
        <v>65103</v>
      </c>
      <c r="O253" s="1">
        <v>2442335</v>
      </c>
      <c r="P253" s="1">
        <v>334001</v>
      </c>
      <c r="Q253" s="1">
        <v>620621</v>
      </c>
      <c r="R253" s="1">
        <v>26145032</v>
      </c>
      <c r="S253" s="1">
        <v>41051</v>
      </c>
      <c r="T253" s="1">
        <v>41051</v>
      </c>
      <c r="U253" s="1">
        <v>41027</v>
      </c>
      <c r="V253" s="1">
        <v>1</v>
      </c>
      <c r="W253" s="1">
        <v>0</v>
      </c>
    </row>
    <row r="254">
      <c r="A254" s="1">
        <v>2017</v>
      </c>
      <c r="B254" s="1">
        <v>41</v>
      </c>
      <c r="C254" t="s">
        <v>3</v>
      </c>
      <c r="D254" s="1">
        <v>51</v>
      </c>
      <c r="E254" t="s">
        <v>6</v>
      </c>
      <c r="F254" s="1">
        <v>41</v>
      </c>
      <c r="G254" t="s">
        <v>3</v>
      </c>
      <c r="H254" s="1">
        <v>29</v>
      </c>
      <c r="I254" t="s">
        <v>133</v>
      </c>
      <c r="J254" s="1">
        <v>236</v>
      </c>
      <c r="K254" s="1">
        <v>401</v>
      </c>
      <c r="L254" s="1">
        <v>12186</v>
      </c>
      <c r="M254" s="1">
        <v>39037</v>
      </c>
      <c r="N254" s="1">
        <v>65103</v>
      </c>
      <c r="O254" s="1">
        <v>2442335</v>
      </c>
      <c r="P254" s="1">
        <v>334001</v>
      </c>
      <c r="Q254" s="1">
        <v>620621</v>
      </c>
      <c r="R254" s="1">
        <v>26145032</v>
      </c>
      <c r="S254" s="1">
        <v>41051</v>
      </c>
      <c r="T254" s="1">
        <v>41051</v>
      </c>
      <c r="U254" s="1">
        <v>41029</v>
      </c>
      <c r="V254" s="1">
        <v>1</v>
      </c>
      <c r="W254" s="1">
        <v>0</v>
      </c>
    </row>
    <row r="255">
      <c r="A255" s="1">
        <v>2017</v>
      </c>
      <c r="B255" s="1">
        <v>41</v>
      </c>
      <c r="C255" t="s">
        <v>3</v>
      </c>
      <c r="D255" s="1">
        <v>51</v>
      </c>
      <c r="E255" t="s">
        <v>6</v>
      </c>
      <c r="F255" s="1">
        <v>41</v>
      </c>
      <c r="G255" t="s">
        <v>3</v>
      </c>
      <c r="H255" s="1">
        <v>31</v>
      </c>
      <c r="I255" t="s">
        <v>83</v>
      </c>
      <c r="J255" s="1">
        <v>42</v>
      </c>
      <c r="K255" s="1">
        <v>78</v>
      </c>
      <c r="L255" s="1">
        <v>2191</v>
      </c>
      <c r="M255" s="1">
        <v>39037</v>
      </c>
      <c r="N255" s="1">
        <v>65103</v>
      </c>
      <c r="O255" s="1">
        <v>2442335</v>
      </c>
      <c r="P255" s="1">
        <v>334001</v>
      </c>
      <c r="Q255" s="1">
        <v>620621</v>
      </c>
      <c r="R255" s="1">
        <v>26145032</v>
      </c>
      <c r="S255" s="1">
        <v>41051</v>
      </c>
      <c r="T255" s="1">
        <v>41051</v>
      </c>
      <c r="U255" s="1">
        <v>41031</v>
      </c>
      <c r="V255" s="1">
        <v>1</v>
      </c>
      <c r="W255" s="1">
        <v>0</v>
      </c>
    </row>
    <row r="256">
      <c r="A256" s="1">
        <v>2017</v>
      </c>
      <c r="B256" s="1">
        <v>41</v>
      </c>
      <c r="C256" t="s">
        <v>3</v>
      </c>
      <c r="D256" s="1">
        <v>51</v>
      </c>
      <c r="E256" t="s">
        <v>6</v>
      </c>
      <c r="F256" s="1">
        <v>41</v>
      </c>
      <c r="G256" t="s">
        <v>3</v>
      </c>
      <c r="H256" s="1">
        <v>33</v>
      </c>
      <c r="I256" t="s">
        <v>134</v>
      </c>
      <c r="J256" s="1">
        <v>87</v>
      </c>
      <c r="K256" s="1">
        <v>124</v>
      </c>
      <c r="L256" s="1">
        <v>2984</v>
      </c>
      <c r="M256" s="1">
        <v>39037</v>
      </c>
      <c r="N256" s="1">
        <v>65103</v>
      </c>
      <c r="O256" s="1">
        <v>2442335</v>
      </c>
      <c r="P256" s="1">
        <v>334001</v>
      </c>
      <c r="Q256" s="1">
        <v>620621</v>
      </c>
      <c r="R256" s="1">
        <v>26145032</v>
      </c>
      <c r="S256" s="1">
        <v>41051</v>
      </c>
      <c r="T256" s="1">
        <v>41051</v>
      </c>
      <c r="U256" s="1">
        <v>41033</v>
      </c>
      <c r="V256" s="1">
        <v>1</v>
      </c>
      <c r="W256" s="1">
        <v>0</v>
      </c>
    </row>
    <row r="257">
      <c r="A257" s="1">
        <v>2017</v>
      </c>
      <c r="B257" s="1">
        <v>41</v>
      </c>
      <c r="C257" t="s">
        <v>3</v>
      </c>
      <c r="D257" s="1">
        <v>51</v>
      </c>
      <c r="E257" t="s">
        <v>6</v>
      </c>
      <c r="F257" s="1">
        <v>41</v>
      </c>
      <c r="G257" t="s">
        <v>3</v>
      </c>
      <c r="H257" s="1">
        <v>35</v>
      </c>
      <c r="I257" t="s">
        <v>135</v>
      </c>
      <c r="J257" s="1">
        <v>63</v>
      </c>
      <c r="K257" s="1">
        <v>105</v>
      </c>
      <c r="L257" s="1">
        <v>2512</v>
      </c>
      <c r="M257" s="1">
        <v>39037</v>
      </c>
      <c r="N257" s="1">
        <v>65103</v>
      </c>
      <c r="O257" s="1">
        <v>2442335</v>
      </c>
      <c r="P257" s="1">
        <v>334001</v>
      </c>
      <c r="Q257" s="1">
        <v>620621</v>
      </c>
      <c r="R257" s="1">
        <v>26145032</v>
      </c>
      <c r="S257" s="1">
        <v>41051</v>
      </c>
      <c r="T257" s="1">
        <v>41051</v>
      </c>
      <c r="U257" s="1">
        <v>41035</v>
      </c>
      <c r="V257" s="1">
        <v>1</v>
      </c>
      <c r="W257" s="1">
        <v>0</v>
      </c>
    </row>
    <row r="258">
      <c r="A258" s="1">
        <v>2017</v>
      </c>
      <c r="B258" s="1">
        <v>41</v>
      </c>
      <c r="C258" t="s">
        <v>3</v>
      </c>
      <c r="D258" s="1">
        <v>51</v>
      </c>
      <c r="E258" t="s">
        <v>6</v>
      </c>
      <c r="F258" s="1">
        <v>41</v>
      </c>
      <c r="G258" t="s">
        <v>3</v>
      </c>
      <c r="H258" s="1">
        <v>39</v>
      </c>
      <c r="I258" t="s">
        <v>136</v>
      </c>
      <c r="J258" s="1">
        <v>642</v>
      </c>
      <c r="K258" s="1">
        <v>918</v>
      </c>
      <c r="L258" s="1">
        <v>31928</v>
      </c>
      <c r="M258" s="1">
        <v>39037</v>
      </c>
      <c r="N258" s="1">
        <v>65103</v>
      </c>
      <c r="O258" s="1">
        <v>2442335</v>
      </c>
      <c r="P258" s="1">
        <v>334001</v>
      </c>
      <c r="Q258" s="1">
        <v>620621</v>
      </c>
      <c r="R258" s="1">
        <v>26145032</v>
      </c>
      <c r="S258" s="1">
        <v>41051</v>
      </c>
      <c r="T258" s="1">
        <v>41051</v>
      </c>
      <c r="U258" s="1">
        <v>41039</v>
      </c>
      <c r="V258" s="1">
        <v>1</v>
      </c>
      <c r="W258" s="1">
        <v>0</v>
      </c>
    </row>
    <row r="259">
      <c r="A259" s="1">
        <v>2017</v>
      </c>
      <c r="B259" s="1">
        <v>41</v>
      </c>
      <c r="C259" t="s">
        <v>3</v>
      </c>
      <c r="D259" s="1">
        <v>51</v>
      </c>
      <c r="E259" t="s">
        <v>6</v>
      </c>
      <c r="F259" s="1">
        <v>41</v>
      </c>
      <c r="G259" t="s">
        <v>3</v>
      </c>
      <c r="H259" s="1">
        <v>41</v>
      </c>
      <c r="I259" t="s">
        <v>137</v>
      </c>
      <c r="J259" s="1">
        <v>191</v>
      </c>
      <c r="K259" s="1">
        <v>283</v>
      </c>
      <c r="L259" s="1">
        <v>8749</v>
      </c>
      <c r="M259" s="1">
        <v>39037</v>
      </c>
      <c r="N259" s="1">
        <v>65103</v>
      </c>
      <c r="O259" s="1">
        <v>2442335</v>
      </c>
      <c r="P259" s="1">
        <v>334001</v>
      </c>
      <c r="Q259" s="1">
        <v>620621</v>
      </c>
      <c r="R259" s="1">
        <v>26145032</v>
      </c>
      <c r="S259" s="1">
        <v>41051</v>
      </c>
      <c r="T259" s="1">
        <v>41051</v>
      </c>
      <c r="U259" s="1">
        <v>41041</v>
      </c>
      <c r="V259" s="1">
        <v>1</v>
      </c>
      <c r="W259" s="1">
        <v>0</v>
      </c>
    </row>
    <row r="260">
      <c r="A260" s="1">
        <v>2017</v>
      </c>
      <c r="B260" s="1">
        <v>41</v>
      </c>
      <c r="C260" t="s">
        <v>3</v>
      </c>
      <c r="D260" s="1">
        <v>51</v>
      </c>
      <c r="E260" t="s">
        <v>6</v>
      </c>
      <c r="F260" s="1">
        <v>41</v>
      </c>
      <c r="G260" t="s">
        <v>3</v>
      </c>
      <c r="H260" s="1">
        <v>43</v>
      </c>
      <c r="I260" t="s">
        <v>138</v>
      </c>
      <c r="J260" s="1">
        <v>156</v>
      </c>
      <c r="K260" s="1">
        <v>247</v>
      </c>
      <c r="L260" s="1">
        <v>6574</v>
      </c>
      <c r="M260" s="1">
        <v>39037</v>
      </c>
      <c r="N260" s="1">
        <v>65103</v>
      </c>
      <c r="O260" s="1">
        <v>2442335</v>
      </c>
      <c r="P260" s="1">
        <v>334001</v>
      </c>
      <c r="Q260" s="1">
        <v>620621</v>
      </c>
      <c r="R260" s="1">
        <v>26145032</v>
      </c>
      <c r="S260" s="1">
        <v>41051</v>
      </c>
      <c r="T260" s="1">
        <v>41051</v>
      </c>
      <c r="U260" s="1">
        <v>41043</v>
      </c>
      <c r="V260" s="1">
        <v>1</v>
      </c>
      <c r="W260" s="1">
        <v>0</v>
      </c>
    </row>
    <row r="261">
      <c r="A261" s="1">
        <v>2017</v>
      </c>
      <c r="B261" s="1">
        <v>41</v>
      </c>
      <c r="C261" t="s">
        <v>3</v>
      </c>
      <c r="D261" s="1">
        <v>51</v>
      </c>
      <c r="E261" t="s">
        <v>6</v>
      </c>
      <c r="F261" s="1">
        <v>41</v>
      </c>
      <c r="G261" t="s">
        <v>3</v>
      </c>
      <c r="H261" s="1">
        <v>47</v>
      </c>
      <c r="I261" t="s">
        <v>99</v>
      </c>
      <c r="J261" s="1">
        <v>849</v>
      </c>
      <c r="K261" s="1">
        <v>1493</v>
      </c>
      <c r="L261" s="1">
        <v>41700</v>
      </c>
      <c r="M261" s="1">
        <v>39037</v>
      </c>
      <c r="N261" s="1">
        <v>65103</v>
      </c>
      <c r="O261" s="1">
        <v>2442335</v>
      </c>
      <c r="P261" s="1">
        <v>334001</v>
      </c>
      <c r="Q261" s="1">
        <v>620621</v>
      </c>
      <c r="R261" s="1">
        <v>26145032</v>
      </c>
      <c r="S261" s="1">
        <v>41051</v>
      </c>
      <c r="T261" s="1">
        <v>41051</v>
      </c>
      <c r="U261" s="1">
        <v>41047</v>
      </c>
      <c r="V261" s="1">
        <v>1</v>
      </c>
      <c r="W261" s="1">
        <v>0</v>
      </c>
    </row>
    <row r="262">
      <c r="A262" s="1">
        <v>2017</v>
      </c>
      <c r="B262" s="1">
        <v>41</v>
      </c>
      <c r="C262" t="s">
        <v>3</v>
      </c>
      <c r="D262" s="1">
        <v>51</v>
      </c>
      <c r="E262" t="s">
        <v>6</v>
      </c>
      <c r="F262" s="1">
        <v>41</v>
      </c>
      <c r="G262" t="s">
        <v>3</v>
      </c>
      <c r="H262" s="1">
        <v>53</v>
      </c>
      <c r="I262" t="s">
        <v>100</v>
      </c>
      <c r="J262" s="1">
        <v>158</v>
      </c>
      <c r="K262" s="1">
        <v>277</v>
      </c>
      <c r="L262" s="1">
        <v>7210</v>
      </c>
      <c r="M262" s="1">
        <v>39037</v>
      </c>
      <c r="N262" s="1">
        <v>65103</v>
      </c>
      <c r="O262" s="1">
        <v>2442335</v>
      </c>
      <c r="P262" s="1">
        <v>334001</v>
      </c>
      <c r="Q262" s="1">
        <v>620621</v>
      </c>
      <c r="R262" s="1">
        <v>26145032</v>
      </c>
      <c r="S262" s="1">
        <v>41051</v>
      </c>
      <c r="T262" s="1">
        <v>41051</v>
      </c>
      <c r="U262" s="1">
        <v>41053</v>
      </c>
      <c r="V262" s="1">
        <v>1</v>
      </c>
      <c r="W262" s="1">
        <v>0</v>
      </c>
    </row>
    <row r="263">
      <c r="A263" s="1">
        <v>2017</v>
      </c>
      <c r="B263" s="1">
        <v>41</v>
      </c>
      <c r="C263" t="s">
        <v>3</v>
      </c>
      <c r="D263" s="1">
        <v>51</v>
      </c>
      <c r="E263" t="s">
        <v>6</v>
      </c>
      <c r="F263" s="1">
        <v>41</v>
      </c>
      <c r="G263" t="s">
        <v>3</v>
      </c>
      <c r="H263" s="1">
        <v>57</v>
      </c>
      <c r="I263" t="s">
        <v>139</v>
      </c>
      <c r="J263" s="1">
        <v>163</v>
      </c>
      <c r="K263" s="1">
        <v>248</v>
      </c>
      <c r="L263" s="1">
        <v>11400</v>
      </c>
      <c r="M263" s="1">
        <v>39037</v>
      </c>
      <c r="N263" s="1">
        <v>65103</v>
      </c>
      <c r="O263" s="1">
        <v>2442335</v>
      </c>
      <c r="P263" s="1">
        <v>334001</v>
      </c>
      <c r="Q263" s="1">
        <v>620621</v>
      </c>
      <c r="R263" s="1">
        <v>26145032</v>
      </c>
      <c r="S263" s="1">
        <v>41051</v>
      </c>
      <c r="T263" s="1">
        <v>41051</v>
      </c>
      <c r="U263" s="1">
        <v>41057</v>
      </c>
      <c r="V263" s="1">
        <v>1</v>
      </c>
      <c r="W263" s="1">
        <v>0</v>
      </c>
    </row>
    <row r="264">
      <c r="A264" s="1">
        <v>2017</v>
      </c>
      <c r="B264" s="1">
        <v>41</v>
      </c>
      <c r="C264" t="s">
        <v>3</v>
      </c>
      <c r="D264" s="1">
        <v>51</v>
      </c>
      <c r="E264" t="s">
        <v>6</v>
      </c>
      <c r="F264" s="1">
        <v>41</v>
      </c>
      <c r="G264" t="s">
        <v>3</v>
      </c>
      <c r="H264" s="1">
        <v>59</v>
      </c>
      <c r="I264" t="s">
        <v>140</v>
      </c>
      <c r="J264" s="1">
        <v>83</v>
      </c>
      <c r="K264" s="1">
        <v>141</v>
      </c>
      <c r="L264" s="1">
        <v>3006</v>
      </c>
      <c r="M264" s="1">
        <v>39037</v>
      </c>
      <c r="N264" s="1">
        <v>65103</v>
      </c>
      <c r="O264" s="1">
        <v>2442335</v>
      </c>
      <c r="P264" s="1">
        <v>334001</v>
      </c>
      <c r="Q264" s="1">
        <v>620621</v>
      </c>
      <c r="R264" s="1">
        <v>26145032</v>
      </c>
      <c r="S264" s="1">
        <v>41051</v>
      </c>
      <c r="T264" s="1">
        <v>41051</v>
      </c>
      <c r="U264" s="1">
        <v>41059</v>
      </c>
      <c r="V264" s="1">
        <v>1</v>
      </c>
      <c r="W264" s="1">
        <v>0</v>
      </c>
    </row>
    <row r="265">
      <c r="A265" s="1">
        <v>2017</v>
      </c>
      <c r="B265" s="1">
        <v>41</v>
      </c>
      <c r="C265" t="s">
        <v>3</v>
      </c>
      <c r="D265" s="1">
        <v>51</v>
      </c>
      <c r="E265" t="s">
        <v>6</v>
      </c>
      <c r="F265" s="1">
        <v>41</v>
      </c>
      <c r="G265" t="s">
        <v>3</v>
      </c>
      <c r="H265" s="1">
        <v>61</v>
      </c>
      <c r="I265" t="s">
        <v>141</v>
      </c>
      <c r="J265" s="1">
        <v>35</v>
      </c>
      <c r="K265" s="1">
        <v>47</v>
      </c>
      <c r="L265" s="1">
        <v>1942</v>
      </c>
      <c r="M265" s="1">
        <v>39037</v>
      </c>
      <c r="N265" s="1">
        <v>65103</v>
      </c>
      <c r="O265" s="1">
        <v>2442335</v>
      </c>
      <c r="P265" s="1">
        <v>334001</v>
      </c>
      <c r="Q265" s="1">
        <v>620621</v>
      </c>
      <c r="R265" s="1">
        <v>26145032</v>
      </c>
      <c r="S265" s="1">
        <v>41051</v>
      </c>
      <c r="T265" s="1">
        <v>41051</v>
      </c>
      <c r="U265" s="1">
        <v>41061</v>
      </c>
      <c r="V265" s="1">
        <v>1</v>
      </c>
      <c r="W265" s="1">
        <v>0</v>
      </c>
    </row>
    <row r="266">
      <c r="A266" s="1">
        <v>2017</v>
      </c>
      <c r="B266" s="1">
        <v>41</v>
      </c>
      <c r="C266" t="s">
        <v>3</v>
      </c>
      <c r="D266" s="1">
        <v>51</v>
      </c>
      <c r="E266" t="s">
        <v>6</v>
      </c>
      <c r="F266" s="1">
        <v>41</v>
      </c>
      <c r="G266" t="s">
        <v>3</v>
      </c>
      <c r="H266" s="1">
        <v>63</v>
      </c>
      <c r="I266" t="s">
        <v>211</v>
      </c>
      <c r="J266" s="1">
        <v>27</v>
      </c>
      <c r="K266" s="1">
        <v>42</v>
      </c>
      <c r="L266" s="1">
        <v>1010</v>
      </c>
      <c r="M266" s="1">
        <v>39037</v>
      </c>
      <c r="N266" s="1">
        <v>65103</v>
      </c>
      <c r="O266" s="1">
        <v>2442335</v>
      </c>
      <c r="P266" s="1">
        <v>334001</v>
      </c>
      <c r="Q266" s="1">
        <v>620621</v>
      </c>
      <c r="R266" s="1">
        <v>26145032</v>
      </c>
      <c r="S266" s="1">
        <v>41051</v>
      </c>
      <c r="T266" s="1">
        <v>41051</v>
      </c>
      <c r="U266" s="1">
        <v>41063</v>
      </c>
      <c r="V266" s="1">
        <v>1</v>
      </c>
      <c r="W266" s="1">
        <v>0</v>
      </c>
    </row>
    <row r="267">
      <c r="A267" s="1">
        <v>2017</v>
      </c>
      <c r="B267" s="1">
        <v>41</v>
      </c>
      <c r="C267" t="s">
        <v>3</v>
      </c>
      <c r="D267" s="1">
        <v>51</v>
      </c>
      <c r="E267" t="s">
        <v>6</v>
      </c>
      <c r="F267" s="1">
        <v>41</v>
      </c>
      <c r="G267" t="s">
        <v>3</v>
      </c>
      <c r="H267" s="1">
        <v>65</v>
      </c>
      <c r="I267" t="s">
        <v>142</v>
      </c>
      <c r="J267" s="1">
        <v>119</v>
      </c>
      <c r="K267" s="1">
        <v>196</v>
      </c>
      <c r="L267" s="1">
        <v>6199</v>
      </c>
      <c r="M267" s="1">
        <v>39037</v>
      </c>
      <c r="N267" s="1">
        <v>65103</v>
      </c>
      <c r="O267" s="1">
        <v>2442335</v>
      </c>
      <c r="P267" s="1">
        <v>334001</v>
      </c>
      <c r="Q267" s="1">
        <v>620621</v>
      </c>
      <c r="R267" s="1">
        <v>26145032</v>
      </c>
      <c r="S267" s="1">
        <v>41051</v>
      </c>
      <c r="T267" s="1">
        <v>41051</v>
      </c>
      <c r="U267" s="1">
        <v>41065</v>
      </c>
      <c r="V267" s="1">
        <v>1</v>
      </c>
      <c r="W267" s="1">
        <v>0</v>
      </c>
    </row>
    <row r="268">
      <c r="A268" s="1">
        <v>2017</v>
      </c>
      <c r="B268" s="1">
        <v>41</v>
      </c>
      <c r="C268" t="s">
        <v>3</v>
      </c>
      <c r="D268" s="1">
        <v>51</v>
      </c>
      <c r="E268" t="s">
        <v>6</v>
      </c>
      <c r="F268" s="1">
        <v>41</v>
      </c>
      <c r="G268" t="s">
        <v>3</v>
      </c>
      <c r="H268" s="1">
        <v>67</v>
      </c>
      <c r="I268" t="s">
        <v>143</v>
      </c>
      <c r="J268" s="1">
        <v>6247</v>
      </c>
      <c r="K268" s="1">
        <v>9957</v>
      </c>
      <c r="L268" s="1">
        <v>418787</v>
      </c>
      <c r="M268" s="1">
        <v>39037</v>
      </c>
      <c r="N268" s="1">
        <v>65103</v>
      </c>
      <c r="O268" s="1">
        <v>2442335</v>
      </c>
      <c r="P268" s="1">
        <v>334001</v>
      </c>
      <c r="Q268" s="1">
        <v>620621</v>
      </c>
      <c r="R268" s="1">
        <v>26145032</v>
      </c>
      <c r="S268" s="1">
        <v>41051</v>
      </c>
      <c r="T268" s="1">
        <v>41051</v>
      </c>
      <c r="U268" s="1">
        <v>41067</v>
      </c>
      <c r="V268" s="1">
        <v>1</v>
      </c>
      <c r="W268" s="1">
        <v>0</v>
      </c>
    </row>
    <row r="269">
      <c r="A269" s="1">
        <v>2017</v>
      </c>
      <c r="B269" s="1">
        <v>41</v>
      </c>
      <c r="C269" t="s">
        <v>3</v>
      </c>
      <c r="D269" s="1">
        <v>51</v>
      </c>
      <c r="E269" t="s">
        <v>6</v>
      </c>
      <c r="F269" s="1">
        <v>41</v>
      </c>
      <c r="G269" t="s">
        <v>3</v>
      </c>
      <c r="H269" s="1">
        <v>71</v>
      </c>
      <c r="I269" t="s">
        <v>144</v>
      </c>
      <c r="J269" s="1">
        <v>343</v>
      </c>
      <c r="K269" s="1">
        <v>572</v>
      </c>
      <c r="L269" s="1">
        <v>21041</v>
      </c>
      <c r="M269" s="1">
        <v>39037</v>
      </c>
      <c r="N269" s="1">
        <v>65103</v>
      </c>
      <c r="O269" s="1">
        <v>2442335</v>
      </c>
      <c r="P269" s="1">
        <v>334001</v>
      </c>
      <c r="Q269" s="1">
        <v>620621</v>
      </c>
      <c r="R269" s="1">
        <v>26145032</v>
      </c>
      <c r="S269" s="1">
        <v>41051</v>
      </c>
      <c r="T269" s="1">
        <v>41051</v>
      </c>
      <c r="U269" s="1">
        <v>41071</v>
      </c>
      <c r="V269" s="1">
        <v>1</v>
      </c>
      <c r="W269" s="1">
        <v>0</v>
      </c>
    </row>
    <row r="270">
      <c r="A270" s="1">
        <v>2017</v>
      </c>
      <c r="B270" s="1">
        <v>41</v>
      </c>
      <c r="C270" t="s">
        <v>3</v>
      </c>
      <c r="D270" s="1">
        <v>51</v>
      </c>
      <c r="E270" t="s">
        <v>6</v>
      </c>
      <c r="F270" s="1">
        <v>42</v>
      </c>
      <c r="G270" t="s">
        <v>34</v>
      </c>
      <c r="H270" s="1">
        <v>3</v>
      </c>
      <c r="I270" t="s">
        <v>145</v>
      </c>
      <c r="J270" s="1">
        <v>61</v>
      </c>
      <c r="K270" s="1">
        <v>88</v>
      </c>
      <c r="L270" s="1">
        <v>5007</v>
      </c>
      <c r="M270" s="1">
        <v>39037</v>
      </c>
      <c r="N270" s="1">
        <v>65103</v>
      </c>
      <c r="O270" s="1">
        <v>2442335</v>
      </c>
      <c r="P270" s="1">
        <v>334001</v>
      </c>
      <c r="Q270" s="1">
        <v>620621</v>
      </c>
      <c r="R270" s="1">
        <v>26145032</v>
      </c>
      <c r="S270" s="1">
        <v>41051</v>
      </c>
      <c r="T270" s="1">
        <v>41051</v>
      </c>
      <c r="U270" s="1">
        <v>42003</v>
      </c>
      <c r="V270" s="1">
        <v>1</v>
      </c>
      <c r="W270" s="1">
        <v>0</v>
      </c>
    </row>
    <row r="271">
      <c r="A271" s="1">
        <v>2017</v>
      </c>
      <c r="B271" s="1">
        <v>41</v>
      </c>
      <c r="C271" t="s">
        <v>3</v>
      </c>
      <c r="D271" s="1">
        <v>51</v>
      </c>
      <c r="E271" t="s">
        <v>6</v>
      </c>
      <c r="F271" s="1">
        <v>42</v>
      </c>
      <c r="G271" t="s">
        <v>34</v>
      </c>
      <c r="H271" s="1">
        <v>101</v>
      </c>
      <c r="I271" t="s">
        <v>146</v>
      </c>
      <c r="J271" s="1">
        <v>94</v>
      </c>
      <c r="K271" s="1">
        <v>113</v>
      </c>
      <c r="L271" s="1">
        <v>4445</v>
      </c>
      <c r="M271" s="1">
        <v>39037</v>
      </c>
      <c r="N271" s="1">
        <v>65103</v>
      </c>
      <c r="O271" s="1">
        <v>2442335</v>
      </c>
      <c r="P271" s="1">
        <v>334001</v>
      </c>
      <c r="Q271" s="1">
        <v>620621</v>
      </c>
      <c r="R271" s="1">
        <v>26145032</v>
      </c>
      <c r="S271" s="1">
        <v>41051</v>
      </c>
      <c r="T271" s="1">
        <v>41051</v>
      </c>
      <c r="U271" s="1">
        <v>42101</v>
      </c>
      <c r="V271" s="1">
        <v>1</v>
      </c>
      <c r="W271" s="1">
        <v>0</v>
      </c>
    </row>
    <row r="272">
      <c r="A272" s="1">
        <v>2017</v>
      </c>
      <c r="B272" s="1">
        <v>41</v>
      </c>
      <c r="C272" t="s">
        <v>3</v>
      </c>
      <c r="D272" s="1">
        <v>51</v>
      </c>
      <c r="E272" t="s">
        <v>6</v>
      </c>
      <c r="F272" s="1">
        <v>44</v>
      </c>
      <c r="G272" t="s">
        <v>48</v>
      </c>
      <c r="H272" s="1">
        <v>7</v>
      </c>
      <c r="I272" t="s">
        <v>212</v>
      </c>
      <c r="J272" s="1">
        <v>37</v>
      </c>
      <c r="K272" s="1">
        <v>53</v>
      </c>
      <c r="L272" s="1">
        <v>2073</v>
      </c>
      <c r="M272" s="1">
        <v>39037</v>
      </c>
      <c r="N272" s="1">
        <v>65103</v>
      </c>
      <c r="O272" s="1">
        <v>2442335</v>
      </c>
      <c r="P272" s="1">
        <v>334001</v>
      </c>
      <c r="Q272" s="1">
        <v>620621</v>
      </c>
      <c r="R272" s="1">
        <v>26145032</v>
      </c>
      <c r="S272" s="1">
        <v>41051</v>
      </c>
      <c r="T272" s="1">
        <v>41051</v>
      </c>
      <c r="U272" s="1">
        <v>44007</v>
      </c>
      <c r="V272" s="1">
        <v>1</v>
      </c>
      <c r="W272" s="1">
        <v>0</v>
      </c>
    </row>
    <row r="273">
      <c r="A273" s="1">
        <v>2017</v>
      </c>
      <c r="B273" s="1">
        <v>41</v>
      </c>
      <c r="C273" t="s">
        <v>3</v>
      </c>
      <c r="D273" s="1">
        <v>51</v>
      </c>
      <c r="E273" t="s">
        <v>6</v>
      </c>
      <c r="F273" s="1">
        <v>45</v>
      </c>
      <c r="G273" t="s">
        <v>49</v>
      </c>
      <c r="H273" s="1">
        <v>19</v>
      </c>
      <c r="I273" t="s">
        <v>213</v>
      </c>
      <c r="J273" s="1">
        <v>24</v>
      </c>
      <c r="K273" s="1">
        <v>30</v>
      </c>
      <c r="L273" s="1">
        <v>1190</v>
      </c>
      <c r="M273" s="1">
        <v>39037</v>
      </c>
      <c r="N273" s="1">
        <v>65103</v>
      </c>
      <c r="O273" s="1">
        <v>2442335</v>
      </c>
      <c r="P273" s="1">
        <v>334001</v>
      </c>
      <c r="Q273" s="1">
        <v>620621</v>
      </c>
      <c r="R273" s="1">
        <v>26145032</v>
      </c>
      <c r="S273" s="1">
        <v>41051</v>
      </c>
      <c r="T273" s="1">
        <v>41051</v>
      </c>
      <c r="U273" s="1">
        <v>45019</v>
      </c>
      <c r="V273" s="1">
        <v>1</v>
      </c>
      <c r="W273" s="1">
        <v>0</v>
      </c>
    </row>
    <row r="274">
      <c r="A274" s="1">
        <v>2017</v>
      </c>
      <c r="B274" s="1">
        <v>41</v>
      </c>
      <c r="C274" t="s">
        <v>3</v>
      </c>
      <c r="D274" s="1">
        <v>51</v>
      </c>
      <c r="E274" t="s">
        <v>6</v>
      </c>
      <c r="F274" s="1">
        <v>45</v>
      </c>
      <c r="G274" t="s">
        <v>49</v>
      </c>
      <c r="H274" s="1">
        <v>83</v>
      </c>
      <c r="I274" t="s">
        <v>214</v>
      </c>
      <c r="J274" s="1">
        <v>22</v>
      </c>
      <c r="K274" s="1">
        <v>64</v>
      </c>
      <c r="L274" s="1">
        <v>732</v>
      </c>
      <c r="M274" s="1">
        <v>39037</v>
      </c>
      <c r="N274" s="1">
        <v>65103</v>
      </c>
      <c r="O274" s="1">
        <v>2442335</v>
      </c>
      <c r="P274" s="1">
        <v>334001</v>
      </c>
      <c r="Q274" s="1">
        <v>620621</v>
      </c>
      <c r="R274" s="1">
        <v>26145032</v>
      </c>
      <c r="S274" s="1">
        <v>41051</v>
      </c>
      <c r="T274" s="1">
        <v>41051</v>
      </c>
      <c r="U274" s="1">
        <v>45083</v>
      </c>
      <c r="V274" s="1">
        <v>1</v>
      </c>
      <c r="W274" s="1">
        <v>0</v>
      </c>
    </row>
    <row r="275">
      <c r="A275" s="1">
        <v>2017</v>
      </c>
      <c r="B275" s="1">
        <v>41</v>
      </c>
      <c r="C275" t="s">
        <v>3</v>
      </c>
      <c r="D275" s="1">
        <v>51</v>
      </c>
      <c r="E275" t="s">
        <v>6</v>
      </c>
      <c r="F275" s="1">
        <v>47</v>
      </c>
      <c r="G275" t="s">
        <v>35</v>
      </c>
      <c r="H275" s="1">
        <v>37</v>
      </c>
      <c r="I275" t="s">
        <v>147</v>
      </c>
      <c r="J275" s="1">
        <v>55</v>
      </c>
      <c r="K275" s="1">
        <v>86</v>
      </c>
      <c r="L275" s="1">
        <v>2780</v>
      </c>
      <c r="M275" s="1">
        <v>39037</v>
      </c>
      <c r="N275" s="1">
        <v>65103</v>
      </c>
      <c r="O275" s="1">
        <v>2442335</v>
      </c>
      <c r="P275" s="1">
        <v>334001</v>
      </c>
      <c r="Q275" s="1">
        <v>620621</v>
      </c>
      <c r="R275" s="1">
        <v>26145032</v>
      </c>
      <c r="S275" s="1">
        <v>41051</v>
      </c>
      <c r="T275" s="1">
        <v>41051</v>
      </c>
      <c r="U275" s="1">
        <v>47037</v>
      </c>
      <c r="V275" s="1">
        <v>1</v>
      </c>
      <c r="W275" s="1">
        <v>0</v>
      </c>
    </row>
    <row r="276">
      <c r="A276" s="1">
        <v>2017</v>
      </c>
      <c r="B276" s="1">
        <v>41</v>
      </c>
      <c r="C276" t="s">
        <v>3</v>
      </c>
      <c r="D276" s="1">
        <v>51</v>
      </c>
      <c r="E276" t="s">
        <v>6</v>
      </c>
      <c r="F276" s="1">
        <v>47</v>
      </c>
      <c r="G276" t="s">
        <v>35</v>
      </c>
      <c r="H276" s="1">
        <v>157</v>
      </c>
      <c r="I276" t="s">
        <v>215</v>
      </c>
      <c r="J276" s="1">
        <v>22</v>
      </c>
      <c r="K276" s="1">
        <v>30</v>
      </c>
      <c r="L276" s="1">
        <v>1030</v>
      </c>
      <c r="M276" s="1">
        <v>39037</v>
      </c>
      <c r="N276" s="1">
        <v>65103</v>
      </c>
      <c r="O276" s="1">
        <v>2442335</v>
      </c>
      <c r="P276" s="1">
        <v>334001</v>
      </c>
      <c r="Q276" s="1">
        <v>620621</v>
      </c>
      <c r="R276" s="1">
        <v>26145032</v>
      </c>
      <c r="S276" s="1">
        <v>41051</v>
      </c>
      <c r="T276" s="1">
        <v>41051</v>
      </c>
      <c r="U276" s="1">
        <v>47157</v>
      </c>
      <c r="V276" s="1">
        <v>1</v>
      </c>
      <c r="W276" s="1">
        <v>0</v>
      </c>
    </row>
    <row r="277">
      <c r="A277" s="1">
        <v>2017</v>
      </c>
      <c r="B277" s="1">
        <v>41</v>
      </c>
      <c r="C277" t="s">
        <v>3</v>
      </c>
      <c r="D277" s="1">
        <v>51</v>
      </c>
      <c r="E277" t="s">
        <v>6</v>
      </c>
      <c r="F277" s="1">
        <v>48</v>
      </c>
      <c r="G277" t="s">
        <v>36</v>
      </c>
      <c r="H277" s="1">
        <v>29</v>
      </c>
      <c r="I277" t="s">
        <v>149</v>
      </c>
      <c r="J277" s="1">
        <v>43</v>
      </c>
      <c r="K277" s="1">
        <v>66</v>
      </c>
      <c r="L277" s="1">
        <v>1778</v>
      </c>
      <c r="M277" s="1">
        <v>39037</v>
      </c>
      <c r="N277" s="1">
        <v>65103</v>
      </c>
      <c r="O277" s="1">
        <v>2442335</v>
      </c>
      <c r="P277" s="1">
        <v>334001</v>
      </c>
      <c r="Q277" s="1">
        <v>620621</v>
      </c>
      <c r="R277" s="1">
        <v>26145032</v>
      </c>
      <c r="S277" s="1">
        <v>41051</v>
      </c>
      <c r="T277" s="1">
        <v>41051</v>
      </c>
      <c r="U277" s="1">
        <v>48029</v>
      </c>
      <c r="V277" s="1">
        <v>1</v>
      </c>
      <c r="W277" s="1">
        <v>0</v>
      </c>
    </row>
    <row r="278">
      <c r="A278" s="1">
        <v>2017</v>
      </c>
      <c r="B278" s="1">
        <v>41</v>
      </c>
      <c r="C278" t="s">
        <v>3</v>
      </c>
      <c r="D278" s="1">
        <v>51</v>
      </c>
      <c r="E278" t="s">
        <v>6</v>
      </c>
      <c r="F278" s="1">
        <v>48</v>
      </c>
      <c r="G278" t="s">
        <v>36</v>
      </c>
      <c r="H278" s="1">
        <v>85</v>
      </c>
      <c r="I278" t="s">
        <v>216</v>
      </c>
      <c r="J278" s="1">
        <v>26</v>
      </c>
      <c r="K278" s="1">
        <v>49</v>
      </c>
      <c r="L278" s="1">
        <v>2937</v>
      </c>
      <c r="M278" s="1">
        <v>39037</v>
      </c>
      <c r="N278" s="1">
        <v>65103</v>
      </c>
      <c r="O278" s="1">
        <v>2442335</v>
      </c>
      <c r="P278" s="1">
        <v>334001</v>
      </c>
      <c r="Q278" s="1">
        <v>620621</v>
      </c>
      <c r="R278" s="1">
        <v>26145032</v>
      </c>
      <c r="S278" s="1">
        <v>41051</v>
      </c>
      <c r="T278" s="1">
        <v>41051</v>
      </c>
      <c r="U278" s="1">
        <v>48085</v>
      </c>
      <c r="V278" s="1">
        <v>1</v>
      </c>
      <c r="W278" s="1">
        <v>0</v>
      </c>
    </row>
    <row r="279">
      <c r="A279" s="1">
        <v>2017</v>
      </c>
      <c r="B279" s="1">
        <v>41</v>
      </c>
      <c r="C279" t="s">
        <v>3</v>
      </c>
      <c r="D279" s="1">
        <v>51</v>
      </c>
      <c r="E279" t="s">
        <v>6</v>
      </c>
      <c r="F279" s="1">
        <v>48</v>
      </c>
      <c r="G279" t="s">
        <v>36</v>
      </c>
      <c r="H279" s="1">
        <v>113</v>
      </c>
      <c r="I279" t="s">
        <v>150</v>
      </c>
      <c r="J279" s="1">
        <v>77</v>
      </c>
      <c r="K279" s="1">
        <v>98</v>
      </c>
      <c r="L279" s="1">
        <v>4977</v>
      </c>
      <c r="M279" s="1">
        <v>39037</v>
      </c>
      <c r="N279" s="1">
        <v>65103</v>
      </c>
      <c r="O279" s="1">
        <v>2442335</v>
      </c>
      <c r="P279" s="1">
        <v>334001</v>
      </c>
      <c r="Q279" s="1">
        <v>620621</v>
      </c>
      <c r="R279" s="1">
        <v>26145032</v>
      </c>
      <c r="S279" s="1">
        <v>41051</v>
      </c>
      <c r="T279" s="1">
        <v>41051</v>
      </c>
      <c r="U279" s="1">
        <v>48113</v>
      </c>
      <c r="V279" s="1">
        <v>1</v>
      </c>
      <c r="W279" s="1">
        <v>0</v>
      </c>
    </row>
    <row r="280">
      <c r="A280" s="1">
        <v>2017</v>
      </c>
      <c r="B280" s="1">
        <v>41</v>
      </c>
      <c r="C280" t="s">
        <v>3</v>
      </c>
      <c r="D280" s="1">
        <v>51</v>
      </c>
      <c r="E280" t="s">
        <v>6</v>
      </c>
      <c r="F280" s="1">
        <v>48</v>
      </c>
      <c r="G280" t="s">
        <v>36</v>
      </c>
      <c r="H280" s="1">
        <v>201</v>
      </c>
      <c r="I280" t="s">
        <v>151</v>
      </c>
      <c r="J280" s="1">
        <v>81</v>
      </c>
      <c r="K280" s="1">
        <v>156</v>
      </c>
      <c r="L280" s="1">
        <v>4661</v>
      </c>
      <c r="M280" s="1">
        <v>39037</v>
      </c>
      <c r="N280" s="1">
        <v>65103</v>
      </c>
      <c r="O280" s="1">
        <v>2442335</v>
      </c>
      <c r="P280" s="1">
        <v>334001</v>
      </c>
      <c r="Q280" s="1">
        <v>620621</v>
      </c>
      <c r="R280" s="1">
        <v>26145032</v>
      </c>
      <c r="S280" s="1">
        <v>41051</v>
      </c>
      <c r="T280" s="1">
        <v>41051</v>
      </c>
      <c r="U280" s="1">
        <v>48201</v>
      </c>
      <c r="V280" s="1">
        <v>1</v>
      </c>
      <c r="W280" s="1">
        <v>0</v>
      </c>
    </row>
    <row r="281">
      <c r="A281" s="1">
        <v>2017</v>
      </c>
      <c r="B281" s="1">
        <v>41</v>
      </c>
      <c r="C281" t="s">
        <v>3</v>
      </c>
      <c r="D281" s="1">
        <v>51</v>
      </c>
      <c r="E281" t="s">
        <v>6</v>
      </c>
      <c r="F281" s="1">
        <v>48</v>
      </c>
      <c r="G281" t="s">
        <v>36</v>
      </c>
      <c r="H281" s="1">
        <v>439</v>
      </c>
      <c r="I281" t="s">
        <v>152</v>
      </c>
      <c r="J281" s="1">
        <v>50</v>
      </c>
      <c r="K281" s="1">
        <v>91</v>
      </c>
      <c r="L281" s="1">
        <v>2315</v>
      </c>
      <c r="M281" s="1">
        <v>39037</v>
      </c>
      <c r="N281" s="1">
        <v>65103</v>
      </c>
      <c r="O281" s="1">
        <v>2442335</v>
      </c>
      <c r="P281" s="1">
        <v>334001</v>
      </c>
      <c r="Q281" s="1">
        <v>620621</v>
      </c>
      <c r="R281" s="1">
        <v>26145032</v>
      </c>
      <c r="S281" s="1">
        <v>41051</v>
      </c>
      <c r="T281" s="1">
        <v>41051</v>
      </c>
      <c r="U281" s="1">
        <v>48439</v>
      </c>
      <c r="V281" s="1">
        <v>1</v>
      </c>
      <c r="W281" s="1">
        <v>0</v>
      </c>
    </row>
    <row r="282">
      <c r="A282" s="1">
        <v>2017</v>
      </c>
      <c r="B282" s="1">
        <v>41</v>
      </c>
      <c r="C282" t="s">
        <v>3</v>
      </c>
      <c r="D282" s="1">
        <v>51</v>
      </c>
      <c r="E282" t="s">
        <v>6</v>
      </c>
      <c r="F282" s="1">
        <v>48</v>
      </c>
      <c r="G282" t="s">
        <v>36</v>
      </c>
      <c r="H282" s="1">
        <v>453</v>
      </c>
      <c r="I282" t="s">
        <v>153</v>
      </c>
      <c r="J282" s="1">
        <v>166</v>
      </c>
      <c r="K282" s="1">
        <v>241</v>
      </c>
      <c r="L282" s="1">
        <v>11894</v>
      </c>
      <c r="M282" s="1">
        <v>39037</v>
      </c>
      <c r="N282" s="1">
        <v>65103</v>
      </c>
      <c r="O282" s="1">
        <v>2442335</v>
      </c>
      <c r="P282" s="1">
        <v>334001</v>
      </c>
      <c r="Q282" s="1">
        <v>620621</v>
      </c>
      <c r="R282" s="1">
        <v>26145032</v>
      </c>
      <c r="S282" s="1">
        <v>41051</v>
      </c>
      <c r="T282" s="1">
        <v>41051</v>
      </c>
      <c r="U282" s="1">
        <v>48453</v>
      </c>
      <c r="V282" s="1">
        <v>1</v>
      </c>
      <c r="W282" s="1">
        <v>0</v>
      </c>
    </row>
    <row r="283">
      <c r="A283" s="1">
        <v>2017</v>
      </c>
      <c r="B283" s="1">
        <v>41</v>
      </c>
      <c r="C283" t="s">
        <v>3</v>
      </c>
      <c r="D283" s="1">
        <v>51</v>
      </c>
      <c r="E283" t="s">
        <v>6</v>
      </c>
      <c r="F283" s="1">
        <v>48</v>
      </c>
      <c r="G283" t="s">
        <v>36</v>
      </c>
      <c r="H283" s="1">
        <v>491</v>
      </c>
      <c r="I283" t="s">
        <v>217</v>
      </c>
      <c r="J283" s="1">
        <v>35</v>
      </c>
      <c r="K283" s="1">
        <v>59</v>
      </c>
      <c r="L283" s="1">
        <v>3078</v>
      </c>
      <c r="M283" s="1">
        <v>39037</v>
      </c>
      <c r="N283" s="1">
        <v>65103</v>
      </c>
      <c r="O283" s="1">
        <v>2442335</v>
      </c>
      <c r="P283" s="1">
        <v>334001</v>
      </c>
      <c r="Q283" s="1">
        <v>620621</v>
      </c>
      <c r="R283" s="1">
        <v>26145032</v>
      </c>
      <c r="S283" s="1">
        <v>41051</v>
      </c>
      <c r="T283" s="1">
        <v>41051</v>
      </c>
      <c r="U283" s="1">
        <v>48491</v>
      </c>
      <c r="V283" s="1">
        <v>1</v>
      </c>
      <c r="W283" s="1">
        <v>0</v>
      </c>
    </row>
    <row r="284">
      <c r="A284" s="1">
        <v>2017</v>
      </c>
      <c r="B284" s="1">
        <v>41</v>
      </c>
      <c r="C284" t="s">
        <v>3</v>
      </c>
      <c r="D284" s="1">
        <v>51</v>
      </c>
      <c r="E284" t="s">
        <v>6</v>
      </c>
      <c r="F284" s="1">
        <v>49</v>
      </c>
      <c r="G284" t="s">
        <v>37</v>
      </c>
      <c r="H284" s="1">
        <v>11</v>
      </c>
      <c r="I284" t="s">
        <v>218</v>
      </c>
      <c r="J284" s="1">
        <v>20</v>
      </c>
      <c r="K284" s="1">
        <v>34</v>
      </c>
      <c r="L284" s="1">
        <v>690</v>
      </c>
      <c r="M284" s="1">
        <v>39037</v>
      </c>
      <c r="N284" s="1">
        <v>65103</v>
      </c>
      <c r="O284" s="1">
        <v>2442335</v>
      </c>
      <c r="P284" s="1">
        <v>334001</v>
      </c>
      <c r="Q284" s="1">
        <v>620621</v>
      </c>
      <c r="R284" s="1">
        <v>26145032</v>
      </c>
      <c r="S284" s="1">
        <v>41051</v>
      </c>
      <c r="T284" s="1">
        <v>41051</v>
      </c>
      <c r="U284" s="1">
        <v>49011</v>
      </c>
      <c r="V284" s="1">
        <v>1</v>
      </c>
      <c r="W284" s="1">
        <v>0</v>
      </c>
    </row>
    <row r="285">
      <c r="A285" s="1">
        <v>2017</v>
      </c>
      <c r="B285" s="1">
        <v>41</v>
      </c>
      <c r="C285" t="s">
        <v>3</v>
      </c>
      <c r="D285" s="1">
        <v>51</v>
      </c>
      <c r="E285" t="s">
        <v>6</v>
      </c>
      <c r="F285" s="1">
        <v>49</v>
      </c>
      <c r="G285" t="s">
        <v>37</v>
      </c>
      <c r="H285" s="1">
        <v>35</v>
      </c>
      <c r="I285" t="s">
        <v>154</v>
      </c>
      <c r="J285" s="1">
        <v>149</v>
      </c>
      <c r="K285" s="1">
        <v>226</v>
      </c>
      <c r="L285" s="1">
        <v>8312</v>
      </c>
      <c r="M285" s="1">
        <v>39037</v>
      </c>
      <c r="N285" s="1">
        <v>65103</v>
      </c>
      <c r="O285" s="1">
        <v>2442335</v>
      </c>
      <c r="P285" s="1">
        <v>334001</v>
      </c>
      <c r="Q285" s="1">
        <v>620621</v>
      </c>
      <c r="R285" s="1">
        <v>26145032</v>
      </c>
      <c r="S285" s="1">
        <v>41051</v>
      </c>
      <c r="T285" s="1">
        <v>41051</v>
      </c>
      <c r="U285" s="1">
        <v>49035</v>
      </c>
      <c r="V285" s="1">
        <v>1</v>
      </c>
      <c r="W285" s="1">
        <v>0</v>
      </c>
    </row>
    <row r="286">
      <c r="A286" s="1">
        <v>2017</v>
      </c>
      <c r="B286" s="1">
        <v>41</v>
      </c>
      <c r="C286" t="s">
        <v>3</v>
      </c>
      <c r="D286" s="1">
        <v>51</v>
      </c>
      <c r="E286" t="s">
        <v>6</v>
      </c>
      <c r="F286" s="1">
        <v>49</v>
      </c>
      <c r="G286" t="s">
        <v>37</v>
      </c>
      <c r="H286" s="1">
        <v>49</v>
      </c>
      <c r="I286" t="s">
        <v>219</v>
      </c>
      <c r="J286" s="1">
        <v>22</v>
      </c>
      <c r="K286" s="1">
        <v>49</v>
      </c>
      <c r="L286" s="1">
        <v>1131</v>
      </c>
      <c r="M286" s="1">
        <v>39037</v>
      </c>
      <c r="N286" s="1">
        <v>65103</v>
      </c>
      <c r="O286" s="1">
        <v>2442335</v>
      </c>
      <c r="P286" s="1">
        <v>334001</v>
      </c>
      <c r="Q286" s="1">
        <v>620621</v>
      </c>
      <c r="R286" s="1">
        <v>26145032</v>
      </c>
      <c r="S286" s="1">
        <v>41051</v>
      </c>
      <c r="T286" s="1">
        <v>41051</v>
      </c>
      <c r="U286" s="1">
        <v>49049</v>
      </c>
      <c r="V286" s="1">
        <v>1</v>
      </c>
      <c r="W286" s="1">
        <v>0</v>
      </c>
    </row>
    <row r="287">
      <c r="A287" s="1">
        <v>2017</v>
      </c>
      <c r="B287" s="1">
        <v>41</v>
      </c>
      <c r="C287" t="s">
        <v>3</v>
      </c>
      <c r="D287" s="1">
        <v>51</v>
      </c>
      <c r="E287" t="s">
        <v>6</v>
      </c>
      <c r="F287" s="1">
        <v>49</v>
      </c>
      <c r="G287" t="s">
        <v>37</v>
      </c>
      <c r="H287" s="1">
        <v>57</v>
      </c>
      <c r="I287" t="s">
        <v>220</v>
      </c>
      <c r="J287" s="1">
        <v>23</v>
      </c>
      <c r="K287" s="1">
        <v>45</v>
      </c>
      <c r="L287" s="1">
        <v>727</v>
      </c>
      <c r="M287" s="1">
        <v>39037</v>
      </c>
      <c r="N287" s="1">
        <v>65103</v>
      </c>
      <c r="O287" s="1">
        <v>2442335</v>
      </c>
      <c r="P287" s="1">
        <v>334001</v>
      </c>
      <c r="Q287" s="1">
        <v>620621</v>
      </c>
      <c r="R287" s="1">
        <v>26145032</v>
      </c>
      <c r="S287" s="1">
        <v>41051</v>
      </c>
      <c r="T287" s="1">
        <v>41051</v>
      </c>
      <c r="U287" s="1">
        <v>49057</v>
      </c>
      <c r="V287" s="1">
        <v>1</v>
      </c>
      <c r="W287" s="1">
        <v>0</v>
      </c>
    </row>
    <row r="288">
      <c r="A288" s="1">
        <v>2017</v>
      </c>
      <c r="B288" s="1">
        <v>41</v>
      </c>
      <c r="C288" t="s">
        <v>3</v>
      </c>
      <c r="D288" s="1">
        <v>51</v>
      </c>
      <c r="E288" t="s">
        <v>6</v>
      </c>
      <c r="F288" s="1">
        <v>50</v>
      </c>
      <c r="G288" t="s">
        <v>38</v>
      </c>
      <c r="H288" s="1">
        <v>7</v>
      </c>
      <c r="I288" t="s">
        <v>155</v>
      </c>
      <c r="J288" s="1">
        <v>27</v>
      </c>
      <c r="K288" s="1">
        <v>48</v>
      </c>
      <c r="L288" s="1">
        <v>1414</v>
      </c>
      <c r="M288" s="1">
        <v>39037</v>
      </c>
      <c r="N288" s="1">
        <v>65103</v>
      </c>
      <c r="O288" s="1">
        <v>2442335</v>
      </c>
      <c r="P288" s="1">
        <v>334001</v>
      </c>
      <c r="Q288" s="1">
        <v>620621</v>
      </c>
      <c r="R288" s="1">
        <v>26145032</v>
      </c>
      <c r="S288" s="1">
        <v>41051</v>
      </c>
      <c r="T288" s="1">
        <v>41051</v>
      </c>
      <c r="U288" s="1">
        <v>50007</v>
      </c>
      <c r="V288" s="1">
        <v>1</v>
      </c>
      <c r="W288" s="1">
        <v>0</v>
      </c>
    </row>
    <row r="289">
      <c r="A289" s="1">
        <v>2017</v>
      </c>
      <c r="B289" s="1">
        <v>41</v>
      </c>
      <c r="C289" t="s">
        <v>3</v>
      </c>
      <c r="D289" s="1">
        <v>51</v>
      </c>
      <c r="E289" t="s">
        <v>6</v>
      </c>
      <c r="F289" s="1">
        <v>51</v>
      </c>
      <c r="G289" t="s">
        <v>39</v>
      </c>
      <c r="H289" s="1">
        <v>13</v>
      </c>
      <c r="I289" t="s">
        <v>221</v>
      </c>
      <c r="J289" s="1">
        <v>26</v>
      </c>
      <c r="K289" s="1">
        <v>32</v>
      </c>
      <c r="L289" s="1">
        <v>2204</v>
      </c>
      <c r="M289" s="1">
        <v>39037</v>
      </c>
      <c r="N289" s="1">
        <v>65103</v>
      </c>
      <c r="O289" s="1">
        <v>2442335</v>
      </c>
      <c r="P289" s="1">
        <v>334001</v>
      </c>
      <c r="Q289" s="1">
        <v>620621</v>
      </c>
      <c r="R289" s="1">
        <v>26145032</v>
      </c>
      <c r="S289" s="1">
        <v>41051</v>
      </c>
      <c r="T289" s="1">
        <v>41051</v>
      </c>
      <c r="U289" s="1">
        <v>51013</v>
      </c>
      <c r="V289" s="1">
        <v>1</v>
      </c>
      <c r="W289" s="1">
        <v>0</v>
      </c>
    </row>
    <row r="290">
      <c r="A290" s="1">
        <v>2017</v>
      </c>
      <c r="B290" s="1">
        <v>41</v>
      </c>
      <c r="C290" t="s">
        <v>3</v>
      </c>
      <c r="D290" s="1">
        <v>51</v>
      </c>
      <c r="E290" t="s">
        <v>6</v>
      </c>
      <c r="F290" s="1">
        <v>51</v>
      </c>
      <c r="G290" t="s">
        <v>39</v>
      </c>
      <c r="H290" s="1">
        <v>59</v>
      </c>
      <c r="I290" t="s">
        <v>156</v>
      </c>
      <c r="J290" s="1">
        <v>29</v>
      </c>
      <c r="K290" s="1">
        <v>52</v>
      </c>
      <c r="L290" s="1">
        <v>2098</v>
      </c>
      <c r="M290" s="1">
        <v>39037</v>
      </c>
      <c r="N290" s="1">
        <v>65103</v>
      </c>
      <c r="O290" s="1">
        <v>2442335</v>
      </c>
      <c r="P290" s="1">
        <v>334001</v>
      </c>
      <c r="Q290" s="1">
        <v>620621</v>
      </c>
      <c r="R290" s="1">
        <v>26145032</v>
      </c>
      <c r="S290" s="1">
        <v>41051</v>
      </c>
      <c r="T290" s="1">
        <v>41051</v>
      </c>
      <c r="U290" s="1">
        <v>51059</v>
      </c>
      <c r="V290" s="1">
        <v>1</v>
      </c>
      <c r="W290" s="1">
        <v>0</v>
      </c>
    </row>
    <row r="291">
      <c r="A291" s="1">
        <v>2017</v>
      </c>
      <c r="B291" s="1">
        <v>41</v>
      </c>
      <c r="C291" t="s">
        <v>3</v>
      </c>
      <c r="D291" s="1">
        <v>51</v>
      </c>
      <c r="E291" t="s">
        <v>6</v>
      </c>
      <c r="F291" s="1">
        <v>53</v>
      </c>
      <c r="G291" t="s">
        <v>40</v>
      </c>
      <c r="H291" s="1">
        <v>5</v>
      </c>
      <c r="I291" t="s">
        <v>124</v>
      </c>
      <c r="J291" s="1">
        <v>82</v>
      </c>
      <c r="K291" s="1">
        <v>153</v>
      </c>
      <c r="L291" s="1">
        <v>4964</v>
      </c>
      <c r="M291" s="1">
        <v>39037</v>
      </c>
      <c r="N291" s="1">
        <v>65103</v>
      </c>
      <c r="O291" s="1">
        <v>2442335</v>
      </c>
      <c r="P291" s="1">
        <v>334001</v>
      </c>
      <c r="Q291" s="1">
        <v>620621</v>
      </c>
      <c r="R291" s="1">
        <v>26145032</v>
      </c>
      <c r="S291" s="1">
        <v>41051</v>
      </c>
      <c r="T291" s="1">
        <v>41051</v>
      </c>
      <c r="U291" s="1">
        <v>53005</v>
      </c>
      <c r="V291" s="1">
        <v>1</v>
      </c>
      <c r="W291" s="1">
        <v>0</v>
      </c>
    </row>
    <row r="292">
      <c r="A292" s="1">
        <v>2017</v>
      </c>
      <c r="B292" s="1">
        <v>41</v>
      </c>
      <c r="C292" t="s">
        <v>3</v>
      </c>
      <c r="D292" s="1">
        <v>51</v>
      </c>
      <c r="E292" t="s">
        <v>6</v>
      </c>
      <c r="F292" s="1">
        <v>53</v>
      </c>
      <c r="G292" t="s">
        <v>40</v>
      </c>
      <c r="H292" s="1">
        <v>9</v>
      </c>
      <c r="I292" t="s">
        <v>222</v>
      </c>
      <c r="J292" s="1">
        <v>25</v>
      </c>
      <c r="K292" s="1">
        <v>41</v>
      </c>
      <c r="L292" s="1">
        <v>1414</v>
      </c>
      <c r="M292" s="1">
        <v>39037</v>
      </c>
      <c r="N292" s="1">
        <v>65103</v>
      </c>
      <c r="O292" s="1">
        <v>2442335</v>
      </c>
      <c r="P292" s="1">
        <v>334001</v>
      </c>
      <c r="Q292" s="1">
        <v>620621</v>
      </c>
      <c r="R292" s="1">
        <v>26145032</v>
      </c>
      <c r="S292" s="1">
        <v>41051</v>
      </c>
      <c r="T292" s="1">
        <v>41051</v>
      </c>
      <c r="U292" s="1">
        <v>53009</v>
      </c>
      <c r="V292" s="1">
        <v>1</v>
      </c>
      <c r="W292" s="1">
        <v>0</v>
      </c>
    </row>
    <row r="293">
      <c r="A293" s="1">
        <v>2017</v>
      </c>
      <c r="B293" s="1">
        <v>41</v>
      </c>
      <c r="C293" t="s">
        <v>3</v>
      </c>
      <c r="D293" s="1">
        <v>51</v>
      </c>
      <c r="E293" t="s">
        <v>6</v>
      </c>
      <c r="F293" s="1">
        <v>53</v>
      </c>
      <c r="G293" t="s">
        <v>40</v>
      </c>
      <c r="H293" s="1">
        <v>11</v>
      </c>
      <c r="I293" t="s">
        <v>112</v>
      </c>
      <c r="J293" s="1">
        <v>3746</v>
      </c>
      <c r="K293" s="1">
        <v>7324</v>
      </c>
      <c r="L293" s="1">
        <v>237491</v>
      </c>
      <c r="M293" s="1">
        <v>39037</v>
      </c>
      <c r="N293" s="1">
        <v>65103</v>
      </c>
      <c r="O293" s="1">
        <v>2442335</v>
      </c>
      <c r="P293" s="1">
        <v>334001</v>
      </c>
      <c r="Q293" s="1">
        <v>620621</v>
      </c>
      <c r="R293" s="1">
        <v>26145032</v>
      </c>
      <c r="S293" s="1">
        <v>41051</v>
      </c>
      <c r="T293" s="1">
        <v>41051</v>
      </c>
      <c r="U293" s="1">
        <v>53011</v>
      </c>
      <c r="V293" s="1">
        <v>1</v>
      </c>
      <c r="W293" s="1">
        <v>0</v>
      </c>
    </row>
    <row r="294">
      <c r="A294" s="1">
        <v>2017</v>
      </c>
      <c r="B294" s="1">
        <v>41</v>
      </c>
      <c r="C294" t="s">
        <v>3</v>
      </c>
      <c r="D294" s="1">
        <v>51</v>
      </c>
      <c r="E294" t="s">
        <v>6</v>
      </c>
      <c r="F294" s="1">
        <v>53</v>
      </c>
      <c r="G294" t="s">
        <v>40</v>
      </c>
      <c r="H294" s="1">
        <v>15</v>
      </c>
      <c r="I294" t="s">
        <v>157</v>
      </c>
      <c r="J294" s="1">
        <v>221</v>
      </c>
      <c r="K294" s="1">
        <v>444</v>
      </c>
      <c r="L294" s="1">
        <v>10047</v>
      </c>
      <c r="M294" s="1">
        <v>39037</v>
      </c>
      <c r="N294" s="1">
        <v>65103</v>
      </c>
      <c r="O294" s="1">
        <v>2442335</v>
      </c>
      <c r="P294" s="1">
        <v>334001</v>
      </c>
      <c r="Q294" s="1">
        <v>620621</v>
      </c>
      <c r="R294" s="1">
        <v>26145032</v>
      </c>
      <c r="S294" s="1">
        <v>41051</v>
      </c>
      <c r="T294" s="1">
        <v>41051</v>
      </c>
      <c r="U294" s="1">
        <v>53015</v>
      </c>
      <c r="V294" s="1">
        <v>1</v>
      </c>
      <c r="W294" s="1">
        <v>0</v>
      </c>
    </row>
    <row r="295">
      <c r="A295" s="1">
        <v>2017</v>
      </c>
      <c r="B295" s="1">
        <v>41</v>
      </c>
      <c r="C295" t="s">
        <v>3</v>
      </c>
      <c r="D295" s="1">
        <v>51</v>
      </c>
      <c r="E295" t="s">
        <v>6</v>
      </c>
      <c r="F295" s="1">
        <v>53</v>
      </c>
      <c r="G295" t="s">
        <v>40</v>
      </c>
      <c r="H295" s="1">
        <v>21</v>
      </c>
      <c r="I295" t="s">
        <v>122</v>
      </c>
      <c r="J295" s="1">
        <v>20</v>
      </c>
      <c r="K295" s="1">
        <v>35</v>
      </c>
      <c r="L295" s="1">
        <v>758</v>
      </c>
      <c r="M295" s="1">
        <v>39037</v>
      </c>
      <c r="N295" s="1">
        <v>65103</v>
      </c>
      <c r="O295" s="1">
        <v>2442335</v>
      </c>
      <c r="P295" s="1">
        <v>334001</v>
      </c>
      <c r="Q295" s="1">
        <v>620621</v>
      </c>
      <c r="R295" s="1">
        <v>26145032</v>
      </c>
      <c r="S295" s="1">
        <v>41051</v>
      </c>
      <c r="T295" s="1">
        <v>41051</v>
      </c>
      <c r="U295" s="1">
        <v>53021</v>
      </c>
      <c r="V295" s="1">
        <v>1</v>
      </c>
      <c r="W295" s="1">
        <v>0</v>
      </c>
    </row>
    <row r="296">
      <c r="A296" s="1">
        <v>2017</v>
      </c>
      <c r="B296" s="1">
        <v>41</v>
      </c>
      <c r="C296" t="s">
        <v>3</v>
      </c>
      <c r="D296" s="1">
        <v>51</v>
      </c>
      <c r="E296" t="s">
        <v>6</v>
      </c>
      <c r="F296" s="1">
        <v>53</v>
      </c>
      <c r="G296" t="s">
        <v>40</v>
      </c>
      <c r="H296" s="1">
        <v>27</v>
      </c>
      <c r="I296" t="s">
        <v>158</v>
      </c>
      <c r="J296" s="1">
        <v>33</v>
      </c>
      <c r="K296" s="1">
        <v>56</v>
      </c>
      <c r="L296" s="1">
        <v>1634</v>
      </c>
      <c r="M296" s="1">
        <v>39037</v>
      </c>
      <c r="N296" s="1">
        <v>65103</v>
      </c>
      <c r="O296" s="1">
        <v>2442335</v>
      </c>
      <c r="P296" s="1">
        <v>334001</v>
      </c>
      <c r="Q296" s="1">
        <v>620621</v>
      </c>
      <c r="R296" s="1">
        <v>26145032</v>
      </c>
      <c r="S296" s="1">
        <v>41051</v>
      </c>
      <c r="T296" s="1">
        <v>41051</v>
      </c>
      <c r="U296" s="1">
        <v>53027</v>
      </c>
      <c r="V296" s="1">
        <v>1</v>
      </c>
      <c r="W296" s="1">
        <v>0</v>
      </c>
    </row>
    <row r="297">
      <c r="A297" s="1">
        <v>2017</v>
      </c>
      <c r="B297" s="1">
        <v>41</v>
      </c>
      <c r="C297" t="s">
        <v>3</v>
      </c>
      <c r="D297" s="1">
        <v>51</v>
      </c>
      <c r="E297" t="s">
        <v>6</v>
      </c>
      <c r="F297" s="1">
        <v>53</v>
      </c>
      <c r="G297" t="s">
        <v>40</v>
      </c>
      <c r="H297" s="1">
        <v>29</v>
      </c>
      <c r="I297" t="s">
        <v>159</v>
      </c>
      <c r="J297" s="1">
        <v>31</v>
      </c>
      <c r="K297" s="1">
        <v>52</v>
      </c>
      <c r="L297" s="1">
        <v>1120</v>
      </c>
      <c r="M297" s="1">
        <v>39037</v>
      </c>
      <c r="N297" s="1">
        <v>65103</v>
      </c>
      <c r="O297" s="1">
        <v>2442335</v>
      </c>
      <c r="P297" s="1">
        <v>334001</v>
      </c>
      <c r="Q297" s="1">
        <v>620621</v>
      </c>
      <c r="R297" s="1">
        <v>26145032</v>
      </c>
      <c r="S297" s="1">
        <v>41051</v>
      </c>
      <c r="T297" s="1">
        <v>41051</v>
      </c>
      <c r="U297" s="1">
        <v>53029</v>
      </c>
      <c r="V297" s="1">
        <v>1</v>
      </c>
      <c r="W297" s="1">
        <v>0</v>
      </c>
    </row>
    <row r="298">
      <c r="A298" s="1">
        <v>2017</v>
      </c>
      <c r="B298" s="1">
        <v>41</v>
      </c>
      <c r="C298" t="s">
        <v>3</v>
      </c>
      <c r="D298" s="1">
        <v>51</v>
      </c>
      <c r="E298" t="s">
        <v>6</v>
      </c>
      <c r="F298" s="1">
        <v>53</v>
      </c>
      <c r="G298" t="s">
        <v>40</v>
      </c>
      <c r="H298" s="1">
        <v>31</v>
      </c>
      <c r="I298" t="s">
        <v>83</v>
      </c>
      <c r="J298" s="1">
        <v>44</v>
      </c>
      <c r="K298" s="1">
        <v>67</v>
      </c>
      <c r="L298" s="1">
        <v>2925</v>
      </c>
      <c r="M298" s="1">
        <v>39037</v>
      </c>
      <c r="N298" s="1">
        <v>65103</v>
      </c>
      <c r="O298" s="1">
        <v>2442335</v>
      </c>
      <c r="P298" s="1">
        <v>334001</v>
      </c>
      <c r="Q298" s="1">
        <v>620621</v>
      </c>
      <c r="R298" s="1">
        <v>26145032</v>
      </c>
      <c r="S298" s="1">
        <v>41051</v>
      </c>
      <c r="T298" s="1">
        <v>41051</v>
      </c>
      <c r="U298" s="1">
        <v>53031</v>
      </c>
      <c r="V298" s="1">
        <v>1</v>
      </c>
      <c r="W298" s="1">
        <v>0</v>
      </c>
    </row>
    <row r="299">
      <c r="A299" s="1">
        <v>2017</v>
      </c>
      <c r="B299" s="1">
        <v>41</v>
      </c>
      <c r="C299" t="s">
        <v>3</v>
      </c>
      <c r="D299" s="1">
        <v>51</v>
      </c>
      <c r="E299" t="s">
        <v>6</v>
      </c>
      <c r="F299" s="1">
        <v>53</v>
      </c>
      <c r="G299" t="s">
        <v>40</v>
      </c>
      <c r="H299" s="1">
        <v>33</v>
      </c>
      <c r="I299" t="s">
        <v>160</v>
      </c>
      <c r="J299" s="1">
        <v>1113</v>
      </c>
      <c r="K299" s="1">
        <v>1526</v>
      </c>
      <c r="L299" s="1">
        <v>78304</v>
      </c>
      <c r="M299" s="1">
        <v>39037</v>
      </c>
      <c r="N299" s="1">
        <v>65103</v>
      </c>
      <c r="O299" s="1">
        <v>2442335</v>
      </c>
      <c r="P299" s="1">
        <v>334001</v>
      </c>
      <c r="Q299" s="1">
        <v>620621</v>
      </c>
      <c r="R299" s="1">
        <v>26145032</v>
      </c>
      <c r="S299" s="1">
        <v>41051</v>
      </c>
      <c r="T299" s="1">
        <v>41051</v>
      </c>
      <c r="U299" s="1">
        <v>53033</v>
      </c>
      <c r="V299" s="1">
        <v>1</v>
      </c>
      <c r="W299" s="1">
        <v>0</v>
      </c>
    </row>
    <row r="300">
      <c r="A300" s="1">
        <v>2017</v>
      </c>
      <c r="B300" s="1">
        <v>41</v>
      </c>
      <c r="C300" t="s">
        <v>3</v>
      </c>
      <c r="D300" s="1">
        <v>51</v>
      </c>
      <c r="E300" t="s">
        <v>6</v>
      </c>
      <c r="F300" s="1">
        <v>53</v>
      </c>
      <c r="G300" t="s">
        <v>40</v>
      </c>
      <c r="H300" s="1">
        <v>35</v>
      </c>
      <c r="I300" t="s">
        <v>161</v>
      </c>
      <c r="J300" s="1">
        <v>92</v>
      </c>
      <c r="K300" s="1">
        <v>149</v>
      </c>
      <c r="L300" s="1">
        <v>4449</v>
      </c>
      <c r="M300" s="1">
        <v>39037</v>
      </c>
      <c r="N300" s="1">
        <v>65103</v>
      </c>
      <c r="O300" s="1">
        <v>2442335</v>
      </c>
      <c r="P300" s="1">
        <v>334001</v>
      </c>
      <c r="Q300" s="1">
        <v>620621</v>
      </c>
      <c r="R300" s="1">
        <v>26145032</v>
      </c>
      <c r="S300" s="1">
        <v>41051</v>
      </c>
      <c r="T300" s="1">
        <v>41051</v>
      </c>
      <c r="U300" s="1">
        <v>53035</v>
      </c>
      <c r="V300" s="1">
        <v>1</v>
      </c>
      <c r="W300" s="1">
        <v>0</v>
      </c>
    </row>
    <row r="301">
      <c r="A301" s="1">
        <v>2017</v>
      </c>
      <c r="B301" s="1">
        <v>41</v>
      </c>
      <c r="C301" t="s">
        <v>3</v>
      </c>
      <c r="D301" s="1">
        <v>51</v>
      </c>
      <c r="E301" t="s">
        <v>6</v>
      </c>
      <c r="F301" s="1">
        <v>53</v>
      </c>
      <c r="G301" t="s">
        <v>40</v>
      </c>
      <c r="H301" s="1">
        <v>39</v>
      </c>
      <c r="I301" t="s">
        <v>162</v>
      </c>
      <c r="J301" s="1">
        <v>69</v>
      </c>
      <c r="K301" s="1">
        <v>124</v>
      </c>
      <c r="L301" s="1">
        <v>5017</v>
      </c>
      <c r="M301" s="1">
        <v>39037</v>
      </c>
      <c r="N301" s="1">
        <v>65103</v>
      </c>
      <c r="O301" s="1">
        <v>2442335</v>
      </c>
      <c r="P301" s="1">
        <v>334001</v>
      </c>
      <c r="Q301" s="1">
        <v>620621</v>
      </c>
      <c r="R301" s="1">
        <v>26145032</v>
      </c>
      <c r="S301" s="1">
        <v>41051</v>
      </c>
      <c r="T301" s="1">
        <v>41051</v>
      </c>
      <c r="U301" s="1">
        <v>53039</v>
      </c>
      <c r="V301" s="1">
        <v>1</v>
      </c>
      <c r="W301" s="1">
        <v>0</v>
      </c>
    </row>
    <row r="302">
      <c r="A302" s="1">
        <v>2017</v>
      </c>
      <c r="B302" s="1">
        <v>41</v>
      </c>
      <c r="C302" t="s">
        <v>3</v>
      </c>
      <c r="D302" s="1">
        <v>51</v>
      </c>
      <c r="E302" t="s">
        <v>6</v>
      </c>
      <c r="F302" s="1">
        <v>53</v>
      </c>
      <c r="G302" t="s">
        <v>40</v>
      </c>
      <c r="H302" s="1">
        <v>41</v>
      </c>
      <c r="I302" t="s">
        <v>163</v>
      </c>
      <c r="J302" s="1">
        <v>52</v>
      </c>
      <c r="K302" s="1">
        <v>90</v>
      </c>
      <c r="L302" s="1">
        <v>2594</v>
      </c>
      <c r="M302" s="1">
        <v>39037</v>
      </c>
      <c r="N302" s="1">
        <v>65103</v>
      </c>
      <c r="O302" s="1">
        <v>2442335</v>
      </c>
      <c r="P302" s="1">
        <v>334001</v>
      </c>
      <c r="Q302" s="1">
        <v>620621</v>
      </c>
      <c r="R302" s="1">
        <v>26145032</v>
      </c>
      <c r="S302" s="1">
        <v>41051</v>
      </c>
      <c r="T302" s="1">
        <v>41051</v>
      </c>
      <c r="U302" s="1">
        <v>53041</v>
      </c>
      <c r="V302" s="1">
        <v>1</v>
      </c>
      <c r="W302" s="1">
        <v>0</v>
      </c>
    </row>
    <row r="303">
      <c r="A303" s="1">
        <v>2017</v>
      </c>
      <c r="B303" s="1">
        <v>41</v>
      </c>
      <c r="C303" t="s">
        <v>3</v>
      </c>
      <c r="D303" s="1">
        <v>51</v>
      </c>
      <c r="E303" t="s">
        <v>6</v>
      </c>
      <c r="F303" s="1">
        <v>53</v>
      </c>
      <c r="G303" t="s">
        <v>40</v>
      </c>
      <c r="H303" s="1">
        <v>49</v>
      </c>
      <c r="I303" t="s">
        <v>164</v>
      </c>
      <c r="J303" s="1">
        <v>44</v>
      </c>
      <c r="K303" s="1">
        <v>76</v>
      </c>
      <c r="L303" s="1">
        <v>2628</v>
      </c>
      <c r="M303" s="1">
        <v>39037</v>
      </c>
      <c r="N303" s="1">
        <v>65103</v>
      </c>
      <c r="O303" s="1">
        <v>2442335</v>
      </c>
      <c r="P303" s="1">
        <v>334001</v>
      </c>
      <c r="Q303" s="1">
        <v>620621</v>
      </c>
      <c r="R303" s="1">
        <v>26145032</v>
      </c>
      <c r="S303" s="1">
        <v>41051</v>
      </c>
      <c r="T303" s="1">
        <v>41051</v>
      </c>
      <c r="U303" s="1">
        <v>53049</v>
      </c>
      <c r="V303" s="1">
        <v>1</v>
      </c>
      <c r="W303" s="1">
        <v>0</v>
      </c>
    </row>
    <row r="304">
      <c r="A304" s="1">
        <v>2017</v>
      </c>
      <c r="B304" s="1">
        <v>41</v>
      </c>
      <c r="C304" t="s">
        <v>3</v>
      </c>
      <c r="D304" s="1">
        <v>51</v>
      </c>
      <c r="E304" t="s">
        <v>6</v>
      </c>
      <c r="F304" s="1">
        <v>53</v>
      </c>
      <c r="G304" t="s">
        <v>40</v>
      </c>
      <c r="H304" s="1">
        <v>53</v>
      </c>
      <c r="I304" t="s">
        <v>165</v>
      </c>
      <c r="J304" s="1">
        <v>227</v>
      </c>
      <c r="K304" s="1">
        <v>388</v>
      </c>
      <c r="L304" s="1">
        <v>11780</v>
      </c>
      <c r="M304" s="1">
        <v>39037</v>
      </c>
      <c r="N304" s="1">
        <v>65103</v>
      </c>
      <c r="O304" s="1">
        <v>2442335</v>
      </c>
      <c r="P304" s="1">
        <v>334001</v>
      </c>
      <c r="Q304" s="1">
        <v>620621</v>
      </c>
      <c r="R304" s="1">
        <v>26145032</v>
      </c>
      <c r="S304" s="1">
        <v>41051</v>
      </c>
      <c r="T304" s="1">
        <v>41051</v>
      </c>
      <c r="U304" s="1">
        <v>53053</v>
      </c>
      <c r="V304" s="1">
        <v>1</v>
      </c>
      <c r="W304" s="1">
        <v>0</v>
      </c>
    </row>
    <row r="305">
      <c r="A305" s="1">
        <v>2017</v>
      </c>
      <c r="B305" s="1">
        <v>41</v>
      </c>
      <c r="C305" t="s">
        <v>3</v>
      </c>
      <c r="D305" s="1">
        <v>51</v>
      </c>
      <c r="E305" t="s">
        <v>6</v>
      </c>
      <c r="F305" s="1">
        <v>53</v>
      </c>
      <c r="G305" t="s">
        <v>40</v>
      </c>
      <c r="H305" s="1">
        <v>57</v>
      </c>
      <c r="I305" t="s">
        <v>223</v>
      </c>
      <c r="J305" s="1">
        <v>31</v>
      </c>
      <c r="K305" s="1">
        <v>47</v>
      </c>
      <c r="L305" s="1">
        <v>1485</v>
      </c>
      <c r="M305" s="1">
        <v>39037</v>
      </c>
      <c r="N305" s="1">
        <v>65103</v>
      </c>
      <c r="O305" s="1">
        <v>2442335</v>
      </c>
      <c r="P305" s="1">
        <v>334001</v>
      </c>
      <c r="Q305" s="1">
        <v>620621</v>
      </c>
      <c r="R305" s="1">
        <v>26145032</v>
      </c>
      <c r="S305" s="1">
        <v>41051</v>
      </c>
      <c r="T305" s="1">
        <v>41051</v>
      </c>
      <c r="U305" s="1">
        <v>53057</v>
      </c>
      <c r="V305" s="1">
        <v>1</v>
      </c>
      <c r="W305" s="1">
        <v>0</v>
      </c>
    </row>
    <row r="306">
      <c r="A306" s="1">
        <v>2017</v>
      </c>
      <c r="B306" s="1">
        <v>41</v>
      </c>
      <c r="C306" t="s">
        <v>3</v>
      </c>
      <c r="D306" s="1">
        <v>51</v>
      </c>
      <c r="E306" t="s">
        <v>6</v>
      </c>
      <c r="F306" s="1">
        <v>53</v>
      </c>
      <c r="G306" t="s">
        <v>40</v>
      </c>
      <c r="H306" s="1">
        <v>59</v>
      </c>
      <c r="I306" t="s">
        <v>166</v>
      </c>
      <c r="J306" s="1">
        <v>71</v>
      </c>
      <c r="K306" s="1">
        <v>123</v>
      </c>
      <c r="L306" s="1">
        <v>5258</v>
      </c>
      <c r="M306" s="1">
        <v>39037</v>
      </c>
      <c r="N306" s="1">
        <v>65103</v>
      </c>
      <c r="O306" s="1">
        <v>2442335</v>
      </c>
      <c r="P306" s="1">
        <v>334001</v>
      </c>
      <c r="Q306" s="1">
        <v>620621</v>
      </c>
      <c r="R306" s="1">
        <v>26145032</v>
      </c>
      <c r="S306" s="1">
        <v>41051</v>
      </c>
      <c r="T306" s="1">
        <v>41051</v>
      </c>
      <c r="U306" s="1">
        <v>53059</v>
      </c>
      <c r="V306" s="1">
        <v>1</v>
      </c>
      <c r="W306" s="1">
        <v>0</v>
      </c>
    </row>
    <row r="307">
      <c r="A307" s="1">
        <v>2017</v>
      </c>
      <c r="B307" s="1">
        <v>41</v>
      </c>
      <c r="C307" t="s">
        <v>3</v>
      </c>
      <c r="D307" s="1">
        <v>51</v>
      </c>
      <c r="E307" t="s">
        <v>6</v>
      </c>
      <c r="F307" s="1">
        <v>53</v>
      </c>
      <c r="G307" t="s">
        <v>40</v>
      </c>
      <c r="H307" s="1">
        <v>61</v>
      </c>
      <c r="I307" t="s">
        <v>167</v>
      </c>
      <c r="J307" s="1">
        <v>137</v>
      </c>
      <c r="K307" s="1">
        <v>213</v>
      </c>
      <c r="L307" s="1">
        <v>7261</v>
      </c>
      <c r="M307" s="1">
        <v>39037</v>
      </c>
      <c r="N307" s="1">
        <v>65103</v>
      </c>
      <c r="O307" s="1">
        <v>2442335</v>
      </c>
      <c r="P307" s="1">
        <v>334001</v>
      </c>
      <c r="Q307" s="1">
        <v>620621</v>
      </c>
      <c r="R307" s="1">
        <v>26145032</v>
      </c>
      <c r="S307" s="1">
        <v>41051</v>
      </c>
      <c r="T307" s="1">
        <v>41051</v>
      </c>
      <c r="U307" s="1">
        <v>53061</v>
      </c>
      <c r="V307" s="1">
        <v>1</v>
      </c>
      <c r="W307" s="1">
        <v>0</v>
      </c>
    </row>
    <row r="308">
      <c r="A308" s="1">
        <v>2017</v>
      </c>
      <c r="B308" s="1">
        <v>41</v>
      </c>
      <c r="C308" t="s">
        <v>3</v>
      </c>
      <c r="D308" s="1">
        <v>51</v>
      </c>
      <c r="E308" t="s">
        <v>6</v>
      </c>
      <c r="F308" s="1">
        <v>53</v>
      </c>
      <c r="G308" t="s">
        <v>40</v>
      </c>
      <c r="H308" s="1">
        <v>63</v>
      </c>
      <c r="I308" t="s">
        <v>168</v>
      </c>
      <c r="J308" s="1">
        <v>190</v>
      </c>
      <c r="K308" s="1">
        <v>300</v>
      </c>
      <c r="L308" s="1">
        <v>9209</v>
      </c>
      <c r="M308" s="1">
        <v>39037</v>
      </c>
      <c r="N308" s="1">
        <v>65103</v>
      </c>
      <c r="O308" s="1">
        <v>2442335</v>
      </c>
      <c r="P308" s="1">
        <v>334001</v>
      </c>
      <c r="Q308" s="1">
        <v>620621</v>
      </c>
      <c r="R308" s="1">
        <v>26145032</v>
      </c>
      <c r="S308" s="1">
        <v>41051</v>
      </c>
      <c r="T308" s="1">
        <v>41051</v>
      </c>
      <c r="U308" s="1">
        <v>53063</v>
      </c>
      <c r="V308" s="1">
        <v>1</v>
      </c>
      <c r="W308" s="1">
        <v>0</v>
      </c>
    </row>
    <row r="309">
      <c r="A309" s="1">
        <v>2017</v>
      </c>
      <c r="B309" s="1">
        <v>41</v>
      </c>
      <c r="C309" t="s">
        <v>3</v>
      </c>
      <c r="D309" s="1">
        <v>51</v>
      </c>
      <c r="E309" t="s">
        <v>6</v>
      </c>
      <c r="F309" s="1">
        <v>53</v>
      </c>
      <c r="G309" t="s">
        <v>40</v>
      </c>
      <c r="H309" s="1">
        <v>67</v>
      </c>
      <c r="I309" t="s">
        <v>169</v>
      </c>
      <c r="J309" s="1">
        <v>148</v>
      </c>
      <c r="K309" s="1">
        <v>208</v>
      </c>
      <c r="L309" s="1">
        <v>7467</v>
      </c>
      <c r="M309" s="1">
        <v>39037</v>
      </c>
      <c r="N309" s="1">
        <v>65103</v>
      </c>
      <c r="O309" s="1">
        <v>2442335</v>
      </c>
      <c r="P309" s="1">
        <v>334001</v>
      </c>
      <c r="Q309" s="1">
        <v>620621</v>
      </c>
      <c r="R309" s="1">
        <v>26145032</v>
      </c>
      <c r="S309" s="1">
        <v>41051</v>
      </c>
      <c r="T309" s="1">
        <v>41051</v>
      </c>
      <c r="U309" s="1">
        <v>53067</v>
      </c>
      <c r="V309" s="1">
        <v>1</v>
      </c>
      <c r="W309" s="1">
        <v>0</v>
      </c>
    </row>
    <row r="310">
      <c r="A310" s="1">
        <v>2017</v>
      </c>
      <c r="B310" s="1">
        <v>41</v>
      </c>
      <c r="C310" t="s">
        <v>3</v>
      </c>
      <c r="D310" s="1">
        <v>51</v>
      </c>
      <c r="E310" t="s">
        <v>6</v>
      </c>
      <c r="F310" s="1">
        <v>53</v>
      </c>
      <c r="G310" t="s">
        <v>40</v>
      </c>
      <c r="H310" s="1">
        <v>71</v>
      </c>
      <c r="I310" t="s">
        <v>170</v>
      </c>
      <c r="J310" s="1">
        <v>34</v>
      </c>
      <c r="K310" s="1">
        <v>68</v>
      </c>
      <c r="L310" s="1">
        <v>2019</v>
      </c>
      <c r="M310" s="1">
        <v>39037</v>
      </c>
      <c r="N310" s="1">
        <v>65103</v>
      </c>
      <c r="O310" s="1">
        <v>2442335</v>
      </c>
      <c r="P310" s="1">
        <v>334001</v>
      </c>
      <c r="Q310" s="1">
        <v>620621</v>
      </c>
      <c r="R310" s="1">
        <v>26145032</v>
      </c>
      <c r="S310" s="1">
        <v>41051</v>
      </c>
      <c r="T310" s="1">
        <v>41051</v>
      </c>
      <c r="U310" s="1">
        <v>53071</v>
      </c>
      <c r="V310" s="1">
        <v>1</v>
      </c>
      <c r="W310" s="1">
        <v>0</v>
      </c>
    </row>
    <row r="311">
      <c r="A311" s="1">
        <v>2017</v>
      </c>
      <c r="B311" s="1">
        <v>41</v>
      </c>
      <c r="C311" t="s">
        <v>3</v>
      </c>
      <c r="D311" s="1">
        <v>51</v>
      </c>
      <c r="E311" t="s">
        <v>6</v>
      </c>
      <c r="F311" s="1">
        <v>53</v>
      </c>
      <c r="G311" t="s">
        <v>40</v>
      </c>
      <c r="H311" s="1">
        <v>73</v>
      </c>
      <c r="I311" t="s">
        <v>171</v>
      </c>
      <c r="J311" s="1">
        <v>102</v>
      </c>
      <c r="K311" s="1">
        <v>140</v>
      </c>
      <c r="L311" s="1">
        <v>4806</v>
      </c>
      <c r="M311" s="1">
        <v>39037</v>
      </c>
      <c r="N311" s="1">
        <v>65103</v>
      </c>
      <c r="O311" s="1">
        <v>2442335</v>
      </c>
      <c r="P311" s="1">
        <v>334001</v>
      </c>
      <c r="Q311" s="1">
        <v>620621</v>
      </c>
      <c r="R311" s="1">
        <v>26145032</v>
      </c>
      <c r="S311" s="1">
        <v>41051</v>
      </c>
      <c r="T311" s="1">
        <v>41051</v>
      </c>
      <c r="U311" s="1">
        <v>53073</v>
      </c>
      <c r="V311" s="1">
        <v>1</v>
      </c>
      <c r="W311" s="1">
        <v>0</v>
      </c>
    </row>
    <row r="312">
      <c r="A312" s="1">
        <v>2017</v>
      </c>
      <c r="B312" s="1">
        <v>41</v>
      </c>
      <c r="C312" t="s">
        <v>3</v>
      </c>
      <c r="D312" s="1">
        <v>51</v>
      </c>
      <c r="E312" t="s">
        <v>6</v>
      </c>
      <c r="F312" s="1">
        <v>53</v>
      </c>
      <c r="G312" t="s">
        <v>40</v>
      </c>
      <c r="H312" s="1">
        <v>77</v>
      </c>
      <c r="I312" t="s">
        <v>172</v>
      </c>
      <c r="J312" s="1">
        <v>53</v>
      </c>
      <c r="K312" s="1">
        <v>82</v>
      </c>
      <c r="L312" s="1">
        <v>2057</v>
      </c>
      <c r="M312" s="1">
        <v>39037</v>
      </c>
      <c r="N312" s="1">
        <v>65103</v>
      </c>
      <c r="O312" s="1">
        <v>2442335</v>
      </c>
      <c r="P312" s="1">
        <v>334001</v>
      </c>
      <c r="Q312" s="1">
        <v>620621</v>
      </c>
      <c r="R312" s="1">
        <v>26145032</v>
      </c>
      <c r="S312" s="1">
        <v>41051</v>
      </c>
      <c r="T312" s="1">
        <v>41051</v>
      </c>
      <c r="U312" s="1">
        <v>53077</v>
      </c>
      <c r="V312" s="1">
        <v>1</v>
      </c>
      <c r="W312" s="1">
        <v>0</v>
      </c>
    </row>
    <row r="313">
      <c r="A313" s="1">
        <v>2017</v>
      </c>
      <c r="B313" s="1">
        <v>41</v>
      </c>
      <c r="C313" t="s">
        <v>3</v>
      </c>
      <c r="D313" s="1">
        <v>51</v>
      </c>
      <c r="E313" t="s">
        <v>6</v>
      </c>
      <c r="F313" s="1">
        <v>55</v>
      </c>
      <c r="G313" t="s">
        <v>41</v>
      </c>
      <c r="H313" s="1">
        <v>25</v>
      </c>
      <c r="I313" t="s">
        <v>173</v>
      </c>
      <c r="J313" s="1">
        <v>62</v>
      </c>
      <c r="K313" s="1">
        <v>90</v>
      </c>
      <c r="L313" s="1">
        <v>2883</v>
      </c>
      <c r="M313" s="1">
        <v>39037</v>
      </c>
      <c r="N313" s="1">
        <v>65103</v>
      </c>
      <c r="O313" s="1">
        <v>2442335</v>
      </c>
      <c r="P313" s="1">
        <v>334001</v>
      </c>
      <c r="Q313" s="1">
        <v>620621</v>
      </c>
      <c r="R313" s="1">
        <v>26145032</v>
      </c>
      <c r="S313" s="1">
        <v>41051</v>
      </c>
      <c r="T313" s="1">
        <v>41051</v>
      </c>
      <c r="U313" s="1">
        <v>55025</v>
      </c>
      <c r="V313" s="1">
        <v>1</v>
      </c>
      <c r="W313" s="1">
        <v>0</v>
      </c>
    </row>
    <row r="314">
      <c r="A314" s="1">
        <v>2017</v>
      </c>
      <c r="B314" s="1">
        <v>41</v>
      </c>
      <c r="C314" t="s">
        <v>3</v>
      </c>
      <c r="D314" s="1">
        <v>51</v>
      </c>
      <c r="E314" t="s">
        <v>6</v>
      </c>
      <c r="F314" s="1">
        <v>55</v>
      </c>
      <c r="G314" t="s">
        <v>41</v>
      </c>
      <c r="H314" s="1">
        <v>79</v>
      </c>
      <c r="I314" t="s">
        <v>174</v>
      </c>
      <c r="J314" s="1">
        <v>34</v>
      </c>
      <c r="K314" s="1">
        <v>55</v>
      </c>
      <c r="L314" s="1">
        <v>1797</v>
      </c>
      <c r="M314" s="1">
        <v>39037</v>
      </c>
      <c r="N314" s="1">
        <v>65103</v>
      </c>
      <c r="O314" s="1">
        <v>2442335</v>
      </c>
      <c r="P314" s="1">
        <v>334001</v>
      </c>
      <c r="Q314" s="1">
        <v>620621</v>
      </c>
      <c r="R314" s="1">
        <v>26145032</v>
      </c>
      <c r="S314" s="1">
        <v>41051</v>
      </c>
      <c r="T314" s="1">
        <v>41051</v>
      </c>
      <c r="U314" s="1">
        <v>55079</v>
      </c>
      <c r="V314" s="1">
        <v>1</v>
      </c>
      <c r="W314" s="1">
        <v>0</v>
      </c>
    </row>
    <row r="315">
      <c r="A315" s="1">
        <v>2018</v>
      </c>
      <c r="B315" s="1">
        <v>41</v>
      </c>
      <c r="C315" t="s">
        <v>3</v>
      </c>
      <c r="D315" s="1">
        <v>51</v>
      </c>
      <c r="E315" t="s">
        <v>6</v>
      </c>
      <c r="F315" s="1">
        <v>2</v>
      </c>
      <c r="G315" t="s">
        <v>9</v>
      </c>
      <c r="H315" s="1">
        <v>20</v>
      </c>
      <c r="I315" t="s">
        <v>52</v>
      </c>
      <c r="J315" s="1">
        <v>58</v>
      </c>
      <c r="K315" s="1">
        <v>82</v>
      </c>
      <c r="L315" s="1">
        <v>2437</v>
      </c>
      <c r="M315" s="1">
        <v>29470</v>
      </c>
      <c r="N315" s="1">
        <v>47084</v>
      </c>
      <c r="O315" s="1">
        <v>1984456</v>
      </c>
      <c r="P315" s="1">
        <v>336898</v>
      </c>
      <c r="Q315" s="1">
        <v>618173</v>
      </c>
      <c r="R315" s="1">
        <v>27842532</v>
      </c>
      <c r="S315" s="1">
        <v>41051</v>
      </c>
      <c r="T315" s="1">
        <v>41051</v>
      </c>
      <c r="U315" s="1">
        <v>2020</v>
      </c>
      <c r="V315" s="1">
        <v>1</v>
      </c>
      <c r="W315" s="1">
        <v>0</v>
      </c>
    </row>
    <row r="316">
      <c r="A316" s="1">
        <v>2018</v>
      </c>
      <c r="B316" s="1">
        <v>41</v>
      </c>
      <c r="C316" t="s">
        <v>3</v>
      </c>
      <c r="D316" s="1">
        <v>51</v>
      </c>
      <c r="E316" t="s">
        <v>6</v>
      </c>
      <c r="F316" s="1">
        <v>4</v>
      </c>
      <c r="G316" t="s">
        <v>10</v>
      </c>
      <c r="H316" s="1">
        <v>13</v>
      </c>
      <c r="I316" t="s">
        <v>53</v>
      </c>
      <c r="J316" s="1">
        <v>339</v>
      </c>
      <c r="K316" s="1">
        <v>543</v>
      </c>
      <c r="L316" s="1">
        <v>28015</v>
      </c>
      <c r="M316" s="1">
        <v>29470</v>
      </c>
      <c r="N316" s="1">
        <v>47084</v>
      </c>
      <c r="O316" s="1">
        <v>1984456</v>
      </c>
      <c r="P316" s="1">
        <v>336898</v>
      </c>
      <c r="Q316" s="1">
        <v>618173</v>
      </c>
      <c r="R316" s="1">
        <v>27842532</v>
      </c>
      <c r="S316" s="1">
        <v>41051</v>
      </c>
      <c r="T316" s="1">
        <v>41051</v>
      </c>
      <c r="U316" s="1">
        <v>4013</v>
      </c>
      <c r="V316" s="1">
        <v>1</v>
      </c>
      <c r="W316" s="1">
        <v>0</v>
      </c>
    </row>
    <row r="317">
      <c r="A317" s="1">
        <v>2018</v>
      </c>
      <c r="B317" s="1">
        <v>41</v>
      </c>
      <c r="C317" t="s">
        <v>3</v>
      </c>
      <c r="D317" s="1">
        <v>51</v>
      </c>
      <c r="E317" t="s">
        <v>6</v>
      </c>
      <c r="F317" s="1">
        <v>4</v>
      </c>
      <c r="G317" t="s">
        <v>10</v>
      </c>
      <c r="H317" s="1">
        <v>15</v>
      </c>
      <c r="I317" t="s">
        <v>224</v>
      </c>
      <c r="J317" s="1">
        <v>20</v>
      </c>
      <c r="K317" s="1">
        <v>30</v>
      </c>
      <c r="L317" s="1">
        <v>706</v>
      </c>
      <c r="M317" s="1">
        <v>29470</v>
      </c>
      <c r="N317" s="1">
        <v>47084</v>
      </c>
      <c r="O317" s="1">
        <v>1984456</v>
      </c>
      <c r="P317" s="1">
        <v>336898</v>
      </c>
      <c r="Q317" s="1">
        <v>618173</v>
      </c>
      <c r="R317" s="1">
        <v>27842532</v>
      </c>
      <c r="S317" s="1">
        <v>41051</v>
      </c>
      <c r="T317" s="1">
        <v>41051</v>
      </c>
      <c r="U317" s="1">
        <v>4015</v>
      </c>
      <c r="V317" s="1">
        <v>1</v>
      </c>
      <c r="W317" s="1">
        <v>0</v>
      </c>
    </row>
    <row r="318">
      <c r="A318" s="1">
        <v>2018</v>
      </c>
      <c r="B318" s="1">
        <v>41</v>
      </c>
      <c r="C318" t="s">
        <v>3</v>
      </c>
      <c r="D318" s="1">
        <v>51</v>
      </c>
      <c r="E318" t="s">
        <v>6</v>
      </c>
      <c r="F318" s="1">
        <v>4</v>
      </c>
      <c r="G318" t="s">
        <v>10</v>
      </c>
      <c r="H318" s="1">
        <v>19</v>
      </c>
      <c r="I318" t="s">
        <v>54</v>
      </c>
      <c r="J318" s="1">
        <v>115</v>
      </c>
      <c r="K318" s="1">
        <v>169</v>
      </c>
      <c r="L318" s="1">
        <v>6317</v>
      </c>
      <c r="M318" s="1">
        <v>29470</v>
      </c>
      <c r="N318" s="1">
        <v>47084</v>
      </c>
      <c r="O318" s="1">
        <v>1984456</v>
      </c>
      <c r="P318" s="1">
        <v>336898</v>
      </c>
      <c r="Q318" s="1">
        <v>618173</v>
      </c>
      <c r="R318" s="1">
        <v>27842532</v>
      </c>
      <c r="S318" s="1">
        <v>41051</v>
      </c>
      <c r="T318" s="1">
        <v>41051</v>
      </c>
      <c r="U318" s="1">
        <v>4019</v>
      </c>
      <c r="V318" s="1">
        <v>1</v>
      </c>
      <c r="W318" s="1">
        <v>0</v>
      </c>
    </row>
    <row r="319">
      <c r="A319" s="1">
        <v>2018</v>
      </c>
      <c r="B319" s="1">
        <v>41</v>
      </c>
      <c r="C319" t="s">
        <v>3</v>
      </c>
      <c r="D319" s="1">
        <v>51</v>
      </c>
      <c r="E319" t="s">
        <v>6</v>
      </c>
      <c r="F319" s="1">
        <v>4</v>
      </c>
      <c r="G319" t="s">
        <v>10</v>
      </c>
      <c r="H319" s="1">
        <v>21</v>
      </c>
      <c r="I319" t="s">
        <v>55</v>
      </c>
      <c r="J319" s="1">
        <v>24</v>
      </c>
      <c r="K319" s="1">
        <v>43</v>
      </c>
      <c r="L319" s="1">
        <v>1805</v>
      </c>
      <c r="M319" s="1">
        <v>29470</v>
      </c>
      <c r="N319" s="1">
        <v>47084</v>
      </c>
      <c r="O319" s="1">
        <v>1984456</v>
      </c>
      <c r="P319" s="1">
        <v>336898</v>
      </c>
      <c r="Q319" s="1">
        <v>618173</v>
      </c>
      <c r="R319" s="1">
        <v>27842532</v>
      </c>
      <c r="S319" s="1">
        <v>41051</v>
      </c>
      <c r="T319" s="1">
        <v>41051</v>
      </c>
      <c r="U319" s="1">
        <v>4021</v>
      </c>
      <c r="V319" s="1">
        <v>1</v>
      </c>
      <c r="W319" s="1">
        <v>0</v>
      </c>
    </row>
    <row r="320">
      <c r="A320" s="1">
        <v>2018</v>
      </c>
      <c r="B320" s="1">
        <v>41</v>
      </c>
      <c r="C320" t="s">
        <v>3</v>
      </c>
      <c r="D320" s="1">
        <v>51</v>
      </c>
      <c r="E320" t="s">
        <v>6</v>
      </c>
      <c r="F320" s="1">
        <v>4</v>
      </c>
      <c r="G320" t="s">
        <v>10</v>
      </c>
      <c r="H320" s="1">
        <v>25</v>
      </c>
      <c r="I320" t="s">
        <v>176</v>
      </c>
      <c r="J320" s="1">
        <v>24</v>
      </c>
      <c r="K320" s="1">
        <v>26</v>
      </c>
      <c r="L320" s="1">
        <v>653</v>
      </c>
      <c r="M320" s="1">
        <v>29470</v>
      </c>
      <c r="N320" s="1">
        <v>47084</v>
      </c>
      <c r="O320" s="1">
        <v>1984456</v>
      </c>
      <c r="P320" s="1">
        <v>336898</v>
      </c>
      <c r="Q320" s="1">
        <v>618173</v>
      </c>
      <c r="R320" s="1">
        <v>27842532</v>
      </c>
      <c r="S320" s="1">
        <v>41051</v>
      </c>
      <c r="T320" s="1">
        <v>41051</v>
      </c>
      <c r="U320" s="1">
        <v>4025</v>
      </c>
      <c r="V320" s="1">
        <v>1</v>
      </c>
      <c r="W320" s="1">
        <v>0</v>
      </c>
    </row>
    <row r="321">
      <c r="A321" s="1">
        <v>2018</v>
      </c>
      <c r="B321" s="1">
        <v>41</v>
      </c>
      <c r="C321" t="s">
        <v>3</v>
      </c>
      <c r="D321" s="1">
        <v>51</v>
      </c>
      <c r="E321" t="s">
        <v>6</v>
      </c>
      <c r="F321" s="1">
        <v>6</v>
      </c>
      <c r="G321" t="s">
        <v>11</v>
      </c>
      <c r="H321" s="1">
        <v>1</v>
      </c>
      <c r="I321" t="s">
        <v>56</v>
      </c>
      <c r="J321" s="1">
        <v>210</v>
      </c>
      <c r="K321" s="1">
        <v>269</v>
      </c>
      <c r="L321" s="1">
        <v>15484</v>
      </c>
      <c r="M321" s="1">
        <v>29470</v>
      </c>
      <c r="N321" s="1">
        <v>47084</v>
      </c>
      <c r="O321" s="1">
        <v>1984456</v>
      </c>
      <c r="P321" s="1">
        <v>336898</v>
      </c>
      <c r="Q321" s="1">
        <v>618173</v>
      </c>
      <c r="R321" s="1">
        <v>27842532</v>
      </c>
      <c r="S321" s="1">
        <v>41051</v>
      </c>
      <c r="T321" s="1">
        <v>41051</v>
      </c>
      <c r="U321" s="1">
        <v>6001</v>
      </c>
      <c r="V321" s="1">
        <v>1</v>
      </c>
      <c r="W321" s="1">
        <v>0</v>
      </c>
    </row>
    <row r="322">
      <c r="A322" s="1">
        <v>2018</v>
      </c>
      <c r="B322" s="1">
        <v>41</v>
      </c>
      <c r="C322" t="s">
        <v>3</v>
      </c>
      <c r="D322" s="1">
        <v>51</v>
      </c>
      <c r="E322" t="s">
        <v>6</v>
      </c>
      <c r="F322" s="1">
        <v>6</v>
      </c>
      <c r="G322" t="s">
        <v>11</v>
      </c>
      <c r="H322" s="1">
        <v>13</v>
      </c>
      <c r="I322" t="s">
        <v>57</v>
      </c>
      <c r="J322" s="1">
        <v>65</v>
      </c>
      <c r="K322" s="1">
        <v>98</v>
      </c>
      <c r="L322" s="1">
        <v>5703</v>
      </c>
      <c r="M322" s="1">
        <v>29470</v>
      </c>
      <c r="N322" s="1">
        <v>47084</v>
      </c>
      <c r="O322" s="1">
        <v>1984456</v>
      </c>
      <c r="P322" s="1">
        <v>336898</v>
      </c>
      <c r="Q322" s="1">
        <v>618173</v>
      </c>
      <c r="R322" s="1">
        <v>27842532</v>
      </c>
      <c r="S322" s="1">
        <v>41051</v>
      </c>
      <c r="T322" s="1">
        <v>41051</v>
      </c>
      <c r="U322" s="1">
        <v>6013</v>
      </c>
      <c r="V322" s="1">
        <v>1</v>
      </c>
      <c r="W322" s="1">
        <v>0</v>
      </c>
    </row>
    <row r="323">
      <c r="A323" s="1">
        <v>2018</v>
      </c>
      <c r="B323" s="1">
        <v>41</v>
      </c>
      <c r="C323" t="s">
        <v>3</v>
      </c>
      <c r="D323" s="1">
        <v>51</v>
      </c>
      <c r="E323" t="s">
        <v>6</v>
      </c>
      <c r="F323" s="1">
        <v>6</v>
      </c>
      <c r="G323" t="s">
        <v>11</v>
      </c>
      <c r="H323" s="1">
        <v>19</v>
      </c>
      <c r="I323" t="s">
        <v>58</v>
      </c>
      <c r="J323" s="1">
        <v>26</v>
      </c>
      <c r="K323" s="1">
        <v>46</v>
      </c>
      <c r="L323" s="1">
        <v>1574</v>
      </c>
      <c r="M323" s="1">
        <v>29470</v>
      </c>
      <c r="N323" s="1">
        <v>47084</v>
      </c>
      <c r="O323" s="1">
        <v>1984456</v>
      </c>
      <c r="P323" s="1">
        <v>336898</v>
      </c>
      <c r="Q323" s="1">
        <v>618173</v>
      </c>
      <c r="R323" s="1">
        <v>27842532</v>
      </c>
      <c r="S323" s="1">
        <v>41051</v>
      </c>
      <c r="T323" s="1">
        <v>41051</v>
      </c>
      <c r="U323" s="1">
        <v>6019</v>
      </c>
      <c r="V323" s="1">
        <v>1</v>
      </c>
      <c r="W323" s="1">
        <v>0</v>
      </c>
    </row>
    <row r="324">
      <c r="A324" s="1">
        <v>2018</v>
      </c>
      <c r="B324" s="1">
        <v>41</v>
      </c>
      <c r="C324" t="s">
        <v>3</v>
      </c>
      <c r="D324" s="1">
        <v>51</v>
      </c>
      <c r="E324" t="s">
        <v>6</v>
      </c>
      <c r="F324" s="1">
        <v>6</v>
      </c>
      <c r="G324" t="s">
        <v>11</v>
      </c>
      <c r="H324" s="1">
        <v>23</v>
      </c>
      <c r="I324" t="s">
        <v>59</v>
      </c>
      <c r="J324" s="1">
        <v>24</v>
      </c>
      <c r="K324" s="1">
        <v>35</v>
      </c>
      <c r="L324" s="1">
        <v>1124</v>
      </c>
      <c r="M324" s="1">
        <v>29470</v>
      </c>
      <c r="N324" s="1">
        <v>47084</v>
      </c>
      <c r="O324" s="1">
        <v>1984456</v>
      </c>
      <c r="P324" s="1">
        <v>336898</v>
      </c>
      <c r="Q324" s="1">
        <v>618173</v>
      </c>
      <c r="R324" s="1">
        <v>27842532</v>
      </c>
      <c r="S324" s="1">
        <v>41051</v>
      </c>
      <c r="T324" s="1">
        <v>41051</v>
      </c>
      <c r="U324" s="1">
        <v>6023</v>
      </c>
      <c r="V324" s="1">
        <v>1</v>
      </c>
      <c r="W324" s="1">
        <v>0</v>
      </c>
    </row>
    <row r="325">
      <c r="A325" s="1">
        <v>2018</v>
      </c>
      <c r="B325" s="1">
        <v>41</v>
      </c>
      <c r="C325" t="s">
        <v>3</v>
      </c>
      <c r="D325" s="1">
        <v>51</v>
      </c>
      <c r="E325" t="s">
        <v>6</v>
      </c>
      <c r="F325" s="1">
        <v>6</v>
      </c>
      <c r="G325" t="s">
        <v>11</v>
      </c>
      <c r="H325" s="1">
        <v>29</v>
      </c>
      <c r="I325" t="s">
        <v>60</v>
      </c>
      <c r="J325" s="1">
        <v>21</v>
      </c>
      <c r="K325" s="1">
        <v>30</v>
      </c>
      <c r="L325" s="1">
        <v>636</v>
      </c>
      <c r="M325" s="1">
        <v>29470</v>
      </c>
      <c r="N325" s="1">
        <v>47084</v>
      </c>
      <c r="O325" s="1">
        <v>1984456</v>
      </c>
      <c r="P325" s="1">
        <v>336898</v>
      </c>
      <c r="Q325" s="1">
        <v>618173</v>
      </c>
      <c r="R325" s="1">
        <v>27842532</v>
      </c>
      <c r="S325" s="1">
        <v>41051</v>
      </c>
      <c r="T325" s="1">
        <v>41051</v>
      </c>
      <c r="U325" s="1">
        <v>6029</v>
      </c>
      <c r="V325" s="1">
        <v>1</v>
      </c>
      <c r="W325" s="1">
        <v>0</v>
      </c>
    </row>
    <row r="326">
      <c r="A326" s="1">
        <v>2018</v>
      </c>
      <c r="B326" s="1">
        <v>41</v>
      </c>
      <c r="C326" t="s">
        <v>3</v>
      </c>
      <c r="D326" s="1">
        <v>51</v>
      </c>
      <c r="E326" t="s">
        <v>6</v>
      </c>
      <c r="F326" s="1">
        <v>6</v>
      </c>
      <c r="G326" t="s">
        <v>11</v>
      </c>
      <c r="H326" s="1">
        <v>37</v>
      </c>
      <c r="I326" t="s">
        <v>61</v>
      </c>
      <c r="J326" s="1">
        <v>588</v>
      </c>
      <c r="K326" s="1">
        <v>783</v>
      </c>
      <c r="L326" s="1">
        <v>36094</v>
      </c>
      <c r="M326" s="1">
        <v>29470</v>
      </c>
      <c r="N326" s="1">
        <v>47084</v>
      </c>
      <c r="O326" s="1">
        <v>1984456</v>
      </c>
      <c r="P326" s="1">
        <v>336898</v>
      </c>
      <c r="Q326" s="1">
        <v>618173</v>
      </c>
      <c r="R326" s="1">
        <v>27842532</v>
      </c>
      <c r="S326" s="1">
        <v>41051</v>
      </c>
      <c r="T326" s="1">
        <v>41051</v>
      </c>
      <c r="U326" s="1">
        <v>6037</v>
      </c>
      <c r="V326" s="1">
        <v>1</v>
      </c>
      <c r="W326" s="1">
        <v>0</v>
      </c>
    </row>
    <row r="327">
      <c r="A327" s="1">
        <v>2018</v>
      </c>
      <c r="B327" s="1">
        <v>41</v>
      </c>
      <c r="C327" t="s">
        <v>3</v>
      </c>
      <c r="D327" s="1">
        <v>51</v>
      </c>
      <c r="E327" t="s">
        <v>6</v>
      </c>
      <c r="F327" s="1">
        <v>6</v>
      </c>
      <c r="G327" t="s">
        <v>11</v>
      </c>
      <c r="H327" s="1">
        <v>41</v>
      </c>
      <c r="I327" t="s">
        <v>62</v>
      </c>
      <c r="J327" s="1">
        <v>26</v>
      </c>
      <c r="K327" s="1">
        <v>29</v>
      </c>
      <c r="L327" s="1">
        <v>1226</v>
      </c>
      <c r="M327" s="1">
        <v>29470</v>
      </c>
      <c r="N327" s="1">
        <v>47084</v>
      </c>
      <c r="O327" s="1">
        <v>1984456</v>
      </c>
      <c r="P327" s="1">
        <v>336898</v>
      </c>
      <c r="Q327" s="1">
        <v>618173</v>
      </c>
      <c r="R327" s="1">
        <v>27842532</v>
      </c>
      <c r="S327" s="1">
        <v>41051</v>
      </c>
      <c r="T327" s="1">
        <v>41051</v>
      </c>
      <c r="U327" s="1">
        <v>6041</v>
      </c>
      <c r="V327" s="1">
        <v>1</v>
      </c>
      <c r="W327" s="1">
        <v>0</v>
      </c>
    </row>
    <row r="328">
      <c r="A328" s="1">
        <v>2018</v>
      </c>
      <c r="B328" s="1">
        <v>41</v>
      </c>
      <c r="C328" t="s">
        <v>3</v>
      </c>
      <c r="D328" s="1">
        <v>51</v>
      </c>
      <c r="E328" t="s">
        <v>6</v>
      </c>
      <c r="F328" s="1">
        <v>6</v>
      </c>
      <c r="G328" t="s">
        <v>11</v>
      </c>
      <c r="H328" s="1">
        <v>53</v>
      </c>
      <c r="I328" t="s">
        <v>63</v>
      </c>
      <c r="J328" s="1">
        <v>20</v>
      </c>
      <c r="K328" s="1">
        <v>28</v>
      </c>
      <c r="L328" s="1">
        <v>983</v>
      </c>
      <c r="M328" s="1">
        <v>29470</v>
      </c>
      <c r="N328" s="1">
        <v>47084</v>
      </c>
      <c r="O328" s="1">
        <v>1984456</v>
      </c>
      <c r="P328" s="1">
        <v>336898</v>
      </c>
      <c r="Q328" s="1">
        <v>618173</v>
      </c>
      <c r="R328" s="1">
        <v>27842532</v>
      </c>
      <c r="S328" s="1">
        <v>41051</v>
      </c>
      <c r="T328" s="1">
        <v>41051</v>
      </c>
      <c r="U328" s="1">
        <v>6053</v>
      </c>
      <c r="V328" s="1">
        <v>1</v>
      </c>
      <c r="W328" s="1">
        <v>0</v>
      </c>
    </row>
    <row r="329">
      <c r="A329" s="1">
        <v>2018</v>
      </c>
      <c r="B329" s="1">
        <v>41</v>
      </c>
      <c r="C329" t="s">
        <v>3</v>
      </c>
      <c r="D329" s="1">
        <v>51</v>
      </c>
      <c r="E329" t="s">
        <v>6</v>
      </c>
      <c r="F329" s="1">
        <v>6</v>
      </c>
      <c r="G329" t="s">
        <v>11</v>
      </c>
      <c r="H329" s="1">
        <v>59</v>
      </c>
      <c r="I329" t="s">
        <v>64</v>
      </c>
      <c r="J329" s="1">
        <v>151</v>
      </c>
      <c r="K329" s="1">
        <v>220</v>
      </c>
      <c r="L329" s="1">
        <v>10426</v>
      </c>
      <c r="M329" s="1">
        <v>29470</v>
      </c>
      <c r="N329" s="1">
        <v>47084</v>
      </c>
      <c r="O329" s="1">
        <v>1984456</v>
      </c>
      <c r="P329" s="1">
        <v>336898</v>
      </c>
      <c r="Q329" s="1">
        <v>618173</v>
      </c>
      <c r="R329" s="1">
        <v>27842532</v>
      </c>
      <c r="S329" s="1">
        <v>41051</v>
      </c>
      <c r="T329" s="1">
        <v>41051</v>
      </c>
      <c r="U329" s="1">
        <v>6059</v>
      </c>
      <c r="V329" s="1">
        <v>1</v>
      </c>
      <c r="W329" s="1">
        <v>0</v>
      </c>
    </row>
    <row r="330">
      <c r="A330" s="1">
        <v>2018</v>
      </c>
      <c r="B330" s="1">
        <v>41</v>
      </c>
      <c r="C330" t="s">
        <v>3</v>
      </c>
      <c r="D330" s="1">
        <v>51</v>
      </c>
      <c r="E330" t="s">
        <v>6</v>
      </c>
      <c r="F330" s="1">
        <v>6</v>
      </c>
      <c r="G330" t="s">
        <v>11</v>
      </c>
      <c r="H330" s="1">
        <v>65</v>
      </c>
      <c r="I330" t="s">
        <v>66</v>
      </c>
      <c r="J330" s="1">
        <v>122</v>
      </c>
      <c r="K330" s="1">
        <v>194</v>
      </c>
      <c r="L330" s="1">
        <v>9856</v>
      </c>
      <c r="M330" s="1">
        <v>29470</v>
      </c>
      <c r="N330" s="1">
        <v>47084</v>
      </c>
      <c r="O330" s="1">
        <v>1984456</v>
      </c>
      <c r="P330" s="1">
        <v>336898</v>
      </c>
      <c r="Q330" s="1">
        <v>618173</v>
      </c>
      <c r="R330" s="1">
        <v>27842532</v>
      </c>
      <c r="S330" s="1">
        <v>41051</v>
      </c>
      <c r="T330" s="1">
        <v>41051</v>
      </c>
      <c r="U330" s="1">
        <v>6065</v>
      </c>
      <c r="V330" s="1">
        <v>1</v>
      </c>
      <c r="W330" s="1">
        <v>0</v>
      </c>
    </row>
    <row r="331">
      <c r="A331" s="1">
        <v>2018</v>
      </c>
      <c r="B331" s="1">
        <v>41</v>
      </c>
      <c r="C331" t="s">
        <v>3</v>
      </c>
      <c r="D331" s="1">
        <v>51</v>
      </c>
      <c r="E331" t="s">
        <v>6</v>
      </c>
      <c r="F331" s="1">
        <v>6</v>
      </c>
      <c r="G331" t="s">
        <v>11</v>
      </c>
      <c r="H331" s="1">
        <v>67</v>
      </c>
      <c r="I331" t="s">
        <v>67</v>
      </c>
      <c r="J331" s="1">
        <v>103</v>
      </c>
      <c r="K331" s="1">
        <v>170</v>
      </c>
      <c r="L331" s="1">
        <v>4064</v>
      </c>
      <c r="M331" s="1">
        <v>29470</v>
      </c>
      <c r="N331" s="1">
        <v>47084</v>
      </c>
      <c r="O331" s="1">
        <v>1984456</v>
      </c>
      <c r="P331" s="1">
        <v>336898</v>
      </c>
      <c r="Q331" s="1">
        <v>618173</v>
      </c>
      <c r="R331" s="1">
        <v>27842532</v>
      </c>
      <c r="S331" s="1">
        <v>41051</v>
      </c>
      <c r="T331" s="1">
        <v>41051</v>
      </c>
      <c r="U331" s="1">
        <v>6067</v>
      </c>
      <c r="V331" s="1">
        <v>1</v>
      </c>
      <c r="W331" s="1">
        <v>0</v>
      </c>
    </row>
    <row r="332">
      <c r="A332" s="1">
        <v>2018</v>
      </c>
      <c r="B332" s="1">
        <v>41</v>
      </c>
      <c r="C332" t="s">
        <v>3</v>
      </c>
      <c r="D332" s="1">
        <v>51</v>
      </c>
      <c r="E332" t="s">
        <v>6</v>
      </c>
      <c r="F332" s="1">
        <v>6</v>
      </c>
      <c r="G332" t="s">
        <v>11</v>
      </c>
      <c r="H332" s="1">
        <v>71</v>
      </c>
      <c r="I332" t="s">
        <v>68</v>
      </c>
      <c r="J332" s="1">
        <v>71</v>
      </c>
      <c r="K332" s="1">
        <v>102</v>
      </c>
      <c r="L332" s="1">
        <v>3186</v>
      </c>
      <c r="M332" s="1">
        <v>29470</v>
      </c>
      <c r="N332" s="1">
        <v>47084</v>
      </c>
      <c r="O332" s="1">
        <v>1984456</v>
      </c>
      <c r="P332" s="1">
        <v>336898</v>
      </c>
      <c r="Q332" s="1">
        <v>618173</v>
      </c>
      <c r="R332" s="1">
        <v>27842532</v>
      </c>
      <c r="S332" s="1">
        <v>41051</v>
      </c>
      <c r="T332" s="1">
        <v>41051</v>
      </c>
      <c r="U332" s="1">
        <v>6071</v>
      </c>
      <c r="V332" s="1">
        <v>1</v>
      </c>
      <c r="W332" s="1">
        <v>0</v>
      </c>
    </row>
    <row r="333">
      <c r="A333" s="1">
        <v>2018</v>
      </c>
      <c r="B333" s="1">
        <v>41</v>
      </c>
      <c r="C333" t="s">
        <v>3</v>
      </c>
      <c r="D333" s="1">
        <v>51</v>
      </c>
      <c r="E333" t="s">
        <v>6</v>
      </c>
      <c r="F333" s="1">
        <v>6</v>
      </c>
      <c r="G333" t="s">
        <v>11</v>
      </c>
      <c r="H333" s="1">
        <v>73</v>
      </c>
      <c r="I333" t="s">
        <v>69</v>
      </c>
      <c r="J333" s="1">
        <v>280</v>
      </c>
      <c r="K333" s="1">
        <v>388</v>
      </c>
      <c r="L333" s="1">
        <v>17716</v>
      </c>
      <c r="M333" s="1">
        <v>29470</v>
      </c>
      <c r="N333" s="1">
        <v>47084</v>
      </c>
      <c r="O333" s="1">
        <v>1984456</v>
      </c>
      <c r="P333" s="1">
        <v>336898</v>
      </c>
      <c r="Q333" s="1">
        <v>618173</v>
      </c>
      <c r="R333" s="1">
        <v>27842532</v>
      </c>
      <c r="S333" s="1">
        <v>41051</v>
      </c>
      <c r="T333" s="1">
        <v>41051</v>
      </c>
      <c r="U333" s="1">
        <v>6073</v>
      </c>
      <c r="V333" s="1">
        <v>1</v>
      </c>
      <c r="W333" s="1">
        <v>0</v>
      </c>
    </row>
    <row r="334">
      <c r="A334" s="1">
        <v>2018</v>
      </c>
      <c r="B334" s="1">
        <v>41</v>
      </c>
      <c r="C334" t="s">
        <v>3</v>
      </c>
      <c r="D334" s="1">
        <v>51</v>
      </c>
      <c r="E334" t="s">
        <v>6</v>
      </c>
      <c r="F334" s="1">
        <v>6</v>
      </c>
      <c r="G334" t="s">
        <v>11</v>
      </c>
      <c r="H334" s="1">
        <v>75</v>
      </c>
      <c r="I334" t="s">
        <v>70</v>
      </c>
      <c r="J334" s="1">
        <v>223</v>
      </c>
      <c r="K334" s="1">
        <v>274</v>
      </c>
      <c r="L334" s="1">
        <v>22453</v>
      </c>
      <c r="M334" s="1">
        <v>29470</v>
      </c>
      <c r="N334" s="1">
        <v>47084</v>
      </c>
      <c r="O334" s="1">
        <v>1984456</v>
      </c>
      <c r="P334" s="1">
        <v>336898</v>
      </c>
      <c r="Q334" s="1">
        <v>618173</v>
      </c>
      <c r="R334" s="1">
        <v>27842532</v>
      </c>
      <c r="S334" s="1">
        <v>41051</v>
      </c>
      <c r="T334" s="1">
        <v>41051</v>
      </c>
      <c r="U334" s="1">
        <v>6075</v>
      </c>
      <c r="V334" s="1">
        <v>1</v>
      </c>
      <c r="W334" s="1">
        <v>0</v>
      </c>
    </row>
    <row r="335">
      <c r="A335" s="1">
        <v>2018</v>
      </c>
      <c r="B335" s="1">
        <v>41</v>
      </c>
      <c r="C335" t="s">
        <v>3</v>
      </c>
      <c r="D335" s="1">
        <v>51</v>
      </c>
      <c r="E335" t="s">
        <v>6</v>
      </c>
      <c r="F335" s="1">
        <v>6</v>
      </c>
      <c r="G335" t="s">
        <v>11</v>
      </c>
      <c r="H335" s="1">
        <v>77</v>
      </c>
      <c r="I335" t="s">
        <v>179</v>
      </c>
      <c r="J335" s="1">
        <v>26</v>
      </c>
      <c r="K335" s="1">
        <v>45</v>
      </c>
      <c r="L335" s="1">
        <v>903</v>
      </c>
      <c r="M335" s="1">
        <v>29470</v>
      </c>
      <c r="N335" s="1">
        <v>47084</v>
      </c>
      <c r="O335" s="1">
        <v>1984456</v>
      </c>
      <c r="P335" s="1">
        <v>336898</v>
      </c>
      <c r="Q335" s="1">
        <v>618173</v>
      </c>
      <c r="R335" s="1">
        <v>27842532</v>
      </c>
      <c r="S335" s="1">
        <v>41051</v>
      </c>
      <c r="T335" s="1">
        <v>41051</v>
      </c>
      <c r="U335" s="1">
        <v>6077</v>
      </c>
      <c r="V335" s="1">
        <v>1</v>
      </c>
      <c r="W335" s="1">
        <v>0</v>
      </c>
    </row>
    <row r="336">
      <c r="A336" s="1">
        <v>2018</v>
      </c>
      <c r="B336" s="1">
        <v>41</v>
      </c>
      <c r="C336" t="s">
        <v>3</v>
      </c>
      <c r="D336" s="1">
        <v>51</v>
      </c>
      <c r="E336" t="s">
        <v>6</v>
      </c>
      <c r="F336" s="1">
        <v>6</v>
      </c>
      <c r="G336" t="s">
        <v>11</v>
      </c>
      <c r="H336" s="1">
        <v>79</v>
      </c>
      <c r="I336" t="s">
        <v>71</v>
      </c>
      <c r="J336" s="1">
        <v>35</v>
      </c>
      <c r="K336" s="1">
        <v>51</v>
      </c>
      <c r="L336" s="1">
        <v>1650</v>
      </c>
      <c r="M336" s="1">
        <v>29470</v>
      </c>
      <c r="N336" s="1">
        <v>47084</v>
      </c>
      <c r="O336" s="1">
        <v>1984456</v>
      </c>
      <c r="P336" s="1">
        <v>336898</v>
      </c>
      <c r="Q336" s="1">
        <v>618173</v>
      </c>
      <c r="R336" s="1">
        <v>27842532</v>
      </c>
      <c r="S336" s="1">
        <v>41051</v>
      </c>
      <c r="T336" s="1">
        <v>41051</v>
      </c>
      <c r="U336" s="1">
        <v>6079</v>
      </c>
      <c r="V336" s="1">
        <v>1</v>
      </c>
      <c r="W336" s="1">
        <v>0</v>
      </c>
    </row>
    <row r="337">
      <c r="A337" s="1">
        <v>2018</v>
      </c>
      <c r="B337" s="1">
        <v>41</v>
      </c>
      <c r="C337" t="s">
        <v>3</v>
      </c>
      <c r="D337" s="1">
        <v>51</v>
      </c>
      <c r="E337" t="s">
        <v>6</v>
      </c>
      <c r="F337" s="1">
        <v>6</v>
      </c>
      <c r="G337" t="s">
        <v>11</v>
      </c>
      <c r="H337" s="1">
        <v>81</v>
      </c>
      <c r="I337" t="s">
        <v>72</v>
      </c>
      <c r="J337" s="1">
        <v>58</v>
      </c>
      <c r="K337" s="1">
        <v>87</v>
      </c>
      <c r="L337" s="1">
        <v>8708</v>
      </c>
      <c r="M337" s="1">
        <v>29470</v>
      </c>
      <c r="N337" s="1">
        <v>47084</v>
      </c>
      <c r="O337" s="1">
        <v>1984456</v>
      </c>
      <c r="P337" s="1">
        <v>336898</v>
      </c>
      <c r="Q337" s="1">
        <v>618173</v>
      </c>
      <c r="R337" s="1">
        <v>27842532</v>
      </c>
      <c r="S337" s="1">
        <v>41051</v>
      </c>
      <c r="T337" s="1">
        <v>41051</v>
      </c>
      <c r="U337" s="1">
        <v>6081</v>
      </c>
      <c r="V337" s="1">
        <v>1</v>
      </c>
      <c r="W337" s="1">
        <v>0</v>
      </c>
    </row>
    <row r="338">
      <c r="A338" s="1">
        <v>2018</v>
      </c>
      <c r="B338" s="1">
        <v>41</v>
      </c>
      <c r="C338" t="s">
        <v>3</v>
      </c>
      <c r="D338" s="1">
        <v>51</v>
      </c>
      <c r="E338" t="s">
        <v>6</v>
      </c>
      <c r="F338" s="1">
        <v>6</v>
      </c>
      <c r="G338" t="s">
        <v>11</v>
      </c>
      <c r="H338" s="1">
        <v>83</v>
      </c>
      <c r="I338" t="s">
        <v>73</v>
      </c>
      <c r="J338" s="1">
        <v>37</v>
      </c>
      <c r="K338" s="1">
        <v>49</v>
      </c>
      <c r="L338" s="1">
        <v>7157</v>
      </c>
      <c r="M338" s="1">
        <v>29470</v>
      </c>
      <c r="N338" s="1">
        <v>47084</v>
      </c>
      <c r="O338" s="1">
        <v>1984456</v>
      </c>
      <c r="P338" s="1">
        <v>336898</v>
      </c>
      <c r="Q338" s="1">
        <v>618173</v>
      </c>
      <c r="R338" s="1">
        <v>27842532</v>
      </c>
      <c r="S338" s="1">
        <v>41051</v>
      </c>
      <c r="T338" s="1">
        <v>41051</v>
      </c>
      <c r="U338" s="1">
        <v>6083</v>
      </c>
      <c r="V338" s="1">
        <v>1</v>
      </c>
      <c r="W338" s="1">
        <v>0</v>
      </c>
    </row>
    <row r="339">
      <c r="A339" s="1">
        <v>2018</v>
      </c>
      <c r="B339" s="1">
        <v>41</v>
      </c>
      <c r="C339" t="s">
        <v>3</v>
      </c>
      <c r="D339" s="1">
        <v>51</v>
      </c>
      <c r="E339" t="s">
        <v>6</v>
      </c>
      <c r="F339" s="1">
        <v>6</v>
      </c>
      <c r="G339" t="s">
        <v>11</v>
      </c>
      <c r="H339" s="1">
        <v>85</v>
      </c>
      <c r="I339" t="s">
        <v>74</v>
      </c>
      <c r="J339" s="1">
        <v>162</v>
      </c>
      <c r="K339" s="1">
        <v>245</v>
      </c>
      <c r="L339" s="1">
        <v>15599</v>
      </c>
      <c r="M339" s="1">
        <v>29470</v>
      </c>
      <c r="N339" s="1">
        <v>47084</v>
      </c>
      <c r="O339" s="1">
        <v>1984456</v>
      </c>
      <c r="P339" s="1">
        <v>336898</v>
      </c>
      <c r="Q339" s="1">
        <v>618173</v>
      </c>
      <c r="R339" s="1">
        <v>27842532</v>
      </c>
      <c r="S339" s="1">
        <v>41051</v>
      </c>
      <c r="T339" s="1">
        <v>41051</v>
      </c>
      <c r="U339" s="1">
        <v>6085</v>
      </c>
      <c r="V339" s="1">
        <v>1</v>
      </c>
      <c r="W339" s="1">
        <v>0</v>
      </c>
    </row>
    <row r="340">
      <c r="A340" s="1">
        <v>2018</v>
      </c>
      <c r="B340" s="1">
        <v>41</v>
      </c>
      <c r="C340" t="s">
        <v>3</v>
      </c>
      <c r="D340" s="1">
        <v>51</v>
      </c>
      <c r="E340" t="s">
        <v>6</v>
      </c>
      <c r="F340" s="1">
        <v>6</v>
      </c>
      <c r="G340" t="s">
        <v>11</v>
      </c>
      <c r="H340" s="1">
        <v>87</v>
      </c>
      <c r="I340" t="s">
        <v>75</v>
      </c>
      <c r="J340" s="1">
        <v>42</v>
      </c>
      <c r="K340" s="1">
        <v>51</v>
      </c>
      <c r="L340" s="1">
        <v>2448</v>
      </c>
      <c r="M340" s="1">
        <v>29470</v>
      </c>
      <c r="N340" s="1">
        <v>47084</v>
      </c>
      <c r="O340" s="1">
        <v>1984456</v>
      </c>
      <c r="P340" s="1">
        <v>336898</v>
      </c>
      <c r="Q340" s="1">
        <v>618173</v>
      </c>
      <c r="R340" s="1">
        <v>27842532</v>
      </c>
      <c r="S340" s="1">
        <v>41051</v>
      </c>
      <c r="T340" s="1">
        <v>41051</v>
      </c>
      <c r="U340" s="1">
        <v>6087</v>
      </c>
      <c r="V340" s="1">
        <v>1</v>
      </c>
      <c r="W340" s="1">
        <v>0</v>
      </c>
    </row>
    <row r="341">
      <c r="A341" s="1">
        <v>2018</v>
      </c>
      <c r="B341" s="1">
        <v>41</v>
      </c>
      <c r="C341" t="s">
        <v>3</v>
      </c>
      <c r="D341" s="1">
        <v>51</v>
      </c>
      <c r="E341" t="s">
        <v>6</v>
      </c>
      <c r="F341" s="1">
        <v>6</v>
      </c>
      <c r="G341" t="s">
        <v>11</v>
      </c>
      <c r="H341" s="1">
        <v>97</v>
      </c>
      <c r="I341" t="s">
        <v>77</v>
      </c>
      <c r="J341" s="1">
        <v>50</v>
      </c>
      <c r="K341" s="1">
        <v>71</v>
      </c>
      <c r="L341" s="1">
        <v>3496</v>
      </c>
      <c r="M341" s="1">
        <v>29470</v>
      </c>
      <c r="N341" s="1">
        <v>47084</v>
      </c>
      <c r="O341" s="1">
        <v>1984456</v>
      </c>
      <c r="P341" s="1">
        <v>336898</v>
      </c>
      <c r="Q341" s="1">
        <v>618173</v>
      </c>
      <c r="R341" s="1">
        <v>27842532</v>
      </c>
      <c r="S341" s="1">
        <v>41051</v>
      </c>
      <c r="T341" s="1">
        <v>41051</v>
      </c>
      <c r="U341" s="1">
        <v>6097</v>
      </c>
      <c r="V341" s="1">
        <v>1</v>
      </c>
      <c r="W341" s="1">
        <v>0</v>
      </c>
    </row>
    <row r="342">
      <c r="A342" s="1">
        <v>2018</v>
      </c>
      <c r="B342" s="1">
        <v>41</v>
      </c>
      <c r="C342" t="s">
        <v>3</v>
      </c>
      <c r="D342" s="1">
        <v>51</v>
      </c>
      <c r="E342" t="s">
        <v>6</v>
      </c>
      <c r="F342" s="1">
        <v>6</v>
      </c>
      <c r="G342" t="s">
        <v>11</v>
      </c>
      <c r="H342" s="1">
        <v>111</v>
      </c>
      <c r="I342" t="s">
        <v>78</v>
      </c>
      <c r="J342" s="1">
        <v>61</v>
      </c>
      <c r="K342" s="1">
        <v>84</v>
      </c>
      <c r="L342" s="1">
        <v>4243</v>
      </c>
      <c r="M342" s="1">
        <v>29470</v>
      </c>
      <c r="N342" s="1">
        <v>47084</v>
      </c>
      <c r="O342" s="1">
        <v>1984456</v>
      </c>
      <c r="P342" s="1">
        <v>336898</v>
      </c>
      <c r="Q342" s="1">
        <v>618173</v>
      </c>
      <c r="R342" s="1">
        <v>27842532</v>
      </c>
      <c r="S342" s="1">
        <v>41051</v>
      </c>
      <c r="T342" s="1">
        <v>41051</v>
      </c>
      <c r="U342" s="1">
        <v>6111</v>
      </c>
      <c r="V342" s="1">
        <v>1</v>
      </c>
      <c r="W342" s="1">
        <v>0</v>
      </c>
    </row>
    <row r="343">
      <c r="A343" s="1">
        <v>2018</v>
      </c>
      <c r="B343" s="1">
        <v>41</v>
      </c>
      <c r="C343" t="s">
        <v>3</v>
      </c>
      <c r="D343" s="1">
        <v>51</v>
      </c>
      <c r="E343" t="s">
        <v>6</v>
      </c>
      <c r="F343" s="1">
        <v>8</v>
      </c>
      <c r="G343" t="s">
        <v>12</v>
      </c>
      <c r="H343" s="1">
        <v>1</v>
      </c>
      <c r="I343" t="s">
        <v>225</v>
      </c>
      <c r="J343" s="1">
        <v>20</v>
      </c>
      <c r="K343" s="1">
        <v>26</v>
      </c>
      <c r="L343" s="1">
        <v>947</v>
      </c>
      <c r="M343" s="1">
        <v>29470</v>
      </c>
      <c r="N343" s="1">
        <v>47084</v>
      </c>
      <c r="O343" s="1">
        <v>1984456</v>
      </c>
      <c r="P343" s="1">
        <v>336898</v>
      </c>
      <c r="Q343" s="1">
        <v>618173</v>
      </c>
      <c r="R343" s="1">
        <v>27842532</v>
      </c>
      <c r="S343" s="1">
        <v>41051</v>
      </c>
      <c r="T343" s="1">
        <v>41051</v>
      </c>
      <c r="U343" s="1">
        <v>8001</v>
      </c>
      <c r="V343" s="1">
        <v>1</v>
      </c>
      <c r="W343" s="1">
        <v>0</v>
      </c>
    </row>
    <row r="344">
      <c r="A344" s="1">
        <v>2018</v>
      </c>
      <c r="B344" s="1">
        <v>41</v>
      </c>
      <c r="C344" t="s">
        <v>3</v>
      </c>
      <c r="D344" s="1">
        <v>51</v>
      </c>
      <c r="E344" t="s">
        <v>6</v>
      </c>
      <c r="F344" s="1">
        <v>8</v>
      </c>
      <c r="G344" t="s">
        <v>12</v>
      </c>
      <c r="H344" s="1">
        <v>5</v>
      </c>
      <c r="I344" t="s">
        <v>79</v>
      </c>
      <c r="J344" s="1">
        <v>50</v>
      </c>
      <c r="K344" s="1">
        <v>71</v>
      </c>
      <c r="L344" s="1">
        <v>2342</v>
      </c>
      <c r="M344" s="1">
        <v>29470</v>
      </c>
      <c r="N344" s="1">
        <v>47084</v>
      </c>
      <c r="O344" s="1">
        <v>1984456</v>
      </c>
      <c r="P344" s="1">
        <v>336898</v>
      </c>
      <c r="Q344" s="1">
        <v>618173</v>
      </c>
      <c r="R344" s="1">
        <v>27842532</v>
      </c>
      <c r="S344" s="1">
        <v>41051</v>
      </c>
      <c r="T344" s="1">
        <v>41051</v>
      </c>
      <c r="U344" s="1">
        <v>8005</v>
      </c>
      <c r="V344" s="1">
        <v>1</v>
      </c>
      <c r="W344" s="1">
        <v>0</v>
      </c>
    </row>
    <row r="345">
      <c r="A345" s="1">
        <v>2018</v>
      </c>
      <c r="B345" s="1">
        <v>41</v>
      </c>
      <c r="C345" t="s">
        <v>3</v>
      </c>
      <c r="D345" s="1">
        <v>51</v>
      </c>
      <c r="E345" t="s">
        <v>6</v>
      </c>
      <c r="F345" s="1">
        <v>8</v>
      </c>
      <c r="G345" t="s">
        <v>12</v>
      </c>
      <c r="H345" s="1">
        <v>13</v>
      </c>
      <c r="I345" t="s">
        <v>80</v>
      </c>
      <c r="J345" s="1">
        <v>56</v>
      </c>
      <c r="K345" s="1">
        <v>69</v>
      </c>
      <c r="L345" s="1">
        <v>3106</v>
      </c>
      <c r="M345" s="1">
        <v>29470</v>
      </c>
      <c r="N345" s="1">
        <v>47084</v>
      </c>
      <c r="O345" s="1">
        <v>1984456</v>
      </c>
      <c r="P345" s="1">
        <v>336898</v>
      </c>
      <c r="Q345" s="1">
        <v>618173</v>
      </c>
      <c r="R345" s="1">
        <v>27842532</v>
      </c>
      <c r="S345" s="1">
        <v>41051</v>
      </c>
      <c r="T345" s="1">
        <v>41051</v>
      </c>
      <c r="U345" s="1">
        <v>8013</v>
      </c>
      <c r="V345" s="1">
        <v>1</v>
      </c>
      <c r="W345" s="1">
        <v>0</v>
      </c>
    </row>
    <row r="346">
      <c r="A346" s="1">
        <v>2018</v>
      </c>
      <c r="B346" s="1">
        <v>41</v>
      </c>
      <c r="C346" t="s">
        <v>3</v>
      </c>
      <c r="D346" s="1">
        <v>51</v>
      </c>
      <c r="E346" t="s">
        <v>6</v>
      </c>
      <c r="F346" s="1">
        <v>8</v>
      </c>
      <c r="G346" t="s">
        <v>12</v>
      </c>
      <c r="H346" s="1">
        <v>31</v>
      </c>
      <c r="I346" t="s">
        <v>81</v>
      </c>
      <c r="J346" s="1">
        <v>163</v>
      </c>
      <c r="K346" s="1">
        <v>222</v>
      </c>
      <c r="L346" s="1">
        <v>11158</v>
      </c>
      <c r="M346" s="1">
        <v>29470</v>
      </c>
      <c r="N346" s="1">
        <v>47084</v>
      </c>
      <c r="O346" s="1">
        <v>1984456</v>
      </c>
      <c r="P346" s="1">
        <v>336898</v>
      </c>
      <c r="Q346" s="1">
        <v>618173</v>
      </c>
      <c r="R346" s="1">
        <v>27842532</v>
      </c>
      <c r="S346" s="1">
        <v>41051</v>
      </c>
      <c r="T346" s="1">
        <v>41051</v>
      </c>
      <c r="U346" s="1">
        <v>8031</v>
      </c>
      <c r="V346" s="1">
        <v>1</v>
      </c>
      <c r="W346" s="1">
        <v>0</v>
      </c>
    </row>
    <row r="347">
      <c r="A347" s="1">
        <v>2018</v>
      </c>
      <c r="B347" s="1">
        <v>41</v>
      </c>
      <c r="C347" t="s">
        <v>3</v>
      </c>
      <c r="D347" s="1">
        <v>51</v>
      </c>
      <c r="E347" t="s">
        <v>6</v>
      </c>
      <c r="F347" s="1">
        <v>8</v>
      </c>
      <c r="G347" t="s">
        <v>12</v>
      </c>
      <c r="H347" s="1">
        <v>41</v>
      </c>
      <c r="I347" t="s">
        <v>82</v>
      </c>
      <c r="J347" s="1">
        <v>46</v>
      </c>
      <c r="K347" s="1">
        <v>55</v>
      </c>
      <c r="L347" s="1">
        <v>1892</v>
      </c>
      <c r="M347" s="1">
        <v>29470</v>
      </c>
      <c r="N347" s="1">
        <v>47084</v>
      </c>
      <c r="O347" s="1">
        <v>1984456</v>
      </c>
      <c r="P347" s="1">
        <v>336898</v>
      </c>
      <c r="Q347" s="1">
        <v>618173</v>
      </c>
      <c r="R347" s="1">
        <v>27842532</v>
      </c>
      <c r="S347" s="1">
        <v>41051</v>
      </c>
      <c r="T347" s="1">
        <v>41051</v>
      </c>
      <c r="U347" s="1">
        <v>8041</v>
      </c>
      <c r="V347" s="1">
        <v>1</v>
      </c>
      <c r="W347" s="1">
        <v>0</v>
      </c>
    </row>
    <row r="348">
      <c r="A348" s="1">
        <v>2018</v>
      </c>
      <c r="B348" s="1">
        <v>41</v>
      </c>
      <c r="C348" t="s">
        <v>3</v>
      </c>
      <c r="D348" s="1">
        <v>51</v>
      </c>
      <c r="E348" t="s">
        <v>6</v>
      </c>
      <c r="F348" s="1">
        <v>8</v>
      </c>
      <c r="G348" t="s">
        <v>12</v>
      </c>
      <c r="H348" s="1">
        <v>59</v>
      </c>
      <c r="I348" t="s">
        <v>83</v>
      </c>
      <c r="J348" s="1">
        <v>34</v>
      </c>
      <c r="K348" s="1">
        <v>50</v>
      </c>
      <c r="L348" s="1">
        <v>2246</v>
      </c>
      <c r="M348" s="1">
        <v>29470</v>
      </c>
      <c r="N348" s="1">
        <v>47084</v>
      </c>
      <c r="O348" s="1">
        <v>1984456</v>
      </c>
      <c r="P348" s="1">
        <v>336898</v>
      </c>
      <c r="Q348" s="1">
        <v>618173</v>
      </c>
      <c r="R348" s="1">
        <v>27842532</v>
      </c>
      <c r="S348" s="1">
        <v>41051</v>
      </c>
      <c r="T348" s="1">
        <v>41051</v>
      </c>
      <c r="U348" s="1">
        <v>8059</v>
      </c>
      <c r="V348" s="1">
        <v>1</v>
      </c>
      <c r="W348" s="1">
        <v>0</v>
      </c>
    </row>
    <row r="349">
      <c r="A349" s="1">
        <v>2018</v>
      </c>
      <c r="B349" s="1">
        <v>41</v>
      </c>
      <c r="C349" t="s">
        <v>3</v>
      </c>
      <c r="D349" s="1">
        <v>51</v>
      </c>
      <c r="E349" t="s">
        <v>6</v>
      </c>
      <c r="F349" s="1">
        <v>8</v>
      </c>
      <c r="G349" t="s">
        <v>12</v>
      </c>
      <c r="H349" s="1">
        <v>69</v>
      </c>
      <c r="I349" t="s">
        <v>84</v>
      </c>
      <c r="J349" s="1">
        <v>26</v>
      </c>
      <c r="K349" s="1">
        <v>39</v>
      </c>
      <c r="L349" s="1">
        <v>1956</v>
      </c>
      <c r="M349" s="1">
        <v>29470</v>
      </c>
      <c r="N349" s="1">
        <v>47084</v>
      </c>
      <c r="O349" s="1">
        <v>1984456</v>
      </c>
      <c r="P349" s="1">
        <v>336898</v>
      </c>
      <c r="Q349" s="1">
        <v>618173</v>
      </c>
      <c r="R349" s="1">
        <v>27842532</v>
      </c>
      <c r="S349" s="1">
        <v>41051</v>
      </c>
      <c r="T349" s="1">
        <v>41051</v>
      </c>
      <c r="U349" s="1">
        <v>8069</v>
      </c>
      <c r="V349" s="1">
        <v>1</v>
      </c>
      <c r="W349" s="1">
        <v>0</v>
      </c>
    </row>
    <row r="350">
      <c r="A350" s="1">
        <v>2018</v>
      </c>
      <c r="B350" s="1">
        <v>41</v>
      </c>
      <c r="C350" t="s">
        <v>3</v>
      </c>
      <c r="D350" s="1">
        <v>51</v>
      </c>
      <c r="E350" t="s">
        <v>6</v>
      </c>
      <c r="F350" s="1">
        <v>11</v>
      </c>
      <c r="G350" t="s">
        <v>14</v>
      </c>
      <c r="H350" s="1">
        <v>1</v>
      </c>
      <c r="I350" t="s">
        <v>14</v>
      </c>
      <c r="J350" s="1">
        <v>69</v>
      </c>
      <c r="K350" s="1">
        <v>82</v>
      </c>
      <c r="L350" s="1">
        <v>4448</v>
      </c>
      <c r="M350" s="1">
        <v>29470</v>
      </c>
      <c r="N350" s="1">
        <v>47084</v>
      </c>
      <c r="O350" s="1">
        <v>1984456</v>
      </c>
      <c r="P350" s="1">
        <v>336898</v>
      </c>
      <c r="Q350" s="1">
        <v>618173</v>
      </c>
      <c r="R350" s="1">
        <v>27842532</v>
      </c>
      <c r="S350" s="1">
        <v>41051</v>
      </c>
      <c r="T350" s="1">
        <v>41051</v>
      </c>
      <c r="U350" s="1">
        <v>11001</v>
      </c>
      <c r="V350" s="1">
        <v>1</v>
      </c>
      <c r="W350" s="1">
        <v>0</v>
      </c>
    </row>
    <row r="351">
      <c r="A351" s="1">
        <v>2018</v>
      </c>
      <c r="B351" s="1">
        <v>41</v>
      </c>
      <c r="C351" t="s">
        <v>3</v>
      </c>
      <c r="D351" s="1">
        <v>51</v>
      </c>
      <c r="E351" t="s">
        <v>6</v>
      </c>
      <c r="F351" s="1">
        <v>12</v>
      </c>
      <c r="G351" t="s">
        <v>15</v>
      </c>
      <c r="H351" s="1">
        <v>11</v>
      </c>
      <c r="I351" t="s">
        <v>183</v>
      </c>
      <c r="J351" s="1">
        <v>28</v>
      </c>
      <c r="K351" s="1">
        <v>48</v>
      </c>
      <c r="L351" s="1">
        <v>1547</v>
      </c>
      <c r="M351" s="1">
        <v>29470</v>
      </c>
      <c r="N351" s="1">
        <v>47084</v>
      </c>
      <c r="O351" s="1">
        <v>1984456</v>
      </c>
      <c r="P351" s="1">
        <v>336898</v>
      </c>
      <c r="Q351" s="1">
        <v>618173</v>
      </c>
      <c r="R351" s="1">
        <v>27842532</v>
      </c>
      <c r="S351" s="1">
        <v>41051</v>
      </c>
      <c r="T351" s="1">
        <v>41051</v>
      </c>
      <c r="U351" s="1">
        <v>12011</v>
      </c>
      <c r="V351" s="1">
        <v>1</v>
      </c>
      <c r="W351" s="1">
        <v>0</v>
      </c>
    </row>
    <row r="352">
      <c r="A352" s="1">
        <v>2018</v>
      </c>
      <c r="B352" s="1">
        <v>41</v>
      </c>
      <c r="C352" t="s">
        <v>3</v>
      </c>
      <c r="D352" s="1">
        <v>51</v>
      </c>
      <c r="E352" t="s">
        <v>6</v>
      </c>
      <c r="F352" s="1">
        <v>12</v>
      </c>
      <c r="G352" t="s">
        <v>15</v>
      </c>
      <c r="H352" s="1">
        <v>57</v>
      </c>
      <c r="I352" t="s">
        <v>86</v>
      </c>
      <c r="J352" s="1">
        <v>40</v>
      </c>
      <c r="K352" s="1">
        <v>66</v>
      </c>
      <c r="L352" s="1">
        <v>1746</v>
      </c>
      <c r="M352" s="1">
        <v>29470</v>
      </c>
      <c r="N352" s="1">
        <v>47084</v>
      </c>
      <c r="O352" s="1">
        <v>1984456</v>
      </c>
      <c r="P352" s="1">
        <v>336898</v>
      </c>
      <c r="Q352" s="1">
        <v>618173</v>
      </c>
      <c r="R352" s="1">
        <v>27842532</v>
      </c>
      <c r="S352" s="1">
        <v>41051</v>
      </c>
      <c r="T352" s="1">
        <v>41051</v>
      </c>
      <c r="U352" s="1">
        <v>12057</v>
      </c>
      <c r="V352" s="1">
        <v>1</v>
      </c>
      <c r="W352" s="1">
        <v>0</v>
      </c>
    </row>
    <row r="353">
      <c r="A353" s="1">
        <v>2018</v>
      </c>
      <c r="B353" s="1">
        <v>41</v>
      </c>
      <c r="C353" t="s">
        <v>3</v>
      </c>
      <c r="D353" s="1">
        <v>51</v>
      </c>
      <c r="E353" t="s">
        <v>6</v>
      </c>
      <c r="F353" s="1">
        <v>12</v>
      </c>
      <c r="G353" t="s">
        <v>15</v>
      </c>
      <c r="H353" s="1">
        <v>86</v>
      </c>
      <c r="I353" t="s">
        <v>87</v>
      </c>
      <c r="J353" s="1">
        <v>44</v>
      </c>
      <c r="K353" s="1">
        <v>57</v>
      </c>
      <c r="L353" s="1">
        <v>2383</v>
      </c>
      <c r="M353" s="1">
        <v>29470</v>
      </c>
      <c r="N353" s="1">
        <v>47084</v>
      </c>
      <c r="O353" s="1">
        <v>1984456</v>
      </c>
      <c r="P353" s="1">
        <v>336898</v>
      </c>
      <c r="Q353" s="1">
        <v>618173</v>
      </c>
      <c r="R353" s="1">
        <v>27842532</v>
      </c>
      <c r="S353" s="1">
        <v>41051</v>
      </c>
      <c r="T353" s="1">
        <v>41051</v>
      </c>
      <c r="U353" s="1">
        <v>12086</v>
      </c>
      <c r="V353" s="1">
        <v>1</v>
      </c>
      <c r="W353" s="1">
        <v>0</v>
      </c>
    </row>
    <row r="354">
      <c r="A354" s="1">
        <v>2018</v>
      </c>
      <c r="B354" s="1">
        <v>41</v>
      </c>
      <c r="C354" t="s">
        <v>3</v>
      </c>
      <c r="D354" s="1">
        <v>51</v>
      </c>
      <c r="E354" t="s">
        <v>6</v>
      </c>
      <c r="F354" s="1">
        <v>12</v>
      </c>
      <c r="G354" t="s">
        <v>15</v>
      </c>
      <c r="H354" s="1">
        <v>95</v>
      </c>
      <c r="I354" t="s">
        <v>64</v>
      </c>
      <c r="J354" s="1">
        <v>30</v>
      </c>
      <c r="K354" s="1">
        <v>45</v>
      </c>
      <c r="L354" s="1">
        <v>1750</v>
      </c>
      <c r="M354" s="1">
        <v>29470</v>
      </c>
      <c r="N354" s="1">
        <v>47084</v>
      </c>
      <c r="O354" s="1">
        <v>1984456</v>
      </c>
      <c r="P354" s="1">
        <v>336898</v>
      </c>
      <c r="Q354" s="1">
        <v>618173</v>
      </c>
      <c r="R354" s="1">
        <v>27842532</v>
      </c>
      <c r="S354" s="1">
        <v>41051</v>
      </c>
      <c r="T354" s="1">
        <v>41051</v>
      </c>
      <c r="U354" s="1">
        <v>12095</v>
      </c>
      <c r="V354" s="1">
        <v>1</v>
      </c>
      <c r="W354" s="1">
        <v>0</v>
      </c>
    </row>
    <row r="355">
      <c r="A355" s="1">
        <v>2018</v>
      </c>
      <c r="B355" s="1">
        <v>41</v>
      </c>
      <c r="C355" t="s">
        <v>3</v>
      </c>
      <c r="D355" s="1">
        <v>51</v>
      </c>
      <c r="E355" t="s">
        <v>6</v>
      </c>
      <c r="F355" s="1">
        <v>12</v>
      </c>
      <c r="G355" t="s">
        <v>15</v>
      </c>
      <c r="H355" s="1">
        <v>99</v>
      </c>
      <c r="I355" t="s">
        <v>88</v>
      </c>
      <c r="J355" s="1">
        <v>26</v>
      </c>
      <c r="K355" s="1">
        <v>37</v>
      </c>
      <c r="L355" s="1">
        <v>1439</v>
      </c>
      <c r="M355" s="1">
        <v>29470</v>
      </c>
      <c r="N355" s="1">
        <v>47084</v>
      </c>
      <c r="O355" s="1">
        <v>1984456</v>
      </c>
      <c r="P355" s="1">
        <v>336898</v>
      </c>
      <c r="Q355" s="1">
        <v>618173</v>
      </c>
      <c r="R355" s="1">
        <v>27842532</v>
      </c>
      <c r="S355" s="1">
        <v>41051</v>
      </c>
      <c r="T355" s="1">
        <v>41051</v>
      </c>
      <c r="U355" s="1">
        <v>12099</v>
      </c>
      <c r="V355" s="1">
        <v>1</v>
      </c>
      <c r="W355" s="1">
        <v>0</v>
      </c>
    </row>
    <row r="356">
      <c r="A356" s="1">
        <v>2018</v>
      </c>
      <c r="B356" s="1">
        <v>41</v>
      </c>
      <c r="C356" t="s">
        <v>3</v>
      </c>
      <c r="D356" s="1">
        <v>51</v>
      </c>
      <c r="E356" t="s">
        <v>6</v>
      </c>
      <c r="F356" s="1">
        <v>12</v>
      </c>
      <c r="G356" t="s">
        <v>15</v>
      </c>
      <c r="H356" s="1">
        <v>103</v>
      </c>
      <c r="I356" t="s">
        <v>89</v>
      </c>
      <c r="J356" s="1">
        <v>51</v>
      </c>
      <c r="K356" s="1">
        <v>77</v>
      </c>
      <c r="L356" s="1">
        <v>2405</v>
      </c>
      <c r="M356" s="1">
        <v>29470</v>
      </c>
      <c r="N356" s="1">
        <v>47084</v>
      </c>
      <c r="O356" s="1">
        <v>1984456</v>
      </c>
      <c r="P356" s="1">
        <v>336898</v>
      </c>
      <c r="Q356" s="1">
        <v>618173</v>
      </c>
      <c r="R356" s="1">
        <v>27842532</v>
      </c>
      <c r="S356" s="1">
        <v>41051</v>
      </c>
      <c r="T356" s="1">
        <v>41051</v>
      </c>
      <c r="U356" s="1">
        <v>12103</v>
      </c>
      <c r="V356" s="1">
        <v>1</v>
      </c>
      <c r="W356" s="1">
        <v>0</v>
      </c>
    </row>
    <row r="357">
      <c r="A357" s="1">
        <v>2018</v>
      </c>
      <c r="B357" s="1">
        <v>41</v>
      </c>
      <c r="C357" t="s">
        <v>3</v>
      </c>
      <c r="D357" s="1">
        <v>51</v>
      </c>
      <c r="E357" t="s">
        <v>6</v>
      </c>
      <c r="F357" s="1">
        <v>13</v>
      </c>
      <c r="G357" t="s">
        <v>16</v>
      </c>
      <c r="H357" s="1">
        <v>89</v>
      </c>
      <c r="I357" t="s">
        <v>90</v>
      </c>
      <c r="J357" s="1">
        <v>22</v>
      </c>
      <c r="K357" s="1">
        <v>36</v>
      </c>
      <c r="L357" s="1">
        <v>1455</v>
      </c>
      <c r="M357" s="1">
        <v>29470</v>
      </c>
      <c r="N357" s="1">
        <v>47084</v>
      </c>
      <c r="O357" s="1">
        <v>1984456</v>
      </c>
      <c r="P357" s="1">
        <v>336898</v>
      </c>
      <c r="Q357" s="1">
        <v>618173</v>
      </c>
      <c r="R357" s="1">
        <v>27842532</v>
      </c>
      <c r="S357" s="1">
        <v>41051</v>
      </c>
      <c r="T357" s="1">
        <v>41051</v>
      </c>
      <c r="U357" s="1">
        <v>13089</v>
      </c>
      <c r="V357" s="1">
        <v>1</v>
      </c>
      <c r="W357" s="1">
        <v>0</v>
      </c>
    </row>
    <row r="358">
      <c r="A358" s="1">
        <v>2018</v>
      </c>
      <c r="B358" s="1">
        <v>41</v>
      </c>
      <c r="C358" t="s">
        <v>3</v>
      </c>
      <c r="D358" s="1">
        <v>51</v>
      </c>
      <c r="E358" t="s">
        <v>6</v>
      </c>
      <c r="F358" s="1">
        <v>13</v>
      </c>
      <c r="G358" t="s">
        <v>16</v>
      </c>
      <c r="H358" s="1">
        <v>121</v>
      </c>
      <c r="I358" t="s">
        <v>91</v>
      </c>
      <c r="J358" s="1">
        <v>39</v>
      </c>
      <c r="K358" s="1">
        <v>54</v>
      </c>
      <c r="L358" s="1">
        <v>2415</v>
      </c>
      <c r="M358" s="1">
        <v>29470</v>
      </c>
      <c r="N358" s="1">
        <v>47084</v>
      </c>
      <c r="O358" s="1">
        <v>1984456</v>
      </c>
      <c r="P358" s="1">
        <v>336898</v>
      </c>
      <c r="Q358" s="1">
        <v>618173</v>
      </c>
      <c r="R358" s="1">
        <v>27842532</v>
      </c>
      <c r="S358" s="1">
        <v>41051</v>
      </c>
      <c r="T358" s="1">
        <v>41051</v>
      </c>
      <c r="U358" s="1">
        <v>13121</v>
      </c>
      <c r="V358" s="1">
        <v>1</v>
      </c>
      <c r="W358" s="1">
        <v>0</v>
      </c>
    </row>
    <row r="359">
      <c r="A359" s="1">
        <v>2018</v>
      </c>
      <c r="B359" s="1">
        <v>41</v>
      </c>
      <c r="C359" t="s">
        <v>3</v>
      </c>
      <c r="D359" s="1">
        <v>51</v>
      </c>
      <c r="E359" t="s">
        <v>6</v>
      </c>
      <c r="F359" s="1">
        <v>15</v>
      </c>
      <c r="G359" t="s">
        <v>17</v>
      </c>
      <c r="H359" s="1">
        <v>1</v>
      </c>
      <c r="I359" t="s">
        <v>92</v>
      </c>
      <c r="J359" s="1">
        <v>56</v>
      </c>
      <c r="K359" s="1">
        <v>86</v>
      </c>
      <c r="L359" s="1">
        <v>3092</v>
      </c>
      <c r="M359" s="1">
        <v>29470</v>
      </c>
      <c r="N359" s="1">
        <v>47084</v>
      </c>
      <c r="O359" s="1">
        <v>1984456</v>
      </c>
      <c r="P359" s="1">
        <v>336898</v>
      </c>
      <c r="Q359" s="1">
        <v>618173</v>
      </c>
      <c r="R359" s="1">
        <v>27842532</v>
      </c>
      <c r="S359" s="1">
        <v>41051</v>
      </c>
      <c r="T359" s="1">
        <v>41051</v>
      </c>
      <c r="U359" s="1">
        <v>15001</v>
      </c>
      <c r="V359" s="1">
        <v>1</v>
      </c>
      <c r="W359" s="1">
        <v>0</v>
      </c>
    </row>
    <row r="360">
      <c r="A360" s="1">
        <v>2018</v>
      </c>
      <c r="B360" s="1">
        <v>41</v>
      </c>
      <c r="C360" t="s">
        <v>3</v>
      </c>
      <c r="D360" s="1">
        <v>51</v>
      </c>
      <c r="E360" t="s">
        <v>6</v>
      </c>
      <c r="F360" s="1">
        <v>15</v>
      </c>
      <c r="G360" t="s">
        <v>17</v>
      </c>
      <c r="H360" s="1">
        <v>3</v>
      </c>
      <c r="I360" t="s">
        <v>93</v>
      </c>
      <c r="J360" s="1">
        <v>88</v>
      </c>
      <c r="K360" s="1">
        <v>128</v>
      </c>
      <c r="L360" s="1">
        <v>3508</v>
      </c>
      <c r="M360" s="1">
        <v>29470</v>
      </c>
      <c r="N360" s="1">
        <v>47084</v>
      </c>
      <c r="O360" s="1">
        <v>1984456</v>
      </c>
      <c r="P360" s="1">
        <v>336898</v>
      </c>
      <c r="Q360" s="1">
        <v>618173</v>
      </c>
      <c r="R360" s="1">
        <v>27842532</v>
      </c>
      <c r="S360" s="1">
        <v>41051</v>
      </c>
      <c r="T360" s="1">
        <v>41051</v>
      </c>
      <c r="U360" s="1">
        <v>15003</v>
      </c>
      <c r="V360" s="1">
        <v>1</v>
      </c>
      <c r="W360" s="1">
        <v>0</v>
      </c>
    </row>
    <row r="361">
      <c r="A361" s="1">
        <v>2018</v>
      </c>
      <c r="B361" s="1">
        <v>41</v>
      </c>
      <c r="C361" t="s">
        <v>3</v>
      </c>
      <c r="D361" s="1">
        <v>51</v>
      </c>
      <c r="E361" t="s">
        <v>6</v>
      </c>
      <c r="F361" s="1">
        <v>15</v>
      </c>
      <c r="G361" t="s">
        <v>17</v>
      </c>
      <c r="H361" s="1">
        <v>9</v>
      </c>
      <c r="I361" t="s">
        <v>94</v>
      </c>
      <c r="J361" s="1">
        <v>43</v>
      </c>
      <c r="K361" s="1">
        <v>70</v>
      </c>
      <c r="L361" s="1">
        <v>2931</v>
      </c>
      <c r="M361" s="1">
        <v>29470</v>
      </c>
      <c r="N361" s="1">
        <v>47084</v>
      </c>
      <c r="O361" s="1">
        <v>1984456</v>
      </c>
      <c r="P361" s="1">
        <v>336898</v>
      </c>
      <c r="Q361" s="1">
        <v>618173</v>
      </c>
      <c r="R361" s="1">
        <v>27842532</v>
      </c>
      <c r="S361" s="1">
        <v>41051</v>
      </c>
      <c r="T361" s="1">
        <v>41051</v>
      </c>
      <c r="U361" s="1">
        <v>15009</v>
      </c>
      <c r="V361" s="1">
        <v>1</v>
      </c>
      <c r="W361" s="1">
        <v>0</v>
      </c>
    </row>
    <row r="362">
      <c r="A362" s="1">
        <v>2018</v>
      </c>
      <c r="B362" s="1">
        <v>41</v>
      </c>
      <c r="C362" t="s">
        <v>3</v>
      </c>
      <c r="D362" s="1">
        <v>51</v>
      </c>
      <c r="E362" t="s">
        <v>6</v>
      </c>
      <c r="F362" s="1">
        <v>16</v>
      </c>
      <c r="G362" t="s">
        <v>18</v>
      </c>
      <c r="H362" s="1">
        <v>1</v>
      </c>
      <c r="I362" t="s">
        <v>95</v>
      </c>
      <c r="J362" s="1">
        <v>159</v>
      </c>
      <c r="K362" s="1">
        <v>273</v>
      </c>
      <c r="L362" s="1">
        <v>11054</v>
      </c>
      <c r="M362" s="1">
        <v>29470</v>
      </c>
      <c r="N362" s="1">
        <v>47084</v>
      </c>
      <c r="O362" s="1">
        <v>1984456</v>
      </c>
      <c r="P362" s="1">
        <v>336898</v>
      </c>
      <c r="Q362" s="1">
        <v>618173</v>
      </c>
      <c r="R362" s="1">
        <v>27842532</v>
      </c>
      <c r="S362" s="1">
        <v>41051</v>
      </c>
      <c r="T362" s="1">
        <v>41051</v>
      </c>
      <c r="U362" s="1">
        <v>16001</v>
      </c>
      <c r="V362" s="1">
        <v>1</v>
      </c>
      <c r="W362" s="1">
        <v>0</v>
      </c>
    </row>
    <row r="363">
      <c r="A363" s="1">
        <v>2018</v>
      </c>
      <c r="B363" s="1">
        <v>41</v>
      </c>
      <c r="C363" t="s">
        <v>3</v>
      </c>
      <c r="D363" s="1">
        <v>51</v>
      </c>
      <c r="E363" t="s">
        <v>6</v>
      </c>
      <c r="F363" s="1">
        <v>16</v>
      </c>
      <c r="G363" t="s">
        <v>18</v>
      </c>
      <c r="H363" s="1">
        <v>27</v>
      </c>
      <c r="I363" t="s">
        <v>96</v>
      </c>
      <c r="J363" s="1">
        <v>47</v>
      </c>
      <c r="K363" s="1">
        <v>97</v>
      </c>
      <c r="L363" s="1">
        <v>2620</v>
      </c>
      <c r="M363" s="1">
        <v>29470</v>
      </c>
      <c r="N363" s="1">
        <v>47084</v>
      </c>
      <c r="O363" s="1">
        <v>1984456</v>
      </c>
      <c r="P363" s="1">
        <v>336898</v>
      </c>
      <c r="Q363" s="1">
        <v>618173</v>
      </c>
      <c r="R363" s="1">
        <v>27842532</v>
      </c>
      <c r="S363" s="1">
        <v>41051</v>
      </c>
      <c r="T363" s="1">
        <v>41051</v>
      </c>
      <c r="U363" s="1">
        <v>16027</v>
      </c>
      <c r="V363" s="1">
        <v>1</v>
      </c>
      <c r="W363" s="1">
        <v>0</v>
      </c>
    </row>
    <row r="364">
      <c r="A364" s="1">
        <v>2018</v>
      </c>
      <c r="B364" s="1">
        <v>41</v>
      </c>
      <c r="C364" t="s">
        <v>3</v>
      </c>
      <c r="D364" s="1">
        <v>51</v>
      </c>
      <c r="E364" t="s">
        <v>6</v>
      </c>
      <c r="F364" s="1">
        <v>16</v>
      </c>
      <c r="G364" t="s">
        <v>18</v>
      </c>
      <c r="H364" s="1">
        <v>55</v>
      </c>
      <c r="I364" t="s">
        <v>97</v>
      </c>
      <c r="J364" s="1">
        <v>25</v>
      </c>
      <c r="K364" s="1">
        <v>40</v>
      </c>
      <c r="L364" s="1">
        <v>1562</v>
      </c>
      <c r="M364" s="1">
        <v>29470</v>
      </c>
      <c r="N364" s="1">
        <v>47084</v>
      </c>
      <c r="O364" s="1">
        <v>1984456</v>
      </c>
      <c r="P364" s="1">
        <v>336898</v>
      </c>
      <c r="Q364" s="1">
        <v>618173</v>
      </c>
      <c r="R364" s="1">
        <v>27842532</v>
      </c>
      <c r="S364" s="1">
        <v>41051</v>
      </c>
      <c r="T364" s="1">
        <v>41051</v>
      </c>
      <c r="U364" s="1">
        <v>16055</v>
      </c>
      <c r="V364" s="1">
        <v>1</v>
      </c>
      <c r="W364" s="1">
        <v>0</v>
      </c>
    </row>
    <row r="365">
      <c r="A365" s="1">
        <v>2018</v>
      </c>
      <c r="B365" s="1">
        <v>41</v>
      </c>
      <c r="C365" t="s">
        <v>3</v>
      </c>
      <c r="D365" s="1">
        <v>51</v>
      </c>
      <c r="E365" t="s">
        <v>6</v>
      </c>
      <c r="F365" s="1">
        <v>17</v>
      </c>
      <c r="G365" t="s">
        <v>19</v>
      </c>
      <c r="H365" s="1">
        <v>31</v>
      </c>
      <c r="I365" t="s">
        <v>98</v>
      </c>
      <c r="J365" s="1">
        <v>197</v>
      </c>
      <c r="K365" s="1">
        <v>252</v>
      </c>
      <c r="L365" s="1">
        <v>12770</v>
      </c>
      <c r="M365" s="1">
        <v>29470</v>
      </c>
      <c r="N365" s="1">
        <v>47084</v>
      </c>
      <c r="O365" s="1">
        <v>1984456</v>
      </c>
      <c r="P365" s="1">
        <v>336898</v>
      </c>
      <c r="Q365" s="1">
        <v>618173</v>
      </c>
      <c r="R365" s="1">
        <v>27842532</v>
      </c>
      <c r="S365" s="1">
        <v>41051</v>
      </c>
      <c r="T365" s="1">
        <v>41051</v>
      </c>
      <c r="U365" s="1">
        <v>17031</v>
      </c>
      <c r="V365" s="1">
        <v>1</v>
      </c>
      <c r="W365" s="1">
        <v>0</v>
      </c>
    </row>
    <row r="366">
      <c r="A366" s="1">
        <v>2018</v>
      </c>
      <c r="B366" s="1">
        <v>41</v>
      </c>
      <c r="C366" t="s">
        <v>3</v>
      </c>
      <c r="D366" s="1">
        <v>51</v>
      </c>
      <c r="E366" t="s">
        <v>6</v>
      </c>
      <c r="F366" s="1">
        <v>17</v>
      </c>
      <c r="G366" t="s">
        <v>19</v>
      </c>
      <c r="H366" s="1">
        <v>43</v>
      </c>
      <c r="I366" t="s">
        <v>187</v>
      </c>
      <c r="J366" s="1">
        <v>25</v>
      </c>
      <c r="K366" s="1">
        <v>37</v>
      </c>
      <c r="L366" s="1">
        <v>1357</v>
      </c>
      <c r="M366" s="1">
        <v>29470</v>
      </c>
      <c r="N366" s="1">
        <v>47084</v>
      </c>
      <c r="O366" s="1">
        <v>1984456</v>
      </c>
      <c r="P366" s="1">
        <v>336898</v>
      </c>
      <c r="Q366" s="1">
        <v>618173</v>
      </c>
      <c r="R366" s="1">
        <v>27842532</v>
      </c>
      <c r="S366" s="1">
        <v>41051</v>
      </c>
      <c r="T366" s="1">
        <v>41051</v>
      </c>
      <c r="U366" s="1">
        <v>17043</v>
      </c>
      <c r="V366" s="1">
        <v>1</v>
      </c>
      <c r="W366" s="1">
        <v>0</v>
      </c>
    </row>
    <row r="367">
      <c r="A367" s="1">
        <v>2018</v>
      </c>
      <c r="B367" s="1">
        <v>41</v>
      </c>
      <c r="C367" t="s">
        <v>3</v>
      </c>
      <c r="D367" s="1">
        <v>51</v>
      </c>
      <c r="E367" t="s">
        <v>6</v>
      </c>
      <c r="F367" s="1">
        <v>18</v>
      </c>
      <c r="G367" t="s">
        <v>20</v>
      </c>
      <c r="H367" s="1">
        <v>97</v>
      </c>
      <c r="I367" t="s">
        <v>99</v>
      </c>
      <c r="J367" s="1">
        <v>25</v>
      </c>
      <c r="K367" s="1">
        <v>41</v>
      </c>
      <c r="L367" s="1">
        <v>1253</v>
      </c>
      <c r="M367" s="1">
        <v>29470</v>
      </c>
      <c r="N367" s="1">
        <v>47084</v>
      </c>
      <c r="O367" s="1">
        <v>1984456</v>
      </c>
      <c r="P367" s="1">
        <v>336898</v>
      </c>
      <c r="Q367" s="1">
        <v>618173</v>
      </c>
      <c r="R367" s="1">
        <v>27842532</v>
      </c>
      <c r="S367" s="1">
        <v>41051</v>
      </c>
      <c r="T367" s="1">
        <v>41051</v>
      </c>
      <c r="U367" s="1">
        <v>18097</v>
      </c>
      <c r="V367" s="1">
        <v>1</v>
      </c>
      <c r="W367" s="1">
        <v>0</v>
      </c>
    </row>
    <row r="368">
      <c r="A368" s="1">
        <v>2018</v>
      </c>
      <c r="B368" s="1">
        <v>41</v>
      </c>
      <c r="C368" t="s">
        <v>3</v>
      </c>
      <c r="D368" s="1">
        <v>51</v>
      </c>
      <c r="E368" t="s">
        <v>6</v>
      </c>
      <c r="F368" s="1">
        <v>19</v>
      </c>
      <c r="G368" t="s">
        <v>21</v>
      </c>
      <c r="H368" s="1">
        <v>153</v>
      </c>
      <c r="I368" t="s">
        <v>100</v>
      </c>
      <c r="J368" s="1">
        <v>22</v>
      </c>
      <c r="K368" s="1">
        <v>47</v>
      </c>
      <c r="L368" s="1">
        <v>861</v>
      </c>
      <c r="M368" s="1">
        <v>29470</v>
      </c>
      <c r="N368" s="1">
        <v>47084</v>
      </c>
      <c r="O368" s="1">
        <v>1984456</v>
      </c>
      <c r="P368" s="1">
        <v>336898</v>
      </c>
      <c r="Q368" s="1">
        <v>618173</v>
      </c>
      <c r="R368" s="1">
        <v>27842532</v>
      </c>
      <c r="S368" s="1">
        <v>41051</v>
      </c>
      <c r="T368" s="1">
        <v>41051</v>
      </c>
      <c r="U368" s="1">
        <v>19153</v>
      </c>
      <c r="V368" s="1">
        <v>1</v>
      </c>
      <c r="W368" s="1">
        <v>0</v>
      </c>
    </row>
    <row r="369">
      <c r="A369" s="1">
        <v>2018</v>
      </c>
      <c r="B369" s="1">
        <v>41</v>
      </c>
      <c r="C369" t="s">
        <v>3</v>
      </c>
      <c r="D369" s="1">
        <v>51</v>
      </c>
      <c r="E369" t="s">
        <v>6</v>
      </c>
      <c r="F369" s="1">
        <v>22</v>
      </c>
      <c r="G369" t="s">
        <v>22</v>
      </c>
      <c r="H369" s="1">
        <v>71</v>
      </c>
      <c r="I369" t="s">
        <v>101</v>
      </c>
      <c r="J369" s="1">
        <v>36</v>
      </c>
      <c r="K369" s="1">
        <v>38</v>
      </c>
      <c r="L369" s="1">
        <v>1312</v>
      </c>
      <c r="M369" s="1">
        <v>29470</v>
      </c>
      <c r="N369" s="1">
        <v>47084</v>
      </c>
      <c r="O369" s="1">
        <v>1984456</v>
      </c>
      <c r="P369" s="1">
        <v>336898</v>
      </c>
      <c r="Q369" s="1">
        <v>618173</v>
      </c>
      <c r="R369" s="1">
        <v>27842532</v>
      </c>
      <c r="S369" s="1">
        <v>41051</v>
      </c>
      <c r="T369" s="1">
        <v>41051</v>
      </c>
      <c r="U369" s="1">
        <v>22071</v>
      </c>
      <c r="V369" s="1">
        <v>1</v>
      </c>
      <c r="W369" s="1">
        <v>0</v>
      </c>
    </row>
    <row r="370">
      <c r="A370" s="1">
        <v>2018</v>
      </c>
      <c r="B370" s="1">
        <v>41</v>
      </c>
      <c r="C370" t="s">
        <v>3</v>
      </c>
      <c r="D370" s="1">
        <v>51</v>
      </c>
      <c r="E370" t="s">
        <v>6</v>
      </c>
      <c r="F370" s="1">
        <v>23</v>
      </c>
      <c r="G370" t="s">
        <v>23</v>
      </c>
      <c r="H370" s="1">
        <v>5</v>
      </c>
      <c r="I370" t="s">
        <v>102</v>
      </c>
      <c r="J370" s="1">
        <v>25</v>
      </c>
      <c r="K370" s="1">
        <v>40</v>
      </c>
      <c r="L370" s="1">
        <v>2010</v>
      </c>
      <c r="M370" s="1">
        <v>29470</v>
      </c>
      <c r="N370" s="1">
        <v>47084</v>
      </c>
      <c r="O370" s="1">
        <v>1984456</v>
      </c>
      <c r="P370" s="1">
        <v>336898</v>
      </c>
      <c r="Q370" s="1">
        <v>618173</v>
      </c>
      <c r="R370" s="1">
        <v>27842532</v>
      </c>
      <c r="S370" s="1">
        <v>41051</v>
      </c>
      <c r="T370" s="1">
        <v>41051</v>
      </c>
      <c r="U370" s="1">
        <v>23005</v>
      </c>
      <c r="V370" s="1">
        <v>1</v>
      </c>
      <c r="W370" s="1">
        <v>0</v>
      </c>
    </row>
    <row r="371">
      <c r="A371" s="1">
        <v>2018</v>
      </c>
      <c r="B371" s="1">
        <v>41</v>
      </c>
      <c r="C371" t="s">
        <v>3</v>
      </c>
      <c r="D371" s="1">
        <v>51</v>
      </c>
      <c r="E371" t="s">
        <v>6</v>
      </c>
      <c r="F371" s="1">
        <v>24</v>
      </c>
      <c r="G371" t="s">
        <v>24</v>
      </c>
      <c r="H371" s="1">
        <v>510</v>
      </c>
      <c r="I371" t="s">
        <v>190</v>
      </c>
      <c r="J371" s="1">
        <v>32</v>
      </c>
      <c r="K371" s="1">
        <v>43</v>
      </c>
      <c r="L371" s="1">
        <v>2084</v>
      </c>
      <c r="M371" s="1">
        <v>29470</v>
      </c>
      <c r="N371" s="1">
        <v>47084</v>
      </c>
      <c r="O371" s="1">
        <v>1984456</v>
      </c>
      <c r="P371" s="1">
        <v>336898</v>
      </c>
      <c r="Q371" s="1">
        <v>618173</v>
      </c>
      <c r="R371" s="1">
        <v>27842532</v>
      </c>
      <c r="S371" s="1">
        <v>41051</v>
      </c>
      <c r="T371" s="1">
        <v>41051</v>
      </c>
      <c r="U371" s="1">
        <v>24510</v>
      </c>
      <c r="V371" s="1">
        <v>1</v>
      </c>
      <c r="W371" s="1">
        <v>0</v>
      </c>
    </row>
    <row r="372">
      <c r="A372" s="1">
        <v>2018</v>
      </c>
      <c r="B372" s="1">
        <v>41</v>
      </c>
      <c r="C372" t="s">
        <v>3</v>
      </c>
      <c r="D372" s="1">
        <v>51</v>
      </c>
      <c r="E372" t="s">
        <v>6</v>
      </c>
      <c r="F372" s="1">
        <v>25</v>
      </c>
      <c r="G372" t="s">
        <v>25</v>
      </c>
      <c r="H372" s="1">
        <v>17</v>
      </c>
      <c r="I372" t="s">
        <v>104</v>
      </c>
      <c r="J372" s="1">
        <v>80</v>
      </c>
      <c r="K372" s="1">
        <v>109</v>
      </c>
      <c r="L372" s="1">
        <v>5389</v>
      </c>
      <c r="M372" s="1">
        <v>29470</v>
      </c>
      <c r="N372" s="1">
        <v>47084</v>
      </c>
      <c r="O372" s="1">
        <v>1984456</v>
      </c>
      <c r="P372" s="1">
        <v>336898</v>
      </c>
      <c r="Q372" s="1">
        <v>618173</v>
      </c>
      <c r="R372" s="1">
        <v>27842532</v>
      </c>
      <c r="S372" s="1">
        <v>41051</v>
      </c>
      <c r="T372" s="1">
        <v>41051</v>
      </c>
      <c r="U372" s="1">
        <v>25017</v>
      </c>
      <c r="V372" s="1">
        <v>1</v>
      </c>
      <c r="W372" s="1">
        <v>0</v>
      </c>
    </row>
    <row r="373">
      <c r="A373" s="1">
        <v>2018</v>
      </c>
      <c r="B373" s="1">
        <v>41</v>
      </c>
      <c r="C373" t="s">
        <v>3</v>
      </c>
      <c r="D373" s="1">
        <v>51</v>
      </c>
      <c r="E373" t="s">
        <v>6</v>
      </c>
      <c r="F373" s="1">
        <v>25</v>
      </c>
      <c r="G373" t="s">
        <v>25</v>
      </c>
      <c r="H373" s="1">
        <v>25</v>
      </c>
      <c r="I373" t="s">
        <v>105</v>
      </c>
      <c r="J373" s="1">
        <v>54</v>
      </c>
      <c r="K373" s="1">
        <v>65</v>
      </c>
      <c r="L373" s="1">
        <v>3147</v>
      </c>
      <c r="M373" s="1">
        <v>29470</v>
      </c>
      <c r="N373" s="1">
        <v>47084</v>
      </c>
      <c r="O373" s="1">
        <v>1984456</v>
      </c>
      <c r="P373" s="1">
        <v>336898</v>
      </c>
      <c r="Q373" s="1">
        <v>618173</v>
      </c>
      <c r="R373" s="1">
        <v>27842532</v>
      </c>
      <c r="S373" s="1">
        <v>41051</v>
      </c>
      <c r="T373" s="1">
        <v>41051</v>
      </c>
      <c r="U373" s="1">
        <v>25025</v>
      </c>
      <c r="V373" s="1">
        <v>1</v>
      </c>
      <c r="W373" s="1">
        <v>0</v>
      </c>
    </row>
    <row r="374">
      <c r="A374" s="1">
        <v>2018</v>
      </c>
      <c r="B374" s="1">
        <v>41</v>
      </c>
      <c r="C374" t="s">
        <v>3</v>
      </c>
      <c r="D374" s="1">
        <v>51</v>
      </c>
      <c r="E374" t="s">
        <v>6</v>
      </c>
      <c r="F374" s="1">
        <v>26</v>
      </c>
      <c r="G374" t="s">
        <v>26</v>
      </c>
      <c r="H374" s="1">
        <v>81</v>
      </c>
      <c r="I374" t="s">
        <v>193</v>
      </c>
      <c r="J374" s="1">
        <v>29</v>
      </c>
      <c r="K374" s="1">
        <v>45</v>
      </c>
      <c r="L374" s="1">
        <v>1945</v>
      </c>
      <c r="M374" s="1">
        <v>29470</v>
      </c>
      <c r="N374" s="1">
        <v>47084</v>
      </c>
      <c r="O374" s="1">
        <v>1984456</v>
      </c>
      <c r="P374" s="1">
        <v>336898</v>
      </c>
      <c r="Q374" s="1">
        <v>618173</v>
      </c>
      <c r="R374" s="1">
        <v>27842532</v>
      </c>
      <c r="S374" s="1">
        <v>41051</v>
      </c>
      <c r="T374" s="1">
        <v>41051</v>
      </c>
      <c r="U374" s="1">
        <v>26081</v>
      </c>
      <c r="V374" s="1">
        <v>1</v>
      </c>
      <c r="W374" s="1">
        <v>0</v>
      </c>
    </row>
    <row r="375">
      <c r="A375" s="1">
        <v>2018</v>
      </c>
      <c r="B375" s="1">
        <v>41</v>
      </c>
      <c r="C375" t="s">
        <v>3</v>
      </c>
      <c r="D375" s="1">
        <v>51</v>
      </c>
      <c r="E375" t="s">
        <v>6</v>
      </c>
      <c r="F375" s="1">
        <v>26</v>
      </c>
      <c r="G375" t="s">
        <v>26</v>
      </c>
      <c r="H375" s="1">
        <v>125</v>
      </c>
      <c r="I375" t="s">
        <v>194</v>
      </c>
      <c r="J375" s="1">
        <v>29</v>
      </c>
      <c r="K375" s="1">
        <v>39</v>
      </c>
      <c r="L375" s="1">
        <v>1309</v>
      </c>
      <c r="M375" s="1">
        <v>29470</v>
      </c>
      <c r="N375" s="1">
        <v>47084</v>
      </c>
      <c r="O375" s="1">
        <v>1984456</v>
      </c>
      <c r="P375" s="1">
        <v>336898</v>
      </c>
      <c r="Q375" s="1">
        <v>618173</v>
      </c>
      <c r="R375" s="1">
        <v>27842532</v>
      </c>
      <c r="S375" s="1">
        <v>41051</v>
      </c>
      <c r="T375" s="1">
        <v>41051</v>
      </c>
      <c r="U375" s="1">
        <v>26125</v>
      </c>
      <c r="V375" s="1">
        <v>1</v>
      </c>
      <c r="W375" s="1">
        <v>0</v>
      </c>
    </row>
    <row r="376">
      <c r="A376" s="1">
        <v>2018</v>
      </c>
      <c r="B376" s="1">
        <v>41</v>
      </c>
      <c r="C376" t="s">
        <v>3</v>
      </c>
      <c r="D376" s="1">
        <v>51</v>
      </c>
      <c r="E376" t="s">
        <v>6</v>
      </c>
      <c r="F376" s="1">
        <v>26</v>
      </c>
      <c r="G376" t="s">
        <v>26</v>
      </c>
      <c r="H376" s="1">
        <v>161</v>
      </c>
      <c r="I376" t="s">
        <v>106</v>
      </c>
      <c r="J376" s="1">
        <v>30</v>
      </c>
      <c r="K376" s="1">
        <v>44</v>
      </c>
      <c r="L376" s="1">
        <v>2630</v>
      </c>
      <c r="M376" s="1">
        <v>29470</v>
      </c>
      <c r="N376" s="1">
        <v>47084</v>
      </c>
      <c r="O376" s="1">
        <v>1984456</v>
      </c>
      <c r="P376" s="1">
        <v>336898</v>
      </c>
      <c r="Q376" s="1">
        <v>618173</v>
      </c>
      <c r="R376" s="1">
        <v>27842532</v>
      </c>
      <c r="S376" s="1">
        <v>41051</v>
      </c>
      <c r="T376" s="1">
        <v>41051</v>
      </c>
      <c r="U376" s="1">
        <v>26161</v>
      </c>
      <c r="V376" s="1">
        <v>1</v>
      </c>
      <c r="W376" s="1">
        <v>0</v>
      </c>
    </row>
    <row r="377">
      <c r="A377" s="1">
        <v>2018</v>
      </c>
      <c r="B377" s="1">
        <v>41</v>
      </c>
      <c r="C377" t="s">
        <v>3</v>
      </c>
      <c r="D377" s="1">
        <v>51</v>
      </c>
      <c r="E377" t="s">
        <v>6</v>
      </c>
      <c r="F377" s="1">
        <v>26</v>
      </c>
      <c r="G377" t="s">
        <v>26</v>
      </c>
      <c r="H377" s="1">
        <v>163</v>
      </c>
      <c r="I377" t="s">
        <v>195</v>
      </c>
      <c r="J377" s="1">
        <v>28</v>
      </c>
      <c r="K377" s="1">
        <v>42</v>
      </c>
      <c r="L377" s="1">
        <v>1485</v>
      </c>
      <c r="M377" s="1">
        <v>29470</v>
      </c>
      <c r="N377" s="1">
        <v>47084</v>
      </c>
      <c r="O377" s="1">
        <v>1984456</v>
      </c>
      <c r="P377" s="1">
        <v>336898</v>
      </c>
      <c r="Q377" s="1">
        <v>618173</v>
      </c>
      <c r="R377" s="1">
        <v>27842532</v>
      </c>
      <c r="S377" s="1">
        <v>41051</v>
      </c>
      <c r="T377" s="1">
        <v>41051</v>
      </c>
      <c r="U377" s="1">
        <v>26163</v>
      </c>
      <c r="V377" s="1">
        <v>1</v>
      </c>
      <c r="W377" s="1">
        <v>0</v>
      </c>
    </row>
    <row r="378">
      <c r="A378" s="1">
        <v>2018</v>
      </c>
      <c r="B378" s="1">
        <v>41</v>
      </c>
      <c r="C378" t="s">
        <v>3</v>
      </c>
      <c r="D378" s="1">
        <v>51</v>
      </c>
      <c r="E378" t="s">
        <v>6</v>
      </c>
      <c r="F378" s="1">
        <v>27</v>
      </c>
      <c r="G378" t="s">
        <v>27</v>
      </c>
      <c r="H378" s="1">
        <v>53</v>
      </c>
      <c r="I378" t="s">
        <v>107</v>
      </c>
      <c r="J378" s="1">
        <v>101</v>
      </c>
      <c r="K378" s="1">
        <v>158</v>
      </c>
      <c r="L378" s="1">
        <v>5706</v>
      </c>
      <c r="M378" s="1">
        <v>29470</v>
      </c>
      <c r="N378" s="1">
        <v>47084</v>
      </c>
      <c r="O378" s="1">
        <v>1984456</v>
      </c>
      <c r="P378" s="1">
        <v>336898</v>
      </c>
      <c r="Q378" s="1">
        <v>618173</v>
      </c>
      <c r="R378" s="1">
        <v>27842532</v>
      </c>
      <c r="S378" s="1">
        <v>41051</v>
      </c>
      <c r="T378" s="1">
        <v>41051</v>
      </c>
      <c r="U378" s="1">
        <v>27053</v>
      </c>
      <c r="V378" s="1">
        <v>1</v>
      </c>
      <c r="W378" s="1">
        <v>0</v>
      </c>
    </row>
    <row r="379">
      <c r="A379" s="1">
        <v>2018</v>
      </c>
      <c r="B379" s="1">
        <v>41</v>
      </c>
      <c r="C379" t="s">
        <v>3</v>
      </c>
      <c r="D379" s="1">
        <v>51</v>
      </c>
      <c r="E379" t="s">
        <v>6</v>
      </c>
      <c r="F379" s="1">
        <v>27</v>
      </c>
      <c r="G379" t="s">
        <v>27</v>
      </c>
      <c r="H379" s="1">
        <v>123</v>
      </c>
      <c r="I379" t="s">
        <v>108</v>
      </c>
      <c r="J379" s="1">
        <v>25</v>
      </c>
      <c r="K379" s="1">
        <v>40</v>
      </c>
      <c r="L379" s="1">
        <v>1159</v>
      </c>
      <c r="M379" s="1">
        <v>29470</v>
      </c>
      <c r="N379" s="1">
        <v>47084</v>
      </c>
      <c r="O379" s="1">
        <v>1984456</v>
      </c>
      <c r="P379" s="1">
        <v>336898</v>
      </c>
      <c r="Q379" s="1">
        <v>618173</v>
      </c>
      <c r="R379" s="1">
        <v>27842532</v>
      </c>
      <c r="S379" s="1">
        <v>41051</v>
      </c>
      <c r="T379" s="1">
        <v>41051</v>
      </c>
      <c r="U379" s="1">
        <v>27123</v>
      </c>
      <c r="V379" s="1">
        <v>1</v>
      </c>
      <c r="W379" s="1">
        <v>0</v>
      </c>
    </row>
    <row r="380">
      <c r="A380" s="1">
        <v>2018</v>
      </c>
      <c r="B380" s="1">
        <v>41</v>
      </c>
      <c r="C380" t="s">
        <v>3</v>
      </c>
      <c r="D380" s="1">
        <v>51</v>
      </c>
      <c r="E380" t="s">
        <v>6</v>
      </c>
      <c r="F380" s="1">
        <v>29</v>
      </c>
      <c r="G380" t="s">
        <v>44</v>
      </c>
      <c r="H380" s="1">
        <v>95</v>
      </c>
      <c r="I380" t="s">
        <v>133</v>
      </c>
      <c r="J380" s="1">
        <v>21</v>
      </c>
      <c r="K380" s="1">
        <v>33</v>
      </c>
      <c r="L380" s="1">
        <v>1591</v>
      </c>
      <c r="M380" s="1">
        <v>29470</v>
      </c>
      <c r="N380" s="1">
        <v>47084</v>
      </c>
      <c r="O380" s="1">
        <v>1984456</v>
      </c>
      <c r="P380" s="1">
        <v>336898</v>
      </c>
      <c r="Q380" s="1">
        <v>618173</v>
      </c>
      <c r="R380" s="1">
        <v>27842532</v>
      </c>
      <c r="S380" s="1">
        <v>41051</v>
      </c>
      <c r="T380" s="1">
        <v>41051</v>
      </c>
      <c r="U380" s="1">
        <v>29095</v>
      </c>
      <c r="V380" s="1">
        <v>1</v>
      </c>
      <c r="W380" s="1">
        <v>0</v>
      </c>
    </row>
    <row r="381">
      <c r="A381" s="1">
        <v>2018</v>
      </c>
      <c r="B381" s="1">
        <v>41</v>
      </c>
      <c r="C381" t="s">
        <v>3</v>
      </c>
      <c r="D381" s="1">
        <v>51</v>
      </c>
      <c r="E381" t="s">
        <v>6</v>
      </c>
      <c r="F381" s="1">
        <v>30</v>
      </c>
      <c r="G381" t="s">
        <v>28</v>
      </c>
      <c r="H381" s="1">
        <v>29</v>
      </c>
      <c r="I381" t="s">
        <v>199</v>
      </c>
      <c r="J381" s="1">
        <v>21</v>
      </c>
      <c r="K381" s="1">
        <v>32</v>
      </c>
      <c r="L381" s="1">
        <v>1007</v>
      </c>
      <c r="M381" s="1">
        <v>29470</v>
      </c>
      <c r="N381" s="1">
        <v>47084</v>
      </c>
      <c r="O381" s="1">
        <v>1984456</v>
      </c>
      <c r="P381" s="1">
        <v>336898</v>
      </c>
      <c r="Q381" s="1">
        <v>618173</v>
      </c>
      <c r="R381" s="1">
        <v>27842532</v>
      </c>
      <c r="S381" s="1">
        <v>41051</v>
      </c>
      <c r="T381" s="1">
        <v>41051</v>
      </c>
      <c r="U381" s="1">
        <v>30029</v>
      </c>
      <c r="V381" s="1">
        <v>1</v>
      </c>
      <c r="W381" s="1">
        <v>0</v>
      </c>
    </row>
    <row r="382">
      <c r="A382" s="1">
        <v>2018</v>
      </c>
      <c r="B382" s="1">
        <v>41</v>
      </c>
      <c r="C382" t="s">
        <v>3</v>
      </c>
      <c r="D382" s="1">
        <v>51</v>
      </c>
      <c r="E382" t="s">
        <v>6</v>
      </c>
      <c r="F382" s="1">
        <v>30</v>
      </c>
      <c r="G382" t="s">
        <v>28</v>
      </c>
      <c r="H382" s="1">
        <v>31</v>
      </c>
      <c r="I382" t="s">
        <v>109</v>
      </c>
      <c r="J382" s="1">
        <v>36</v>
      </c>
      <c r="K382" s="1">
        <v>47</v>
      </c>
      <c r="L382" s="1">
        <v>1369</v>
      </c>
      <c r="M382" s="1">
        <v>29470</v>
      </c>
      <c r="N382" s="1">
        <v>47084</v>
      </c>
      <c r="O382" s="1">
        <v>1984456</v>
      </c>
      <c r="P382" s="1">
        <v>336898</v>
      </c>
      <c r="Q382" s="1">
        <v>618173</v>
      </c>
      <c r="R382" s="1">
        <v>27842532</v>
      </c>
      <c r="S382" s="1">
        <v>41051</v>
      </c>
      <c r="T382" s="1">
        <v>41051</v>
      </c>
      <c r="U382" s="1">
        <v>30031</v>
      </c>
      <c r="V382" s="1">
        <v>1</v>
      </c>
      <c r="W382" s="1">
        <v>0</v>
      </c>
    </row>
    <row r="383">
      <c r="A383" s="1">
        <v>2018</v>
      </c>
      <c r="B383" s="1">
        <v>41</v>
      </c>
      <c r="C383" t="s">
        <v>3</v>
      </c>
      <c r="D383" s="1">
        <v>51</v>
      </c>
      <c r="E383" t="s">
        <v>6</v>
      </c>
      <c r="F383" s="1">
        <v>30</v>
      </c>
      <c r="G383" t="s">
        <v>28</v>
      </c>
      <c r="H383" s="1">
        <v>63</v>
      </c>
      <c r="I383" t="s">
        <v>110</v>
      </c>
      <c r="J383" s="1">
        <v>39</v>
      </c>
      <c r="K383" s="1">
        <v>52</v>
      </c>
      <c r="L383" s="1">
        <v>1749</v>
      </c>
      <c r="M383" s="1">
        <v>29470</v>
      </c>
      <c r="N383" s="1">
        <v>47084</v>
      </c>
      <c r="O383" s="1">
        <v>1984456</v>
      </c>
      <c r="P383" s="1">
        <v>336898</v>
      </c>
      <c r="Q383" s="1">
        <v>618173</v>
      </c>
      <c r="R383" s="1">
        <v>27842532</v>
      </c>
      <c r="S383" s="1">
        <v>41051</v>
      </c>
      <c r="T383" s="1">
        <v>41051</v>
      </c>
      <c r="U383" s="1">
        <v>30063</v>
      </c>
      <c r="V383" s="1">
        <v>1</v>
      </c>
      <c r="W383" s="1">
        <v>0</v>
      </c>
    </row>
    <row r="384">
      <c r="A384" s="1">
        <v>2018</v>
      </c>
      <c r="B384" s="1">
        <v>41</v>
      </c>
      <c r="C384" t="s">
        <v>3</v>
      </c>
      <c r="D384" s="1">
        <v>51</v>
      </c>
      <c r="E384" t="s">
        <v>6</v>
      </c>
      <c r="F384" s="1">
        <v>31</v>
      </c>
      <c r="G384" t="s">
        <v>45</v>
      </c>
      <c r="H384" s="1">
        <v>55</v>
      </c>
      <c r="I384" t="s">
        <v>131</v>
      </c>
      <c r="J384" s="1">
        <v>25</v>
      </c>
      <c r="K384" s="1">
        <v>43</v>
      </c>
      <c r="L384" s="1">
        <v>1705</v>
      </c>
      <c r="M384" s="1">
        <v>29470</v>
      </c>
      <c r="N384" s="1">
        <v>47084</v>
      </c>
      <c r="O384" s="1">
        <v>1984456</v>
      </c>
      <c r="P384" s="1">
        <v>336898</v>
      </c>
      <c r="Q384" s="1">
        <v>618173</v>
      </c>
      <c r="R384" s="1">
        <v>27842532</v>
      </c>
      <c r="S384" s="1">
        <v>41051</v>
      </c>
      <c r="T384" s="1">
        <v>41051</v>
      </c>
      <c r="U384" s="1">
        <v>31055</v>
      </c>
      <c r="V384" s="1">
        <v>1</v>
      </c>
      <c r="W384" s="1">
        <v>0</v>
      </c>
    </row>
    <row r="385">
      <c r="A385" s="1">
        <v>2018</v>
      </c>
      <c r="B385" s="1">
        <v>41</v>
      </c>
      <c r="C385" t="s">
        <v>3</v>
      </c>
      <c r="D385" s="1">
        <v>51</v>
      </c>
      <c r="E385" t="s">
        <v>6</v>
      </c>
      <c r="F385" s="1">
        <v>32</v>
      </c>
      <c r="G385" t="s">
        <v>29</v>
      </c>
      <c r="H385" s="1">
        <v>3</v>
      </c>
      <c r="I385" t="s">
        <v>112</v>
      </c>
      <c r="J385" s="1">
        <v>215</v>
      </c>
      <c r="K385" s="1">
        <v>369</v>
      </c>
      <c r="L385" s="1">
        <v>13737</v>
      </c>
      <c r="M385" s="1">
        <v>29470</v>
      </c>
      <c r="N385" s="1">
        <v>47084</v>
      </c>
      <c r="O385" s="1">
        <v>1984456</v>
      </c>
      <c r="P385" s="1">
        <v>336898</v>
      </c>
      <c r="Q385" s="1">
        <v>618173</v>
      </c>
      <c r="R385" s="1">
        <v>27842532</v>
      </c>
      <c r="S385" s="1">
        <v>41051</v>
      </c>
      <c r="T385" s="1">
        <v>41051</v>
      </c>
      <c r="U385" s="1">
        <v>32003</v>
      </c>
      <c r="V385" s="1">
        <v>1</v>
      </c>
      <c r="W385" s="1">
        <v>0</v>
      </c>
    </row>
    <row r="386">
      <c r="A386" s="1">
        <v>2018</v>
      </c>
      <c r="B386" s="1">
        <v>41</v>
      </c>
      <c r="C386" t="s">
        <v>3</v>
      </c>
      <c r="D386" s="1">
        <v>51</v>
      </c>
      <c r="E386" t="s">
        <v>6</v>
      </c>
      <c r="F386" s="1">
        <v>32</v>
      </c>
      <c r="G386" t="s">
        <v>29</v>
      </c>
      <c r="H386" s="1">
        <v>31</v>
      </c>
      <c r="I386" t="s">
        <v>113</v>
      </c>
      <c r="J386" s="1">
        <v>56</v>
      </c>
      <c r="K386" s="1">
        <v>73</v>
      </c>
      <c r="L386" s="1">
        <v>2909</v>
      </c>
      <c r="M386" s="1">
        <v>29470</v>
      </c>
      <c r="N386" s="1">
        <v>47084</v>
      </c>
      <c r="O386" s="1">
        <v>1984456</v>
      </c>
      <c r="P386" s="1">
        <v>336898</v>
      </c>
      <c r="Q386" s="1">
        <v>618173</v>
      </c>
      <c r="R386" s="1">
        <v>27842532</v>
      </c>
      <c r="S386" s="1">
        <v>41051</v>
      </c>
      <c r="T386" s="1">
        <v>41051</v>
      </c>
      <c r="U386" s="1">
        <v>32031</v>
      </c>
      <c r="V386" s="1">
        <v>1</v>
      </c>
      <c r="W386" s="1">
        <v>0</v>
      </c>
    </row>
    <row r="387">
      <c r="A387" s="1">
        <v>2018</v>
      </c>
      <c r="B387" s="1">
        <v>41</v>
      </c>
      <c r="C387" t="s">
        <v>3</v>
      </c>
      <c r="D387" s="1">
        <v>51</v>
      </c>
      <c r="E387" t="s">
        <v>6</v>
      </c>
      <c r="F387" s="1">
        <v>35</v>
      </c>
      <c r="G387" t="s">
        <v>30</v>
      </c>
      <c r="H387" s="1">
        <v>1</v>
      </c>
      <c r="I387" t="s">
        <v>114</v>
      </c>
      <c r="J387" s="1">
        <v>79</v>
      </c>
      <c r="K387" s="1">
        <v>114</v>
      </c>
      <c r="L387" s="1">
        <v>4373</v>
      </c>
      <c r="M387" s="1">
        <v>29470</v>
      </c>
      <c r="N387" s="1">
        <v>47084</v>
      </c>
      <c r="O387" s="1">
        <v>1984456</v>
      </c>
      <c r="P387" s="1">
        <v>336898</v>
      </c>
      <c r="Q387" s="1">
        <v>618173</v>
      </c>
      <c r="R387" s="1">
        <v>27842532</v>
      </c>
      <c r="S387" s="1">
        <v>41051</v>
      </c>
      <c r="T387" s="1">
        <v>41051</v>
      </c>
      <c r="U387" s="1">
        <v>35001</v>
      </c>
      <c r="V387" s="1">
        <v>1</v>
      </c>
      <c r="W387" s="1">
        <v>0</v>
      </c>
    </row>
    <row r="388">
      <c r="A388" s="1">
        <v>2018</v>
      </c>
      <c r="B388" s="1">
        <v>41</v>
      </c>
      <c r="C388" t="s">
        <v>3</v>
      </c>
      <c r="D388" s="1">
        <v>51</v>
      </c>
      <c r="E388" t="s">
        <v>6</v>
      </c>
      <c r="F388" s="1">
        <v>35</v>
      </c>
      <c r="G388" t="s">
        <v>30</v>
      </c>
      <c r="H388" s="1">
        <v>49</v>
      </c>
      <c r="I388" t="s">
        <v>115</v>
      </c>
      <c r="J388" s="1">
        <v>46</v>
      </c>
      <c r="K388" s="1">
        <v>60</v>
      </c>
      <c r="L388" s="1">
        <v>3089</v>
      </c>
      <c r="M388" s="1">
        <v>29470</v>
      </c>
      <c r="N388" s="1">
        <v>47084</v>
      </c>
      <c r="O388" s="1">
        <v>1984456</v>
      </c>
      <c r="P388" s="1">
        <v>336898</v>
      </c>
      <c r="Q388" s="1">
        <v>618173</v>
      </c>
      <c r="R388" s="1">
        <v>27842532</v>
      </c>
      <c r="S388" s="1">
        <v>41051</v>
      </c>
      <c r="T388" s="1">
        <v>41051</v>
      </c>
      <c r="U388" s="1">
        <v>35049</v>
      </c>
      <c r="V388" s="1">
        <v>1</v>
      </c>
      <c r="W388" s="1">
        <v>0</v>
      </c>
    </row>
    <row r="389">
      <c r="A389" s="1">
        <v>2018</v>
      </c>
      <c r="B389" s="1">
        <v>41</v>
      </c>
      <c r="C389" t="s">
        <v>3</v>
      </c>
      <c r="D389" s="1">
        <v>51</v>
      </c>
      <c r="E389" t="s">
        <v>6</v>
      </c>
      <c r="F389" s="1">
        <v>36</v>
      </c>
      <c r="G389" t="s">
        <v>31</v>
      </c>
      <c r="H389" s="1">
        <v>29</v>
      </c>
      <c r="I389" t="s">
        <v>202</v>
      </c>
      <c r="J389" s="1">
        <v>23</v>
      </c>
      <c r="K389" s="1">
        <v>44</v>
      </c>
      <c r="L389" s="1">
        <v>1908</v>
      </c>
      <c r="M389" s="1">
        <v>29470</v>
      </c>
      <c r="N389" s="1">
        <v>47084</v>
      </c>
      <c r="O389" s="1">
        <v>1984456</v>
      </c>
      <c r="P389" s="1">
        <v>336898</v>
      </c>
      <c r="Q389" s="1">
        <v>618173</v>
      </c>
      <c r="R389" s="1">
        <v>27842532</v>
      </c>
      <c r="S389" s="1">
        <v>41051</v>
      </c>
      <c r="T389" s="1">
        <v>41051</v>
      </c>
      <c r="U389" s="1">
        <v>36029</v>
      </c>
      <c r="V389" s="1">
        <v>1</v>
      </c>
      <c r="W389" s="1">
        <v>0</v>
      </c>
    </row>
    <row r="390">
      <c r="A390" s="1">
        <v>2018</v>
      </c>
      <c r="B390" s="1">
        <v>41</v>
      </c>
      <c r="C390" t="s">
        <v>3</v>
      </c>
      <c r="D390" s="1">
        <v>51</v>
      </c>
      <c r="E390" t="s">
        <v>6</v>
      </c>
      <c r="F390" s="1">
        <v>36</v>
      </c>
      <c r="G390" t="s">
        <v>31</v>
      </c>
      <c r="H390" s="1">
        <v>47</v>
      </c>
      <c r="I390" t="s">
        <v>116</v>
      </c>
      <c r="J390" s="1">
        <v>176</v>
      </c>
      <c r="K390" s="1">
        <v>214</v>
      </c>
      <c r="L390" s="1">
        <v>14328</v>
      </c>
      <c r="M390" s="1">
        <v>29470</v>
      </c>
      <c r="N390" s="1">
        <v>47084</v>
      </c>
      <c r="O390" s="1">
        <v>1984456</v>
      </c>
      <c r="P390" s="1">
        <v>336898</v>
      </c>
      <c r="Q390" s="1">
        <v>618173</v>
      </c>
      <c r="R390" s="1">
        <v>27842532</v>
      </c>
      <c r="S390" s="1">
        <v>41051</v>
      </c>
      <c r="T390" s="1">
        <v>41051</v>
      </c>
      <c r="U390" s="1">
        <v>36047</v>
      </c>
      <c r="V390" s="1">
        <v>1</v>
      </c>
      <c r="W390" s="1">
        <v>0</v>
      </c>
    </row>
    <row r="391">
      <c r="A391" s="1">
        <v>2018</v>
      </c>
      <c r="B391" s="1">
        <v>41</v>
      </c>
      <c r="C391" t="s">
        <v>3</v>
      </c>
      <c r="D391" s="1">
        <v>51</v>
      </c>
      <c r="E391" t="s">
        <v>6</v>
      </c>
      <c r="F391" s="1">
        <v>36</v>
      </c>
      <c r="G391" t="s">
        <v>31</v>
      </c>
      <c r="H391" s="1">
        <v>61</v>
      </c>
      <c r="I391" t="s">
        <v>117</v>
      </c>
      <c r="J391" s="1">
        <v>136</v>
      </c>
      <c r="K391" s="1">
        <v>170</v>
      </c>
      <c r="L391" s="1">
        <v>13753</v>
      </c>
      <c r="M391" s="1">
        <v>29470</v>
      </c>
      <c r="N391" s="1">
        <v>47084</v>
      </c>
      <c r="O391" s="1">
        <v>1984456</v>
      </c>
      <c r="P391" s="1">
        <v>336898</v>
      </c>
      <c r="Q391" s="1">
        <v>618173</v>
      </c>
      <c r="R391" s="1">
        <v>27842532</v>
      </c>
      <c r="S391" s="1">
        <v>41051</v>
      </c>
      <c r="T391" s="1">
        <v>41051</v>
      </c>
      <c r="U391" s="1">
        <v>36061</v>
      </c>
      <c r="V391" s="1">
        <v>1</v>
      </c>
      <c r="W391" s="1">
        <v>0</v>
      </c>
    </row>
    <row r="392">
      <c r="A392" s="1">
        <v>2018</v>
      </c>
      <c r="B392" s="1">
        <v>41</v>
      </c>
      <c r="C392" t="s">
        <v>3</v>
      </c>
      <c r="D392" s="1">
        <v>51</v>
      </c>
      <c r="E392" t="s">
        <v>6</v>
      </c>
      <c r="F392" s="1">
        <v>36</v>
      </c>
      <c r="G392" t="s">
        <v>31</v>
      </c>
      <c r="H392" s="1">
        <v>81</v>
      </c>
      <c r="I392" t="s">
        <v>118</v>
      </c>
      <c r="J392" s="1">
        <v>59</v>
      </c>
      <c r="K392" s="1">
        <v>86</v>
      </c>
      <c r="L392" s="1">
        <v>3413</v>
      </c>
      <c r="M392" s="1">
        <v>29470</v>
      </c>
      <c r="N392" s="1">
        <v>47084</v>
      </c>
      <c r="O392" s="1">
        <v>1984456</v>
      </c>
      <c r="P392" s="1">
        <v>336898</v>
      </c>
      <c r="Q392" s="1">
        <v>618173</v>
      </c>
      <c r="R392" s="1">
        <v>27842532</v>
      </c>
      <c r="S392" s="1">
        <v>41051</v>
      </c>
      <c r="T392" s="1">
        <v>41051</v>
      </c>
      <c r="U392" s="1">
        <v>36081</v>
      </c>
      <c r="V392" s="1">
        <v>1</v>
      </c>
      <c r="W392" s="1">
        <v>0</v>
      </c>
    </row>
    <row r="393">
      <c r="A393" s="1">
        <v>2018</v>
      </c>
      <c r="B393" s="1">
        <v>41</v>
      </c>
      <c r="C393" t="s">
        <v>3</v>
      </c>
      <c r="D393" s="1">
        <v>51</v>
      </c>
      <c r="E393" t="s">
        <v>6</v>
      </c>
      <c r="F393" s="1">
        <v>37</v>
      </c>
      <c r="G393" t="s">
        <v>32</v>
      </c>
      <c r="H393" s="1">
        <v>119</v>
      </c>
      <c r="I393" t="s">
        <v>121</v>
      </c>
      <c r="J393" s="1">
        <v>32</v>
      </c>
      <c r="K393" s="1">
        <v>63</v>
      </c>
      <c r="L393" s="1">
        <v>3595</v>
      </c>
      <c r="M393" s="1">
        <v>29470</v>
      </c>
      <c r="N393" s="1">
        <v>47084</v>
      </c>
      <c r="O393" s="1">
        <v>1984456</v>
      </c>
      <c r="P393" s="1">
        <v>336898</v>
      </c>
      <c r="Q393" s="1">
        <v>618173</v>
      </c>
      <c r="R393" s="1">
        <v>27842532</v>
      </c>
      <c r="S393" s="1">
        <v>41051</v>
      </c>
      <c r="T393" s="1">
        <v>41051</v>
      </c>
      <c r="U393" s="1">
        <v>37119</v>
      </c>
      <c r="V393" s="1">
        <v>1</v>
      </c>
      <c r="W393" s="1">
        <v>0</v>
      </c>
    </row>
    <row r="394">
      <c r="A394" s="1">
        <v>2018</v>
      </c>
      <c r="B394" s="1">
        <v>41</v>
      </c>
      <c r="C394" t="s">
        <v>3</v>
      </c>
      <c r="D394" s="1">
        <v>51</v>
      </c>
      <c r="E394" t="s">
        <v>6</v>
      </c>
      <c r="F394" s="1">
        <v>37</v>
      </c>
      <c r="G394" t="s">
        <v>32</v>
      </c>
      <c r="H394" s="1">
        <v>183</v>
      </c>
      <c r="I394" t="s">
        <v>206</v>
      </c>
      <c r="J394" s="1">
        <v>22</v>
      </c>
      <c r="K394" s="1">
        <v>32</v>
      </c>
      <c r="L394" s="1">
        <v>1068</v>
      </c>
      <c r="M394" s="1">
        <v>29470</v>
      </c>
      <c r="N394" s="1">
        <v>47084</v>
      </c>
      <c r="O394" s="1">
        <v>1984456</v>
      </c>
      <c r="P394" s="1">
        <v>336898</v>
      </c>
      <c r="Q394" s="1">
        <v>618173</v>
      </c>
      <c r="R394" s="1">
        <v>27842532</v>
      </c>
      <c r="S394" s="1">
        <v>41051</v>
      </c>
      <c r="T394" s="1">
        <v>41051</v>
      </c>
      <c r="U394" s="1">
        <v>37183</v>
      </c>
      <c r="V394" s="1">
        <v>1</v>
      </c>
      <c r="W394" s="1">
        <v>0</v>
      </c>
    </row>
    <row r="395">
      <c r="A395" s="1">
        <v>2018</v>
      </c>
      <c r="B395" s="1">
        <v>41</v>
      </c>
      <c r="C395" t="s">
        <v>3</v>
      </c>
      <c r="D395" s="1">
        <v>51</v>
      </c>
      <c r="E395" t="s">
        <v>6</v>
      </c>
      <c r="F395" s="1">
        <v>39</v>
      </c>
      <c r="G395" t="s">
        <v>33</v>
      </c>
      <c r="H395" s="1">
        <v>35</v>
      </c>
      <c r="I395" t="s">
        <v>207</v>
      </c>
      <c r="J395" s="1">
        <v>35</v>
      </c>
      <c r="K395" s="1">
        <v>55</v>
      </c>
      <c r="L395" s="1">
        <v>2097</v>
      </c>
      <c r="M395" s="1">
        <v>29470</v>
      </c>
      <c r="N395" s="1">
        <v>47084</v>
      </c>
      <c r="O395" s="1">
        <v>1984456</v>
      </c>
      <c r="P395" s="1">
        <v>336898</v>
      </c>
      <c r="Q395" s="1">
        <v>618173</v>
      </c>
      <c r="R395" s="1">
        <v>27842532</v>
      </c>
      <c r="S395" s="1">
        <v>41051</v>
      </c>
      <c r="T395" s="1">
        <v>41051</v>
      </c>
      <c r="U395" s="1">
        <v>39035</v>
      </c>
      <c r="V395" s="1">
        <v>1</v>
      </c>
      <c r="W395" s="1">
        <v>0</v>
      </c>
    </row>
    <row r="396">
      <c r="A396" s="1">
        <v>2018</v>
      </c>
      <c r="B396" s="1">
        <v>41</v>
      </c>
      <c r="C396" t="s">
        <v>3</v>
      </c>
      <c r="D396" s="1">
        <v>51</v>
      </c>
      <c r="E396" t="s">
        <v>6</v>
      </c>
      <c r="F396" s="1">
        <v>39</v>
      </c>
      <c r="G396" t="s">
        <v>33</v>
      </c>
      <c r="H396" s="1">
        <v>49</v>
      </c>
      <c r="I396" t="s">
        <v>122</v>
      </c>
      <c r="J396" s="1">
        <v>51</v>
      </c>
      <c r="K396" s="1">
        <v>93</v>
      </c>
      <c r="L396" s="1">
        <v>3285</v>
      </c>
      <c r="M396" s="1">
        <v>29470</v>
      </c>
      <c r="N396" s="1">
        <v>47084</v>
      </c>
      <c r="O396" s="1">
        <v>1984456</v>
      </c>
      <c r="P396" s="1">
        <v>336898</v>
      </c>
      <c r="Q396" s="1">
        <v>618173</v>
      </c>
      <c r="R396" s="1">
        <v>27842532</v>
      </c>
      <c r="S396" s="1">
        <v>41051</v>
      </c>
      <c r="T396" s="1">
        <v>41051</v>
      </c>
      <c r="U396" s="1">
        <v>39049</v>
      </c>
      <c r="V396" s="1">
        <v>1</v>
      </c>
      <c r="W396" s="1">
        <v>0</v>
      </c>
    </row>
    <row r="397">
      <c r="A397" s="1">
        <v>2018</v>
      </c>
      <c r="B397" s="1">
        <v>41</v>
      </c>
      <c r="C397" t="s">
        <v>3</v>
      </c>
      <c r="D397" s="1">
        <v>51</v>
      </c>
      <c r="E397" t="s">
        <v>6</v>
      </c>
      <c r="F397" s="1">
        <v>39</v>
      </c>
      <c r="G397" t="s">
        <v>33</v>
      </c>
      <c r="H397" s="1">
        <v>61</v>
      </c>
      <c r="I397" t="s">
        <v>208</v>
      </c>
      <c r="J397" s="1">
        <v>22</v>
      </c>
      <c r="K397" s="1">
        <v>36</v>
      </c>
      <c r="L397" s="1">
        <v>2838</v>
      </c>
      <c r="M397" s="1">
        <v>29470</v>
      </c>
      <c r="N397" s="1">
        <v>47084</v>
      </c>
      <c r="O397" s="1">
        <v>1984456</v>
      </c>
      <c r="P397" s="1">
        <v>336898</v>
      </c>
      <c r="Q397" s="1">
        <v>618173</v>
      </c>
      <c r="R397" s="1">
        <v>27842532</v>
      </c>
      <c r="S397" s="1">
        <v>41051</v>
      </c>
      <c r="T397" s="1">
        <v>41051</v>
      </c>
      <c r="U397" s="1">
        <v>39061</v>
      </c>
      <c r="V397" s="1">
        <v>1</v>
      </c>
      <c r="W397" s="1">
        <v>0</v>
      </c>
    </row>
    <row r="398">
      <c r="A398" s="1">
        <v>2018</v>
      </c>
      <c r="B398" s="1">
        <v>41</v>
      </c>
      <c r="C398" t="s">
        <v>3</v>
      </c>
      <c r="D398" s="1">
        <v>51</v>
      </c>
      <c r="E398" t="s">
        <v>6</v>
      </c>
      <c r="F398" s="1">
        <v>41</v>
      </c>
      <c r="G398" t="s">
        <v>3</v>
      </c>
      <c r="H398" s="1">
        <v>3</v>
      </c>
      <c r="I398" t="s">
        <v>124</v>
      </c>
      <c r="J398" s="1">
        <v>182</v>
      </c>
      <c r="K398" s="1">
        <v>256</v>
      </c>
      <c r="L398" s="1">
        <v>7928</v>
      </c>
      <c r="M398" s="1">
        <v>29470</v>
      </c>
      <c r="N398" s="1">
        <v>47084</v>
      </c>
      <c r="O398" s="1">
        <v>1984456</v>
      </c>
      <c r="P398" s="1">
        <v>336898</v>
      </c>
      <c r="Q398" s="1">
        <v>618173</v>
      </c>
      <c r="R398" s="1">
        <v>27842532</v>
      </c>
      <c r="S398" s="1">
        <v>41051</v>
      </c>
      <c r="T398" s="1">
        <v>41051</v>
      </c>
      <c r="U398" s="1">
        <v>41003</v>
      </c>
      <c r="V398" s="1">
        <v>1</v>
      </c>
      <c r="W398" s="1">
        <v>0</v>
      </c>
    </row>
    <row r="399">
      <c r="A399" s="1">
        <v>2018</v>
      </c>
      <c r="B399" s="1">
        <v>41</v>
      </c>
      <c r="C399" t="s">
        <v>3</v>
      </c>
      <c r="D399" s="1">
        <v>51</v>
      </c>
      <c r="E399" t="s">
        <v>6</v>
      </c>
      <c r="F399" s="1">
        <v>41</v>
      </c>
      <c r="G399" t="s">
        <v>3</v>
      </c>
      <c r="H399" s="1">
        <v>5</v>
      </c>
      <c r="I399" t="s">
        <v>125</v>
      </c>
      <c r="J399" s="1">
        <v>5468</v>
      </c>
      <c r="K399" s="1">
        <v>9734</v>
      </c>
      <c r="L399" s="1">
        <v>351923</v>
      </c>
      <c r="M399" s="1">
        <v>29470</v>
      </c>
      <c r="N399" s="1">
        <v>47084</v>
      </c>
      <c r="O399" s="1">
        <v>1984456</v>
      </c>
      <c r="P399" s="1">
        <v>336898</v>
      </c>
      <c r="Q399" s="1">
        <v>618173</v>
      </c>
      <c r="R399" s="1">
        <v>27842532</v>
      </c>
      <c r="S399" s="1">
        <v>41051</v>
      </c>
      <c r="T399" s="1">
        <v>41051</v>
      </c>
      <c r="U399" s="1">
        <v>41005</v>
      </c>
      <c r="V399" s="1">
        <v>1</v>
      </c>
      <c r="W399" s="1">
        <v>0</v>
      </c>
    </row>
    <row r="400">
      <c r="A400" s="1">
        <v>2018</v>
      </c>
      <c r="B400" s="1">
        <v>41</v>
      </c>
      <c r="C400" t="s">
        <v>3</v>
      </c>
      <c r="D400" s="1">
        <v>51</v>
      </c>
      <c r="E400" t="s">
        <v>6</v>
      </c>
      <c r="F400" s="1">
        <v>41</v>
      </c>
      <c r="G400" t="s">
        <v>3</v>
      </c>
      <c r="H400" s="1">
        <v>7</v>
      </c>
      <c r="I400" t="s">
        <v>126</v>
      </c>
      <c r="J400" s="1">
        <v>175</v>
      </c>
      <c r="K400" s="1">
        <v>270</v>
      </c>
      <c r="L400" s="1">
        <v>9223</v>
      </c>
      <c r="M400" s="1">
        <v>29470</v>
      </c>
      <c r="N400" s="1">
        <v>47084</v>
      </c>
      <c r="O400" s="1">
        <v>1984456</v>
      </c>
      <c r="P400" s="1">
        <v>336898</v>
      </c>
      <c r="Q400" s="1">
        <v>618173</v>
      </c>
      <c r="R400" s="1">
        <v>27842532</v>
      </c>
      <c r="S400" s="1">
        <v>41051</v>
      </c>
      <c r="T400" s="1">
        <v>41051</v>
      </c>
      <c r="U400" s="1">
        <v>41007</v>
      </c>
      <c r="V400" s="1">
        <v>1</v>
      </c>
      <c r="W400" s="1">
        <v>0</v>
      </c>
    </row>
    <row r="401">
      <c r="A401" s="1">
        <v>2018</v>
      </c>
      <c r="B401" s="1">
        <v>41</v>
      </c>
      <c r="C401" t="s">
        <v>3</v>
      </c>
      <c r="D401" s="1">
        <v>51</v>
      </c>
      <c r="E401" t="s">
        <v>6</v>
      </c>
      <c r="F401" s="1">
        <v>41</v>
      </c>
      <c r="G401" t="s">
        <v>3</v>
      </c>
      <c r="H401" s="1">
        <v>9</v>
      </c>
      <c r="I401" t="s">
        <v>127</v>
      </c>
      <c r="J401" s="1">
        <v>353</v>
      </c>
      <c r="K401" s="1">
        <v>638</v>
      </c>
      <c r="L401" s="1">
        <v>21080</v>
      </c>
      <c r="M401" s="1">
        <v>29470</v>
      </c>
      <c r="N401" s="1">
        <v>47084</v>
      </c>
      <c r="O401" s="1">
        <v>1984456</v>
      </c>
      <c r="P401" s="1">
        <v>336898</v>
      </c>
      <c r="Q401" s="1">
        <v>618173</v>
      </c>
      <c r="R401" s="1">
        <v>27842532</v>
      </c>
      <c r="S401" s="1">
        <v>41051</v>
      </c>
      <c r="T401" s="1">
        <v>41051</v>
      </c>
      <c r="U401" s="1">
        <v>41009</v>
      </c>
      <c r="V401" s="1">
        <v>1</v>
      </c>
      <c r="W401" s="1">
        <v>0</v>
      </c>
    </row>
    <row r="402">
      <c r="A402" s="1">
        <v>2018</v>
      </c>
      <c r="B402" s="1">
        <v>41</v>
      </c>
      <c r="C402" t="s">
        <v>3</v>
      </c>
      <c r="D402" s="1">
        <v>51</v>
      </c>
      <c r="E402" t="s">
        <v>6</v>
      </c>
      <c r="F402" s="1">
        <v>41</v>
      </c>
      <c r="G402" t="s">
        <v>3</v>
      </c>
      <c r="H402" s="1">
        <v>11</v>
      </c>
      <c r="I402" t="s">
        <v>128</v>
      </c>
      <c r="J402" s="1">
        <v>55</v>
      </c>
      <c r="K402" s="1">
        <v>83</v>
      </c>
      <c r="L402" s="1">
        <v>2570</v>
      </c>
      <c r="M402" s="1">
        <v>29470</v>
      </c>
      <c r="N402" s="1">
        <v>47084</v>
      </c>
      <c r="O402" s="1">
        <v>1984456</v>
      </c>
      <c r="P402" s="1">
        <v>336898</v>
      </c>
      <c r="Q402" s="1">
        <v>618173</v>
      </c>
      <c r="R402" s="1">
        <v>27842532</v>
      </c>
      <c r="S402" s="1">
        <v>41051</v>
      </c>
      <c r="T402" s="1">
        <v>41051</v>
      </c>
      <c r="U402" s="1">
        <v>41011</v>
      </c>
      <c r="V402" s="1">
        <v>1</v>
      </c>
      <c r="W402" s="1">
        <v>0</v>
      </c>
    </row>
    <row r="403">
      <c r="A403" s="1">
        <v>2018</v>
      </c>
      <c r="B403" s="1">
        <v>41</v>
      </c>
      <c r="C403" t="s">
        <v>3</v>
      </c>
      <c r="D403" s="1">
        <v>51</v>
      </c>
      <c r="E403" t="s">
        <v>6</v>
      </c>
      <c r="F403" s="1">
        <v>41</v>
      </c>
      <c r="G403" t="s">
        <v>3</v>
      </c>
      <c r="H403" s="1">
        <v>13</v>
      </c>
      <c r="I403" t="s">
        <v>129</v>
      </c>
      <c r="J403" s="1">
        <v>37</v>
      </c>
      <c r="K403" s="1">
        <v>51</v>
      </c>
      <c r="L403" s="1">
        <v>2213</v>
      </c>
      <c r="M403" s="1">
        <v>29470</v>
      </c>
      <c r="N403" s="1">
        <v>47084</v>
      </c>
      <c r="O403" s="1">
        <v>1984456</v>
      </c>
      <c r="P403" s="1">
        <v>336898</v>
      </c>
      <c r="Q403" s="1">
        <v>618173</v>
      </c>
      <c r="R403" s="1">
        <v>27842532</v>
      </c>
      <c r="S403" s="1">
        <v>41051</v>
      </c>
      <c r="T403" s="1">
        <v>41051</v>
      </c>
      <c r="U403" s="1">
        <v>41013</v>
      </c>
      <c r="V403" s="1">
        <v>1</v>
      </c>
      <c r="W403" s="1">
        <v>0</v>
      </c>
    </row>
    <row r="404">
      <c r="A404" s="1">
        <v>2018</v>
      </c>
      <c r="B404" s="1">
        <v>41</v>
      </c>
      <c r="C404" t="s">
        <v>3</v>
      </c>
      <c r="D404" s="1">
        <v>51</v>
      </c>
      <c r="E404" t="s">
        <v>6</v>
      </c>
      <c r="F404" s="1">
        <v>41</v>
      </c>
      <c r="G404" t="s">
        <v>3</v>
      </c>
      <c r="H404" s="1">
        <v>17</v>
      </c>
      <c r="I404" t="s">
        <v>130</v>
      </c>
      <c r="J404" s="1">
        <v>452</v>
      </c>
      <c r="K404" s="1">
        <v>732</v>
      </c>
      <c r="L404" s="1">
        <v>39799</v>
      </c>
      <c r="M404" s="1">
        <v>29470</v>
      </c>
      <c r="N404" s="1">
        <v>47084</v>
      </c>
      <c r="O404" s="1">
        <v>1984456</v>
      </c>
      <c r="P404" s="1">
        <v>336898</v>
      </c>
      <c r="Q404" s="1">
        <v>618173</v>
      </c>
      <c r="R404" s="1">
        <v>27842532</v>
      </c>
      <c r="S404" s="1">
        <v>41051</v>
      </c>
      <c r="T404" s="1">
        <v>41051</v>
      </c>
      <c r="U404" s="1">
        <v>41017</v>
      </c>
      <c r="V404" s="1">
        <v>1</v>
      </c>
      <c r="W404" s="1">
        <v>0</v>
      </c>
    </row>
    <row r="405">
      <c r="A405" s="1">
        <v>2018</v>
      </c>
      <c r="B405" s="1">
        <v>41</v>
      </c>
      <c r="C405" t="s">
        <v>3</v>
      </c>
      <c r="D405" s="1">
        <v>51</v>
      </c>
      <c r="E405" t="s">
        <v>6</v>
      </c>
      <c r="F405" s="1">
        <v>41</v>
      </c>
      <c r="G405" t="s">
        <v>3</v>
      </c>
      <c r="H405" s="1">
        <v>19</v>
      </c>
      <c r="I405" t="s">
        <v>131</v>
      </c>
      <c r="J405" s="1">
        <v>77</v>
      </c>
      <c r="K405" s="1">
        <v>109</v>
      </c>
      <c r="L405" s="1">
        <v>3220</v>
      </c>
      <c r="M405" s="1">
        <v>29470</v>
      </c>
      <c r="N405" s="1">
        <v>47084</v>
      </c>
      <c r="O405" s="1">
        <v>1984456</v>
      </c>
      <c r="P405" s="1">
        <v>336898</v>
      </c>
      <c r="Q405" s="1">
        <v>618173</v>
      </c>
      <c r="R405" s="1">
        <v>27842532</v>
      </c>
      <c r="S405" s="1">
        <v>41051</v>
      </c>
      <c r="T405" s="1">
        <v>41051</v>
      </c>
      <c r="U405" s="1">
        <v>41019</v>
      </c>
      <c r="V405" s="1">
        <v>1</v>
      </c>
      <c r="W405" s="1">
        <v>0</v>
      </c>
    </row>
    <row r="406">
      <c r="A406" s="1">
        <v>2018</v>
      </c>
      <c r="B406" s="1">
        <v>41</v>
      </c>
      <c r="C406" t="s">
        <v>3</v>
      </c>
      <c r="D406" s="1">
        <v>51</v>
      </c>
      <c r="E406" t="s">
        <v>6</v>
      </c>
      <c r="F406" s="1">
        <v>41</v>
      </c>
      <c r="G406" t="s">
        <v>3</v>
      </c>
      <c r="H406" s="1">
        <v>27</v>
      </c>
      <c r="I406" t="s">
        <v>132</v>
      </c>
      <c r="J406" s="1">
        <v>131</v>
      </c>
      <c r="K406" s="1">
        <v>222</v>
      </c>
      <c r="L406" s="1">
        <v>9140</v>
      </c>
      <c r="M406" s="1">
        <v>29470</v>
      </c>
      <c r="N406" s="1">
        <v>47084</v>
      </c>
      <c r="O406" s="1">
        <v>1984456</v>
      </c>
      <c r="P406" s="1">
        <v>336898</v>
      </c>
      <c r="Q406" s="1">
        <v>618173</v>
      </c>
      <c r="R406" s="1">
        <v>27842532</v>
      </c>
      <c r="S406" s="1">
        <v>41051</v>
      </c>
      <c r="T406" s="1">
        <v>41051</v>
      </c>
      <c r="U406" s="1">
        <v>41027</v>
      </c>
      <c r="V406" s="1">
        <v>1</v>
      </c>
      <c r="W406" s="1">
        <v>0</v>
      </c>
    </row>
    <row r="407">
      <c r="A407" s="1">
        <v>2018</v>
      </c>
      <c r="B407" s="1">
        <v>41</v>
      </c>
      <c r="C407" t="s">
        <v>3</v>
      </c>
      <c r="D407" s="1">
        <v>51</v>
      </c>
      <c r="E407" t="s">
        <v>6</v>
      </c>
      <c r="F407" s="1">
        <v>41</v>
      </c>
      <c r="G407" t="s">
        <v>3</v>
      </c>
      <c r="H407" s="1">
        <v>29</v>
      </c>
      <c r="I407" t="s">
        <v>133</v>
      </c>
      <c r="J407" s="1">
        <v>189</v>
      </c>
      <c r="K407" s="1">
        <v>258</v>
      </c>
      <c r="L407" s="1">
        <v>9694</v>
      </c>
      <c r="M407" s="1">
        <v>29470</v>
      </c>
      <c r="N407" s="1">
        <v>47084</v>
      </c>
      <c r="O407" s="1">
        <v>1984456</v>
      </c>
      <c r="P407" s="1">
        <v>336898</v>
      </c>
      <c r="Q407" s="1">
        <v>618173</v>
      </c>
      <c r="R407" s="1">
        <v>27842532</v>
      </c>
      <c r="S407" s="1">
        <v>41051</v>
      </c>
      <c r="T407" s="1">
        <v>41051</v>
      </c>
      <c r="U407" s="1">
        <v>41029</v>
      </c>
      <c r="V407" s="1">
        <v>1</v>
      </c>
      <c r="W407" s="1">
        <v>0</v>
      </c>
    </row>
    <row r="408">
      <c r="A408" s="1">
        <v>2018</v>
      </c>
      <c r="B408" s="1">
        <v>41</v>
      </c>
      <c r="C408" t="s">
        <v>3</v>
      </c>
      <c r="D408" s="1">
        <v>51</v>
      </c>
      <c r="E408" t="s">
        <v>6</v>
      </c>
      <c r="F408" s="1">
        <v>41</v>
      </c>
      <c r="G408" t="s">
        <v>3</v>
      </c>
      <c r="H408" s="1">
        <v>31</v>
      </c>
      <c r="I408" t="s">
        <v>83</v>
      </c>
      <c r="J408" s="1">
        <v>39</v>
      </c>
      <c r="K408" s="1">
        <v>76</v>
      </c>
      <c r="L408" s="1">
        <v>2307</v>
      </c>
      <c r="M408" s="1">
        <v>29470</v>
      </c>
      <c r="N408" s="1">
        <v>47084</v>
      </c>
      <c r="O408" s="1">
        <v>1984456</v>
      </c>
      <c r="P408" s="1">
        <v>336898</v>
      </c>
      <c r="Q408" s="1">
        <v>618173</v>
      </c>
      <c r="R408" s="1">
        <v>27842532</v>
      </c>
      <c r="S408" s="1">
        <v>41051</v>
      </c>
      <c r="T408" s="1">
        <v>41051</v>
      </c>
      <c r="U408" s="1">
        <v>41031</v>
      </c>
      <c r="V408" s="1">
        <v>1</v>
      </c>
      <c r="W408" s="1">
        <v>0</v>
      </c>
    </row>
    <row r="409">
      <c r="A409" s="1">
        <v>2018</v>
      </c>
      <c r="B409" s="1">
        <v>41</v>
      </c>
      <c r="C409" t="s">
        <v>3</v>
      </c>
      <c r="D409" s="1">
        <v>51</v>
      </c>
      <c r="E409" t="s">
        <v>6</v>
      </c>
      <c r="F409" s="1">
        <v>41</v>
      </c>
      <c r="G409" t="s">
        <v>3</v>
      </c>
      <c r="H409" s="1">
        <v>33</v>
      </c>
      <c r="I409" t="s">
        <v>134</v>
      </c>
      <c r="J409" s="1">
        <v>44</v>
      </c>
      <c r="K409" s="1">
        <v>57</v>
      </c>
      <c r="L409" s="1">
        <v>1310</v>
      </c>
      <c r="M409" s="1">
        <v>29470</v>
      </c>
      <c r="N409" s="1">
        <v>47084</v>
      </c>
      <c r="O409" s="1">
        <v>1984456</v>
      </c>
      <c r="P409" s="1">
        <v>336898</v>
      </c>
      <c r="Q409" s="1">
        <v>618173</v>
      </c>
      <c r="R409" s="1">
        <v>27842532</v>
      </c>
      <c r="S409" s="1">
        <v>41051</v>
      </c>
      <c r="T409" s="1">
        <v>41051</v>
      </c>
      <c r="U409" s="1">
        <v>41033</v>
      </c>
      <c r="V409" s="1">
        <v>1</v>
      </c>
      <c r="W409" s="1">
        <v>0</v>
      </c>
    </row>
    <row r="410">
      <c r="A410" s="1">
        <v>2018</v>
      </c>
      <c r="B410" s="1">
        <v>41</v>
      </c>
      <c r="C410" t="s">
        <v>3</v>
      </c>
      <c r="D410" s="1">
        <v>51</v>
      </c>
      <c r="E410" t="s">
        <v>6</v>
      </c>
      <c r="F410" s="1">
        <v>41</v>
      </c>
      <c r="G410" t="s">
        <v>3</v>
      </c>
      <c r="H410" s="1">
        <v>35</v>
      </c>
      <c r="I410" t="s">
        <v>135</v>
      </c>
      <c r="J410" s="1">
        <v>38</v>
      </c>
      <c r="K410" s="1">
        <v>73</v>
      </c>
      <c r="L410" s="1">
        <v>1255</v>
      </c>
      <c r="M410" s="1">
        <v>29470</v>
      </c>
      <c r="N410" s="1">
        <v>47084</v>
      </c>
      <c r="O410" s="1">
        <v>1984456</v>
      </c>
      <c r="P410" s="1">
        <v>336898</v>
      </c>
      <c r="Q410" s="1">
        <v>618173</v>
      </c>
      <c r="R410" s="1">
        <v>27842532</v>
      </c>
      <c r="S410" s="1">
        <v>41051</v>
      </c>
      <c r="T410" s="1">
        <v>41051</v>
      </c>
      <c r="U410" s="1">
        <v>41035</v>
      </c>
      <c r="V410" s="1">
        <v>1</v>
      </c>
      <c r="W410" s="1">
        <v>0</v>
      </c>
    </row>
    <row r="411">
      <c r="A411" s="1">
        <v>2018</v>
      </c>
      <c r="B411" s="1">
        <v>41</v>
      </c>
      <c r="C411" t="s">
        <v>3</v>
      </c>
      <c r="D411" s="1">
        <v>51</v>
      </c>
      <c r="E411" t="s">
        <v>6</v>
      </c>
      <c r="F411" s="1">
        <v>41</v>
      </c>
      <c r="G411" t="s">
        <v>3</v>
      </c>
      <c r="H411" s="1">
        <v>39</v>
      </c>
      <c r="I411" t="s">
        <v>136</v>
      </c>
      <c r="J411" s="1">
        <v>487</v>
      </c>
      <c r="K411" s="1">
        <v>684</v>
      </c>
      <c r="L411" s="1">
        <v>21619</v>
      </c>
      <c r="M411" s="1">
        <v>29470</v>
      </c>
      <c r="N411" s="1">
        <v>47084</v>
      </c>
      <c r="O411" s="1">
        <v>1984456</v>
      </c>
      <c r="P411" s="1">
        <v>336898</v>
      </c>
      <c r="Q411" s="1">
        <v>618173</v>
      </c>
      <c r="R411" s="1">
        <v>27842532</v>
      </c>
      <c r="S411" s="1">
        <v>41051</v>
      </c>
      <c r="T411" s="1">
        <v>41051</v>
      </c>
      <c r="U411" s="1">
        <v>41039</v>
      </c>
      <c r="V411" s="1">
        <v>1</v>
      </c>
      <c r="W411" s="1">
        <v>0</v>
      </c>
    </row>
    <row r="412">
      <c r="A412" s="1">
        <v>2018</v>
      </c>
      <c r="B412" s="1">
        <v>41</v>
      </c>
      <c r="C412" t="s">
        <v>3</v>
      </c>
      <c r="D412" s="1">
        <v>51</v>
      </c>
      <c r="E412" t="s">
        <v>6</v>
      </c>
      <c r="F412" s="1">
        <v>41</v>
      </c>
      <c r="G412" t="s">
        <v>3</v>
      </c>
      <c r="H412" s="1">
        <v>41</v>
      </c>
      <c r="I412" t="s">
        <v>137</v>
      </c>
      <c r="J412" s="1">
        <v>125</v>
      </c>
      <c r="K412" s="1">
        <v>192</v>
      </c>
      <c r="L412" s="1">
        <v>6710</v>
      </c>
      <c r="M412" s="1">
        <v>29470</v>
      </c>
      <c r="N412" s="1">
        <v>47084</v>
      </c>
      <c r="O412" s="1">
        <v>1984456</v>
      </c>
      <c r="P412" s="1">
        <v>336898</v>
      </c>
      <c r="Q412" s="1">
        <v>618173</v>
      </c>
      <c r="R412" s="1">
        <v>27842532</v>
      </c>
      <c r="S412" s="1">
        <v>41051</v>
      </c>
      <c r="T412" s="1">
        <v>41051</v>
      </c>
      <c r="U412" s="1">
        <v>41041</v>
      </c>
      <c r="V412" s="1">
        <v>1</v>
      </c>
      <c r="W412" s="1">
        <v>0</v>
      </c>
    </row>
    <row r="413">
      <c r="A413" s="1">
        <v>2018</v>
      </c>
      <c r="B413" s="1">
        <v>41</v>
      </c>
      <c r="C413" t="s">
        <v>3</v>
      </c>
      <c r="D413" s="1">
        <v>51</v>
      </c>
      <c r="E413" t="s">
        <v>6</v>
      </c>
      <c r="F413" s="1">
        <v>41</v>
      </c>
      <c r="G413" t="s">
        <v>3</v>
      </c>
      <c r="H413" s="1">
        <v>43</v>
      </c>
      <c r="I413" t="s">
        <v>138</v>
      </c>
      <c r="J413" s="1">
        <v>130</v>
      </c>
      <c r="K413" s="1">
        <v>208</v>
      </c>
      <c r="L413" s="1">
        <v>5919</v>
      </c>
      <c r="M413" s="1">
        <v>29470</v>
      </c>
      <c r="N413" s="1">
        <v>47084</v>
      </c>
      <c r="O413" s="1">
        <v>1984456</v>
      </c>
      <c r="P413" s="1">
        <v>336898</v>
      </c>
      <c r="Q413" s="1">
        <v>618173</v>
      </c>
      <c r="R413" s="1">
        <v>27842532</v>
      </c>
      <c r="S413" s="1">
        <v>41051</v>
      </c>
      <c r="T413" s="1">
        <v>41051</v>
      </c>
      <c r="U413" s="1">
        <v>41043</v>
      </c>
      <c r="V413" s="1">
        <v>1</v>
      </c>
      <c r="W413" s="1">
        <v>0</v>
      </c>
    </row>
    <row r="414">
      <c r="A414" s="1">
        <v>2018</v>
      </c>
      <c r="B414" s="1">
        <v>41</v>
      </c>
      <c r="C414" t="s">
        <v>3</v>
      </c>
      <c r="D414" s="1">
        <v>51</v>
      </c>
      <c r="E414" t="s">
        <v>6</v>
      </c>
      <c r="F414" s="1">
        <v>41</v>
      </c>
      <c r="G414" t="s">
        <v>3</v>
      </c>
      <c r="H414" s="1">
        <v>47</v>
      </c>
      <c r="I414" t="s">
        <v>99</v>
      </c>
      <c r="J414" s="1">
        <v>577</v>
      </c>
      <c r="K414" s="1">
        <v>974</v>
      </c>
      <c r="L414" s="1">
        <v>28470</v>
      </c>
      <c r="M414" s="1">
        <v>29470</v>
      </c>
      <c r="N414" s="1">
        <v>47084</v>
      </c>
      <c r="O414" s="1">
        <v>1984456</v>
      </c>
      <c r="P414" s="1">
        <v>336898</v>
      </c>
      <c r="Q414" s="1">
        <v>618173</v>
      </c>
      <c r="R414" s="1">
        <v>27842532</v>
      </c>
      <c r="S414" s="1">
        <v>41051</v>
      </c>
      <c r="T414" s="1">
        <v>41051</v>
      </c>
      <c r="U414" s="1">
        <v>41047</v>
      </c>
      <c r="V414" s="1">
        <v>1</v>
      </c>
      <c r="W414" s="1">
        <v>0</v>
      </c>
    </row>
    <row r="415">
      <c r="A415" s="1">
        <v>2018</v>
      </c>
      <c r="B415" s="1">
        <v>41</v>
      </c>
      <c r="C415" t="s">
        <v>3</v>
      </c>
      <c r="D415" s="1">
        <v>51</v>
      </c>
      <c r="E415" t="s">
        <v>6</v>
      </c>
      <c r="F415" s="1">
        <v>41</v>
      </c>
      <c r="G415" t="s">
        <v>3</v>
      </c>
      <c r="H415" s="1">
        <v>53</v>
      </c>
      <c r="I415" t="s">
        <v>100</v>
      </c>
      <c r="J415" s="1">
        <v>105</v>
      </c>
      <c r="K415" s="1">
        <v>174</v>
      </c>
      <c r="L415" s="1">
        <v>4327</v>
      </c>
      <c r="M415" s="1">
        <v>29470</v>
      </c>
      <c r="N415" s="1">
        <v>47084</v>
      </c>
      <c r="O415" s="1">
        <v>1984456</v>
      </c>
      <c r="P415" s="1">
        <v>336898</v>
      </c>
      <c r="Q415" s="1">
        <v>618173</v>
      </c>
      <c r="R415" s="1">
        <v>27842532</v>
      </c>
      <c r="S415" s="1">
        <v>41051</v>
      </c>
      <c r="T415" s="1">
        <v>41051</v>
      </c>
      <c r="U415" s="1">
        <v>41053</v>
      </c>
      <c r="V415" s="1">
        <v>1</v>
      </c>
      <c r="W415" s="1">
        <v>0</v>
      </c>
    </row>
    <row r="416">
      <c r="A416" s="1">
        <v>2018</v>
      </c>
      <c r="B416" s="1">
        <v>41</v>
      </c>
      <c r="C416" t="s">
        <v>3</v>
      </c>
      <c r="D416" s="1">
        <v>51</v>
      </c>
      <c r="E416" t="s">
        <v>6</v>
      </c>
      <c r="F416" s="1">
        <v>41</v>
      </c>
      <c r="G416" t="s">
        <v>3</v>
      </c>
      <c r="H416" s="1">
        <v>57</v>
      </c>
      <c r="I416" t="s">
        <v>139</v>
      </c>
      <c r="J416" s="1">
        <v>122</v>
      </c>
      <c r="K416" s="1">
        <v>189</v>
      </c>
      <c r="L416" s="1">
        <v>6535</v>
      </c>
      <c r="M416" s="1">
        <v>29470</v>
      </c>
      <c r="N416" s="1">
        <v>47084</v>
      </c>
      <c r="O416" s="1">
        <v>1984456</v>
      </c>
      <c r="P416" s="1">
        <v>336898</v>
      </c>
      <c r="Q416" s="1">
        <v>618173</v>
      </c>
      <c r="R416" s="1">
        <v>27842532</v>
      </c>
      <c r="S416" s="1">
        <v>41051</v>
      </c>
      <c r="T416" s="1">
        <v>41051</v>
      </c>
      <c r="U416" s="1">
        <v>41057</v>
      </c>
      <c r="V416" s="1">
        <v>1</v>
      </c>
      <c r="W416" s="1">
        <v>0</v>
      </c>
    </row>
    <row r="417">
      <c r="A417" s="1">
        <v>2018</v>
      </c>
      <c r="B417" s="1">
        <v>41</v>
      </c>
      <c r="C417" t="s">
        <v>3</v>
      </c>
      <c r="D417" s="1">
        <v>51</v>
      </c>
      <c r="E417" t="s">
        <v>6</v>
      </c>
      <c r="F417" s="1">
        <v>41</v>
      </c>
      <c r="G417" t="s">
        <v>3</v>
      </c>
      <c r="H417" s="1">
        <v>59</v>
      </c>
      <c r="I417" t="s">
        <v>140</v>
      </c>
      <c r="J417" s="1">
        <v>52</v>
      </c>
      <c r="K417" s="1">
        <v>86</v>
      </c>
      <c r="L417" s="1">
        <v>1783</v>
      </c>
      <c r="M417" s="1">
        <v>29470</v>
      </c>
      <c r="N417" s="1">
        <v>47084</v>
      </c>
      <c r="O417" s="1">
        <v>1984456</v>
      </c>
      <c r="P417" s="1">
        <v>336898</v>
      </c>
      <c r="Q417" s="1">
        <v>618173</v>
      </c>
      <c r="R417" s="1">
        <v>27842532</v>
      </c>
      <c r="S417" s="1">
        <v>41051</v>
      </c>
      <c r="T417" s="1">
        <v>41051</v>
      </c>
      <c r="U417" s="1">
        <v>41059</v>
      </c>
      <c r="V417" s="1">
        <v>1</v>
      </c>
      <c r="W417" s="1">
        <v>0</v>
      </c>
    </row>
    <row r="418">
      <c r="A418" s="1">
        <v>2018</v>
      </c>
      <c r="B418" s="1">
        <v>41</v>
      </c>
      <c r="C418" t="s">
        <v>3</v>
      </c>
      <c r="D418" s="1">
        <v>51</v>
      </c>
      <c r="E418" t="s">
        <v>6</v>
      </c>
      <c r="F418" s="1">
        <v>41</v>
      </c>
      <c r="G418" t="s">
        <v>3</v>
      </c>
      <c r="H418" s="1">
        <v>61</v>
      </c>
      <c r="I418" t="s">
        <v>141</v>
      </c>
      <c r="J418" s="1">
        <v>20</v>
      </c>
      <c r="K418" s="1">
        <v>33</v>
      </c>
      <c r="L418" s="1">
        <v>988</v>
      </c>
      <c r="M418" s="1">
        <v>29470</v>
      </c>
      <c r="N418" s="1">
        <v>47084</v>
      </c>
      <c r="O418" s="1">
        <v>1984456</v>
      </c>
      <c r="P418" s="1">
        <v>336898</v>
      </c>
      <c r="Q418" s="1">
        <v>618173</v>
      </c>
      <c r="R418" s="1">
        <v>27842532</v>
      </c>
      <c r="S418" s="1">
        <v>41051</v>
      </c>
      <c r="T418" s="1">
        <v>41051</v>
      </c>
      <c r="U418" s="1">
        <v>41061</v>
      </c>
      <c r="V418" s="1">
        <v>1</v>
      </c>
      <c r="W418" s="1">
        <v>0</v>
      </c>
    </row>
    <row r="419">
      <c r="A419" s="1">
        <v>2018</v>
      </c>
      <c r="B419" s="1">
        <v>41</v>
      </c>
      <c r="C419" t="s">
        <v>3</v>
      </c>
      <c r="D419" s="1">
        <v>51</v>
      </c>
      <c r="E419" t="s">
        <v>6</v>
      </c>
      <c r="F419" s="1">
        <v>41</v>
      </c>
      <c r="G419" t="s">
        <v>3</v>
      </c>
      <c r="H419" s="1">
        <v>65</v>
      </c>
      <c r="I419" t="s">
        <v>142</v>
      </c>
      <c r="J419" s="1">
        <v>84</v>
      </c>
      <c r="K419" s="1">
        <v>127</v>
      </c>
      <c r="L419" s="1">
        <v>4038</v>
      </c>
      <c r="M419" s="1">
        <v>29470</v>
      </c>
      <c r="N419" s="1">
        <v>47084</v>
      </c>
      <c r="O419" s="1">
        <v>1984456</v>
      </c>
      <c r="P419" s="1">
        <v>336898</v>
      </c>
      <c r="Q419" s="1">
        <v>618173</v>
      </c>
      <c r="R419" s="1">
        <v>27842532</v>
      </c>
      <c r="S419" s="1">
        <v>41051</v>
      </c>
      <c r="T419" s="1">
        <v>41051</v>
      </c>
      <c r="U419" s="1">
        <v>41065</v>
      </c>
      <c r="V419" s="1">
        <v>1</v>
      </c>
      <c r="W419" s="1">
        <v>0</v>
      </c>
    </row>
    <row r="420">
      <c r="A420" s="1">
        <v>2018</v>
      </c>
      <c r="B420" s="1">
        <v>41</v>
      </c>
      <c r="C420" t="s">
        <v>3</v>
      </c>
      <c r="D420" s="1">
        <v>51</v>
      </c>
      <c r="E420" t="s">
        <v>6</v>
      </c>
      <c r="F420" s="1">
        <v>41</v>
      </c>
      <c r="G420" t="s">
        <v>3</v>
      </c>
      <c r="H420" s="1">
        <v>67</v>
      </c>
      <c r="I420" t="s">
        <v>143</v>
      </c>
      <c r="J420" s="1">
        <v>4649</v>
      </c>
      <c r="K420" s="1">
        <v>7216</v>
      </c>
      <c r="L420" s="1">
        <v>374794</v>
      </c>
      <c r="M420" s="1">
        <v>29470</v>
      </c>
      <c r="N420" s="1">
        <v>47084</v>
      </c>
      <c r="O420" s="1">
        <v>1984456</v>
      </c>
      <c r="P420" s="1">
        <v>336898</v>
      </c>
      <c r="Q420" s="1">
        <v>618173</v>
      </c>
      <c r="R420" s="1">
        <v>27842532</v>
      </c>
      <c r="S420" s="1">
        <v>41051</v>
      </c>
      <c r="T420" s="1">
        <v>41051</v>
      </c>
      <c r="U420" s="1">
        <v>41067</v>
      </c>
      <c r="V420" s="1">
        <v>1</v>
      </c>
      <c r="W420" s="1">
        <v>0</v>
      </c>
    </row>
    <row r="421">
      <c r="A421" s="1">
        <v>2018</v>
      </c>
      <c r="B421" s="1">
        <v>41</v>
      </c>
      <c r="C421" t="s">
        <v>3</v>
      </c>
      <c r="D421" s="1">
        <v>51</v>
      </c>
      <c r="E421" t="s">
        <v>6</v>
      </c>
      <c r="F421" s="1">
        <v>41</v>
      </c>
      <c r="G421" t="s">
        <v>3</v>
      </c>
      <c r="H421" s="1">
        <v>71</v>
      </c>
      <c r="I421" t="s">
        <v>144</v>
      </c>
      <c r="J421" s="1">
        <v>219</v>
      </c>
      <c r="K421" s="1">
        <v>344</v>
      </c>
      <c r="L421" s="1">
        <v>15157</v>
      </c>
      <c r="M421" s="1">
        <v>29470</v>
      </c>
      <c r="N421" s="1">
        <v>47084</v>
      </c>
      <c r="O421" s="1">
        <v>1984456</v>
      </c>
      <c r="P421" s="1">
        <v>336898</v>
      </c>
      <c r="Q421" s="1">
        <v>618173</v>
      </c>
      <c r="R421" s="1">
        <v>27842532</v>
      </c>
      <c r="S421" s="1">
        <v>41051</v>
      </c>
      <c r="T421" s="1">
        <v>41051</v>
      </c>
      <c r="U421" s="1">
        <v>41071</v>
      </c>
      <c r="V421" s="1">
        <v>1</v>
      </c>
      <c r="W421" s="1">
        <v>0</v>
      </c>
    </row>
    <row r="422">
      <c r="A422" s="1">
        <v>2018</v>
      </c>
      <c r="B422" s="1">
        <v>41</v>
      </c>
      <c r="C422" t="s">
        <v>3</v>
      </c>
      <c r="D422" s="1">
        <v>51</v>
      </c>
      <c r="E422" t="s">
        <v>6</v>
      </c>
      <c r="F422" s="1">
        <v>42</v>
      </c>
      <c r="G422" t="s">
        <v>34</v>
      </c>
      <c r="H422" s="1">
        <v>3</v>
      </c>
      <c r="I422" t="s">
        <v>145</v>
      </c>
      <c r="J422" s="1">
        <v>44</v>
      </c>
      <c r="K422" s="1">
        <v>57</v>
      </c>
      <c r="L422" s="1">
        <v>2281</v>
      </c>
      <c r="M422" s="1">
        <v>29470</v>
      </c>
      <c r="N422" s="1">
        <v>47084</v>
      </c>
      <c r="O422" s="1">
        <v>1984456</v>
      </c>
      <c r="P422" s="1">
        <v>336898</v>
      </c>
      <c r="Q422" s="1">
        <v>618173</v>
      </c>
      <c r="R422" s="1">
        <v>27842532</v>
      </c>
      <c r="S422" s="1">
        <v>41051</v>
      </c>
      <c r="T422" s="1">
        <v>41051</v>
      </c>
      <c r="U422" s="1">
        <v>42003</v>
      </c>
      <c r="V422" s="1">
        <v>1</v>
      </c>
      <c r="W422" s="1">
        <v>0</v>
      </c>
    </row>
    <row r="423">
      <c r="A423" s="1">
        <v>2018</v>
      </c>
      <c r="B423" s="1">
        <v>41</v>
      </c>
      <c r="C423" t="s">
        <v>3</v>
      </c>
      <c r="D423" s="1">
        <v>51</v>
      </c>
      <c r="E423" t="s">
        <v>6</v>
      </c>
      <c r="F423" s="1">
        <v>42</v>
      </c>
      <c r="G423" t="s">
        <v>34</v>
      </c>
      <c r="H423" s="1">
        <v>101</v>
      </c>
      <c r="I423" t="s">
        <v>146</v>
      </c>
      <c r="J423" s="1">
        <v>60</v>
      </c>
      <c r="K423" s="1">
        <v>72</v>
      </c>
      <c r="L423" s="1">
        <v>3211</v>
      </c>
      <c r="M423" s="1">
        <v>29470</v>
      </c>
      <c r="N423" s="1">
        <v>47084</v>
      </c>
      <c r="O423" s="1">
        <v>1984456</v>
      </c>
      <c r="P423" s="1">
        <v>336898</v>
      </c>
      <c r="Q423" s="1">
        <v>618173</v>
      </c>
      <c r="R423" s="1">
        <v>27842532</v>
      </c>
      <c r="S423" s="1">
        <v>41051</v>
      </c>
      <c r="T423" s="1">
        <v>41051</v>
      </c>
      <c r="U423" s="1">
        <v>42101</v>
      </c>
      <c r="V423" s="1">
        <v>1</v>
      </c>
      <c r="W423" s="1">
        <v>0</v>
      </c>
    </row>
    <row r="424">
      <c r="A424" s="1">
        <v>2018</v>
      </c>
      <c r="B424" s="1">
        <v>41</v>
      </c>
      <c r="C424" t="s">
        <v>3</v>
      </c>
      <c r="D424" s="1">
        <v>51</v>
      </c>
      <c r="E424" t="s">
        <v>6</v>
      </c>
      <c r="F424" s="1">
        <v>45</v>
      </c>
      <c r="G424" t="s">
        <v>49</v>
      </c>
      <c r="H424" s="1">
        <v>83</v>
      </c>
      <c r="I424" t="s">
        <v>214</v>
      </c>
      <c r="J424" s="1">
        <v>28</v>
      </c>
      <c r="K424" s="1">
        <v>88</v>
      </c>
      <c r="L424" s="1">
        <v>1006</v>
      </c>
      <c r="M424" s="1">
        <v>29470</v>
      </c>
      <c r="N424" s="1">
        <v>47084</v>
      </c>
      <c r="O424" s="1">
        <v>1984456</v>
      </c>
      <c r="P424" s="1">
        <v>336898</v>
      </c>
      <c r="Q424" s="1">
        <v>618173</v>
      </c>
      <c r="R424" s="1">
        <v>27842532</v>
      </c>
      <c r="S424" s="1">
        <v>41051</v>
      </c>
      <c r="T424" s="1">
        <v>41051</v>
      </c>
      <c r="U424" s="1">
        <v>45083</v>
      </c>
      <c r="V424" s="1">
        <v>1</v>
      </c>
      <c r="W424" s="1">
        <v>0</v>
      </c>
    </row>
    <row r="425">
      <c r="A425" s="1">
        <v>2018</v>
      </c>
      <c r="B425" s="1">
        <v>41</v>
      </c>
      <c r="C425" t="s">
        <v>3</v>
      </c>
      <c r="D425" s="1">
        <v>51</v>
      </c>
      <c r="E425" t="s">
        <v>6</v>
      </c>
      <c r="F425" s="1">
        <v>47</v>
      </c>
      <c r="G425" t="s">
        <v>35</v>
      </c>
      <c r="H425" s="1">
        <v>37</v>
      </c>
      <c r="I425" t="s">
        <v>147</v>
      </c>
      <c r="J425" s="1">
        <v>45</v>
      </c>
      <c r="K425" s="1">
        <v>61</v>
      </c>
      <c r="L425" s="1">
        <v>2133</v>
      </c>
      <c r="M425" s="1">
        <v>29470</v>
      </c>
      <c r="N425" s="1">
        <v>47084</v>
      </c>
      <c r="O425" s="1">
        <v>1984456</v>
      </c>
      <c r="P425" s="1">
        <v>336898</v>
      </c>
      <c r="Q425" s="1">
        <v>618173</v>
      </c>
      <c r="R425" s="1">
        <v>27842532</v>
      </c>
      <c r="S425" s="1">
        <v>41051</v>
      </c>
      <c r="T425" s="1">
        <v>41051</v>
      </c>
      <c r="U425" s="1">
        <v>47037</v>
      </c>
      <c r="V425" s="1">
        <v>1</v>
      </c>
      <c r="W425" s="1">
        <v>0</v>
      </c>
    </row>
    <row r="426">
      <c r="A426" s="1">
        <v>2018</v>
      </c>
      <c r="B426" s="1">
        <v>41</v>
      </c>
      <c r="C426" t="s">
        <v>3</v>
      </c>
      <c r="D426" s="1">
        <v>51</v>
      </c>
      <c r="E426" t="s">
        <v>6</v>
      </c>
      <c r="F426" s="1">
        <v>48</v>
      </c>
      <c r="G426" t="s">
        <v>36</v>
      </c>
      <c r="H426" s="1">
        <v>29</v>
      </c>
      <c r="I426" t="s">
        <v>149</v>
      </c>
      <c r="J426" s="1">
        <v>46</v>
      </c>
      <c r="K426" s="1">
        <v>78</v>
      </c>
      <c r="L426" s="1">
        <v>3186</v>
      </c>
      <c r="M426" s="1">
        <v>29470</v>
      </c>
      <c r="N426" s="1">
        <v>47084</v>
      </c>
      <c r="O426" s="1">
        <v>1984456</v>
      </c>
      <c r="P426" s="1">
        <v>336898</v>
      </c>
      <c r="Q426" s="1">
        <v>618173</v>
      </c>
      <c r="R426" s="1">
        <v>27842532</v>
      </c>
      <c r="S426" s="1">
        <v>41051</v>
      </c>
      <c r="T426" s="1">
        <v>41051</v>
      </c>
      <c r="U426" s="1">
        <v>48029</v>
      </c>
      <c r="V426" s="1">
        <v>1</v>
      </c>
      <c r="W426" s="1">
        <v>0</v>
      </c>
    </row>
    <row r="427">
      <c r="A427" s="1">
        <v>2018</v>
      </c>
      <c r="B427" s="1">
        <v>41</v>
      </c>
      <c r="C427" t="s">
        <v>3</v>
      </c>
      <c r="D427" s="1">
        <v>51</v>
      </c>
      <c r="E427" t="s">
        <v>6</v>
      </c>
      <c r="F427" s="1">
        <v>48</v>
      </c>
      <c r="G427" t="s">
        <v>36</v>
      </c>
      <c r="H427" s="1">
        <v>85</v>
      </c>
      <c r="I427" t="s">
        <v>216</v>
      </c>
      <c r="J427" s="1">
        <v>20</v>
      </c>
      <c r="K427" s="1">
        <v>35</v>
      </c>
      <c r="L427" s="1">
        <v>1329</v>
      </c>
      <c r="M427" s="1">
        <v>29470</v>
      </c>
      <c r="N427" s="1">
        <v>47084</v>
      </c>
      <c r="O427" s="1">
        <v>1984456</v>
      </c>
      <c r="P427" s="1">
        <v>336898</v>
      </c>
      <c r="Q427" s="1">
        <v>618173</v>
      </c>
      <c r="R427" s="1">
        <v>27842532</v>
      </c>
      <c r="S427" s="1">
        <v>41051</v>
      </c>
      <c r="T427" s="1">
        <v>41051</v>
      </c>
      <c r="U427" s="1">
        <v>48085</v>
      </c>
      <c r="V427" s="1">
        <v>1</v>
      </c>
      <c r="W427" s="1">
        <v>0</v>
      </c>
    </row>
    <row r="428">
      <c r="A428" s="1">
        <v>2018</v>
      </c>
      <c r="B428" s="1">
        <v>41</v>
      </c>
      <c r="C428" t="s">
        <v>3</v>
      </c>
      <c r="D428" s="1">
        <v>51</v>
      </c>
      <c r="E428" t="s">
        <v>6</v>
      </c>
      <c r="F428" s="1">
        <v>48</v>
      </c>
      <c r="G428" t="s">
        <v>36</v>
      </c>
      <c r="H428" s="1">
        <v>113</v>
      </c>
      <c r="I428" t="s">
        <v>150</v>
      </c>
      <c r="J428" s="1">
        <v>58</v>
      </c>
      <c r="K428" s="1">
        <v>101</v>
      </c>
      <c r="L428" s="1">
        <v>3112</v>
      </c>
      <c r="M428" s="1">
        <v>29470</v>
      </c>
      <c r="N428" s="1">
        <v>47084</v>
      </c>
      <c r="O428" s="1">
        <v>1984456</v>
      </c>
      <c r="P428" s="1">
        <v>336898</v>
      </c>
      <c r="Q428" s="1">
        <v>618173</v>
      </c>
      <c r="R428" s="1">
        <v>27842532</v>
      </c>
      <c r="S428" s="1">
        <v>41051</v>
      </c>
      <c r="T428" s="1">
        <v>41051</v>
      </c>
      <c r="U428" s="1">
        <v>48113</v>
      </c>
      <c r="V428" s="1">
        <v>1</v>
      </c>
      <c r="W428" s="1">
        <v>0</v>
      </c>
    </row>
    <row r="429">
      <c r="A429" s="1">
        <v>2018</v>
      </c>
      <c r="B429" s="1">
        <v>41</v>
      </c>
      <c r="C429" t="s">
        <v>3</v>
      </c>
      <c r="D429" s="1">
        <v>51</v>
      </c>
      <c r="E429" t="s">
        <v>6</v>
      </c>
      <c r="F429" s="1">
        <v>48</v>
      </c>
      <c r="G429" t="s">
        <v>36</v>
      </c>
      <c r="H429" s="1">
        <v>201</v>
      </c>
      <c r="I429" t="s">
        <v>151</v>
      </c>
      <c r="J429" s="1">
        <v>98</v>
      </c>
      <c r="K429" s="1">
        <v>138</v>
      </c>
      <c r="L429" s="1">
        <v>5140</v>
      </c>
      <c r="M429" s="1">
        <v>29470</v>
      </c>
      <c r="N429" s="1">
        <v>47084</v>
      </c>
      <c r="O429" s="1">
        <v>1984456</v>
      </c>
      <c r="P429" s="1">
        <v>336898</v>
      </c>
      <c r="Q429" s="1">
        <v>618173</v>
      </c>
      <c r="R429" s="1">
        <v>27842532</v>
      </c>
      <c r="S429" s="1">
        <v>41051</v>
      </c>
      <c r="T429" s="1">
        <v>41051</v>
      </c>
      <c r="U429" s="1">
        <v>48201</v>
      </c>
      <c r="V429" s="1">
        <v>1</v>
      </c>
      <c r="W429" s="1">
        <v>0</v>
      </c>
    </row>
    <row r="430">
      <c r="A430" s="1">
        <v>2018</v>
      </c>
      <c r="B430" s="1">
        <v>41</v>
      </c>
      <c r="C430" t="s">
        <v>3</v>
      </c>
      <c r="D430" s="1">
        <v>51</v>
      </c>
      <c r="E430" t="s">
        <v>6</v>
      </c>
      <c r="F430" s="1">
        <v>48</v>
      </c>
      <c r="G430" t="s">
        <v>36</v>
      </c>
      <c r="H430" s="1">
        <v>439</v>
      </c>
      <c r="I430" t="s">
        <v>152</v>
      </c>
      <c r="J430" s="1">
        <v>44</v>
      </c>
      <c r="K430" s="1">
        <v>73</v>
      </c>
      <c r="L430" s="1">
        <v>2372</v>
      </c>
      <c r="M430" s="1">
        <v>29470</v>
      </c>
      <c r="N430" s="1">
        <v>47084</v>
      </c>
      <c r="O430" s="1">
        <v>1984456</v>
      </c>
      <c r="P430" s="1">
        <v>336898</v>
      </c>
      <c r="Q430" s="1">
        <v>618173</v>
      </c>
      <c r="R430" s="1">
        <v>27842532</v>
      </c>
      <c r="S430" s="1">
        <v>41051</v>
      </c>
      <c r="T430" s="1">
        <v>41051</v>
      </c>
      <c r="U430" s="1">
        <v>48439</v>
      </c>
      <c r="V430" s="1">
        <v>1</v>
      </c>
      <c r="W430" s="1">
        <v>0</v>
      </c>
    </row>
    <row r="431">
      <c r="A431" s="1">
        <v>2018</v>
      </c>
      <c r="B431" s="1">
        <v>41</v>
      </c>
      <c r="C431" t="s">
        <v>3</v>
      </c>
      <c r="D431" s="1">
        <v>51</v>
      </c>
      <c r="E431" t="s">
        <v>6</v>
      </c>
      <c r="F431" s="1">
        <v>48</v>
      </c>
      <c r="G431" t="s">
        <v>36</v>
      </c>
      <c r="H431" s="1">
        <v>453</v>
      </c>
      <c r="I431" t="s">
        <v>153</v>
      </c>
      <c r="J431" s="1">
        <v>130</v>
      </c>
      <c r="K431" s="1">
        <v>185</v>
      </c>
      <c r="L431" s="1">
        <v>7990</v>
      </c>
      <c r="M431" s="1">
        <v>29470</v>
      </c>
      <c r="N431" s="1">
        <v>47084</v>
      </c>
      <c r="O431" s="1">
        <v>1984456</v>
      </c>
      <c r="P431" s="1">
        <v>336898</v>
      </c>
      <c r="Q431" s="1">
        <v>618173</v>
      </c>
      <c r="R431" s="1">
        <v>27842532</v>
      </c>
      <c r="S431" s="1">
        <v>41051</v>
      </c>
      <c r="T431" s="1">
        <v>41051</v>
      </c>
      <c r="U431" s="1">
        <v>48453</v>
      </c>
      <c r="V431" s="1">
        <v>1</v>
      </c>
      <c r="W431" s="1">
        <v>0</v>
      </c>
    </row>
    <row r="432">
      <c r="A432" s="1">
        <v>2018</v>
      </c>
      <c r="B432" s="1">
        <v>41</v>
      </c>
      <c r="C432" t="s">
        <v>3</v>
      </c>
      <c r="D432" s="1">
        <v>51</v>
      </c>
      <c r="E432" t="s">
        <v>6</v>
      </c>
      <c r="F432" s="1">
        <v>48</v>
      </c>
      <c r="G432" t="s">
        <v>36</v>
      </c>
      <c r="H432" s="1">
        <v>491</v>
      </c>
      <c r="I432" t="s">
        <v>217</v>
      </c>
      <c r="J432" s="1">
        <v>29</v>
      </c>
      <c r="K432" s="1">
        <v>53</v>
      </c>
      <c r="L432" s="1">
        <v>2208</v>
      </c>
      <c r="M432" s="1">
        <v>29470</v>
      </c>
      <c r="N432" s="1">
        <v>47084</v>
      </c>
      <c r="O432" s="1">
        <v>1984456</v>
      </c>
      <c r="P432" s="1">
        <v>336898</v>
      </c>
      <c r="Q432" s="1">
        <v>618173</v>
      </c>
      <c r="R432" s="1">
        <v>27842532</v>
      </c>
      <c r="S432" s="1">
        <v>41051</v>
      </c>
      <c r="T432" s="1">
        <v>41051</v>
      </c>
      <c r="U432" s="1">
        <v>48491</v>
      </c>
      <c r="V432" s="1">
        <v>1</v>
      </c>
      <c r="W432" s="1">
        <v>0</v>
      </c>
    </row>
    <row r="433">
      <c r="A433" s="1">
        <v>2018</v>
      </c>
      <c r="B433" s="1">
        <v>41</v>
      </c>
      <c r="C433" t="s">
        <v>3</v>
      </c>
      <c r="D433" s="1">
        <v>51</v>
      </c>
      <c r="E433" t="s">
        <v>6</v>
      </c>
      <c r="F433" s="1">
        <v>49</v>
      </c>
      <c r="G433" t="s">
        <v>37</v>
      </c>
      <c r="H433" s="1">
        <v>35</v>
      </c>
      <c r="I433" t="s">
        <v>154</v>
      </c>
      <c r="J433" s="1">
        <v>114</v>
      </c>
      <c r="K433" s="1">
        <v>158</v>
      </c>
      <c r="L433" s="1">
        <v>8006</v>
      </c>
      <c r="M433" s="1">
        <v>29470</v>
      </c>
      <c r="N433" s="1">
        <v>47084</v>
      </c>
      <c r="O433" s="1">
        <v>1984456</v>
      </c>
      <c r="P433" s="1">
        <v>336898</v>
      </c>
      <c r="Q433" s="1">
        <v>618173</v>
      </c>
      <c r="R433" s="1">
        <v>27842532</v>
      </c>
      <c r="S433" s="1">
        <v>41051</v>
      </c>
      <c r="T433" s="1">
        <v>41051</v>
      </c>
      <c r="U433" s="1">
        <v>49035</v>
      </c>
      <c r="V433" s="1">
        <v>1</v>
      </c>
      <c r="W433" s="1">
        <v>0</v>
      </c>
    </row>
    <row r="434">
      <c r="A434" s="1">
        <v>2018</v>
      </c>
      <c r="B434" s="1">
        <v>41</v>
      </c>
      <c r="C434" t="s">
        <v>3</v>
      </c>
      <c r="D434" s="1">
        <v>51</v>
      </c>
      <c r="E434" t="s">
        <v>6</v>
      </c>
      <c r="F434" s="1">
        <v>49</v>
      </c>
      <c r="G434" t="s">
        <v>37</v>
      </c>
      <c r="H434" s="1">
        <v>49</v>
      </c>
      <c r="I434" t="s">
        <v>219</v>
      </c>
      <c r="J434" s="1">
        <v>21</v>
      </c>
      <c r="K434" s="1">
        <v>48</v>
      </c>
      <c r="L434" s="1">
        <v>933</v>
      </c>
      <c r="M434" s="1">
        <v>29470</v>
      </c>
      <c r="N434" s="1">
        <v>47084</v>
      </c>
      <c r="O434" s="1">
        <v>1984456</v>
      </c>
      <c r="P434" s="1">
        <v>336898</v>
      </c>
      <c r="Q434" s="1">
        <v>618173</v>
      </c>
      <c r="R434" s="1">
        <v>27842532</v>
      </c>
      <c r="S434" s="1">
        <v>41051</v>
      </c>
      <c r="T434" s="1">
        <v>41051</v>
      </c>
      <c r="U434" s="1">
        <v>49049</v>
      </c>
      <c r="V434" s="1">
        <v>1</v>
      </c>
      <c r="W434" s="1">
        <v>0</v>
      </c>
    </row>
    <row r="435">
      <c r="A435" s="1">
        <v>2018</v>
      </c>
      <c r="B435" s="1">
        <v>41</v>
      </c>
      <c r="C435" t="s">
        <v>3</v>
      </c>
      <c r="D435" s="1">
        <v>51</v>
      </c>
      <c r="E435" t="s">
        <v>6</v>
      </c>
      <c r="F435" s="1">
        <v>50</v>
      </c>
      <c r="G435" t="s">
        <v>38</v>
      </c>
      <c r="H435" s="1">
        <v>7</v>
      </c>
      <c r="I435" t="s">
        <v>155</v>
      </c>
      <c r="J435" s="1">
        <v>20</v>
      </c>
      <c r="K435" s="1">
        <v>32</v>
      </c>
      <c r="L435" s="1">
        <v>885</v>
      </c>
      <c r="M435" s="1">
        <v>29470</v>
      </c>
      <c r="N435" s="1">
        <v>47084</v>
      </c>
      <c r="O435" s="1">
        <v>1984456</v>
      </c>
      <c r="P435" s="1">
        <v>336898</v>
      </c>
      <c r="Q435" s="1">
        <v>618173</v>
      </c>
      <c r="R435" s="1">
        <v>27842532</v>
      </c>
      <c r="S435" s="1">
        <v>41051</v>
      </c>
      <c r="T435" s="1">
        <v>41051</v>
      </c>
      <c r="U435" s="1">
        <v>50007</v>
      </c>
      <c r="V435" s="1">
        <v>1</v>
      </c>
      <c r="W435" s="1">
        <v>0</v>
      </c>
    </row>
    <row r="436">
      <c r="A436" s="1">
        <v>2018</v>
      </c>
      <c r="B436" s="1">
        <v>41</v>
      </c>
      <c r="C436" t="s">
        <v>3</v>
      </c>
      <c r="D436" s="1">
        <v>51</v>
      </c>
      <c r="E436" t="s">
        <v>6</v>
      </c>
      <c r="F436" s="1">
        <v>51</v>
      </c>
      <c r="G436" t="s">
        <v>39</v>
      </c>
      <c r="H436" s="1">
        <v>59</v>
      </c>
      <c r="I436" t="s">
        <v>156</v>
      </c>
      <c r="J436" s="1">
        <v>24</v>
      </c>
      <c r="K436" s="1">
        <v>26</v>
      </c>
      <c r="L436" s="1">
        <v>1008</v>
      </c>
      <c r="M436" s="1">
        <v>29470</v>
      </c>
      <c r="N436" s="1">
        <v>47084</v>
      </c>
      <c r="O436" s="1">
        <v>1984456</v>
      </c>
      <c r="P436" s="1">
        <v>336898</v>
      </c>
      <c r="Q436" s="1">
        <v>618173</v>
      </c>
      <c r="R436" s="1">
        <v>27842532</v>
      </c>
      <c r="S436" s="1">
        <v>41051</v>
      </c>
      <c r="T436" s="1">
        <v>41051</v>
      </c>
      <c r="U436" s="1">
        <v>51059</v>
      </c>
      <c r="V436" s="1">
        <v>1</v>
      </c>
      <c r="W436" s="1">
        <v>0</v>
      </c>
    </row>
    <row r="437">
      <c r="A437" s="1">
        <v>2018</v>
      </c>
      <c r="B437" s="1">
        <v>41</v>
      </c>
      <c r="C437" t="s">
        <v>3</v>
      </c>
      <c r="D437" s="1">
        <v>51</v>
      </c>
      <c r="E437" t="s">
        <v>6</v>
      </c>
      <c r="F437" s="1">
        <v>53</v>
      </c>
      <c r="G437" t="s">
        <v>40</v>
      </c>
      <c r="H437" s="1">
        <v>5</v>
      </c>
      <c r="I437" t="s">
        <v>124</v>
      </c>
      <c r="J437" s="1">
        <v>50</v>
      </c>
      <c r="K437" s="1">
        <v>79</v>
      </c>
      <c r="L437" s="1">
        <v>2104</v>
      </c>
      <c r="M437" s="1">
        <v>29470</v>
      </c>
      <c r="N437" s="1">
        <v>47084</v>
      </c>
      <c r="O437" s="1">
        <v>1984456</v>
      </c>
      <c r="P437" s="1">
        <v>336898</v>
      </c>
      <c r="Q437" s="1">
        <v>618173</v>
      </c>
      <c r="R437" s="1">
        <v>27842532</v>
      </c>
      <c r="S437" s="1">
        <v>41051</v>
      </c>
      <c r="T437" s="1">
        <v>41051</v>
      </c>
      <c r="U437" s="1">
        <v>53005</v>
      </c>
      <c r="V437" s="1">
        <v>1</v>
      </c>
      <c r="W437" s="1">
        <v>0</v>
      </c>
    </row>
    <row r="438">
      <c r="A438" s="1">
        <v>2018</v>
      </c>
      <c r="B438" s="1">
        <v>41</v>
      </c>
      <c r="C438" t="s">
        <v>3</v>
      </c>
      <c r="D438" s="1">
        <v>51</v>
      </c>
      <c r="E438" t="s">
        <v>6</v>
      </c>
      <c r="F438" s="1">
        <v>53</v>
      </c>
      <c r="G438" t="s">
        <v>40</v>
      </c>
      <c r="H438" s="1">
        <v>9</v>
      </c>
      <c r="I438" t="s">
        <v>222</v>
      </c>
      <c r="J438" s="1">
        <v>41</v>
      </c>
      <c r="K438" s="1">
        <v>59</v>
      </c>
      <c r="L438" s="1">
        <v>2378</v>
      </c>
      <c r="M438" s="1">
        <v>29470</v>
      </c>
      <c r="N438" s="1">
        <v>47084</v>
      </c>
      <c r="O438" s="1">
        <v>1984456</v>
      </c>
      <c r="P438" s="1">
        <v>336898</v>
      </c>
      <c r="Q438" s="1">
        <v>618173</v>
      </c>
      <c r="R438" s="1">
        <v>27842532</v>
      </c>
      <c r="S438" s="1">
        <v>41051</v>
      </c>
      <c r="T438" s="1">
        <v>41051</v>
      </c>
      <c r="U438" s="1">
        <v>53009</v>
      </c>
      <c r="V438" s="1">
        <v>1</v>
      </c>
      <c r="W438" s="1">
        <v>0</v>
      </c>
    </row>
    <row r="439">
      <c r="A439" s="1">
        <v>2018</v>
      </c>
      <c r="B439" s="1">
        <v>41</v>
      </c>
      <c r="C439" t="s">
        <v>3</v>
      </c>
      <c r="D439" s="1">
        <v>51</v>
      </c>
      <c r="E439" t="s">
        <v>6</v>
      </c>
      <c r="F439" s="1">
        <v>53</v>
      </c>
      <c r="G439" t="s">
        <v>40</v>
      </c>
      <c r="H439" s="1">
        <v>11</v>
      </c>
      <c r="I439" t="s">
        <v>112</v>
      </c>
      <c r="J439" s="1">
        <v>2811</v>
      </c>
      <c r="K439" s="1">
        <v>5041</v>
      </c>
      <c r="L439" s="1">
        <v>177868</v>
      </c>
      <c r="M439" s="1">
        <v>29470</v>
      </c>
      <c r="N439" s="1">
        <v>47084</v>
      </c>
      <c r="O439" s="1">
        <v>1984456</v>
      </c>
      <c r="P439" s="1">
        <v>336898</v>
      </c>
      <c r="Q439" s="1">
        <v>618173</v>
      </c>
      <c r="R439" s="1">
        <v>27842532</v>
      </c>
      <c r="S439" s="1">
        <v>41051</v>
      </c>
      <c r="T439" s="1">
        <v>41051</v>
      </c>
      <c r="U439" s="1">
        <v>53011</v>
      </c>
      <c r="V439" s="1">
        <v>1</v>
      </c>
      <c r="W439" s="1">
        <v>0</v>
      </c>
    </row>
    <row r="440">
      <c r="A440" s="1">
        <v>2018</v>
      </c>
      <c r="B440" s="1">
        <v>41</v>
      </c>
      <c r="C440" t="s">
        <v>3</v>
      </c>
      <c r="D440" s="1">
        <v>51</v>
      </c>
      <c r="E440" t="s">
        <v>6</v>
      </c>
      <c r="F440" s="1">
        <v>53</v>
      </c>
      <c r="G440" t="s">
        <v>40</v>
      </c>
      <c r="H440" s="1">
        <v>15</v>
      </c>
      <c r="I440" t="s">
        <v>157</v>
      </c>
      <c r="J440" s="1">
        <v>191</v>
      </c>
      <c r="K440" s="1">
        <v>349</v>
      </c>
      <c r="L440" s="1">
        <v>9883</v>
      </c>
      <c r="M440" s="1">
        <v>29470</v>
      </c>
      <c r="N440" s="1">
        <v>47084</v>
      </c>
      <c r="O440" s="1">
        <v>1984456</v>
      </c>
      <c r="P440" s="1">
        <v>336898</v>
      </c>
      <c r="Q440" s="1">
        <v>618173</v>
      </c>
      <c r="R440" s="1">
        <v>27842532</v>
      </c>
      <c r="S440" s="1">
        <v>41051</v>
      </c>
      <c r="T440" s="1">
        <v>41051</v>
      </c>
      <c r="U440" s="1">
        <v>53015</v>
      </c>
      <c r="V440" s="1">
        <v>1</v>
      </c>
      <c r="W440" s="1">
        <v>0</v>
      </c>
    </row>
    <row r="441">
      <c r="A441" s="1">
        <v>2018</v>
      </c>
      <c r="B441" s="1">
        <v>41</v>
      </c>
      <c r="C441" t="s">
        <v>3</v>
      </c>
      <c r="D441" s="1">
        <v>51</v>
      </c>
      <c r="E441" t="s">
        <v>6</v>
      </c>
      <c r="F441" s="1">
        <v>53</v>
      </c>
      <c r="G441" t="s">
        <v>40</v>
      </c>
      <c r="H441" s="1">
        <v>31</v>
      </c>
      <c r="I441" t="s">
        <v>83</v>
      </c>
      <c r="J441" s="1">
        <v>26</v>
      </c>
      <c r="K441" s="1">
        <v>34</v>
      </c>
      <c r="L441" s="1">
        <v>1911</v>
      </c>
      <c r="M441" s="1">
        <v>29470</v>
      </c>
      <c r="N441" s="1">
        <v>47084</v>
      </c>
      <c r="O441" s="1">
        <v>1984456</v>
      </c>
      <c r="P441" s="1">
        <v>336898</v>
      </c>
      <c r="Q441" s="1">
        <v>618173</v>
      </c>
      <c r="R441" s="1">
        <v>27842532</v>
      </c>
      <c r="S441" s="1">
        <v>41051</v>
      </c>
      <c r="T441" s="1">
        <v>41051</v>
      </c>
      <c r="U441" s="1">
        <v>53031</v>
      </c>
      <c r="V441" s="1">
        <v>1</v>
      </c>
      <c r="W441" s="1">
        <v>0</v>
      </c>
    </row>
    <row r="442">
      <c r="A442" s="1">
        <v>2018</v>
      </c>
      <c r="B442" s="1">
        <v>41</v>
      </c>
      <c r="C442" t="s">
        <v>3</v>
      </c>
      <c r="D442" s="1">
        <v>51</v>
      </c>
      <c r="E442" t="s">
        <v>6</v>
      </c>
      <c r="F442" s="1">
        <v>53</v>
      </c>
      <c r="G442" t="s">
        <v>40</v>
      </c>
      <c r="H442" s="1">
        <v>33</v>
      </c>
      <c r="I442" t="s">
        <v>160</v>
      </c>
      <c r="J442" s="1">
        <v>847</v>
      </c>
      <c r="K442" s="1">
        <v>1139</v>
      </c>
      <c r="L442" s="1">
        <v>65892</v>
      </c>
      <c r="M442" s="1">
        <v>29470</v>
      </c>
      <c r="N442" s="1">
        <v>47084</v>
      </c>
      <c r="O442" s="1">
        <v>1984456</v>
      </c>
      <c r="P442" s="1">
        <v>336898</v>
      </c>
      <c r="Q442" s="1">
        <v>618173</v>
      </c>
      <c r="R442" s="1">
        <v>27842532</v>
      </c>
      <c r="S442" s="1">
        <v>41051</v>
      </c>
      <c r="T442" s="1">
        <v>41051</v>
      </c>
      <c r="U442" s="1">
        <v>53033</v>
      </c>
      <c r="V442" s="1">
        <v>1</v>
      </c>
      <c r="W442" s="1">
        <v>0</v>
      </c>
    </row>
    <row r="443">
      <c r="A443" s="1">
        <v>2018</v>
      </c>
      <c r="B443" s="1">
        <v>41</v>
      </c>
      <c r="C443" t="s">
        <v>3</v>
      </c>
      <c r="D443" s="1">
        <v>51</v>
      </c>
      <c r="E443" t="s">
        <v>6</v>
      </c>
      <c r="F443" s="1">
        <v>53</v>
      </c>
      <c r="G443" t="s">
        <v>40</v>
      </c>
      <c r="H443" s="1">
        <v>35</v>
      </c>
      <c r="I443" t="s">
        <v>161</v>
      </c>
      <c r="J443" s="1">
        <v>50</v>
      </c>
      <c r="K443" s="1">
        <v>90</v>
      </c>
      <c r="L443" s="1">
        <v>4641</v>
      </c>
      <c r="M443" s="1">
        <v>29470</v>
      </c>
      <c r="N443" s="1">
        <v>47084</v>
      </c>
      <c r="O443" s="1">
        <v>1984456</v>
      </c>
      <c r="P443" s="1">
        <v>336898</v>
      </c>
      <c r="Q443" s="1">
        <v>618173</v>
      </c>
      <c r="R443" s="1">
        <v>27842532</v>
      </c>
      <c r="S443" s="1">
        <v>41051</v>
      </c>
      <c r="T443" s="1">
        <v>41051</v>
      </c>
      <c r="U443" s="1">
        <v>53035</v>
      </c>
      <c r="V443" s="1">
        <v>1</v>
      </c>
      <c r="W443" s="1">
        <v>0</v>
      </c>
    </row>
    <row r="444">
      <c r="A444" s="1">
        <v>2018</v>
      </c>
      <c r="B444" s="1">
        <v>41</v>
      </c>
      <c r="C444" t="s">
        <v>3</v>
      </c>
      <c r="D444" s="1">
        <v>51</v>
      </c>
      <c r="E444" t="s">
        <v>6</v>
      </c>
      <c r="F444" s="1">
        <v>53</v>
      </c>
      <c r="G444" t="s">
        <v>40</v>
      </c>
      <c r="H444" s="1">
        <v>39</v>
      </c>
      <c r="I444" t="s">
        <v>162</v>
      </c>
      <c r="J444" s="1">
        <v>63</v>
      </c>
      <c r="K444" s="1">
        <v>109</v>
      </c>
      <c r="L444" s="1">
        <v>6596</v>
      </c>
      <c r="M444" s="1">
        <v>29470</v>
      </c>
      <c r="N444" s="1">
        <v>47084</v>
      </c>
      <c r="O444" s="1">
        <v>1984456</v>
      </c>
      <c r="P444" s="1">
        <v>336898</v>
      </c>
      <c r="Q444" s="1">
        <v>618173</v>
      </c>
      <c r="R444" s="1">
        <v>27842532</v>
      </c>
      <c r="S444" s="1">
        <v>41051</v>
      </c>
      <c r="T444" s="1">
        <v>41051</v>
      </c>
      <c r="U444" s="1">
        <v>53039</v>
      </c>
      <c r="V444" s="1">
        <v>1</v>
      </c>
      <c r="W444" s="1">
        <v>0</v>
      </c>
    </row>
    <row r="445">
      <c r="A445" s="1">
        <v>2018</v>
      </c>
      <c r="B445" s="1">
        <v>41</v>
      </c>
      <c r="C445" t="s">
        <v>3</v>
      </c>
      <c r="D445" s="1">
        <v>51</v>
      </c>
      <c r="E445" t="s">
        <v>6</v>
      </c>
      <c r="F445" s="1">
        <v>53</v>
      </c>
      <c r="G445" t="s">
        <v>40</v>
      </c>
      <c r="H445" s="1">
        <v>41</v>
      </c>
      <c r="I445" t="s">
        <v>163</v>
      </c>
      <c r="J445" s="1">
        <v>28</v>
      </c>
      <c r="K445" s="1">
        <v>45</v>
      </c>
      <c r="L445" s="1">
        <v>1408</v>
      </c>
      <c r="M445" s="1">
        <v>29470</v>
      </c>
      <c r="N445" s="1">
        <v>47084</v>
      </c>
      <c r="O445" s="1">
        <v>1984456</v>
      </c>
      <c r="P445" s="1">
        <v>336898</v>
      </c>
      <c r="Q445" s="1">
        <v>618173</v>
      </c>
      <c r="R445" s="1">
        <v>27842532</v>
      </c>
      <c r="S445" s="1">
        <v>41051</v>
      </c>
      <c r="T445" s="1">
        <v>41051</v>
      </c>
      <c r="U445" s="1">
        <v>53041</v>
      </c>
      <c r="V445" s="1">
        <v>1</v>
      </c>
      <c r="W445" s="1">
        <v>0</v>
      </c>
    </row>
    <row r="446">
      <c r="A446" s="1">
        <v>2018</v>
      </c>
      <c r="B446" s="1">
        <v>41</v>
      </c>
      <c r="C446" t="s">
        <v>3</v>
      </c>
      <c r="D446" s="1">
        <v>51</v>
      </c>
      <c r="E446" t="s">
        <v>6</v>
      </c>
      <c r="F446" s="1">
        <v>53</v>
      </c>
      <c r="G446" t="s">
        <v>40</v>
      </c>
      <c r="H446" s="1">
        <v>49</v>
      </c>
      <c r="I446" t="s">
        <v>164</v>
      </c>
      <c r="J446" s="1">
        <v>35</v>
      </c>
      <c r="K446" s="1">
        <v>61</v>
      </c>
      <c r="L446" s="1">
        <v>1940</v>
      </c>
      <c r="M446" s="1">
        <v>29470</v>
      </c>
      <c r="N446" s="1">
        <v>47084</v>
      </c>
      <c r="O446" s="1">
        <v>1984456</v>
      </c>
      <c r="P446" s="1">
        <v>336898</v>
      </c>
      <c r="Q446" s="1">
        <v>618173</v>
      </c>
      <c r="R446" s="1">
        <v>27842532</v>
      </c>
      <c r="S446" s="1">
        <v>41051</v>
      </c>
      <c r="T446" s="1">
        <v>41051</v>
      </c>
      <c r="U446" s="1">
        <v>53049</v>
      </c>
      <c r="V446" s="1">
        <v>1</v>
      </c>
      <c r="W446" s="1">
        <v>0</v>
      </c>
    </row>
    <row r="447">
      <c r="A447" s="1">
        <v>2018</v>
      </c>
      <c r="B447" s="1">
        <v>41</v>
      </c>
      <c r="C447" t="s">
        <v>3</v>
      </c>
      <c r="D447" s="1">
        <v>51</v>
      </c>
      <c r="E447" t="s">
        <v>6</v>
      </c>
      <c r="F447" s="1">
        <v>53</v>
      </c>
      <c r="G447" t="s">
        <v>40</v>
      </c>
      <c r="H447" s="1">
        <v>53</v>
      </c>
      <c r="I447" t="s">
        <v>165</v>
      </c>
      <c r="J447" s="1">
        <v>182</v>
      </c>
      <c r="K447" s="1">
        <v>295</v>
      </c>
      <c r="L447" s="1">
        <v>12314</v>
      </c>
      <c r="M447" s="1">
        <v>29470</v>
      </c>
      <c r="N447" s="1">
        <v>47084</v>
      </c>
      <c r="O447" s="1">
        <v>1984456</v>
      </c>
      <c r="P447" s="1">
        <v>336898</v>
      </c>
      <c r="Q447" s="1">
        <v>618173</v>
      </c>
      <c r="R447" s="1">
        <v>27842532</v>
      </c>
      <c r="S447" s="1">
        <v>41051</v>
      </c>
      <c r="T447" s="1">
        <v>41051</v>
      </c>
      <c r="U447" s="1">
        <v>53053</v>
      </c>
      <c r="V447" s="1">
        <v>1</v>
      </c>
      <c r="W447" s="1">
        <v>0</v>
      </c>
    </row>
    <row r="448">
      <c r="A448" s="1">
        <v>2018</v>
      </c>
      <c r="B448" s="1">
        <v>41</v>
      </c>
      <c r="C448" t="s">
        <v>3</v>
      </c>
      <c r="D448" s="1">
        <v>51</v>
      </c>
      <c r="E448" t="s">
        <v>6</v>
      </c>
      <c r="F448" s="1">
        <v>53</v>
      </c>
      <c r="G448" t="s">
        <v>40</v>
      </c>
      <c r="H448" s="1">
        <v>59</v>
      </c>
      <c r="I448" t="s">
        <v>166</v>
      </c>
      <c r="J448" s="1">
        <v>43</v>
      </c>
      <c r="K448" s="1">
        <v>61</v>
      </c>
      <c r="L448" s="1">
        <v>3815</v>
      </c>
      <c r="M448" s="1">
        <v>29470</v>
      </c>
      <c r="N448" s="1">
        <v>47084</v>
      </c>
      <c r="O448" s="1">
        <v>1984456</v>
      </c>
      <c r="P448" s="1">
        <v>336898</v>
      </c>
      <c r="Q448" s="1">
        <v>618173</v>
      </c>
      <c r="R448" s="1">
        <v>27842532</v>
      </c>
      <c r="S448" s="1">
        <v>41051</v>
      </c>
      <c r="T448" s="1">
        <v>41051</v>
      </c>
      <c r="U448" s="1">
        <v>53059</v>
      </c>
      <c r="V448" s="1">
        <v>1</v>
      </c>
      <c r="W448" s="1">
        <v>0</v>
      </c>
    </row>
    <row r="449">
      <c r="A449" s="1">
        <v>2018</v>
      </c>
      <c r="B449" s="1">
        <v>41</v>
      </c>
      <c r="C449" t="s">
        <v>3</v>
      </c>
      <c r="D449" s="1">
        <v>51</v>
      </c>
      <c r="E449" t="s">
        <v>6</v>
      </c>
      <c r="F449" s="1">
        <v>53</v>
      </c>
      <c r="G449" t="s">
        <v>40</v>
      </c>
      <c r="H449" s="1">
        <v>61</v>
      </c>
      <c r="I449" t="s">
        <v>167</v>
      </c>
      <c r="J449" s="1">
        <v>85</v>
      </c>
      <c r="K449" s="1">
        <v>133</v>
      </c>
      <c r="L449" s="1">
        <v>4475</v>
      </c>
      <c r="M449" s="1">
        <v>29470</v>
      </c>
      <c r="N449" s="1">
        <v>47084</v>
      </c>
      <c r="O449" s="1">
        <v>1984456</v>
      </c>
      <c r="P449" s="1">
        <v>336898</v>
      </c>
      <c r="Q449" s="1">
        <v>618173</v>
      </c>
      <c r="R449" s="1">
        <v>27842532</v>
      </c>
      <c r="S449" s="1">
        <v>41051</v>
      </c>
      <c r="T449" s="1">
        <v>41051</v>
      </c>
      <c r="U449" s="1">
        <v>53061</v>
      </c>
      <c r="V449" s="1">
        <v>1</v>
      </c>
      <c r="W449" s="1">
        <v>0</v>
      </c>
    </row>
    <row r="450">
      <c r="A450" s="1">
        <v>2018</v>
      </c>
      <c r="B450" s="1">
        <v>41</v>
      </c>
      <c r="C450" t="s">
        <v>3</v>
      </c>
      <c r="D450" s="1">
        <v>51</v>
      </c>
      <c r="E450" t="s">
        <v>6</v>
      </c>
      <c r="F450" s="1">
        <v>53</v>
      </c>
      <c r="G450" t="s">
        <v>40</v>
      </c>
      <c r="H450" s="1">
        <v>63</v>
      </c>
      <c r="I450" t="s">
        <v>168</v>
      </c>
      <c r="J450" s="1">
        <v>165</v>
      </c>
      <c r="K450" s="1">
        <v>275</v>
      </c>
      <c r="L450" s="1">
        <v>9452</v>
      </c>
      <c r="M450" s="1">
        <v>29470</v>
      </c>
      <c r="N450" s="1">
        <v>47084</v>
      </c>
      <c r="O450" s="1">
        <v>1984456</v>
      </c>
      <c r="P450" s="1">
        <v>336898</v>
      </c>
      <c r="Q450" s="1">
        <v>618173</v>
      </c>
      <c r="R450" s="1">
        <v>27842532</v>
      </c>
      <c r="S450" s="1">
        <v>41051</v>
      </c>
      <c r="T450" s="1">
        <v>41051</v>
      </c>
      <c r="U450" s="1">
        <v>53063</v>
      </c>
      <c r="V450" s="1">
        <v>1</v>
      </c>
      <c r="W450" s="1">
        <v>0</v>
      </c>
    </row>
    <row r="451">
      <c r="A451" s="1">
        <v>2018</v>
      </c>
      <c r="B451" s="1">
        <v>41</v>
      </c>
      <c r="C451" t="s">
        <v>3</v>
      </c>
      <c r="D451" s="1">
        <v>51</v>
      </c>
      <c r="E451" t="s">
        <v>6</v>
      </c>
      <c r="F451" s="1">
        <v>53</v>
      </c>
      <c r="G451" t="s">
        <v>40</v>
      </c>
      <c r="H451" s="1">
        <v>67</v>
      </c>
      <c r="I451" t="s">
        <v>169</v>
      </c>
      <c r="J451" s="1">
        <v>105</v>
      </c>
      <c r="K451" s="1">
        <v>150</v>
      </c>
      <c r="L451" s="1">
        <v>5046</v>
      </c>
      <c r="M451" s="1">
        <v>29470</v>
      </c>
      <c r="N451" s="1">
        <v>47084</v>
      </c>
      <c r="O451" s="1">
        <v>1984456</v>
      </c>
      <c r="P451" s="1">
        <v>336898</v>
      </c>
      <c r="Q451" s="1">
        <v>618173</v>
      </c>
      <c r="R451" s="1">
        <v>27842532</v>
      </c>
      <c r="S451" s="1">
        <v>41051</v>
      </c>
      <c r="T451" s="1">
        <v>41051</v>
      </c>
      <c r="U451" s="1">
        <v>53067</v>
      </c>
      <c r="V451" s="1">
        <v>1</v>
      </c>
      <c r="W451" s="1">
        <v>0</v>
      </c>
    </row>
    <row r="452">
      <c r="A452" s="1">
        <v>2018</v>
      </c>
      <c r="B452" s="1">
        <v>41</v>
      </c>
      <c r="C452" t="s">
        <v>3</v>
      </c>
      <c r="D452" s="1">
        <v>51</v>
      </c>
      <c r="E452" t="s">
        <v>6</v>
      </c>
      <c r="F452" s="1">
        <v>53</v>
      </c>
      <c r="G452" t="s">
        <v>40</v>
      </c>
      <c r="H452" s="1">
        <v>71</v>
      </c>
      <c r="I452" t="s">
        <v>170</v>
      </c>
      <c r="J452" s="1">
        <v>31</v>
      </c>
      <c r="K452" s="1">
        <v>40</v>
      </c>
      <c r="L452" s="1">
        <v>1784</v>
      </c>
      <c r="M452" s="1">
        <v>29470</v>
      </c>
      <c r="N452" s="1">
        <v>47084</v>
      </c>
      <c r="O452" s="1">
        <v>1984456</v>
      </c>
      <c r="P452" s="1">
        <v>336898</v>
      </c>
      <c r="Q452" s="1">
        <v>618173</v>
      </c>
      <c r="R452" s="1">
        <v>27842532</v>
      </c>
      <c r="S452" s="1">
        <v>41051</v>
      </c>
      <c r="T452" s="1">
        <v>41051</v>
      </c>
      <c r="U452" s="1">
        <v>53071</v>
      </c>
      <c r="V452" s="1">
        <v>1</v>
      </c>
      <c r="W452" s="1">
        <v>0</v>
      </c>
    </row>
    <row r="453">
      <c r="A453" s="1">
        <v>2018</v>
      </c>
      <c r="B453" s="1">
        <v>41</v>
      </c>
      <c r="C453" t="s">
        <v>3</v>
      </c>
      <c r="D453" s="1">
        <v>51</v>
      </c>
      <c r="E453" t="s">
        <v>6</v>
      </c>
      <c r="F453" s="1">
        <v>53</v>
      </c>
      <c r="G453" t="s">
        <v>40</v>
      </c>
      <c r="H453" s="1">
        <v>73</v>
      </c>
      <c r="I453" t="s">
        <v>171</v>
      </c>
      <c r="J453" s="1">
        <v>78</v>
      </c>
      <c r="K453" s="1">
        <v>103</v>
      </c>
      <c r="L453" s="1">
        <v>4383</v>
      </c>
      <c r="M453" s="1">
        <v>29470</v>
      </c>
      <c r="N453" s="1">
        <v>47084</v>
      </c>
      <c r="O453" s="1">
        <v>1984456</v>
      </c>
      <c r="P453" s="1">
        <v>336898</v>
      </c>
      <c r="Q453" s="1">
        <v>618173</v>
      </c>
      <c r="R453" s="1">
        <v>27842532</v>
      </c>
      <c r="S453" s="1">
        <v>41051</v>
      </c>
      <c r="T453" s="1">
        <v>41051</v>
      </c>
      <c r="U453" s="1">
        <v>53073</v>
      </c>
      <c r="V453" s="1">
        <v>1</v>
      </c>
      <c r="W453" s="1">
        <v>0</v>
      </c>
    </row>
    <row r="454">
      <c r="A454" s="1">
        <v>2018</v>
      </c>
      <c r="B454" s="1">
        <v>41</v>
      </c>
      <c r="C454" t="s">
        <v>3</v>
      </c>
      <c r="D454" s="1">
        <v>51</v>
      </c>
      <c r="E454" t="s">
        <v>6</v>
      </c>
      <c r="F454" s="1">
        <v>53</v>
      </c>
      <c r="G454" t="s">
        <v>40</v>
      </c>
      <c r="H454" s="1">
        <v>77</v>
      </c>
      <c r="I454" t="s">
        <v>172</v>
      </c>
      <c r="J454" s="1">
        <v>30</v>
      </c>
      <c r="K454" s="1">
        <v>52</v>
      </c>
      <c r="L454" s="1">
        <v>1445</v>
      </c>
      <c r="M454" s="1">
        <v>29470</v>
      </c>
      <c r="N454" s="1">
        <v>47084</v>
      </c>
      <c r="O454" s="1">
        <v>1984456</v>
      </c>
      <c r="P454" s="1">
        <v>336898</v>
      </c>
      <c r="Q454" s="1">
        <v>618173</v>
      </c>
      <c r="R454" s="1">
        <v>27842532</v>
      </c>
      <c r="S454" s="1">
        <v>41051</v>
      </c>
      <c r="T454" s="1">
        <v>41051</v>
      </c>
      <c r="U454" s="1">
        <v>53077</v>
      </c>
      <c r="V454" s="1">
        <v>1</v>
      </c>
      <c r="W454" s="1">
        <v>0</v>
      </c>
    </row>
    <row r="455">
      <c r="A455" s="1">
        <v>2018</v>
      </c>
      <c r="B455" s="1">
        <v>41</v>
      </c>
      <c r="C455" t="s">
        <v>3</v>
      </c>
      <c r="D455" s="1">
        <v>51</v>
      </c>
      <c r="E455" t="s">
        <v>6</v>
      </c>
      <c r="F455" s="1">
        <v>55</v>
      </c>
      <c r="G455" t="s">
        <v>41</v>
      </c>
      <c r="H455" s="1">
        <v>25</v>
      </c>
      <c r="I455" t="s">
        <v>173</v>
      </c>
      <c r="J455" s="1">
        <v>40</v>
      </c>
      <c r="K455" s="1">
        <v>61</v>
      </c>
      <c r="L455" s="1">
        <v>2451</v>
      </c>
      <c r="M455" s="1">
        <v>29470</v>
      </c>
      <c r="N455" s="1">
        <v>47084</v>
      </c>
      <c r="O455" s="1">
        <v>1984456</v>
      </c>
      <c r="P455" s="1">
        <v>336898</v>
      </c>
      <c r="Q455" s="1">
        <v>618173</v>
      </c>
      <c r="R455" s="1">
        <v>27842532</v>
      </c>
      <c r="S455" s="1">
        <v>41051</v>
      </c>
      <c r="T455" s="1">
        <v>41051</v>
      </c>
      <c r="U455" s="1">
        <v>55025</v>
      </c>
      <c r="V455" s="1">
        <v>1</v>
      </c>
      <c r="W455" s="1">
        <v>0</v>
      </c>
    </row>
    <row r="456">
      <c r="A456" s="1">
        <v>2018</v>
      </c>
      <c r="B456" s="1">
        <v>41</v>
      </c>
      <c r="C456" t="s">
        <v>3</v>
      </c>
      <c r="D456" s="1">
        <v>51</v>
      </c>
      <c r="E456" t="s">
        <v>6</v>
      </c>
      <c r="F456" s="1">
        <v>55</v>
      </c>
      <c r="G456" t="s">
        <v>41</v>
      </c>
      <c r="H456" s="1">
        <v>79</v>
      </c>
      <c r="I456" t="s">
        <v>174</v>
      </c>
      <c r="J456" s="1">
        <v>29</v>
      </c>
      <c r="K456" s="1">
        <v>42</v>
      </c>
      <c r="L456" s="1">
        <v>1282</v>
      </c>
      <c r="M456" s="1">
        <v>29470</v>
      </c>
      <c r="N456" s="1">
        <v>47084</v>
      </c>
      <c r="O456" s="1">
        <v>1984456</v>
      </c>
      <c r="P456" s="1">
        <v>336898</v>
      </c>
      <c r="Q456" s="1">
        <v>618173</v>
      </c>
      <c r="R456" s="1">
        <v>27842532</v>
      </c>
      <c r="S456" s="1">
        <v>41051</v>
      </c>
      <c r="T456" s="1">
        <v>41051</v>
      </c>
      <c r="U456" s="1">
        <v>55079</v>
      </c>
      <c r="V456" s="1">
        <v>1</v>
      </c>
      <c r="W456" s="1">
        <v>0</v>
      </c>
    </row>
    <row r="457">
      <c r="A457" s="1">
        <v>2019</v>
      </c>
      <c r="B457" s="1">
        <v>41</v>
      </c>
      <c r="C457" t="s">
        <v>3</v>
      </c>
      <c r="D457" s="1">
        <v>51</v>
      </c>
      <c r="E457" t="s">
        <v>6</v>
      </c>
      <c r="F457" s="1">
        <v>2</v>
      </c>
      <c r="G457" t="s">
        <v>9</v>
      </c>
      <c r="H457" s="1">
        <v>20</v>
      </c>
      <c r="I457" t="s">
        <v>52</v>
      </c>
      <c r="J457" s="1">
        <v>46</v>
      </c>
      <c r="K457" s="1">
        <v>64</v>
      </c>
      <c r="L457" s="1">
        <v>2668</v>
      </c>
      <c r="M457" s="1">
        <v>28310</v>
      </c>
      <c r="N457" s="1">
        <v>44411</v>
      </c>
      <c r="O457" s="1">
        <v>2058578</v>
      </c>
      <c r="P457" s="1">
        <v>342710</v>
      </c>
      <c r="Q457" s="1">
        <v>621678</v>
      </c>
      <c r="R457" s="1">
        <v>29861204</v>
      </c>
      <c r="S457" s="1">
        <v>41051</v>
      </c>
      <c r="T457" s="1">
        <v>41051</v>
      </c>
      <c r="U457" s="1">
        <v>2020</v>
      </c>
      <c r="V457" s="1">
        <v>1</v>
      </c>
      <c r="W457" s="1">
        <v>0</v>
      </c>
    </row>
    <row r="458">
      <c r="A458" s="1">
        <v>2019</v>
      </c>
      <c r="B458" s="1">
        <v>41</v>
      </c>
      <c r="C458" t="s">
        <v>3</v>
      </c>
      <c r="D458" s="1">
        <v>51</v>
      </c>
      <c r="E458" t="s">
        <v>6</v>
      </c>
      <c r="F458" s="1">
        <v>4</v>
      </c>
      <c r="G458" t="s">
        <v>10</v>
      </c>
      <c r="H458" s="1">
        <v>13</v>
      </c>
      <c r="I458" t="s">
        <v>53</v>
      </c>
      <c r="J458" s="1">
        <v>374</v>
      </c>
      <c r="K458" s="1">
        <v>573</v>
      </c>
      <c r="L458" s="1">
        <v>32566</v>
      </c>
      <c r="M458" s="1">
        <v>28310</v>
      </c>
      <c r="N458" s="1">
        <v>44411</v>
      </c>
      <c r="O458" s="1">
        <v>2058578</v>
      </c>
      <c r="P458" s="1">
        <v>342710</v>
      </c>
      <c r="Q458" s="1">
        <v>621678</v>
      </c>
      <c r="R458" s="1">
        <v>29861204</v>
      </c>
      <c r="S458" s="1">
        <v>41051</v>
      </c>
      <c r="T458" s="1">
        <v>41051</v>
      </c>
      <c r="U458" s="1">
        <v>4013</v>
      </c>
      <c r="V458" s="1">
        <v>1</v>
      </c>
      <c r="W458" s="1">
        <v>0</v>
      </c>
    </row>
    <row r="459">
      <c r="A459" s="1">
        <v>2019</v>
      </c>
      <c r="B459" s="1">
        <v>41</v>
      </c>
      <c r="C459" t="s">
        <v>3</v>
      </c>
      <c r="D459" s="1">
        <v>51</v>
      </c>
      <c r="E459" t="s">
        <v>6</v>
      </c>
      <c r="F459" s="1">
        <v>4</v>
      </c>
      <c r="G459" t="s">
        <v>10</v>
      </c>
      <c r="H459" s="1">
        <v>19</v>
      </c>
      <c r="I459" t="s">
        <v>54</v>
      </c>
      <c r="J459" s="1">
        <v>119</v>
      </c>
      <c r="K459" s="1">
        <v>173</v>
      </c>
      <c r="L459" s="1">
        <v>6808</v>
      </c>
      <c r="M459" s="1">
        <v>28310</v>
      </c>
      <c r="N459" s="1">
        <v>44411</v>
      </c>
      <c r="O459" s="1">
        <v>2058578</v>
      </c>
      <c r="P459" s="1">
        <v>342710</v>
      </c>
      <c r="Q459" s="1">
        <v>621678</v>
      </c>
      <c r="R459" s="1">
        <v>29861204</v>
      </c>
      <c r="S459" s="1">
        <v>41051</v>
      </c>
      <c r="T459" s="1">
        <v>41051</v>
      </c>
      <c r="U459" s="1">
        <v>4019</v>
      </c>
      <c r="V459" s="1">
        <v>1</v>
      </c>
      <c r="W459" s="1">
        <v>0</v>
      </c>
    </row>
    <row r="460">
      <c r="A460" s="1">
        <v>2019</v>
      </c>
      <c r="B460" s="1">
        <v>41</v>
      </c>
      <c r="C460" t="s">
        <v>3</v>
      </c>
      <c r="D460" s="1">
        <v>51</v>
      </c>
      <c r="E460" t="s">
        <v>6</v>
      </c>
      <c r="F460" s="1">
        <v>4</v>
      </c>
      <c r="G460" t="s">
        <v>10</v>
      </c>
      <c r="H460" s="1">
        <v>21</v>
      </c>
      <c r="I460" t="s">
        <v>55</v>
      </c>
      <c r="J460" s="1">
        <v>35</v>
      </c>
      <c r="K460" s="1">
        <v>65</v>
      </c>
      <c r="L460" s="1">
        <v>2619</v>
      </c>
      <c r="M460" s="1">
        <v>28310</v>
      </c>
      <c r="N460" s="1">
        <v>44411</v>
      </c>
      <c r="O460" s="1">
        <v>2058578</v>
      </c>
      <c r="P460" s="1">
        <v>342710</v>
      </c>
      <c r="Q460" s="1">
        <v>621678</v>
      </c>
      <c r="R460" s="1">
        <v>29861204</v>
      </c>
      <c r="S460" s="1">
        <v>41051</v>
      </c>
      <c r="T460" s="1">
        <v>41051</v>
      </c>
      <c r="U460" s="1">
        <v>4021</v>
      </c>
      <c r="V460" s="1">
        <v>1</v>
      </c>
      <c r="W460" s="1">
        <v>0</v>
      </c>
    </row>
    <row r="461">
      <c r="A461" s="1">
        <v>2019</v>
      </c>
      <c r="B461" s="1">
        <v>41</v>
      </c>
      <c r="C461" t="s">
        <v>3</v>
      </c>
      <c r="D461" s="1">
        <v>51</v>
      </c>
      <c r="E461" t="s">
        <v>6</v>
      </c>
      <c r="F461" s="1">
        <v>4</v>
      </c>
      <c r="G461" t="s">
        <v>10</v>
      </c>
      <c r="H461" s="1">
        <v>25</v>
      </c>
      <c r="I461" t="s">
        <v>176</v>
      </c>
      <c r="J461" s="1">
        <v>20</v>
      </c>
      <c r="K461" s="1">
        <v>29</v>
      </c>
      <c r="L461" s="1">
        <v>1002</v>
      </c>
      <c r="M461" s="1">
        <v>28310</v>
      </c>
      <c r="N461" s="1">
        <v>44411</v>
      </c>
      <c r="O461" s="1">
        <v>2058578</v>
      </c>
      <c r="P461" s="1">
        <v>342710</v>
      </c>
      <c r="Q461" s="1">
        <v>621678</v>
      </c>
      <c r="R461" s="1">
        <v>29861204</v>
      </c>
      <c r="S461" s="1">
        <v>41051</v>
      </c>
      <c r="T461" s="1">
        <v>41051</v>
      </c>
      <c r="U461" s="1">
        <v>4025</v>
      </c>
      <c r="V461" s="1">
        <v>1</v>
      </c>
      <c r="W461" s="1">
        <v>0</v>
      </c>
    </row>
    <row r="462">
      <c r="A462" s="1">
        <v>2019</v>
      </c>
      <c r="B462" s="1">
        <v>41</v>
      </c>
      <c r="C462" t="s">
        <v>3</v>
      </c>
      <c r="D462" s="1">
        <v>51</v>
      </c>
      <c r="E462" t="s">
        <v>6</v>
      </c>
      <c r="F462" s="1">
        <v>6</v>
      </c>
      <c r="G462" t="s">
        <v>11</v>
      </c>
      <c r="H462" s="1">
        <v>1</v>
      </c>
      <c r="I462" t="s">
        <v>56</v>
      </c>
      <c r="J462" s="1">
        <v>185</v>
      </c>
      <c r="K462" s="1">
        <v>244</v>
      </c>
      <c r="L462" s="1">
        <v>13354</v>
      </c>
      <c r="M462" s="1">
        <v>28310</v>
      </c>
      <c r="N462" s="1">
        <v>44411</v>
      </c>
      <c r="O462" s="1">
        <v>2058578</v>
      </c>
      <c r="P462" s="1">
        <v>342710</v>
      </c>
      <c r="Q462" s="1">
        <v>621678</v>
      </c>
      <c r="R462" s="1">
        <v>29861204</v>
      </c>
      <c r="S462" s="1">
        <v>41051</v>
      </c>
      <c r="T462" s="1">
        <v>41051</v>
      </c>
      <c r="U462" s="1">
        <v>6001</v>
      </c>
      <c r="V462" s="1">
        <v>1</v>
      </c>
      <c r="W462" s="1">
        <v>0</v>
      </c>
    </row>
    <row r="463">
      <c r="A463" s="1">
        <v>2019</v>
      </c>
      <c r="B463" s="1">
        <v>41</v>
      </c>
      <c r="C463" t="s">
        <v>3</v>
      </c>
      <c r="D463" s="1">
        <v>51</v>
      </c>
      <c r="E463" t="s">
        <v>6</v>
      </c>
      <c r="F463" s="1">
        <v>6</v>
      </c>
      <c r="G463" t="s">
        <v>11</v>
      </c>
      <c r="H463" s="1">
        <v>13</v>
      </c>
      <c r="I463" t="s">
        <v>57</v>
      </c>
      <c r="J463" s="1">
        <v>57</v>
      </c>
      <c r="K463" s="1">
        <v>85</v>
      </c>
      <c r="L463" s="1">
        <v>3150</v>
      </c>
      <c r="M463" s="1">
        <v>28310</v>
      </c>
      <c r="N463" s="1">
        <v>44411</v>
      </c>
      <c r="O463" s="1">
        <v>2058578</v>
      </c>
      <c r="P463" s="1">
        <v>342710</v>
      </c>
      <c r="Q463" s="1">
        <v>621678</v>
      </c>
      <c r="R463" s="1">
        <v>29861204</v>
      </c>
      <c r="S463" s="1">
        <v>41051</v>
      </c>
      <c r="T463" s="1">
        <v>41051</v>
      </c>
      <c r="U463" s="1">
        <v>6013</v>
      </c>
      <c r="V463" s="1">
        <v>1</v>
      </c>
      <c r="W463" s="1">
        <v>0</v>
      </c>
    </row>
    <row r="464">
      <c r="A464" s="1">
        <v>2019</v>
      </c>
      <c r="B464" s="1">
        <v>41</v>
      </c>
      <c r="C464" t="s">
        <v>3</v>
      </c>
      <c r="D464" s="1">
        <v>51</v>
      </c>
      <c r="E464" t="s">
        <v>6</v>
      </c>
      <c r="F464" s="1">
        <v>6</v>
      </c>
      <c r="G464" t="s">
        <v>11</v>
      </c>
      <c r="H464" s="1">
        <v>19</v>
      </c>
      <c r="I464" t="s">
        <v>58</v>
      </c>
      <c r="J464" s="1">
        <v>29</v>
      </c>
      <c r="K464" s="1">
        <v>52</v>
      </c>
      <c r="L464" s="1">
        <v>1351</v>
      </c>
      <c r="M464" s="1">
        <v>28310</v>
      </c>
      <c r="N464" s="1">
        <v>44411</v>
      </c>
      <c r="O464" s="1">
        <v>2058578</v>
      </c>
      <c r="P464" s="1">
        <v>342710</v>
      </c>
      <c r="Q464" s="1">
        <v>621678</v>
      </c>
      <c r="R464" s="1">
        <v>29861204</v>
      </c>
      <c r="S464" s="1">
        <v>41051</v>
      </c>
      <c r="T464" s="1">
        <v>41051</v>
      </c>
      <c r="U464" s="1">
        <v>6019</v>
      </c>
      <c r="V464" s="1">
        <v>1</v>
      </c>
      <c r="W464" s="1">
        <v>0</v>
      </c>
    </row>
    <row r="465">
      <c r="A465" s="1">
        <v>2019</v>
      </c>
      <c r="B465" s="1">
        <v>41</v>
      </c>
      <c r="C465" t="s">
        <v>3</v>
      </c>
      <c r="D465" s="1">
        <v>51</v>
      </c>
      <c r="E465" t="s">
        <v>6</v>
      </c>
      <c r="F465" s="1">
        <v>6</v>
      </c>
      <c r="G465" t="s">
        <v>11</v>
      </c>
      <c r="H465" s="1">
        <v>23</v>
      </c>
      <c r="I465" t="s">
        <v>59</v>
      </c>
      <c r="J465" s="1">
        <v>25</v>
      </c>
      <c r="K465" s="1">
        <v>28</v>
      </c>
      <c r="L465" s="1">
        <v>757</v>
      </c>
      <c r="M465" s="1">
        <v>28310</v>
      </c>
      <c r="N465" s="1">
        <v>44411</v>
      </c>
      <c r="O465" s="1">
        <v>2058578</v>
      </c>
      <c r="P465" s="1">
        <v>342710</v>
      </c>
      <c r="Q465" s="1">
        <v>621678</v>
      </c>
      <c r="R465" s="1">
        <v>29861204</v>
      </c>
      <c r="S465" s="1">
        <v>41051</v>
      </c>
      <c r="T465" s="1">
        <v>41051</v>
      </c>
      <c r="U465" s="1">
        <v>6023</v>
      </c>
      <c r="V465" s="1">
        <v>1</v>
      </c>
      <c r="W465" s="1">
        <v>0</v>
      </c>
    </row>
    <row r="466">
      <c r="A466" s="1">
        <v>2019</v>
      </c>
      <c r="B466" s="1">
        <v>41</v>
      </c>
      <c r="C466" t="s">
        <v>3</v>
      </c>
      <c r="D466" s="1">
        <v>51</v>
      </c>
      <c r="E466" t="s">
        <v>6</v>
      </c>
      <c r="F466" s="1">
        <v>6</v>
      </c>
      <c r="G466" t="s">
        <v>11</v>
      </c>
      <c r="H466" s="1">
        <v>37</v>
      </c>
      <c r="I466" t="s">
        <v>61</v>
      </c>
      <c r="J466" s="1">
        <v>600</v>
      </c>
      <c r="K466" s="1">
        <v>801</v>
      </c>
      <c r="L466" s="1">
        <v>37831</v>
      </c>
      <c r="M466" s="1">
        <v>28310</v>
      </c>
      <c r="N466" s="1">
        <v>44411</v>
      </c>
      <c r="O466" s="1">
        <v>2058578</v>
      </c>
      <c r="P466" s="1">
        <v>342710</v>
      </c>
      <c r="Q466" s="1">
        <v>621678</v>
      </c>
      <c r="R466" s="1">
        <v>29861204</v>
      </c>
      <c r="S466" s="1">
        <v>41051</v>
      </c>
      <c r="T466" s="1">
        <v>41051</v>
      </c>
      <c r="U466" s="1">
        <v>6037</v>
      </c>
      <c r="V466" s="1">
        <v>1</v>
      </c>
      <c r="W466" s="1">
        <v>0</v>
      </c>
    </row>
    <row r="467">
      <c r="A467" s="1">
        <v>2019</v>
      </c>
      <c r="B467" s="1">
        <v>41</v>
      </c>
      <c r="C467" t="s">
        <v>3</v>
      </c>
      <c r="D467" s="1">
        <v>51</v>
      </c>
      <c r="E467" t="s">
        <v>6</v>
      </c>
      <c r="F467" s="1">
        <v>6</v>
      </c>
      <c r="G467" t="s">
        <v>11</v>
      </c>
      <c r="H467" s="1">
        <v>41</v>
      </c>
      <c r="I467" t="s">
        <v>62</v>
      </c>
      <c r="J467" s="1">
        <v>42</v>
      </c>
      <c r="K467" s="1">
        <v>59</v>
      </c>
      <c r="L467" s="1">
        <v>6386</v>
      </c>
      <c r="M467" s="1">
        <v>28310</v>
      </c>
      <c r="N467" s="1">
        <v>44411</v>
      </c>
      <c r="O467" s="1">
        <v>2058578</v>
      </c>
      <c r="P467" s="1">
        <v>342710</v>
      </c>
      <c r="Q467" s="1">
        <v>621678</v>
      </c>
      <c r="R467" s="1">
        <v>29861204</v>
      </c>
      <c r="S467" s="1">
        <v>41051</v>
      </c>
      <c r="T467" s="1">
        <v>41051</v>
      </c>
      <c r="U467" s="1">
        <v>6041</v>
      </c>
      <c r="V467" s="1">
        <v>1</v>
      </c>
      <c r="W467" s="1">
        <v>0</v>
      </c>
    </row>
    <row r="468">
      <c r="A468" s="1">
        <v>2019</v>
      </c>
      <c r="B468" s="1">
        <v>41</v>
      </c>
      <c r="C468" t="s">
        <v>3</v>
      </c>
      <c r="D468" s="1">
        <v>51</v>
      </c>
      <c r="E468" t="s">
        <v>6</v>
      </c>
      <c r="F468" s="1">
        <v>6</v>
      </c>
      <c r="G468" t="s">
        <v>11</v>
      </c>
      <c r="H468" s="1">
        <v>53</v>
      </c>
      <c r="I468" t="s">
        <v>63</v>
      </c>
      <c r="J468" s="1">
        <v>32</v>
      </c>
      <c r="K468" s="1">
        <v>43</v>
      </c>
      <c r="L468" s="1">
        <v>1122</v>
      </c>
      <c r="M468" s="1">
        <v>28310</v>
      </c>
      <c r="N468" s="1">
        <v>44411</v>
      </c>
      <c r="O468" s="1">
        <v>2058578</v>
      </c>
      <c r="P468" s="1">
        <v>342710</v>
      </c>
      <c r="Q468" s="1">
        <v>621678</v>
      </c>
      <c r="R468" s="1">
        <v>29861204</v>
      </c>
      <c r="S468" s="1">
        <v>41051</v>
      </c>
      <c r="T468" s="1">
        <v>41051</v>
      </c>
      <c r="U468" s="1">
        <v>6053</v>
      </c>
      <c r="V468" s="1">
        <v>1</v>
      </c>
      <c r="W468" s="1">
        <v>0</v>
      </c>
    </row>
    <row r="469">
      <c r="A469" s="1">
        <v>2019</v>
      </c>
      <c r="B469" s="1">
        <v>41</v>
      </c>
      <c r="C469" t="s">
        <v>3</v>
      </c>
      <c r="D469" s="1">
        <v>51</v>
      </c>
      <c r="E469" t="s">
        <v>6</v>
      </c>
      <c r="F469" s="1">
        <v>6</v>
      </c>
      <c r="G469" t="s">
        <v>11</v>
      </c>
      <c r="H469" s="1">
        <v>59</v>
      </c>
      <c r="I469" t="s">
        <v>64</v>
      </c>
      <c r="J469" s="1">
        <v>183</v>
      </c>
      <c r="K469" s="1">
        <v>263</v>
      </c>
      <c r="L469" s="1">
        <v>21523</v>
      </c>
      <c r="M469" s="1">
        <v>28310</v>
      </c>
      <c r="N469" s="1">
        <v>44411</v>
      </c>
      <c r="O469" s="1">
        <v>2058578</v>
      </c>
      <c r="P469" s="1">
        <v>342710</v>
      </c>
      <c r="Q469" s="1">
        <v>621678</v>
      </c>
      <c r="R469" s="1">
        <v>29861204</v>
      </c>
      <c r="S469" s="1">
        <v>41051</v>
      </c>
      <c r="T469" s="1">
        <v>41051</v>
      </c>
      <c r="U469" s="1">
        <v>6059</v>
      </c>
      <c r="V469" s="1">
        <v>1</v>
      </c>
      <c r="W469" s="1">
        <v>0</v>
      </c>
    </row>
    <row r="470">
      <c r="A470" s="1">
        <v>2019</v>
      </c>
      <c r="B470" s="1">
        <v>41</v>
      </c>
      <c r="C470" t="s">
        <v>3</v>
      </c>
      <c r="D470" s="1">
        <v>51</v>
      </c>
      <c r="E470" t="s">
        <v>6</v>
      </c>
      <c r="F470" s="1">
        <v>6</v>
      </c>
      <c r="G470" t="s">
        <v>11</v>
      </c>
      <c r="H470" s="1">
        <v>61</v>
      </c>
      <c r="I470" t="s">
        <v>65</v>
      </c>
      <c r="J470" s="1">
        <v>26</v>
      </c>
      <c r="K470" s="1">
        <v>32</v>
      </c>
      <c r="L470" s="1">
        <v>2741</v>
      </c>
      <c r="M470" s="1">
        <v>28310</v>
      </c>
      <c r="N470" s="1">
        <v>44411</v>
      </c>
      <c r="O470" s="1">
        <v>2058578</v>
      </c>
      <c r="P470" s="1">
        <v>342710</v>
      </c>
      <c r="Q470" s="1">
        <v>621678</v>
      </c>
      <c r="R470" s="1">
        <v>29861204</v>
      </c>
      <c r="S470" s="1">
        <v>41051</v>
      </c>
      <c r="T470" s="1">
        <v>41051</v>
      </c>
      <c r="U470" s="1">
        <v>6061</v>
      </c>
      <c r="V470" s="1">
        <v>1</v>
      </c>
      <c r="W470" s="1">
        <v>0</v>
      </c>
    </row>
    <row r="471">
      <c r="A471" s="1">
        <v>2019</v>
      </c>
      <c r="B471" s="1">
        <v>41</v>
      </c>
      <c r="C471" t="s">
        <v>3</v>
      </c>
      <c r="D471" s="1">
        <v>51</v>
      </c>
      <c r="E471" t="s">
        <v>6</v>
      </c>
      <c r="F471" s="1">
        <v>6</v>
      </c>
      <c r="G471" t="s">
        <v>11</v>
      </c>
      <c r="H471" s="1">
        <v>65</v>
      </c>
      <c r="I471" t="s">
        <v>66</v>
      </c>
      <c r="J471" s="1">
        <v>106</v>
      </c>
      <c r="K471" s="1">
        <v>174</v>
      </c>
      <c r="L471" s="1">
        <v>14449</v>
      </c>
      <c r="M471" s="1">
        <v>28310</v>
      </c>
      <c r="N471" s="1">
        <v>44411</v>
      </c>
      <c r="O471" s="1">
        <v>2058578</v>
      </c>
      <c r="P471" s="1">
        <v>342710</v>
      </c>
      <c r="Q471" s="1">
        <v>621678</v>
      </c>
      <c r="R471" s="1">
        <v>29861204</v>
      </c>
      <c r="S471" s="1">
        <v>41051</v>
      </c>
      <c r="T471" s="1">
        <v>41051</v>
      </c>
      <c r="U471" s="1">
        <v>6065</v>
      </c>
      <c r="V471" s="1">
        <v>1</v>
      </c>
      <c r="W471" s="1">
        <v>0</v>
      </c>
    </row>
    <row r="472">
      <c r="A472" s="1">
        <v>2019</v>
      </c>
      <c r="B472" s="1">
        <v>41</v>
      </c>
      <c r="C472" t="s">
        <v>3</v>
      </c>
      <c r="D472" s="1">
        <v>51</v>
      </c>
      <c r="E472" t="s">
        <v>6</v>
      </c>
      <c r="F472" s="1">
        <v>6</v>
      </c>
      <c r="G472" t="s">
        <v>11</v>
      </c>
      <c r="H472" s="1">
        <v>67</v>
      </c>
      <c r="I472" t="s">
        <v>67</v>
      </c>
      <c r="J472" s="1">
        <v>131</v>
      </c>
      <c r="K472" s="1">
        <v>183</v>
      </c>
      <c r="L472" s="1">
        <v>7616</v>
      </c>
      <c r="M472" s="1">
        <v>28310</v>
      </c>
      <c r="N472" s="1">
        <v>44411</v>
      </c>
      <c r="O472" s="1">
        <v>2058578</v>
      </c>
      <c r="P472" s="1">
        <v>342710</v>
      </c>
      <c r="Q472" s="1">
        <v>621678</v>
      </c>
      <c r="R472" s="1">
        <v>29861204</v>
      </c>
      <c r="S472" s="1">
        <v>41051</v>
      </c>
      <c r="T472" s="1">
        <v>41051</v>
      </c>
      <c r="U472" s="1">
        <v>6067</v>
      </c>
      <c r="V472" s="1">
        <v>1</v>
      </c>
      <c r="W472" s="1">
        <v>0</v>
      </c>
    </row>
    <row r="473">
      <c r="A473" s="1">
        <v>2019</v>
      </c>
      <c r="B473" s="1">
        <v>41</v>
      </c>
      <c r="C473" t="s">
        <v>3</v>
      </c>
      <c r="D473" s="1">
        <v>51</v>
      </c>
      <c r="E473" t="s">
        <v>6</v>
      </c>
      <c r="F473" s="1">
        <v>6</v>
      </c>
      <c r="G473" t="s">
        <v>11</v>
      </c>
      <c r="H473" s="1">
        <v>71</v>
      </c>
      <c r="I473" t="s">
        <v>68</v>
      </c>
      <c r="J473" s="1">
        <v>74</v>
      </c>
      <c r="K473" s="1">
        <v>101</v>
      </c>
      <c r="L473" s="1">
        <v>3053</v>
      </c>
      <c r="M473" s="1">
        <v>28310</v>
      </c>
      <c r="N473" s="1">
        <v>44411</v>
      </c>
      <c r="O473" s="1">
        <v>2058578</v>
      </c>
      <c r="P473" s="1">
        <v>342710</v>
      </c>
      <c r="Q473" s="1">
        <v>621678</v>
      </c>
      <c r="R473" s="1">
        <v>29861204</v>
      </c>
      <c r="S473" s="1">
        <v>41051</v>
      </c>
      <c r="T473" s="1">
        <v>41051</v>
      </c>
      <c r="U473" s="1">
        <v>6071</v>
      </c>
      <c r="V473" s="1">
        <v>1</v>
      </c>
      <c r="W473" s="1">
        <v>0</v>
      </c>
    </row>
    <row r="474">
      <c r="A474" s="1">
        <v>2019</v>
      </c>
      <c r="B474" s="1">
        <v>41</v>
      </c>
      <c r="C474" t="s">
        <v>3</v>
      </c>
      <c r="D474" s="1">
        <v>51</v>
      </c>
      <c r="E474" t="s">
        <v>6</v>
      </c>
      <c r="F474" s="1">
        <v>6</v>
      </c>
      <c r="G474" t="s">
        <v>11</v>
      </c>
      <c r="H474" s="1">
        <v>73</v>
      </c>
      <c r="I474" t="s">
        <v>69</v>
      </c>
      <c r="J474" s="1">
        <v>273</v>
      </c>
      <c r="K474" s="1">
        <v>410</v>
      </c>
      <c r="L474" s="1">
        <v>17995</v>
      </c>
      <c r="M474" s="1">
        <v>28310</v>
      </c>
      <c r="N474" s="1">
        <v>44411</v>
      </c>
      <c r="O474" s="1">
        <v>2058578</v>
      </c>
      <c r="P474" s="1">
        <v>342710</v>
      </c>
      <c r="Q474" s="1">
        <v>621678</v>
      </c>
      <c r="R474" s="1">
        <v>29861204</v>
      </c>
      <c r="S474" s="1">
        <v>41051</v>
      </c>
      <c r="T474" s="1">
        <v>41051</v>
      </c>
      <c r="U474" s="1">
        <v>6073</v>
      </c>
      <c r="V474" s="1">
        <v>1</v>
      </c>
      <c r="W474" s="1">
        <v>0</v>
      </c>
    </row>
    <row r="475">
      <c r="A475" s="1">
        <v>2019</v>
      </c>
      <c r="B475" s="1">
        <v>41</v>
      </c>
      <c r="C475" t="s">
        <v>3</v>
      </c>
      <c r="D475" s="1">
        <v>51</v>
      </c>
      <c r="E475" t="s">
        <v>6</v>
      </c>
      <c r="F475" s="1">
        <v>6</v>
      </c>
      <c r="G475" t="s">
        <v>11</v>
      </c>
      <c r="H475" s="1">
        <v>75</v>
      </c>
      <c r="I475" t="s">
        <v>70</v>
      </c>
      <c r="J475" s="1">
        <v>200</v>
      </c>
      <c r="K475" s="1">
        <v>231</v>
      </c>
      <c r="L475" s="1">
        <v>31516</v>
      </c>
      <c r="M475" s="1">
        <v>28310</v>
      </c>
      <c r="N475" s="1">
        <v>44411</v>
      </c>
      <c r="O475" s="1">
        <v>2058578</v>
      </c>
      <c r="P475" s="1">
        <v>342710</v>
      </c>
      <c r="Q475" s="1">
        <v>621678</v>
      </c>
      <c r="R475" s="1">
        <v>29861204</v>
      </c>
      <c r="S475" s="1">
        <v>41051</v>
      </c>
      <c r="T475" s="1">
        <v>41051</v>
      </c>
      <c r="U475" s="1">
        <v>6075</v>
      </c>
      <c r="V475" s="1">
        <v>1</v>
      </c>
      <c r="W475" s="1">
        <v>0</v>
      </c>
    </row>
    <row r="476">
      <c r="A476" s="1">
        <v>2019</v>
      </c>
      <c r="B476" s="1">
        <v>41</v>
      </c>
      <c r="C476" t="s">
        <v>3</v>
      </c>
      <c r="D476" s="1">
        <v>51</v>
      </c>
      <c r="E476" t="s">
        <v>6</v>
      </c>
      <c r="F476" s="1">
        <v>6</v>
      </c>
      <c r="G476" t="s">
        <v>11</v>
      </c>
      <c r="H476" s="1">
        <v>79</v>
      </c>
      <c r="I476" t="s">
        <v>71</v>
      </c>
      <c r="J476" s="1">
        <v>26</v>
      </c>
      <c r="K476" s="1">
        <v>36</v>
      </c>
      <c r="L476" s="1">
        <v>1446</v>
      </c>
      <c r="M476" s="1">
        <v>28310</v>
      </c>
      <c r="N476" s="1">
        <v>44411</v>
      </c>
      <c r="O476" s="1">
        <v>2058578</v>
      </c>
      <c r="P476" s="1">
        <v>342710</v>
      </c>
      <c r="Q476" s="1">
        <v>621678</v>
      </c>
      <c r="R476" s="1">
        <v>29861204</v>
      </c>
      <c r="S476" s="1">
        <v>41051</v>
      </c>
      <c r="T476" s="1">
        <v>41051</v>
      </c>
      <c r="U476" s="1">
        <v>6079</v>
      </c>
      <c r="V476" s="1">
        <v>1</v>
      </c>
      <c r="W476" s="1">
        <v>0</v>
      </c>
    </row>
    <row r="477">
      <c r="A477" s="1">
        <v>2019</v>
      </c>
      <c r="B477" s="1">
        <v>41</v>
      </c>
      <c r="C477" t="s">
        <v>3</v>
      </c>
      <c r="D477" s="1">
        <v>51</v>
      </c>
      <c r="E477" t="s">
        <v>6</v>
      </c>
      <c r="F477" s="1">
        <v>6</v>
      </c>
      <c r="G477" t="s">
        <v>11</v>
      </c>
      <c r="H477" s="1">
        <v>81</v>
      </c>
      <c r="I477" t="s">
        <v>72</v>
      </c>
      <c r="J477" s="1">
        <v>54</v>
      </c>
      <c r="K477" s="1">
        <v>86</v>
      </c>
      <c r="L477" s="1">
        <v>8907</v>
      </c>
      <c r="M477" s="1">
        <v>28310</v>
      </c>
      <c r="N477" s="1">
        <v>44411</v>
      </c>
      <c r="O477" s="1">
        <v>2058578</v>
      </c>
      <c r="P477" s="1">
        <v>342710</v>
      </c>
      <c r="Q477" s="1">
        <v>621678</v>
      </c>
      <c r="R477" s="1">
        <v>29861204</v>
      </c>
      <c r="S477" s="1">
        <v>41051</v>
      </c>
      <c r="T477" s="1">
        <v>41051</v>
      </c>
      <c r="U477" s="1">
        <v>6081</v>
      </c>
      <c r="V477" s="1">
        <v>1</v>
      </c>
      <c r="W477" s="1">
        <v>0</v>
      </c>
    </row>
    <row r="478">
      <c r="A478" s="1">
        <v>2019</v>
      </c>
      <c r="B478" s="1">
        <v>41</v>
      </c>
      <c r="C478" t="s">
        <v>3</v>
      </c>
      <c r="D478" s="1">
        <v>51</v>
      </c>
      <c r="E478" t="s">
        <v>6</v>
      </c>
      <c r="F478" s="1">
        <v>6</v>
      </c>
      <c r="G478" t="s">
        <v>11</v>
      </c>
      <c r="H478" s="1">
        <v>83</v>
      </c>
      <c r="I478" t="s">
        <v>73</v>
      </c>
      <c r="J478" s="1">
        <v>39</v>
      </c>
      <c r="K478" s="1">
        <v>51</v>
      </c>
      <c r="L478" s="1">
        <v>3910</v>
      </c>
      <c r="M478" s="1">
        <v>28310</v>
      </c>
      <c r="N478" s="1">
        <v>44411</v>
      </c>
      <c r="O478" s="1">
        <v>2058578</v>
      </c>
      <c r="P478" s="1">
        <v>342710</v>
      </c>
      <c r="Q478" s="1">
        <v>621678</v>
      </c>
      <c r="R478" s="1">
        <v>29861204</v>
      </c>
      <c r="S478" s="1">
        <v>41051</v>
      </c>
      <c r="T478" s="1">
        <v>41051</v>
      </c>
      <c r="U478" s="1">
        <v>6083</v>
      </c>
      <c r="V478" s="1">
        <v>1</v>
      </c>
      <c r="W478" s="1">
        <v>0</v>
      </c>
    </row>
    <row r="479">
      <c r="A479" s="1">
        <v>2019</v>
      </c>
      <c r="B479" s="1">
        <v>41</v>
      </c>
      <c r="C479" t="s">
        <v>3</v>
      </c>
      <c r="D479" s="1">
        <v>51</v>
      </c>
      <c r="E479" t="s">
        <v>6</v>
      </c>
      <c r="F479" s="1">
        <v>6</v>
      </c>
      <c r="G479" t="s">
        <v>11</v>
      </c>
      <c r="H479" s="1">
        <v>85</v>
      </c>
      <c r="I479" t="s">
        <v>74</v>
      </c>
      <c r="J479" s="1">
        <v>174</v>
      </c>
      <c r="K479" s="1">
        <v>234</v>
      </c>
      <c r="L479" s="1">
        <v>17424</v>
      </c>
      <c r="M479" s="1">
        <v>28310</v>
      </c>
      <c r="N479" s="1">
        <v>44411</v>
      </c>
      <c r="O479" s="1">
        <v>2058578</v>
      </c>
      <c r="P479" s="1">
        <v>342710</v>
      </c>
      <c r="Q479" s="1">
        <v>621678</v>
      </c>
      <c r="R479" s="1">
        <v>29861204</v>
      </c>
      <c r="S479" s="1">
        <v>41051</v>
      </c>
      <c r="T479" s="1">
        <v>41051</v>
      </c>
      <c r="U479" s="1">
        <v>6085</v>
      </c>
      <c r="V479" s="1">
        <v>1</v>
      </c>
      <c r="W479" s="1">
        <v>0</v>
      </c>
    </row>
    <row r="480">
      <c r="A480" s="1">
        <v>2019</v>
      </c>
      <c r="B480" s="1">
        <v>41</v>
      </c>
      <c r="C480" t="s">
        <v>3</v>
      </c>
      <c r="D480" s="1">
        <v>51</v>
      </c>
      <c r="E480" t="s">
        <v>6</v>
      </c>
      <c r="F480" s="1">
        <v>6</v>
      </c>
      <c r="G480" t="s">
        <v>11</v>
      </c>
      <c r="H480" s="1">
        <v>87</v>
      </c>
      <c r="I480" t="s">
        <v>75</v>
      </c>
      <c r="J480" s="1">
        <v>40</v>
      </c>
      <c r="K480" s="1">
        <v>55</v>
      </c>
      <c r="L480" s="1">
        <v>2628</v>
      </c>
      <c r="M480" s="1">
        <v>28310</v>
      </c>
      <c r="N480" s="1">
        <v>44411</v>
      </c>
      <c r="O480" s="1">
        <v>2058578</v>
      </c>
      <c r="P480" s="1">
        <v>342710</v>
      </c>
      <c r="Q480" s="1">
        <v>621678</v>
      </c>
      <c r="R480" s="1">
        <v>29861204</v>
      </c>
      <c r="S480" s="1">
        <v>41051</v>
      </c>
      <c r="T480" s="1">
        <v>41051</v>
      </c>
      <c r="U480" s="1">
        <v>6087</v>
      </c>
      <c r="V480" s="1">
        <v>1</v>
      </c>
      <c r="W480" s="1">
        <v>0</v>
      </c>
    </row>
    <row r="481">
      <c r="A481" s="1">
        <v>2019</v>
      </c>
      <c r="B481" s="1">
        <v>41</v>
      </c>
      <c r="C481" t="s">
        <v>3</v>
      </c>
      <c r="D481" s="1">
        <v>51</v>
      </c>
      <c r="E481" t="s">
        <v>6</v>
      </c>
      <c r="F481" s="1">
        <v>6</v>
      </c>
      <c r="G481" t="s">
        <v>11</v>
      </c>
      <c r="H481" s="1">
        <v>97</v>
      </c>
      <c r="I481" t="s">
        <v>77</v>
      </c>
      <c r="J481" s="1">
        <v>43</v>
      </c>
      <c r="K481" s="1">
        <v>58</v>
      </c>
      <c r="L481" s="1">
        <v>2119</v>
      </c>
      <c r="M481" s="1">
        <v>28310</v>
      </c>
      <c r="N481" s="1">
        <v>44411</v>
      </c>
      <c r="O481" s="1">
        <v>2058578</v>
      </c>
      <c r="P481" s="1">
        <v>342710</v>
      </c>
      <c r="Q481" s="1">
        <v>621678</v>
      </c>
      <c r="R481" s="1">
        <v>29861204</v>
      </c>
      <c r="S481" s="1">
        <v>41051</v>
      </c>
      <c r="T481" s="1">
        <v>41051</v>
      </c>
      <c r="U481" s="1">
        <v>6097</v>
      </c>
      <c r="V481" s="1">
        <v>1</v>
      </c>
      <c r="W481" s="1">
        <v>0</v>
      </c>
    </row>
    <row r="482">
      <c r="A482" s="1">
        <v>2019</v>
      </c>
      <c r="B482" s="1">
        <v>41</v>
      </c>
      <c r="C482" t="s">
        <v>3</v>
      </c>
      <c r="D482" s="1">
        <v>51</v>
      </c>
      <c r="E482" t="s">
        <v>6</v>
      </c>
      <c r="F482" s="1">
        <v>6</v>
      </c>
      <c r="G482" t="s">
        <v>11</v>
      </c>
      <c r="H482" s="1">
        <v>111</v>
      </c>
      <c r="I482" t="s">
        <v>78</v>
      </c>
      <c r="J482" s="1">
        <v>46</v>
      </c>
      <c r="K482" s="1">
        <v>72</v>
      </c>
      <c r="L482" s="1">
        <v>2631</v>
      </c>
      <c r="M482" s="1">
        <v>28310</v>
      </c>
      <c r="N482" s="1">
        <v>44411</v>
      </c>
      <c r="O482" s="1">
        <v>2058578</v>
      </c>
      <c r="P482" s="1">
        <v>342710</v>
      </c>
      <c r="Q482" s="1">
        <v>621678</v>
      </c>
      <c r="R482" s="1">
        <v>29861204</v>
      </c>
      <c r="S482" s="1">
        <v>41051</v>
      </c>
      <c r="T482" s="1">
        <v>41051</v>
      </c>
      <c r="U482" s="1">
        <v>6111</v>
      </c>
      <c r="V482" s="1">
        <v>1</v>
      </c>
      <c r="W482" s="1">
        <v>0</v>
      </c>
    </row>
    <row r="483">
      <c r="A483" s="1">
        <v>2019</v>
      </c>
      <c r="B483" s="1">
        <v>41</v>
      </c>
      <c r="C483" t="s">
        <v>3</v>
      </c>
      <c r="D483" s="1">
        <v>51</v>
      </c>
      <c r="E483" t="s">
        <v>6</v>
      </c>
      <c r="F483" s="1">
        <v>8</v>
      </c>
      <c r="G483" t="s">
        <v>12</v>
      </c>
      <c r="H483" s="1">
        <v>5</v>
      </c>
      <c r="I483" t="s">
        <v>79</v>
      </c>
      <c r="J483" s="1">
        <v>45</v>
      </c>
      <c r="K483" s="1">
        <v>71</v>
      </c>
      <c r="L483" s="1">
        <v>2537</v>
      </c>
      <c r="M483" s="1">
        <v>28310</v>
      </c>
      <c r="N483" s="1">
        <v>44411</v>
      </c>
      <c r="O483" s="1">
        <v>2058578</v>
      </c>
      <c r="P483" s="1">
        <v>342710</v>
      </c>
      <c r="Q483" s="1">
        <v>621678</v>
      </c>
      <c r="R483" s="1">
        <v>29861204</v>
      </c>
      <c r="S483" s="1">
        <v>41051</v>
      </c>
      <c r="T483" s="1">
        <v>41051</v>
      </c>
      <c r="U483" s="1">
        <v>8005</v>
      </c>
      <c r="V483" s="1">
        <v>1</v>
      </c>
      <c r="W483" s="1">
        <v>0</v>
      </c>
    </row>
    <row r="484">
      <c r="A484" s="1">
        <v>2019</v>
      </c>
      <c r="B484" s="1">
        <v>41</v>
      </c>
      <c r="C484" t="s">
        <v>3</v>
      </c>
      <c r="D484" s="1">
        <v>51</v>
      </c>
      <c r="E484" t="s">
        <v>6</v>
      </c>
      <c r="F484" s="1">
        <v>8</v>
      </c>
      <c r="G484" t="s">
        <v>12</v>
      </c>
      <c r="H484" s="1">
        <v>13</v>
      </c>
      <c r="I484" t="s">
        <v>80</v>
      </c>
      <c r="J484" s="1">
        <v>69</v>
      </c>
      <c r="K484" s="1">
        <v>90</v>
      </c>
      <c r="L484" s="1">
        <v>4944</v>
      </c>
      <c r="M484" s="1">
        <v>28310</v>
      </c>
      <c r="N484" s="1">
        <v>44411</v>
      </c>
      <c r="O484" s="1">
        <v>2058578</v>
      </c>
      <c r="P484" s="1">
        <v>342710</v>
      </c>
      <c r="Q484" s="1">
        <v>621678</v>
      </c>
      <c r="R484" s="1">
        <v>29861204</v>
      </c>
      <c r="S484" s="1">
        <v>41051</v>
      </c>
      <c r="T484" s="1">
        <v>41051</v>
      </c>
      <c r="U484" s="1">
        <v>8013</v>
      </c>
      <c r="V484" s="1">
        <v>1</v>
      </c>
      <c r="W484" s="1">
        <v>0</v>
      </c>
    </row>
    <row r="485">
      <c r="A485" s="1">
        <v>2019</v>
      </c>
      <c r="B485" s="1">
        <v>41</v>
      </c>
      <c r="C485" t="s">
        <v>3</v>
      </c>
      <c r="D485" s="1">
        <v>51</v>
      </c>
      <c r="E485" t="s">
        <v>6</v>
      </c>
      <c r="F485" s="1">
        <v>8</v>
      </c>
      <c r="G485" t="s">
        <v>12</v>
      </c>
      <c r="H485" s="1">
        <v>31</v>
      </c>
      <c r="I485" t="s">
        <v>81</v>
      </c>
      <c r="J485" s="1">
        <v>155</v>
      </c>
      <c r="K485" s="1">
        <v>198</v>
      </c>
      <c r="L485" s="1">
        <v>12624</v>
      </c>
      <c r="M485" s="1">
        <v>28310</v>
      </c>
      <c r="N485" s="1">
        <v>44411</v>
      </c>
      <c r="O485" s="1">
        <v>2058578</v>
      </c>
      <c r="P485" s="1">
        <v>342710</v>
      </c>
      <c r="Q485" s="1">
        <v>621678</v>
      </c>
      <c r="R485" s="1">
        <v>29861204</v>
      </c>
      <c r="S485" s="1">
        <v>41051</v>
      </c>
      <c r="T485" s="1">
        <v>41051</v>
      </c>
      <c r="U485" s="1">
        <v>8031</v>
      </c>
      <c r="V485" s="1">
        <v>1</v>
      </c>
      <c r="W485" s="1">
        <v>0</v>
      </c>
    </row>
    <row r="486">
      <c r="A486" s="1">
        <v>2019</v>
      </c>
      <c r="B486" s="1">
        <v>41</v>
      </c>
      <c r="C486" t="s">
        <v>3</v>
      </c>
      <c r="D486" s="1">
        <v>51</v>
      </c>
      <c r="E486" t="s">
        <v>6</v>
      </c>
      <c r="F486" s="1">
        <v>8</v>
      </c>
      <c r="G486" t="s">
        <v>12</v>
      </c>
      <c r="H486" s="1">
        <v>41</v>
      </c>
      <c r="I486" t="s">
        <v>82</v>
      </c>
      <c r="J486" s="1">
        <v>33</v>
      </c>
      <c r="K486" s="1">
        <v>55</v>
      </c>
      <c r="L486" s="1">
        <v>1832</v>
      </c>
      <c r="M486" s="1">
        <v>28310</v>
      </c>
      <c r="N486" s="1">
        <v>44411</v>
      </c>
      <c r="O486" s="1">
        <v>2058578</v>
      </c>
      <c r="P486" s="1">
        <v>342710</v>
      </c>
      <c r="Q486" s="1">
        <v>621678</v>
      </c>
      <c r="R486" s="1">
        <v>29861204</v>
      </c>
      <c r="S486" s="1">
        <v>41051</v>
      </c>
      <c r="T486" s="1">
        <v>41051</v>
      </c>
      <c r="U486" s="1">
        <v>8041</v>
      </c>
      <c r="V486" s="1">
        <v>1</v>
      </c>
      <c r="W486" s="1">
        <v>0</v>
      </c>
    </row>
    <row r="487">
      <c r="A487" s="1">
        <v>2019</v>
      </c>
      <c r="B487" s="1">
        <v>41</v>
      </c>
      <c r="C487" t="s">
        <v>3</v>
      </c>
      <c r="D487" s="1">
        <v>51</v>
      </c>
      <c r="E487" t="s">
        <v>6</v>
      </c>
      <c r="F487" s="1">
        <v>8</v>
      </c>
      <c r="G487" t="s">
        <v>12</v>
      </c>
      <c r="H487" s="1">
        <v>59</v>
      </c>
      <c r="I487" t="s">
        <v>83</v>
      </c>
      <c r="J487" s="1">
        <v>33</v>
      </c>
      <c r="K487" s="1">
        <v>44</v>
      </c>
      <c r="L487" s="1">
        <v>2042</v>
      </c>
      <c r="M487" s="1">
        <v>28310</v>
      </c>
      <c r="N487" s="1">
        <v>44411</v>
      </c>
      <c r="O487" s="1">
        <v>2058578</v>
      </c>
      <c r="P487" s="1">
        <v>342710</v>
      </c>
      <c r="Q487" s="1">
        <v>621678</v>
      </c>
      <c r="R487" s="1">
        <v>29861204</v>
      </c>
      <c r="S487" s="1">
        <v>41051</v>
      </c>
      <c r="T487" s="1">
        <v>41051</v>
      </c>
      <c r="U487" s="1">
        <v>8059</v>
      </c>
      <c r="V487" s="1">
        <v>1</v>
      </c>
      <c r="W487" s="1">
        <v>0</v>
      </c>
    </row>
    <row r="488">
      <c r="A488" s="1">
        <v>2019</v>
      </c>
      <c r="B488" s="1">
        <v>41</v>
      </c>
      <c r="C488" t="s">
        <v>3</v>
      </c>
      <c r="D488" s="1">
        <v>51</v>
      </c>
      <c r="E488" t="s">
        <v>6</v>
      </c>
      <c r="F488" s="1">
        <v>8</v>
      </c>
      <c r="G488" t="s">
        <v>12</v>
      </c>
      <c r="H488" s="1">
        <v>69</v>
      </c>
      <c r="I488" t="s">
        <v>84</v>
      </c>
      <c r="J488" s="1">
        <v>38</v>
      </c>
      <c r="K488" s="1">
        <v>59</v>
      </c>
      <c r="L488" s="1">
        <v>2325</v>
      </c>
      <c r="M488" s="1">
        <v>28310</v>
      </c>
      <c r="N488" s="1">
        <v>44411</v>
      </c>
      <c r="O488" s="1">
        <v>2058578</v>
      </c>
      <c r="P488" s="1">
        <v>342710</v>
      </c>
      <c r="Q488" s="1">
        <v>621678</v>
      </c>
      <c r="R488" s="1">
        <v>29861204</v>
      </c>
      <c r="S488" s="1">
        <v>41051</v>
      </c>
      <c r="T488" s="1">
        <v>41051</v>
      </c>
      <c r="U488" s="1">
        <v>8069</v>
      </c>
      <c r="V488" s="1">
        <v>1</v>
      </c>
      <c r="W488" s="1">
        <v>0</v>
      </c>
    </row>
    <row r="489">
      <c r="A489" s="1">
        <v>2019</v>
      </c>
      <c r="B489" s="1">
        <v>41</v>
      </c>
      <c r="C489" t="s">
        <v>3</v>
      </c>
      <c r="D489" s="1">
        <v>51</v>
      </c>
      <c r="E489" t="s">
        <v>6</v>
      </c>
      <c r="F489" s="1">
        <v>9</v>
      </c>
      <c r="G489" t="s">
        <v>13</v>
      </c>
      <c r="H489" s="1">
        <v>9</v>
      </c>
      <c r="I489" t="s">
        <v>85</v>
      </c>
      <c r="J489" s="1">
        <v>21</v>
      </c>
      <c r="K489" s="1">
        <v>28</v>
      </c>
      <c r="L489" s="1">
        <v>1549</v>
      </c>
      <c r="M489" s="1">
        <v>28310</v>
      </c>
      <c r="N489" s="1">
        <v>44411</v>
      </c>
      <c r="O489" s="1">
        <v>2058578</v>
      </c>
      <c r="P489" s="1">
        <v>342710</v>
      </c>
      <c r="Q489" s="1">
        <v>621678</v>
      </c>
      <c r="R489" s="1">
        <v>29861204</v>
      </c>
      <c r="S489" s="1">
        <v>41051</v>
      </c>
      <c r="T489" s="1">
        <v>41051</v>
      </c>
      <c r="U489" s="1">
        <v>9009</v>
      </c>
      <c r="V489" s="1">
        <v>1</v>
      </c>
      <c r="W489" s="1">
        <v>0</v>
      </c>
    </row>
    <row r="490">
      <c r="A490" s="1">
        <v>2019</v>
      </c>
      <c r="B490" s="1">
        <v>41</v>
      </c>
      <c r="C490" t="s">
        <v>3</v>
      </c>
      <c r="D490" s="1">
        <v>51</v>
      </c>
      <c r="E490" t="s">
        <v>6</v>
      </c>
      <c r="F490" s="1">
        <v>11</v>
      </c>
      <c r="G490" t="s">
        <v>14</v>
      </c>
      <c r="H490" s="1">
        <v>1</v>
      </c>
      <c r="I490" t="s">
        <v>14</v>
      </c>
      <c r="J490" s="1">
        <v>52</v>
      </c>
      <c r="K490" s="1">
        <v>64</v>
      </c>
      <c r="L490" s="1">
        <v>3554</v>
      </c>
      <c r="M490" s="1">
        <v>28310</v>
      </c>
      <c r="N490" s="1">
        <v>44411</v>
      </c>
      <c r="O490" s="1">
        <v>2058578</v>
      </c>
      <c r="P490" s="1">
        <v>342710</v>
      </c>
      <c r="Q490" s="1">
        <v>621678</v>
      </c>
      <c r="R490" s="1">
        <v>29861204</v>
      </c>
      <c r="S490" s="1">
        <v>41051</v>
      </c>
      <c r="T490" s="1">
        <v>41051</v>
      </c>
      <c r="U490" s="1">
        <v>11001</v>
      </c>
      <c r="V490" s="1">
        <v>1</v>
      </c>
      <c r="W490" s="1">
        <v>0</v>
      </c>
    </row>
    <row r="491">
      <c r="A491" s="1">
        <v>2019</v>
      </c>
      <c r="B491" s="1">
        <v>41</v>
      </c>
      <c r="C491" t="s">
        <v>3</v>
      </c>
      <c r="D491" s="1">
        <v>51</v>
      </c>
      <c r="E491" t="s">
        <v>6</v>
      </c>
      <c r="F491" s="1">
        <v>12</v>
      </c>
      <c r="G491" t="s">
        <v>15</v>
      </c>
      <c r="H491" s="1">
        <v>11</v>
      </c>
      <c r="I491" t="s">
        <v>183</v>
      </c>
      <c r="J491" s="1">
        <v>33</v>
      </c>
      <c r="K491" s="1">
        <v>47</v>
      </c>
      <c r="L491" s="1">
        <v>2913</v>
      </c>
      <c r="M491" s="1">
        <v>28310</v>
      </c>
      <c r="N491" s="1">
        <v>44411</v>
      </c>
      <c r="O491" s="1">
        <v>2058578</v>
      </c>
      <c r="P491" s="1">
        <v>342710</v>
      </c>
      <c r="Q491" s="1">
        <v>621678</v>
      </c>
      <c r="R491" s="1">
        <v>29861204</v>
      </c>
      <c r="S491" s="1">
        <v>41051</v>
      </c>
      <c r="T491" s="1">
        <v>41051</v>
      </c>
      <c r="U491" s="1">
        <v>12011</v>
      </c>
      <c r="V491" s="1">
        <v>1</v>
      </c>
      <c r="W491" s="1">
        <v>0</v>
      </c>
    </row>
    <row r="492">
      <c r="A492" s="1">
        <v>2019</v>
      </c>
      <c r="B492" s="1">
        <v>41</v>
      </c>
      <c r="C492" t="s">
        <v>3</v>
      </c>
      <c r="D492" s="1">
        <v>51</v>
      </c>
      <c r="E492" t="s">
        <v>6</v>
      </c>
      <c r="F492" s="1">
        <v>12</v>
      </c>
      <c r="G492" t="s">
        <v>15</v>
      </c>
      <c r="H492" s="1">
        <v>31</v>
      </c>
      <c r="I492" t="s">
        <v>184</v>
      </c>
      <c r="J492" s="1">
        <v>29</v>
      </c>
      <c r="K492" s="1">
        <v>46</v>
      </c>
      <c r="L492" s="1">
        <v>2136</v>
      </c>
      <c r="M492" s="1">
        <v>28310</v>
      </c>
      <c r="N492" s="1">
        <v>44411</v>
      </c>
      <c r="O492" s="1">
        <v>2058578</v>
      </c>
      <c r="P492" s="1">
        <v>342710</v>
      </c>
      <c r="Q492" s="1">
        <v>621678</v>
      </c>
      <c r="R492" s="1">
        <v>29861204</v>
      </c>
      <c r="S492" s="1">
        <v>41051</v>
      </c>
      <c r="T492" s="1">
        <v>41051</v>
      </c>
      <c r="U492" s="1">
        <v>12031</v>
      </c>
      <c r="V492" s="1">
        <v>1</v>
      </c>
      <c r="W492" s="1">
        <v>0</v>
      </c>
    </row>
    <row r="493">
      <c r="A493" s="1">
        <v>2019</v>
      </c>
      <c r="B493" s="1">
        <v>41</v>
      </c>
      <c r="C493" t="s">
        <v>3</v>
      </c>
      <c r="D493" s="1">
        <v>51</v>
      </c>
      <c r="E493" t="s">
        <v>6</v>
      </c>
      <c r="F493" s="1">
        <v>12</v>
      </c>
      <c r="G493" t="s">
        <v>15</v>
      </c>
      <c r="H493" s="1">
        <v>57</v>
      </c>
      <c r="I493" t="s">
        <v>86</v>
      </c>
      <c r="J493" s="1">
        <v>37</v>
      </c>
      <c r="K493" s="1">
        <v>65</v>
      </c>
      <c r="L493" s="1">
        <v>1986</v>
      </c>
      <c r="M493" s="1">
        <v>28310</v>
      </c>
      <c r="N493" s="1">
        <v>44411</v>
      </c>
      <c r="O493" s="1">
        <v>2058578</v>
      </c>
      <c r="P493" s="1">
        <v>342710</v>
      </c>
      <c r="Q493" s="1">
        <v>621678</v>
      </c>
      <c r="R493" s="1">
        <v>29861204</v>
      </c>
      <c r="S493" s="1">
        <v>41051</v>
      </c>
      <c r="T493" s="1">
        <v>41051</v>
      </c>
      <c r="U493" s="1">
        <v>12057</v>
      </c>
      <c r="V493" s="1">
        <v>1</v>
      </c>
      <c r="W493" s="1">
        <v>0</v>
      </c>
    </row>
    <row r="494">
      <c r="A494" s="1">
        <v>2019</v>
      </c>
      <c r="B494" s="1">
        <v>41</v>
      </c>
      <c r="C494" t="s">
        <v>3</v>
      </c>
      <c r="D494" s="1">
        <v>51</v>
      </c>
      <c r="E494" t="s">
        <v>6</v>
      </c>
      <c r="F494" s="1">
        <v>12</v>
      </c>
      <c r="G494" t="s">
        <v>15</v>
      </c>
      <c r="H494" s="1">
        <v>71</v>
      </c>
      <c r="I494" t="s">
        <v>226</v>
      </c>
      <c r="J494" s="1">
        <v>22</v>
      </c>
      <c r="K494" s="1">
        <v>31</v>
      </c>
      <c r="L494" s="1">
        <v>1020</v>
      </c>
      <c r="M494" s="1">
        <v>28310</v>
      </c>
      <c r="N494" s="1">
        <v>44411</v>
      </c>
      <c r="O494" s="1">
        <v>2058578</v>
      </c>
      <c r="P494" s="1">
        <v>342710</v>
      </c>
      <c r="Q494" s="1">
        <v>621678</v>
      </c>
      <c r="R494" s="1">
        <v>29861204</v>
      </c>
      <c r="S494" s="1">
        <v>41051</v>
      </c>
      <c r="T494" s="1">
        <v>41051</v>
      </c>
      <c r="U494" s="1">
        <v>12071</v>
      </c>
      <c r="V494" s="1">
        <v>1</v>
      </c>
      <c r="W494" s="1">
        <v>0</v>
      </c>
    </row>
    <row r="495">
      <c r="A495" s="1">
        <v>2019</v>
      </c>
      <c r="B495" s="1">
        <v>41</v>
      </c>
      <c r="C495" t="s">
        <v>3</v>
      </c>
      <c r="D495" s="1">
        <v>51</v>
      </c>
      <c r="E495" t="s">
        <v>6</v>
      </c>
      <c r="F495" s="1">
        <v>12</v>
      </c>
      <c r="G495" t="s">
        <v>15</v>
      </c>
      <c r="H495" s="1">
        <v>86</v>
      </c>
      <c r="I495" t="s">
        <v>87</v>
      </c>
      <c r="J495" s="1">
        <v>45</v>
      </c>
      <c r="K495" s="1">
        <v>71</v>
      </c>
      <c r="L495" s="1">
        <v>2642</v>
      </c>
      <c r="M495" s="1">
        <v>28310</v>
      </c>
      <c r="N495" s="1">
        <v>44411</v>
      </c>
      <c r="O495" s="1">
        <v>2058578</v>
      </c>
      <c r="P495" s="1">
        <v>342710</v>
      </c>
      <c r="Q495" s="1">
        <v>621678</v>
      </c>
      <c r="R495" s="1">
        <v>29861204</v>
      </c>
      <c r="S495" s="1">
        <v>41051</v>
      </c>
      <c r="T495" s="1">
        <v>41051</v>
      </c>
      <c r="U495" s="1">
        <v>12086</v>
      </c>
      <c r="V495" s="1">
        <v>1</v>
      </c>
      <c r="W495" s="1">
        <v>0</v>
      </c>
    </row>
    <row r="496">
      <c r="A496" s="1">
        <v>2019</v>
      </c>
      <c r="B496" s="1">
        <v>41</v>
      </c>
      <c r="C496" t="s">
        <v>3</v>
      </c>
      <c r="D496" s="1">
        <v>51</v>
      </c>
      <c r="E496" t="s">
        <v>6</v>
      </c>
      <c r="F496" s="1">
        <v>12</v>
      </c>
      <c r="G496" t="s">
        <v>15</v>
      </c>
      <c r="H496" s="1">
        <v>95</v>
      </c>
      <c r="I496" t="s">
        <v>64</v>
      </c>
      <c r="J496" s="1">
        <v>42</v>
      </c>
      <c r="K496" s="1">
        <v>63</v>
      </c>
      <c r="L496" s="1">
        <v>5280</v>
      </c>
      <c r="M496" s="1">
        <v>28310</v>
      </c>
      <c r="N496" s="1">
        <v>44411</v>
      </c>
      <c r="O496" s="1">
        <v>2058578</v>
      </c>
      <c r="P496" s="1">
        <v>342710</v>
      </c>
      <c r="Q496" s="1">
        <v>621678</v>
      </c>
      <c r="R496" s="1">
        <v>29861204</v>
      </c>
      <c r="S496" s="1">
        <v>41051</v>
      </c>
      <c r="T496" s="1">
        <v>41051</v>
      </c>
      <c r="U496" s="1">
        <v>12095</v>
      </c>
      <c r="V496" s="1">
        <v>1</v>
      </c>
      <c r="W496" s="1">
        <v>0</v>
      </c>
    </row>
    <row r="497">
      <c r="A497" s="1">
        <v>2019</v>
      </c>
      <c r="B497" s="1">
        <v>41</v>
      </c>
      <c r="C497" t="s">
        <v>3</v>
      </c>
      <c r="D497" s="1">
        <v>51</v>
      </c>
      <c r="E497" t="s">
        <v>6</v>
      </c>
      <c r="F497" s="1">
        <v>12</v>
      </c>
      <c r="G497" t="s">
        <v>15</v>
      </c>
      <c r="H497" s="1">
        <v>99</v>
      </c>
      <c r="I497" t="s">
        <v>88</v>
      </c>
      <c r="J497" s="1">
        <v>26</v>
      </c>
      <c r="K497" s="1">
        <v>44</v>
      </c>
      <c r="L497" s="1">
        <v>1451</v>
      </c>
      <c r="M497" s="1">
        <v>28310</v>
      </c>
      <c r="N497" s="1">
        <v>44411</v>
      </c>
      <c r="O497" s="1">
        <v>2058578</v>
      </c>
      <c r="P497" s="1">
        <v>342710</v>
      </c>
      <c r="Q497" s="1">
        <v>621678</v>
      </c>
      <c r="R497" s="1">
        <v>29861204</v>
      </c>
      <c r="S497" s="1">
        <v>41051</v>
      </c>
      <c r="T497" s="1">
        <v>41051</v>
      </c>
      <c r="U497" s="1">
        <v>12099</v>
      </c>
      <c r="V497" s="1">
        <v>1</v>
      </c>
      <c r="W497" s="1">
        <v>0</v>
      </c>
    </row>
    <row r="498">
      <c r="A498" s="1">
        <v>2019</v>
      </c>
      <c r="B498" s="1">
        <v>41</v>
      </c>
      <c r="C498" t="s">
        <v>3</v>
      </c>
      <c r="D498" s="1">
        <v>51</v>
      </c>
      <c r="E498" t="s">
        <v>6</v>
      </c>
      <c r="F498" s="1">
        <v>12</v>
      </c>
      <c r="G498" t="s">
        <v>15</v>
      </c>
      <c r="H498" s="1">
        <v>103</v>
      </c>
      <c r="I498" t="s">
        <v>89</v>
      </c>
      <c r="J498" s="1">
        <v>39</v>
      </c>
      <c r="K498" s="1">
        <v>54</v>
      </c>
      <c r="L498" s="1">
        <v>2821</v>
      </c>
      <c r="M498" s="1">
        <v>28310</v>
      </c>
      <c r="N498" s="1">
        <v>44411</v>
      </c>
      <c r="O498" s="1">
        <v>2058578</v>
      </c>
      <c r="P498" s="1">
        <v>342710</v>
      </c>
      <c r="Q498" s="1">
        <v>621678</v>
      </c>
      <c r="R498" s="1">
        <v>29861204</v>
      </c>
      <c r="S498" s="1">
        <v>41051</v>
      </c>
      <c r="T498" s="1">
        <v>41051</v>
      </c>
      <c r="U498" s="1">
        <v>12103</v>
      </c>
      <c r="V498" s="1">
        <v>1</v>
      </c>
      <c r="W498" s="1">
        <v>0</v>
      </c>
    </row>
    <row r="499">
      <c r="A499" s="1">
        <v>2019</v>
      </c>
      <c r="B499" s="1">
        <v>41</v>
      </c>
      <c r="C499" t="s">
        <v>3</v>
      </c>
      <c r="D499" s="1">
        <v>51</v>
      </c>
      <c r="E499" t="s">
        <v>6</v>
      </c>
      <c r="F499" s="1">
        <v>13</v>
      </c>
      <c r="G499" t="s">
        <v>16</v>
      </c>
      <c r="H499" s="1">
        <v>89</v>
      </c>
      <c r="I499" t="s">
        <v>90</v>
      </c>
      <c r="J499" s="1">
        <v>27</v>
      </c>
      <c r="K499" s="1">
        <v>37</v>
      </c>
      <c r="L499" s="1">
        <v>1135</v>
      </c>
      <c r="M499" s="1">
        <v>28310</v>
      </c>
      <c r="N499" s="1">
        <v>44411</v>
      </c>
      <c r="O499" s="1">
        <v>2058578</v>
      </c>
      <c r="P499" s="1">
        <v>342710</v>
      </c>
      <c r="Q499" s="1">
        <v>621678</v>
      </c>
      <c r="R499" s="1">
        <v>29861204</v>
      </c>
      <c r="S499" s="1">
        <v>41051</v>
      </c>
      <c r="T499" s="1">
        <v>41051</v>
      </c>
      <c r="U499" s="1">
        <v>13089</v>
      </c>
      <c r="V499" s="1">
        <v>1</v>
      </c>
      <c r="W499" s="1">
        <v>0</v>
      </c>
    </row>
    <row r="500">
      <c r="A500" s="1">
        <v>2019</v>
      </c>
      <c r="B500" s="1">
        <v>41</v>
      </c>
      <c r="C500" t="s">
        <v>3</v>
      </c>
      <c r="D500" s="1">
        <v>51</v>
      </c>
      <c r="E500" t="s">
        <v>6</v>
      </c>
      <c r="F500" s="1">
        <v>13</v>
      </c>
      <c r="G500" t="s">
        <v>16</v>
      </c>
      <c r="H500" s="1">
        <v>121</v>
      </c>
      <c r="I500" t="s">
        <v>91</v>
      </c>
      <c r="J500" s="1">
        <v>60</v>
      </c>
      <c r="K500" s="1">
        <v>82</v>
      </c>
      <c r="L500" s="1">
        <v>4094</v>
      </c>
      <c r="M500" s="1">
        <v>28310</v>
      </c>
      <c r="N500" s="1">
        <v>44411</v>
      </c>
      <c r="O500" s="1">
        <v>2058578</v>
      </c>
      <c r="P500" s="1">
        <v>342710</v>
      </c>
      <c r="Q500" s="1">
        <v>621678</v>
      </c>
      <c r="R500" s="1">
        <v>29861204</v>
      </c>
      <c r="S500" s="1">
        <v>41051</v>
      </c>
      <c r="T500" s="1">
        <v>41051</v>
      </c>
      <c r="U500" s="1">
        <v>13121</v>
      </c>
      <c r="V500" s="1">
        <v>1</v>
      </c>
      <c r="W500" s="1">
        <v>0</v>
      </c>
    </row>
    <row r="501">
      <c r="A501" s="1">
        <v>2019</v>
      </c>
      <c r="B501" s="1">
        <v>41</v>
      </c>
      <c r="C501" t="s">
        <v>3</v>
      </c>
      <c r="D501" s="1">
        <v>51</v>
      </c>
      <c r="E501" t="s">
        <v>6</v>
      </c>
      <c r="F501" s="1">
        <v>15</v>
      </c>
      <c r="G501" t="s">
        <v>17</v>
      </c>
      <c r="H501" s="1">
        <v>1</v>
      </c>
      <c r="I501" t="s">
        <v>92</v>
      </c>
      <c r="J501" s="1">
        <v>37</v>
      </c>
      <c r="K501" s="1">
        <v>52</v>
      </c>
      <c r="L501" s="1">
        <v>1916</v>
      </c>
      <c r="M501" s="1">
        <v>28310</v>
      </c>
      <c r="N501" s="1">
        <v>44411</v>
      </c>
      <c r="O501" s="1">
        <v>2058578</v>
      </c>
      <c r="P501" s="1">
        <v>342710</v>
      </c>
      <c r="Q501" s="1">
        <v>621678</v>
      </c>
      <c r="R501" s="1">
        <v>29861204</v>
      </c>
      <c r="S501" s="1">
        <v>41051</v>
      </c>
      <c r="T501" s="1">
        <v>41051</v>
      </c>
      <c r="U501" s="1">
        <v>15001</v>
      </c>
      <c r="V501" s="1">
        <v>1</v>
      </c>
      <c r="W501" s="1">
        <v>0</v>
      </c>
    </row>
    <row r="502">
      <c r="A502" s="1">
        <v>2019</v>
      </c>
      <c r="B502" s="1">
        <v>41</v>
      </c>
      <c r="C502" t="s">
        <v>3</v>
      </c>
      <c r="D502" s="1">
        <v>51</v>
      </c>
      <c r="E502" t="s">
        <v>6</v>
      </c>
      <c r="F502" s="1">
        <v>15</v>
      </c>
      <c r="G502" t="s">
        <v>17</v>
      </c>
      <c r="H502" s="1">
        <v>3</v>
      </c>
      <c r="I502" t="s">
        <v>93</v>
      </c>
      <c r="J502" s="1">
        <v>104</v>
      </c>
      <c r="K502" s="1">
        <v>198</v>
      </c>
      <c r="L502" s="1">
        <v>8671</v>
      </c>
      <c r="M502" s="1">
        <v>28310</v>
      </c>
      <c r="N502" s="1">
        <v>44411</v>
      </c>
      <c r="O502" s="1">
        <v>2058578</v>
      </c>
      <c r="P502" s="1">
        <v>342710</v>
      </c>
      <c r="Q502" s="1">
        <v>621678</v>
      </c>
      <c r="R502" s="1">
        <v>29861204</v>
      </c>
      <c r="S502" s="1">
        <v>41051</v>
      </c>
      <c r="T502" s="1">
        <v>41051</v>
      </c>
      <c r="U502" s="1">
        <v>15003</v>
      </c>
      <c r="V502" s="1">
        <v>1</v>
      </c>
      <c r="W502" s="1">
        <v>0</v>
      </c>
    </row>
    <row r="503">
      <c r="A503" s="1">
        <v>2019</v>
      </c>
      <c r="B503" s="1">
        <v>41</v>
      </c>
      <c r="C503" t="s">
        <v>3</v>
      </c>
      <c r="D503" s="1">
        <v>51</v>
      </c>
      <c r="E503" t="s">
        <v>6</v>
      </c>
      <c r="F503" s="1">
        <v>15</v>
      </c>
      <c r="G503" t="s">
        <v>17</v>
      </c>
      <c r="H503" s="1">
        <v>9</v>
      </c>
      <c r="I503" t="s">
        <v>94</v>
      </c>
      <c r="J503" s="1">
        <v>35</v>
      </c>
      <c r="K503" s="1">
        <v>62</v>
      </c>
      <c r="L503" s="1">
        <v>1682</v>
      </c>
      <c r="M503" s="1">
        <v>28310</v>
      </c>
      <c r="N503" s="1">
        <v>44411</v>
      </c>
      <c r="O503" s="1">
        <v>2058578</v>
      </c>
      <c r="P503" s="1">
        <v>342710</v>
      </c>
      <c r="Q503" s="1">
        <v>621678</v>
      </c>
      <c r="R503" s="1">
        <v>29861204</v>
      </c>
      <c r="S503" s="1">
        <v>41051</v>
      </c>
      <c r="T503" s="1">
        <v>41051</v>
      </c>
      <c r="U503" s="1">
        <v>15009</v>
      </c>
      <c r="V503" s="1">
        <v>1</v>
      </c>
      <c r="W503" s="1">
        <v>0</v>
      </c>
    </row>
    <row r="504">
      <c r="A504" s="1">
        <v>2019</v>
      </c>
      <c r="B504" s="1">
        <v>41</v>
      </c>
      <c r="C504" t="s">
        <v>3</v>
      </c>
      <c r="D504" s="1">
        <v>51</v>
      </c>
      <c r="E504" t="s">
        <v>6</v>
      </c>
      <c r="F504" s="1">
        <v>16</v>
      </c>
      <c r="G504" t="s">
        <v>18</v>
      </c>
      <c r="H504" s="1">
        <v>1</v>
      </c>
      <c r="I504" t="s">
        <v>95</v>
      </c>
      <c r="J504" s="1">
        <v>145</v>
      </c>
      <c r="K504" s="1">
        <v>235</v>
      </c>
      <c r="L504" s="1">
        <v>9068</v>
      </c>
      <c r="M504" s="1">
        <v>28310</v>
      </c>
      <c r="N504" s="1">
        <v>44411</v>
      </c>
      <c r="O504" s="1">
        <v>2058578</v>
      </c>
      <c r="P504" s="1">
        <v>342710</v>
      </c>
      <c r="Q504" s="1">
        <v>621678</v>
      </c>
      <c r="R504" s="1">
        <v>29861204</v>
      </c>
      <c r="S504" s="1">
        <v>41051</v>
      </c>
      <c r="T504" s="1">
        <v>41051</v>
      </c>
      <c r="U504" s="1">
        <v>16001</v>
      </c>
      <c r="V504" s="1">
        <v>1</v>
      </c>
      <c r="W504" s="1">
        <v>0</v>
      </c>
    </row>
    <row r="505">
      <c r="A505" s="1">
        <v>2019</v>
      </c>
      <c r="B505" s="1">
        <v>41</v>
      </c>
      <c r="C505" t="s">
        <v>3</v>
      </c>
      <c r="D505" s="1">
        <v>51</v>
      </c>
      <c r="E505" t="s">
        <v>6</v>
      </c>
      <c r="F505" s="1">
        <v>16</v>
      </c>
      <c r="G505" t="s">
        <v>18</v>
      </c>
      <c r="H505" s="1">
        <v>27</v>
      </c>
      <c r="I505" t="s">
        <v>96</v>
      </c>
      <c r="J505" s="1">
        <v>32</v>
      </c>
      <c r="K505" s="1">
        <v>82</v>
      </c>
      <c r="L505" s="1">
        <v>1780</v>
      </c>
      <c r="M505" s="1">
        <v>28310</v>
      </c>
      <c r="N505" s="1">
        <v>44411</v>
      </c>
      <c r="O505" s="1">
        <v>2058578</v>
      </c>
      <c r="P505" s="1">
        <v>342710</v>
      </c>
      <c r="Q505" s="1">
        <v>621678</v>
      </c>
      <c r="R505" s="1">
        <v>29861204</v>
      </c>
      <c r="S505" s="1">
        <v>41051</v>
      </c>
      <c r="T505" s="1">
        <v>41051</v>
      </c>
      <c r="U505" s="1">
        <v>16027</v>
      </c>
      <c r="V505" s="1">
        <v>1</v>
      </c>
      <c r="W505" s="1">
        <v>0</v>
      </c>
    </row>
    <row r="506">
      <c r="A506" s="1">
        <v>2019</v>
      </c>
      <c r="B506" s="1">
        <v>41</v>
      </c>
      <c r="C506" t="s">
        <v>3</v>
      </c>
      <c r="D506" s="1">
        <v>51</v>
      </c>
      <c r="E506" t="s">
        <v>6</v>
      </c>
      <c r="F506" s="1">
        <v>16</v>
      </c>
      <c r="G506" t="s">
        <v>18</v>
      </c>
      <c r="H506" s="1">
        <v>55</v>
      </c>
      <c r="I506" t="s">
        <v>97</v>
      </c>
      <c r="J506" s="1">
        <v>39</v>
      </c>
      <c r="K506" s="1">
        <v>62</v>
      </c>
      <c r="L506" s="1">
        <v>1316</v>
      </c>
      <c r="M506" s="1">
        <v>28310</v>
      </c>
      <c r="N506" s="1">
        <v>44411</v>
      </c>
      <c r="O506" s="1">
        <v>2058578</v>
      </c>
      <c r="P506" s="1">
        <v>342710</v>
      </c>
      <c r="Q506" s="1">
        <v>621678</v>
      </c>
      <c r="R506" s="1">
        <v>29861204</v>
      </c>
      <c r="S506" s="1">
        <v>41051</v>
      </c>
      <c r="T506" s="1">
        <v>41051</v>
      </c>
      <c r="U506" s="1">
        <v>16055</v>
      </c>
      <c r="V506" s="1">
        <v>1</v>
      </c>
      <c r="W506" s="1">
        <v>0</v>
      </c>
    </row>
    <row r="507">
      <c r="A507" s="1">
        <v>2019</v>
      </c>
      <c r="B507" s="1">
        <v>41</v>
      </c>
      <c r="C507" t="s">
        <v>3</v>
      </c>
      <c r="D507" s="1">
        <v>51</v>
      </c>
      <c r="E507" t="s">
        <v>6</v>
      </c>
      <c r="F507" s="1">
        <v>17</v>
      </c>
      <c r="G507" t="s">
        <v>19</v>
      </c>
      <c r="H507" s="1">
        <v>31</v>
      </c>
      <c r="I507" t="s">
        <v>98</v>
      </c>
      <c r="J507" s="1">
        <v>177</v>
      </c>
      <c r="K507" s="1">
        <v>211</v>
      </c>
      <c r="L507" s="1">
        <v>10302</v>
      </c>
      <c r="M507" s="1">
        <v>28310</v>
      </c>
      <c r="N507" s="1">
        <v>44411</v>
      </c>
      <c r="O507" s="1">
        <v>2058578</v>
      </c>
      <c r="P507" s="1">
        <v>342710</v>
      </c>
      <c r="Q507" s="1">
        <v>621678</v>
      </c>
      <c r="R507" s="1">
        <v>29861204</v>
      </c>
      <c r="S507" s="1">
        <v>41051</v>
      </c>
      <c r="T507" s="1">
        <v>41051</v>
      </c>
      <c r="U507" s="1">
        <v>17031</v>
      </c>
      <c r="V507" s="1">
        <v>1</v>
      </c>
      <c r="W507" s="1">
        <v>0</v>
      </c>
    </row>
    <row r="508">
      <c r="A508" s="1">
        <v>2019</v>
      </c>
      <c r="B508" s="1">
        <v>41</v>
      </c>
      <c r="C508" t="s">
        <v>3</v>
      </c>
      <c r="D508" s="1">
        <v>51</v>
      </c>
      <c r="E508" t="s">
        <v>6</v>
      </c>
      <c r="F508" s="1">
        <v>18</v>
      </c>
      <c r="G508" t="s">
        <v>20</v>
      </c>
      <c r="H508" s="1">
        <v>97</v>
      </c>
      <c r="I508" t="s">
        <v>99</v>
      </c>
      <c r="J508" s="1">
        <v>22</v>
      </c>
      <c r="K508" s="1">
        <v>28</v>
      </c>
      <c r="L508" s="1">
        <v>1302</v>
      </c>
      <c r="M508" s="1">
        <v>28310</v>
      </c>
      <c r="N508" s="1">
        <v>44411</v>
      </c>
      <c r="O508" s="1">
        <v>2058578</v>
      </c>
      <c r="P508" s="1">
        <v>342710</v>
      </c>
      <c r="Q508" s="1">
        <v>621678</v>
      </c>
      <c r="R508" s="1">
        <v>29861204</v>
      </c>
      <c r="S508" s="1">
        <v>41051</v>
      </c>
      <c r="T508" s="1">
        <v>41051</v>
      </c>
      <c r="U508" s="1">
        <v>18097</v>
      </c>
      <c r="V508" s="1">
        <v>1</v>
      </c>
      <c r="W508" s="1">
        <v>0</v>
      </c>
    </row>
    <row r="509">
      <c r="A509" s="1">
        <v>2019</v>
      </c>
      <c r="B509" s="1">
        <v>41</v>
      </c>
      <c r="C509" t="s">
        <v>3</v>
      </c>
      <c r="D509" s="1">
        <v>51</v>
      </c>
      <c r="E509" t="s">
        <v>6</v>
      </c>
      <c r="F509" s="1">
        <v>21</v>
      </c>
      <c r="G509" t="s">
        <v>43</v>
      </c>
      <c r="H509" s="1">
        <v>111</v>
      </c>
      <c r="I509" t="s">
        <v>83</v>
      </c>
      <c r="J509" s="1">
        <v>26</v>
      </c>
      <c r="K509" s="1">
        <v>46</v>
      </c>
      <c r="L509" s="1">
        <v>1573</v>
      </c>
      <c r="M509" s="1">
        <v>28310</v>
      </c>
      <c r="N509" s="1">
        <v>44411</v>
      </c>
      <c r="O509" s="1">
        <v>2058578</v>
      </c>
      <c r="P509" s="1">
        <v>342710</v>
      </c>
      <c r="Q509" s="1">
        <v>621678</v>
      </c>
      <c r="R509" s="1">
        <v>29861204</v>
      </c>
      <c r="S509" s="1">
        <v>41051</v>
      </c>
      <c r="T509" s="1">
        <v>41051</v>
      </c>
      <c r="U509" s="1">
        <v>21111</v>
      </c>
      <c r="V509" s="1">
        <v>1</v>
      </c>
      <c r="W509" s="1">
        <v>0</v>
      </c>
    </row>
    <row r="510">
      <c r="A510" s="1">
        <v>2019</v>
      </c>
      <c r="B510" s="1">
        <v>41</v>
      </c>
      <c r="C510" t="s">
        <v>3</v>
      </c>
      <c r="D510" s="1">
        <v>51</v>
      </c>
      <c r="E510" t="s">
        <v>6</v>
      </c>
      <c r="F510" s="1">
        <v>22</v>
      </c>
      <c r="G510" t="s">
        <v>22</v>
      </c>
      <c r="H510" s="1">
        <v>71</v>
      </c>
      <c r="I510" t="s">
        <v>101</v>
      </c>
      <c r="J510" s="1">
        <v>29</v>
      </c>
      <c r="K510" s="1">
        <v>33</v>
      </c>
      <c r="L510" s="1">
        <v>1264</v>
      </c>
      <c r="M510" s="1">
        <v>28310</v>
      </c>
      <c r="N510" s="1">
        <v>44411</v>
      </c>
      <c r="O510" s="1">
        <v>2058578</v>
      </c>
      <c r="P510" s="1">
        <v>342710</v>
      </c>
      <c r="Q510" s="1">
        <v>621678</v>
      </c>
      <c r="R510" s="1">
        <v>29861204</v>
      </c>
      <c r="S510" s="1">
        <v>41051</v>
      </c>
      <c r="T510" s="1">
        <v>41051</v>
      </c>
      <c r="U510" s="1">
        <v>22071</v>
      </c>
      <c r="V510" s="1">
        <v>1</v>
      </c>
      <c r="W510" s="1">
        <v>0</v>
      </c>
    </row>
    <row r="511">
      <c r="A511" s="1">
        <v>2019</v>
      </c>
      <c r="B511" s="1">
        <v>41</v>
      </c>
      <c r="C511" t="s">
        <v>3</v>
      </c>
      <c r="D511" s="1">
        <v>51</v>
      </c>
      <c r="E511" t="s">
        <v>6</v>
      </c>
      <c r="F511" s="1">
        <v>23</v>
      </c>
      <c r="G511" t="s">
        <v>23</v>
      </c>
      <c r="H511" s="1">
        <v>5</v>
      </c>
      <c r="I511" t="s">
        <v>102</v>
      </c>
      <c r="J511" s="1">
        <v>26</v>
      </c>
      <c r="K511" s="1">
        <v>36</v>
      </c>
      <c r="L511" s="1">
        <v>1535</v>
      </c>
      <c r="M511" s="1">
        <v>28310</v>
      </c>
      <c r="N511" s="1">
        <v>44411</v>
      </c>
      <c r="O511" s="1">
        <v>2058578</v>
      </c>
      <c r="P511" s="1">
        <v>342710</v>
      </c>
      <c r="Q511" s="1">
        <v>621678</v>
      </c>
      <c r="R511" s="1">
        <v>29861204</v>
      </c>
      <c r="S511" s="1">
        <v>41051</v>
      </c>
      <c r="T511" s="1">
        <v>41051</v>
      </c>
      <c r="U511" s="1">
        <v>23005</v>
      </c>
      <c r="V511" s="1">
        <v>1</v>
      </c>
      <c r="W511" s="1">
        <v>0</v>
      </c>
    </row>
    <row r="512">
      <c r="A512" s="1">
        <v>2019</v>
      </c>
      <c r="B512" s="1">
        <v>41</v>
      </c>
      <c r="C512" t="s">
        <v>3</v>
      </c>
      <c r="D512" s="1">
        <v>51</v>
      </c>
      <c r="E512" t="s">
        <v>6</v>
      </c>
      <c r="F512" s="1">
        <v>24</v>
      </c>
      <c r="G512" t="s">
        <v>24</v>
      </c>
      <c r="H512" s="1">
        <v>31</v>
      </c>
      <c r="I512" t="s">
        <v>103</v>
      </c>
      <c r="J512" s="1">
        <v>22</v>
      </c>
      <c r="K512" s="1">
        <v>35</v>
      </c>
      <c r="L512" s="1">
        <v>1292</v>
      </c>
      <c r="M512" s="1">
        <v>28310</v>
      </c>
      <c r="N512" s="1">
        <v>44411</v>
      </c>
      <c r="O512" s="1">
        <v>2058578</v>
      </c>
      <c r="P512" s="1">
        <v>342710</v>
      </c>
      <c r="Q512" s="1">
        <v>621678</v>
      </c>
      <c r="R512" s="1">
        <v>29861204</v>
      </c>
      <c r="S512" s="1">
        <v>41051</v>
      </c>
      <c r="T512" s="1">
        <v>41051</v>
      </c>
      <c r="U512" s="1">
        <v>24031</v>
      </c>
      <c r="V512" s="1">
        <v>1</v>
      </c>
      <c r="W512" s="1">
        <v>0</v>
      </c>
    </row>
    <row r="513">
      <c r="A513" s="1">
        <v>2019</v>
      </c>
      <c r="B513" s="1">
        <v>41</v>
      </c>
      <c r="C513" t="s">
        <v>3</v>
      </c>
      <c r="D513" s="1">
        <v>51</v>
      </c>
      <c r="E513" t="s">
        <v>6</v>
      </c>
      <c r="F513" s="1">
        <v>24</v>
      </c>
      <c r="G513" t="s">
        <v>24</v>
      </c>
      <c r="H513" s="1">
        <v>510</v>
      </c>
      <c r="I513" t="s">
        <v>190</v>
      </c>
      <c r="J513" s="1">
        <v>20</v>
      </c>
      <c r="K513" s="1">
        <v>26</v>
      </c>
      <c r="L513" s="1">
        <v>1252</v>
      </c>
      <c r="M513" s="1">
        <v>28310</v>
      </c>
      <c r="N513" s="1">
        <v>44411</v>
      </c>
      <c r="O513" s="1">
        <v>2058578</v>
      </c>
      <c r="P513" s="1">
        <v>342710</v>
      </c>
      <c r="Q513" s="1">
        <v>621678</v>
      </c>
      <c r="R513" s="1">
        <v>29861204</v>
      </c>
      <c r="S513" s="1">
        <v>41051</v>
      </c>
      <c r="T513" s="1">
        <v>41051</v>
      </c>
      <c r="U513" s="1">
        <v>24510</v>
      </c>
      <c r="V513" s="1">
        <v>1</v>
      </c>
      <c r="W513" s="1">
        <v>0</v>
      </c>
    </row>
    <row r="514">
      <c r="A514" s="1">
        <v>2019</v>
      </c>
      <c r="B514" s="1">
        <v>41</v>
      </c>
      <c r="C514" t="s">
        <v>3</v>
      </c>
      <c r="D514" s="1">
        <v>51</v>
      </c>
      <c r="E514" t="s">
        <v>6</v>
      </c>
      <c r="F514" s="1">
        <v>25</v>
      </c>
      <c r="G514" t="s">
        <v>25</v>
      </c>
      <c r="H514" s="1">
        <v>17</v>
      </c>
      <c r="I514" t="s">
        <v>104</v>
      </c>
      <c r="J514" s="1">
        <v>69</v>
      </c>
      <c r="K514" s="1">
        <v>92</v>
      </c>
      <c r="L514" s="1">
        <v>10533</v>
      </c>
      <c r="M514" s="1">
        <v>28310</v>
      </c>
      <c r="N514" s="1">
        <v>44411</v>
      </c>
      <c r="O514" s="1">
        <v>2058578</v>
      </c>
      <c r="P514" s="1">
        <v>342710</v>
      </c>
      <c r="Q514" s="1">
        <v>621678</v>
      </c>
      <c r="R514" s="1">
        <v>29861204</v>
      </c>
      <c r="S514" s="1">
        <v>41051</v>
      </c>
      <c r="T514" s="1">
        <v>41051</v>
      </c>
      <c r="U514" s="1">
        <v>25017</v>
      </c>
      <c r="V514" s="1">
        <v>1</v>
      </c>
      <c r="W514" s="1">
        <v>0</v>
      </c>
    </row>
    <row r="515">
      <c r="A515" s="1">
        <v>2019</v>
      </c>
      <c r="B515" s="1">
        <v>41</v>
      </c>
      <c r="C515" t="s">
        <v>3</v>
      </c>
      <c r="D515" s="1">
        <v>51</v>
      </c>
      <c r="E515" t="s">
        <v>6</v>
      </c>
      <c r="F515" s="1">
        <v>25</v>
      </c>
      <c r="G515" t="s">
        <v>25</v>
      </c>
      <c r="H515" s="1">
        <v>21</v>
      </c>
      <c r="I515" t="s">
        <v>192</v>
      </c>
      <c r="J515" s="1">
        <v>20</v>
      </c>
      <c r="K515" s="1">
        <v>26</v>
      </c>
      <c r="L515" s="1">
        <v>1251</v>
      </c>
      <c r="M515" s="1">
        <v>28310</v>
      </c>
      <c r="N515" s="1">
        <v>44411</v>
      </c>
      <c r="O515" s="1">
        <v>2058578</v>
      </c>
      <c r="P515" s="1">
        <v>342710</v>
      </c>
      <c r="Q515" s="1">
        <v>621678</v>
      </c>
      <c r="R515" s="1">
        <v>29861204</v>
      </c>
      <c r="S515" s="1">
        <v>41051</v>
      </c>
      <c r="T515" s="1">
        <v>41051</v>
      </c>
      <c r="U515" s="1">
        <v>25021</v>
      </c>
      <c r="V515" s="1">
        <v>1</v>
      </c>
      <c r="W515" s="1">
        <v>0</v>
      </c>
    </row>
    <row r="516">
      <c r="A516" s="1">
        <v>2019</v>
      </c>
      <c r="B516" s="1">
        <v>41</v>
      </c>
      <c r="C516" t="s">
        <v>3</v>
      </c>
      <c r="D516" s="1">
        <v>51</v>
      </c>
      <c r="E516" t="s">
        <v>6</v>
      </c>
      <c r="F516" s="1">
        <v>25</v>
      </c>
      <c r="G516" t="s">
        <v>25</v>
      </c>
      <c r="H516" s="1">
        <v>25</v>
      </c>
      <c r="I516" t="s">
        <v>105</v>
      </c>
      <c r="J516" s="1">
        <v>51</v>
      </c>
      <c r="K516" s="1">
        <v>58</v>
      </c>
      <c r="L516" s="1">
        <v>4428</v>
      </c>
      <c r="M516" s="1">
        <v>28310</v>
      </c>
      <c r="N516" s="1">
        <v>44411</v>
      </c>
      <c r="O516" s="1">
        <v>2058578</v>
      </c>
      <c r="P516" s="1">
        <v>342710</v>
      </c>
      <c r="Q516" s="1">
        <v>621678</v>
      </c>
      <c r="R516" s="1">
        <v>29861204</v>
      </c>
      <c r="S516" s="1">
        <v>41051</v>
      </c>
      <c r="T516" s="1">
        <v>41051</v>
      </c>
      <c r="U516" s="1">
        <v>25025</v>
      </c>
      <c r="V516" s="1">
        <v>1</v>
      </c>
      <c r="W516" s="1">
        <v>0</v>
      </c>
    </row>
    <row r="517">
      <c r="A517" s="1">
        <v>2019</v>
      </c>
      <c r="B517" s="1">
        <v>41</v>
      </c>
      <c r="C517" t="s">
        <v>3</v>
      </c>
      <c r="D517" s="1">
        <v>51</v>
      </c>
      <c r="E517" t="s">
        <v>6</v>
      </c>
      <c r="F517" s="1">
        <v>26</v>
      </c>
      <c r="G517" t="s">
        <v>26</v>
      </c>
      <c r="H517" s="1">
        <v>81</v>
      </c>
      <c r="I517" t="s">
        <v>193</v>
      </c>
      <c r="J517" s="1">
        <v>26</v>
      </c>
      <c r="K517" s="1">
        <v>41</v>
      </c>
      <c r="L517" s="1">
        <v>1488</v>
      </c>
      <c r="M517" s="1">
        <v>28310</v>
      </c>
      <c r="N517" s="1">
        <v>44411</v>
      </c>
      <c r="O517" s="1">
        <v>2058578</v>
      </c>
      <c r="P517" s="1">
        <v>342710</v>
      </c>
      <c r="Q517" s="1">
        <v>621678</v>
      </c>
      <c r="R517" s="1">
        <v>29861204</v>
      </c>
      <c r="S517" s="1">
        <v>41051</v>
      </c>
      <c r="T517" s="1">
        <v>41051</v>
      </c>
      <c r="U517" s="1">
        <v>26081</v>
      </c>
      <c r="V517" s="1">
        <v>1</v>
      </c>
      <c r="W517" s="1">
        <v>0</v>
      </c>
    </row>
    <row r="518">
      <c r="A518" s="1">
        <v>2019</v>
      </c>
      <c r="B518" s="1">
        <v>41</v>
      </c>
      <c r="C518" t="s">
        <v>3</v>
      </c>
      <c r="D518" s="1">
        <v>51</v>
      </c>
      <c r="E518" t="s">
        <v>6</v>
      </c>
      <c r="F518" s="1">
        <v>26</v>
      </c>
      <c r="G518" t="s">
        <v>26</v>
      </c>
      <c r="H518" s="1">
        <v>125</v>
      </c>
      <c r="I518" t="s">
        <v>194</v>
      </c>
      <c r="J518" s="1">
        <v>29</v>
      </c>
      <c r="K518" s="1">
        <v>45</v>
      </c>
      <c r="L518" s="1">
        <v>2231</v>
      </c>
      <c r="M518" s="1">
        <v>28310</v>
      </c>
      <c r="N518" s="1">
        <v>44411</v>
      </c>
      <c r="O518" s="1">
        <v>2058578</v>
      </c>
      <c r="P518" s="1">
        <v>342710</v>
      </c>
      <c r="Q518" s="1">
        <v>621678</v>
      </c>
      <c r="R518" s="1">
        <v>29861204</v>
      </c>
      <c r="S518" s="1">
        <v>41051</v>
      </c>
      <c r="T518" s="1">
        <v>41051</v>
      </c>
      <c r="U518" s="1">
        <v>26125</v>
      </c>
      <c r="V518" s="1">
        <v>1</v>
      </c>
      <c r="W518" s="1">
        <v>0</v>
      </c>
    </row>
    <row r="519">
      <c r="A519" s="1">
        <v>2019</v>
      </c>
      <c r="B519" s="1">
        <v>41</v>
      </c>
      <c r="C519" t="s">
        <v>3</v>
      </c>
      <c r="D519" s="1">
        <v>51</v>
      </c>
      <c r="E519" t="s">
        <v>6</v>
      </c>
      <c r="F519" s="1">
        <v>26</v>
      </c>
      <c r="G519" t="s">
        <v>26</v>
      </c>
      <c r="H519" s="1">
        <v>161</v>
      </c>
      <c r="I519" t="s">
        <v>106</v>
      </c>
      <c r="J519" s="1">
        <v>24</v>
      </c>
      <c r="K519" s="1">
        <v>44</v>
      </c>
      <c r="L519" s="1">
        <v>1906</v>
      </c>
      <c r="M519" s="1">
        <v>28310</v>
      </c>
      <c r="N519" s="1">
        <v>44411</v>
      </c>
      <c r="O519" s="1">
        <v>2058578</v>
      </c>
      <c r="P519" s="1">
        <v>342710</v>
      </c>
      <c r="Q519" s="1">
        <v>621678</v>
      </c>
      <c r="R519" s="1">
        <v>29861204</v>
      </c>
      <c r="S519" s="1">
        <v>41051</v>
      </c>
      <c r="T519" s="1">
        <v>41051</v>
      </c>
      <c r="U519" s="1">
        <v>26161</v>
      </c>
      <c r="V519" s="1">
        <v>1</v>
      </c>
      <c r="W519" s="1">
        <v>0</v>
      </c>
    </row>
    <row r="520">
      <c r="A520" s="1">
        <v>2019</v>
      </c>
      <c r="B520" s="1">
        <v>41</v>
      </c>
      <c r="C520" t="s">
        <v>3</v>
      </c>
      <c r="D520" s="1">
        <v>51</v>
      </c>
      <c r="E520" t="s">
        <v>6</v>
      </c>
      <c r="F520" s="1">
        <v>26</v>
      </c>
      <c r="G520" t="s">
        <v>26</v>
      </c>
      <c r="H520" s="1">
        <v>163</v>
      </c>
      <c r="I520" t="s">
        <v>195</v>
      </c>
      <c r="J520" s="1">
        <v>22</v>
      </c>
      <c r="K520" s="1">
        <v>34</v>
      </c>
      <c r="L520" s="1">
        <v>1442</v>
      </c>
      <c r="M520" s="1">
        <v>28310</v>
      </c>
      <c r="N520" s="1">
        <v>44411</v>
      </c>
      <c r="O520" s="1">
        <v>2058578</v>
      </c>
      <c r="P520" s="1">
        <v>342710</v>
      </c>
      <c r="Q520" s="1">
        <v>621678</v>
      </c>
      <c r="R520" s="1">
        <v>29861204</v>
      </c>
      <c r="S520" s="1">
        <v>41051</v>
      </c>
      <c r="T520" s="1">
        <v>41051</v>
      </c>
      <c r="U520" s="1">
        <v>26163</v>
      </c>
      <c r="V520" s="1">
        <v>1</v>
      </c>
      <c r="W520" s="1">
        <v>0</v>
      </c>
    </row>
    <row r="521">
      <c r="A521" s="1">
        <v>2019</v>
      </c>
      <c r="B521" s="1">
        <v>41</v>
      </c>
      <c r="C521" t="s">
        <v>3</v>
      </c>
      <c r="D521" s="1">
        <v>51</v>
      </c>
      <c r="E521" t="s">
        <v>6</v>
      </c>
      <c r="F521" s="1">
        <v>27</v>
      </c>
      <c r="G521" t="s">
        <v>27</v>
      </c>
      <c r="H521" s="1">
        <v>53</v>
      </c>
      <c r="I521" t="s">
        <v>107</v>
      </c>
      <c r="J521" s="1">
        <v>93</v>
      </c>
      <c r="K521" s="1">
        <v>143</v>
      </c>
      <c r="L521" s="1">
        <v>10804</v>
      </c>
      <c r="M521" s="1">
        <v>28310</v>
      </c>
      <c r="N521" s="1">
        <v>44411</v>
      </c>
      <c r="O521" s="1">
        <v>2058578</v>
      </c>
      <c r="P521" s="1">
        <v>342710</v>
      </c>
      <c r="Q521" s="1">
        <v>621678</v>
      </c>
      <c r="R521" s="1">
        <v>29861204</v>
      </c>
      <c r="S521" s="1">
        <v>41051</v>
      </c>
      <c r="T521" s="1">
        <v>41051</v>
      </c>
      <c r="U521" s="1">
        <v>27053</v>
      </c>
      <c r="V521" s="1">
        <v>1</v>
      </c>
      <c r="W521" s="1">
        <v>0</v>
      </c>
    </row>
    <row r="522">
      <c r="A522" s="1">
        <v>2019</v>
      </c>
      <c r="B522" s="1">
        <v>41</v>
      </c>
      <c r="C522" t="s">
        <v>3</v>
      </c>
      <c r="D522" s="1">
        <v>51</v>
      </c>
      <c r="E522" t="s">
        <v>6</v>
      </c>
      <c r="F522" s="1">
        <v>27</v>
      </c>
      <c r="G522" t="s">
        <v>27</v>
      </c>
      <c r="H522" s="1">
        <v>123</v>
      </c>
      <c r="I522" t="s">
        <v>108</v>
      </c>
      <c r="J522" s="1">
        <v>33</v>
      </c>
      <c r="K522" s="1">
        <v>49</v>
      </c>
      <c r="L522" s="1">
        <v>1793</v>
      </c>
      <c r="M522" s="1">
        <v>28310</v>
      </c>
      <c r="N522" s="1">
        <v>44411</v>
      </c>
      <c r="O522" s="1">
        <v>2058578</v>
      </c>
      <c r="P522" s="1">
        <v>342710</v>
      </c>
      <c r="Q522" s="1">
        <v>621678</v>
      </c>
      <c r="R522" s="1">
        <v>29861204</v>
      </c>
      <c r="S522" s="1">
        <v>41051</v>
      </c>
      <c r="T522" s="1">
        <v>41051</v>
      </c>
      <c r="U522" s="1">
        <v>27123</v>
      </c>
      <c r="V522" s="1">
        <v>1</v>
      </c>
      <c r="W522" s="1">
        <v>0</v>
      </c>
    </row>
    <row r="523">
      <c r="A523" s="1">
        <v>2019</v>
      </c>
      <c r="B523" s="1">
        <v>41</v>
      </c>
      <c r="C523" t="s">
        <v>3</v>
      </c>
      <c r="D523" s="1">
        <v>51</v>
      </c>
      <c r="E523" t="s">
        <v>6</v>
      </c>
      <c r="F523" s="1">
        <v>29</v>
      </c>
      <c r="G523" t="s">
        <v>44</v>
      </c>
      <c r="H523" s="1">
        <v>95</v>
      </c>
      <c r="I523" t="s">
        <v>133</v>
      </c>
      <c r="J523" s="1">
        <v>30</v>
      </c>
      <c r="K523" s="1">
        <v>53</v>
      </c>
      <c r="L523" s="1">
        <v>1612</v>
      </c>
      <c r="M523" s="1">
        <v>28310</v>
      </c>
      <c r="N523" s="1">
        <v>44411</v>
      </c>
      <c r="O523" s="1">
        <v>2058578</v>
      </c>
      <c r="P523" s="1">
        <v>342710</v>
      </c>
      <c r="Q523" s="1">
        <v>621678</v>
      </c>
      <c r="R523" s="1">
        <v>29861204</v>
      </c>
      <c r="S523" s="1">
        <v>41051</v>
      </c>
      <c r="T523" s="1">
        <v>41051</v>
      </c>
      <c r="U523" s="1">
        <v>29095</v>
      </c>
      <c r="V523" s="1">
        <v>1</v>
      </c>
      <c r="W523" s="1">
        <v>0</v>
      </c>
    </row>
    <row r="524">
      <c r="A524" s="1">
        <v>2019</v>
      </c>
      <c r="B524" s="1">
        <v>41</v>
      </c>
      <c r="C524" t="s">
        <v>3</v>
      </c>
      <c r="D524" s="1">
        <v>51</v>
      </c>
      <c r="E524" t="s">
        <v>6</v>
      </c>
      <c r="F524" s="1">
        <v>30</v>
      </c>
      <c r="G524" t="s">
        <v>28</v>
      </c>
      <c r="H524" s="1">
        <v>29</v>
      </c>
      <c r="I524" t="s">
        <v>199</v>
      </c>
      <c r="J524" s="1">
        <v>31</v>
      </c>
      <c r="K524" s="1">
        <v>51</v>
      </c>
      <c r="L524" s="1">
        <v>2080</v>
      </c>
      <c r="M524" s="1">
        <v>28310</v>
      </c>
      <c r="N524" s="1">
        <v>44411</v>
      </c>
      <c r="O524" s="1">
        <v>2058578</v>
      </c>
      <c r="P524" s="1">
        <v>342710</v>
      </c>
      <c r="Q524" s="1">
        <v>621678</v>
      </c>
      <c r="R524" s="1">
        <v>29861204</v>
      </c>
      <c r="S524" s="1">
        <v>41051</v>
      </c>
      <c r="T524" s="1">
        <v>41051</v>
      </c>
      <c r="U524" s="1">
        <v>30029</v>
      </c>
      <c r="V524" s="1">
        <v>1</v>
      </c>
      <c r="W524" s="1">
        <v>0</v>
      </c>
    </row>
    <row r="525">
      <c r="A525" s="1">
        <v>2019</v>
      </c>
      <c r="B525" s="1">
        <v>41</v>
      </c>
      <c r="C525" t="s">
        <v>3</v>
      </c>
      <c r="D525" s="1">
        <v>51</v>
      </c>
      <c r="E525" t="s">
        <v>6</v>
      </c>
      <c r="F525" s="1">
        <v>30</v>
      </c>
      <c r="G525" t="s">
        <v>28</v>
      </c>
      <c r="H525" s="1">
        <v>31</v>
      </c>
      <c r="I525" t="s">
        <v>109</v>
      </c>
      <c r="J525" s="1">
        <v>31</v>
      </c>
      <c r="K525" s="1">
        <v>40</v>
      </c>
      <c r="L525" s="1">
        <v>1817</v>
      </c>
      <c r="M525" s="1">
        <v>28310</v>
      </c>
      <c r="N525" s="1">
        <v>44411</v>
      </c>
      <c r="O525" s="1">
        <v>2058578</v>
      </c>
      <c r="P525" s="1">
        <v>342710</v>
      </c>
      <c r="Q525" s="1">
        <v>621678</v>
      </c>
      <c r="R525" s="1">
        <v>29861204</v>
      </c>
      <c r="S525" s="1">
        <v>41051</v>
      </c>
      <c r="T525" s="1">
        <v>41051</v>
      </c>
      <c r="U525" s="1">
        <v>30031</v>
      </c>
      <c r="V525" s="1">
        <v>1</v>
      </c>
      <c r="W525" s="1">
        <v>0</v>
      </c>
    </row>
    <row r="526">
      <c r="A526" s="1">
        <v>2019</v>
      </c>
      <c r="B526" s="1">
        <v>41</v>
      </c>
      <c r="C526" t="s">
        <v>3</v>
      </c>
      <c r="D526" s="1">
        <v>51</v>
      </c>
      <c r="E526" t="s">
        <v>6</v>
      </c>
      <c r="F526" s="1">
        <v>30</v>
      </c>
      <c r="G526" t="s">
        <v>28</v>
      </c>
      <c r="H526" s="1">
        <v>63</v>
      </c>
      <c r="I526" t="s">
        <v>110</v>
      </c>
      <c r="J526" s="1">
        <v>51</v>
      </c>
      <c r="K526" s="1">
        <v>80</v>
      </c>
      <c r="L526" s="1">
        <v>3062</v>
      </c>
      <c r="M526" s="1">
        <v>28310</v>
      </c>
      <c r="N526" s="1">
        <v>44411</v>
      </c>
      <c r="O526" s="1">
        <v>2058578</v>
      </c>
      <c r="P526" s="1">
        <v>342710</v>
      </c>
      <c r="Q526" s="1">
        <v>621678</v>
      </c>
      <c r="R526" s="1">
        <v>29861204</v>
      </c>
      <c r="S526" s="1">
        <v>41051</v>
      </c>
      <c r="T526" s="1">
        <v>41051</v>
      </c>
      <c r="U526" s="1">
        <v>30063</v>
      </c>
      <c r="V526" s="1">
        <v>1</v>
      </c>
      <c r="W526" s="1">
        <v>0</v>
      </c>
    </row>
    <row r="527">
      <c r="A527" s="1">
        <v>2019</v>
      </c>
      <c r="B527" s="1">
        <v>41</v>
      </c>
      <c r="C527" t="s">
        <v>3</v>
      </c>
      <c r="D527" s="1">
        <v>51</v>
      </c>
      <c r="E527" t="s">
        <v>6</v>
      </c>
      <c r="F527" s="1">
        <v>31</v>
      </c>
      <c r="G527" t="s">
        <v>45</v>
      </c>
      <c r="H527" s="1">
        <v>55</v>
      </c>
      <c r="I527" t="s">
        <v>131</v>
      </c>
      <c r="J527" s="1">
        <v>26</v>
      </c>
      <c r="K527" s="1">
        <v>41</v>
      </c>
      <c r="L527" s="1">
        <v>1545</v>
      </c>
      <c r="M527" s="1">
        <v>28310</v>
      </c>
      <c r="N527" s="1">
        <v>44411</v>
      </c>
      <c r="O527" s="1">
        <v>2058578</v>
      </c>
      <c r="P527" s="1">
        <v>342710</v>
      </c>
      <c r="Q527" s="1">
        <v>621678</v>
      </c>
      <c r="R527" s="1">
        <v>29861204</v>
      </c>
      <c r="S527" s="1">
        <v>41051</v>
      </c>
      <c r="T527" s="1">
        <v>41051</v>
      </c>
      <c r="U527" s="1">
        <v>31055</v>
      </c>
      <c r="V527" s="1">
        <v>1</v>
      </c>
      <c r="W527" s="1">
        <v>0</v>
      </c>
    </row>
    <row r="528">
      <c r="A528" s="1">
        <v>2019</v>
      </c>
      <c r="B528" s="1">
        <v>41</v>
      </c>
      <c r="C528" t="s">
        <v>3</v>
      </c>
      <c r="D528" s="1">
        <v>51</v>
      </c>
      <c r="E528" t="s">
        <v>6</v>
      </c>
      <c r="F528" s="1">
        <v>32</v>
      </c>
      <c r="G528" t="s">
        <v>29</v>
      </c>
      <c r="H528" s="1">
        <v>3</v>
      </c>
      <c r="I528" t="s">
        <v>112</v>
      </c>
      <c r="J528" s="1">
        <v>242</v>
      </c>
      <c r="K528" s="1">
        <v>355</v>
      </c>
      <c r="L528" s="1">
        <v>33608</v>
      </c>
      <c r="M528" s="1">
        <v>28310</v>
      </c>
      <c r="N528" s="1">
        <v>44411</v>
      </c>
      <c r="O528" s="1">
        <v>2058578</v>
      </c>
      <c r="P528" s="1">
        <v>342710</v>
      </c>
      <c r="Q528" s="1">
        <v>621678</v>
      </c>
      <c r="R528" s="1">
        <v>29861204</v>
      </c>
      <c r="S528" s="1">
        <v>41051</v>
      </c>
      <c r="T528" s="1">
        <v>41051</v>
      </c>
      <c r="U528" s="1">
        <v>32003</v>
      </c>
      <c r="V528" s="1">
        <v>1</v>
      </c>
      <c r="W528" s="1">
        <v>0</v>
      </c>
    </row>
    <row r="529">
      <c r="A529" s="1">
        <v>2019</v>
      </c>
      <c r="B529" s="1">
        <v>41</v>
      </c>
      <c r="C529" t="s">
        <v>3</v>
      </c>
      <c r="D529" s="1">
        <v>51</v>
      </c>
      <c r="E529" t="s">
        <v>6</v>
      </c>
      <c r="F529" s="1">
        <v>32</v>
      </c>
      <c r="G529" t="s">
        <v>29</v>
      </c>
      <c r="H529" s="1">
        <v>31</v>
      </c>
      <c r="I529" t="s">
        <v>113</v>
      </c>
      <c r="J529" s="1">
        <v>71</v>
      </c>
      <c r="K529" s="1">
        <v>99</v>
      </c>
      <c r="L529" s="1">
        <v>2965</v>
      </c>
      <c r="M529" s="1">
        <v>28310</v>
      </c>
      <c r="N529" s="1">
        <v>44411</v>
      </c>
      <c r="O529" s="1">
        <v>2058578</v>
      </c>
      <c r="P529" s="1">
        <v>342710</v>
      </c>
      <c r="Q529" s="1">
        <v>621678</v>
      </c>
      <c r="R529" s="1">
        <v>29861204</v>
      </c>
      <c r="S529" s="1">
        <v>41051</v>
      </c>
      <c r="T529" s="1">
        <v>41051</v>
      </c>
      <c r="U529" s="1">
        <v>32031</v>
      </c>
      <c r="V529" s="1">
        <v>1</v>
      </c>
      <c r="W529" s="1">
        <v>0</v>
      </c>
    </row>
    <row r="530">
      <c r="A530" s="1">
        <v>2019</v>
      </c>
      <c r="B530" s="1">
        <v>41</v>
      </c>
      <c r="C530" t="s">
        <v>3</v>
      </c>
      <c r="D530" s="1">
        <v>51</v>
      </c>
      <c r="E530" t="s">
        <v>6</v>
      </c>
      <c r="F530" s="1">
        <v>35</v>
      </c>
      <c r="G530" t="s">
        <v>30</v>
      </c>
      <c r="H530" s="1">
        <v>1</v>
      </c>
      <c r="I530" t="s">
        <v>114</v>
      </c>
      <c r="J530" s="1">
        <v>58</v>
      </c>
      <c r="K530" s="1">
        <v>73</v>
      </c>
      <c r="L530" s="1">
        <v>2718</v>
      </c>
      <c r="M530" s="1">
        <v>28310</v>
      </c>
      <c r="N530" s="1">
        <v>44411</v>
      </c>
      <c r="O530" s="1">
        <v>2058578</v>
      </c>
      <c r="P530" s="1">
        <v>342710</v>
      </c>
      <c r="Q530" s="1">
        <v>621678</v>
      </c>
      <c r="R530" s="1">
        <v>29861204</v>
      </c>
      <c r="S530" s="1">
        <v>41051</v>
      </c>
      <c r="T530" s="1">
        <v>41051</v>
      </c>
      <c r="U530" s="1">
        <v>35001</v>
      </c>
      <c r="V530" s="1">
        <v>1</v>
      </c>
      <c r="W530" s="1">
        <v>0</v>
      </c>
    </row>
    <row r="531">
      <c r="A531" s="1">
        <v>2019</v>
      </c>
      <c r="B531" s="1">
        <v>41</v>
      </c>
      <c r="C531" t="s">
        <v>3</v>
      </c>
      <c r="D531" s="1">
        <v>51</v>
      </c>
      <c r="E531" t="s">
        <v>6</v>
      </c>
      <c r="F531" s="1">
        <v>35</v>
      </c>
      <c r="G531" t="s">
        <v>30</v>
      </c>
      <c r="H531" s="1">
        <v>49</v>
      </c>
      <c r="I531" t="s">
        <v>115</v>
      </c>
      <c r="J531" s="1">
        <v>32</v>
      </c>
      <c r="K531" s="1">
        <v>37</v>
      </c>
      <c r="L531" s="1">
        <v>1676</v>
      </c>
      <c r="M531" s="1">
        <v>28310</v>
      </c>
      <c r="N531" s="1">
        <v>44411</v>
      </c>
      <c r="O531" s="1">
        <v>2058578</v>
      </c>
      <c r="P531" s="1">
        <v>342710</v>
      </c>
      <c r="Q531" s="1">
        <v>621678</v>
      </c>
      <c r="R531" s="1">
        <v>29861204</v>
      </c>
      <c r="S531" s="1">
        <v>41051</v>
      </c>
      <c r="T531" s="1">
        <v>41051</v>
      </c>
      <c r="U531" s="1">
        <v>35049</v>
      </c>
      <c r="V531" s="1">
        <v>1</v>
      </c>
      <c r="W531" s="1">
        <v>0</v>
      </c>
    </row>
    <row r="532">
      <c r="A532" s="1">
        <v>2019</v>
      </c>
      <c r="B532" s="1">
        <v>41</v>
      </c>
      <c r="C532" t="s">
        <v>3</v>
      </c>
      <c r="D532" s="1">
        <v>51</v>
      </c>
      <c r="E532" t="s">
        <v>6</v>
      </c>
      <c r="F532" s="1">
        <v>36</v>
      </c>
      <c r="G532" t="s">
        <v>31</v>
      </c>
      <c r="H532" s="1">
        <v>29</v>
      </c>
      <c r="I532" t="s">
        <v>202</v>
      </c>
      <c r="J532" s="1">
        <v>24</v>
      </c>
      <c r="K532" s="1">
        <v>40</v>
      </c>
      <c r="L532" s="1">
        <v>1526</v>
      </c>
      <c r="M532" s="1">
        <v>28310</v>
      </c>
      <c r="N532" s="1">
        <v>44411</v>
      </c>
      <c r="O532" s="1">
        <v>2058578</v>
      </c>
      <c r="P532" s="1">
        <v>342710</v>
      </c>
      <c r="Q532" s="1">
        <v>621678</v>
      </c>
      <c r="R532" s="1">
        <v>29861204</v>
      </c>
      <c r="S532" s="1">
        <v>41051</v>
      </c>
      <c r="T532" s="1">
        <v>41051</v>
      </c>
      <c r="U532" s="1">
        <v>36029</v>
      </c>
      <c r="V532" s="1">
        <v>1</v>
      </c>
      <c r="W532" s="1">
        <v>0</v>
      </c>
    </row>
    <row r="533">
      <c r="A533" s="1">
        <v>2019</v>
      </c>
      <c r="B533" s="1">
        <v>41</v>
      </c>
      <c r="C533" t="s">
        <v>3</v>
      </c>
      <c r="D533" s="1">
        <v>51</v>
      </c>
      <c r="E533" t="s">
        <v>6</v>
      </c>
      <c r="F533" s="1">
        <v>36</v>
      </c>
      <c r="G533" t="s">
        <v>31</v>
      </c>
      <c r="H533" s="1">
        <v>47</v>
      </c>
      <c r="I533" t="s">
        <v>116</v>
      </c>
      <c r="J533" s="1">
        <v>180</v>
      </c>
      <c r="K533" s="1">
        <v>207</v>
      </c>
      <c r="L533" s="1">
        <v>11050</v>
      </c>
      <c r="M533" s="1">
        <v>28310</v>
      </c>
      <c r="N533" s="1">
        <v>44411</v>
      </c>
      <c r="O533" s="1">
        <v>2058578</v>
      </c>
      <c r="P533" s="1">
        <v>342710</v>
      </c>
      <c r="Q533" s="1">
        <v>621678</v>
      </c>
      <c r="R533" s="1">
        <v>29861204</v>
      </c>
      <c r="S533" s="1">
        <v>41051</v>
      </c>
      <c r="T533" s="1">
        <v>41051</v>
      </c>
      <c r="U533" s="1">
        <v>36047</v>
      </c>
      <c r="V533" s="1">
        <v>1</v>
      </c>
      <c r="W533" s="1">
        <v>0</v>
      </c>
    </row>
    <row r="534">
      <c r="A534" s="1">
        <v>2019</v>
      </c>
      <c r="B534" s="1">
        <v>41</v>
      </c>
      <c r="C534" t="s">
        <v>3</v>
      </c>
      <c r="D534" s="1">
        <v>51</v>
      </c>
      <c r="E534" t="s">
        <v>6</v>
      </c>
      <c r="F534" s="1">
        <v>36</v>
      </c>
      <c r="G534" t="s">
        <v>31</v>
      </c>
      <c r="H534" s="1">
        <v>61</v>
      </c>
      <c r="I534" t="s">
        <v>117</v>
      </c>
      <c r="J534" s="1">
        <v>130</v>
      </c>
      <c r="K534" s="1">
        <v>156</v>
      </c>
      <c r="L534" s="1">
        <v>12801</v>
      </c>
      <c r="M534" s="1">
        <v>28310</v>
      </c>
      <c r="N534" s="1">
        <v>44411</v>
      </c>
      <c r="O534" s="1">
        <v>2058578</v>
      </c>
      <c r="P534" s="1">
        <v>342710</v>
      </c>
      <c r="Q534" s="1">
        <v>621678</v>
      </c>
      <c r="R534" s="1">
        <v>29861204</v>
      </c>
      <c r="S534" s="1">
        <v>41051</v>
      </c>
      <c r="T534" s="1">
        <v>41051</v>
      </c>
      <c r="U534" s="1">
        <v>36061</v>
      </c>
      <c r="V534" s="1">
        <v>1</v>
      </c>
      <c r="W534" s="1">
        <v>0</v>
      </c>
    </row>
    <row r="535">
      <c r="A535" s="1">
        <v>2019</v>
      </c>
      <c r="B535" s="1">
        <v>41</v>
      </c>
      <c r="C535" t="s">
        <v>3</v>
      </c>
      <c r="D535" s="1">
        <v>51</v>
      </c>
      <c r="E535" t="s">
        <v>6</v>
      </c>
      <c r="F535" s="1">
        <v>36</v>
      </c>
      <c r="G535" t="s">
        <v>31</v>
      </c>
      <c r="H535" s="1">
        <v>81</v>
      </c>
      <c r="I535" t="s">
        <v>118</v>
      </c>
      <c r="J535" s="1">
        <v>38</v>
      </c>
      <c r="K535" s="1">
        <v>50</v>
      </c>
      <c r="L535" s="1">
        <v>2239</v>
      </c>
      <c r="M535" s="1">
        <v>28310</v>
      </c>
      <c r="N535" s="1">
        <v>44411</v>
      </c>
      <c r="O535" s="1">
        <v>2058578</v>
      </c>
      <c r="P535" s="1">
        <v>342710</v>
      </c>
      <c r="Q535" s="1">
        <v>621678</v>
      </c>
      <c r="R535" s="1">
        <v>29861204</v>
      </c>
      <c r="S535" s="1">
        <v>41051</v>
      </c>
      <c r="T535" s="1">
        <v>41051</v>
      </c>
      <c r="U535" s="1">
        <v>36081</v>
      </c>
      <c r="V535" s="1">
        <v>1</v>
      </c>
      <c r="W535" s="1">
        <v>0</v>
      </c>
    </row>
    <row r="536">
      <c r="A536" s="1">
        <v>2019</v>
      </c>
      <c r="B536" s="1">
        <v>41</v>
      </c>
      <c r="C536" t="s">
        <v>3</v>
      </c>
      <c r="D536" s="1">
        <v>51</v>
      </c>
      <c r="E536" t="s">
        <v>6</v>
      </c>
      <c r="F536" s="1">
        <v>37</v>
      </c>
      <c r="G536" t="s">
        <v>32</v>
      </c>
      <c r="H536" s="1">
        <v>21</v>
      </c>
      <c r="I536" t="s">
        <v>120</v>
      </c>
      <c r="J536" s="1">
        <v>35</v>
      </c>
      <c r="K536" s="1">
        <v>45</v>
      </c>
      <c r="L536" s="1">
        <v>1808</v>
      </c>
      <c r="M536" s="1">
        <v>28310</v>
      </c>
      <c r="N536" s="1">
        <v>44411</v>
      </c>
      <c r="O536" s="1">
        <v>2058578</v>
      </c>
      <c r="P536" s="1">
        <v>342710</v>
      </c>
      <c r="Q536" s="1">
        <v>621678</v>
      </c>
      <c r="R536" s="1">
        <v>29861204</v>
      </c>
      <c r="S536" s="1">
        <v>41051</v>
      </c>
      <c r="T536" s="1">
        <v>41051</v>
      </c>
      <c r="U536" s="1">
        <v>37021</v>
      </c>
      <c r="V536" s="1">
        <v>1</v>
      </c>
      <c r="W536" s="1">
        <v>0</v>
      </c>
    </row>
    <row r="537">
      <c r="A537" s="1">
        <v>2019</v>
      </c>
      <c r="B537" s="1">
        <v>41</v>
      </c>
      <c r="C537" t="s">
        <v>3</v>
      </c>
      <c r="D537" s="1">
        <v>51</v>
      </c>
      <c r="E537" t="s">
        <v>6</v>
      </c>
      <c r="F537" s="1">
        <v>37</v>
      </c>
      <c r="G537" t="s">
        <v>32</v>
      </c>
      <c r="H537" s="1">
        <v>63</v>
      </c>
      <c r="I537" t="s">
        <v>205</v>
      </c>
      <c r="J537" s="1">
        <v>27</v>
      </c>
      <c r="K537" s="1">
        <v>36</v>
      </c>
      <c r="L537" s="1">
        <v>3192</v>
      </c>
      <c r="M537" s="1">
        <v>28310</v>
      </c>
      <c r="N537" s="1">
        <v>44411</v>
      </c>
      <c r="O537" s="1">
        <v>2058578</v>
      </c>
      <c r="P537" s="1">
        <v>342710</v>
      </c>
      <c r="Q537" s="1">
        <v>621678</v>
      </c>
      <c r="R537" s="1">
        <v>29861204</v>
      </c>
      <c r="S537" s="1">
        <v>41051</v>
      </c>
      <c r="T537" s="1">
        <v>41051</v>
      </c>
      <c r="U537" s="1">
        <v>37063</v>
      </c>
      <c r="V537" s="1">
        <v>1</v>
      </c>
      <c r="W537" s="1">
        <v>0</v>
      </c>
    </row>
    <row r="538">
      <c r="A538" s="1">
        <v>2019</v>
      </c>
      <c r="B538" s="1">
        <v>41</v>
      </c>
      <c r="C538" t="s">
        <v>3</v>
      </c>
      <c r="D538" s="1">
        <v>51</v>
      </c>
      <c r="E538" t="s">
        <v>6</v>
      </c>
      <c r="F538" s="1">
        <v>37</v>
      </c>
      <c r="G538" t="s">
        <v>32</v>
      </c>
      <c r="H538" s="1">
        <v>119</v>
      </c>
      <c r="I538" t="s">
        <v>121</v>
      </c>
      <c r="J538" s="1">
        <v>45</v>
      </c>
      <c r="K538" s="1">
        <v>74</v>
      </c>
      <c r="L538" s="1">
        <v>2839</v>
      </c>
      <c r="M538" s="1">
        <v>28310</v>
      </c>
      <c r="N538" s="1">
        <v>44411</v>
      </c>
      <c r="O538" s="1">
        <v>2058578</v>
      </c>
      <c r="P538" s="1">
        <v>342710</v>
      </c>
      <c r="Q538" s="1">
        <v>621678</v>
      </c>
      <c r="R538" s="1">
        <v>29861204</v>
      </c>
      <c r="S538" s="1">
        <v>41051</v>
      </c>
      <c r="T538" s="1">
        <v>41051</v>
      </c>
      <c r="U538" s="1">
        <v>37119</v>
      </c>
      <c r="V538" s="1">
        <v>1</v>
      </c>
      <c r="W538" s="1">
        <v>0</v>
      </c>
    </row>
    <row r="539">
      <c r="A539" s="1">
        <v>2019</v>
      </c>
      <c r="B539" s="1">
        <v>41</v>
      </c>
      <c r="C539" t="s">
        <v>3</v>
      </c>
      <c r="D539" s="1">
        <v>51</v>
      </c>
      <c r="E539" t="s">
        <v>6</v>
      </c>
      <c r="F539" s="1">
        <v>37</v>
      </c>
      <c r="G539" t="s">
        <v>32</v>
      </c>
      <c r="H539" s="1">
        <v>183</v>
      </c>
      <c r="I539" t="s">
        <v>206</v>
      </c>
      <c r="J539" s="1">
        <v>31</v>
      </c>
      <c r="K539" s="1">
        <v>50</v>
      </c>
      <c r="L539" s="1">
        <v>3462</v>
      </c>
      <c r="M539" s="1">
        <v>28310</v>
      </c>
      <c r="N539" s="1">
        <v>44411</v>
      </c>
      <c r="O539" s="1">
        <v>2058578</v>
      </c>
      <c r="P539" s="1">
        <v>342710</v>
      </c>
      <c r="Q539" s="1">
        <v>621678</v>
      </c>
      <c r="R539" s="1">
        <v>29861204</v>
      </c>
      <c r="S539" s="1">
        <v>41051</v>
      </c>
      <c r="T539" s="1">
        <v>41051</v>
      </c>
      <c r="U539" s="1">
        <v>37183</v>
      </c>
      <c r="V539" s="1">
        <v>1</v>
      </c>
      <c r="W539" s="1">
        <v>0</v>
      </c>
    </row>
    <row r="540">
      <c r="A540" s="1">
        <v>2019</v>
      </c>
      <c r="B540" s="1">
        <v>41</v>
      </c>
      <c r="C540" t="s">
        <v>3</v>
      </c>
      <c r="D540" s="1">
        <v>51</v>
      </c>
      <c r="E540" t="s">
        <v>6</v>
      </c>
      <c r="F540" s="1">
        <v>39</v>
      </c>
      <c r="G540" t="s">
        <v>33</v>
      </c>
      <c r="H540" s="1">
        <v>35</v>
      </c>
      <c r="I540" t="s">
        <v>207</v>
      </c>
      <c r="J540" s="1">
        <v>35</v>
      </c>
      <c r="K540" s="1">
        <v>43</v>
      </c>
      <c r="L540" s="1">
        <v>1581</v>
      </c>
      <c r="M540" s="1">
        <v>28310</v>
      </c>
      <c r="N540" s="1">
        <v>44411</v>
      </c>
      <c r="O540" s="1">
        <v>2058578</v>
      </c>
      <c r="P540" s="1">
        <v>342710</v>
      </c>
      <c r="Q540" s="1">
        <v>621678</v>
      </c>
      <c r="R540" s="1">
        <v>29861204</v>
      </c>
      <c r="S540" s="1">
        <v>41051</v>
      </c>
      <c r="T540" s="1">
        <v>41051</v>
      </c>
      <c r="U540" s="1">
        <v>39035</v>
      </c>
      <c r="V540" s="1">
        <v>1</v>
      </c>
      <c r="W540" s="1">
        <v>0</v>
      </c>
    </row>
    <row r="541">
      <c r="A541" s="1">
        <v>2019</v>
      </c>
      <c r="B541" s="1">
        <v>41</v>
      </c>
      <c r="C541" t="s">
        <v>3</v>
      </c>
      <c r="D541" s="1">
        <v>51</v>
      </c>
      <c r="E541" t="s">
        <v>6</v>
      </c>
      <c r="F541" s="1">
        <v>39</v>
      </c>
      <c r="G541" t="s">
        <v>33</v>
      </c>
      <c r="H541" s="1">
        <v>49</v>
      </c>
      <c r="I541" t="s">
        <v>122</v>
      </c>
      <c r="J541" s="1">
        <v>37</v>
      </c>
      <c r="K541" s="1">
        <v>67</v>
      </c>
      <c r="L541" s="1">
        <v>1696</v>
      </c>
      <c r="M541" s="1">
        <v>28310</v>
      </c>
      <c r="N541" s="1">
        <v>44411</v>
      </c>
      <c r="O541" s="1">
        <v>2058578</v>
      </c>
      <c r="P541" s="1">
        <v>342710</v>
      </c>
      <c r="Q541" s="1">
        <v>621678</v>
      </c>
      <c r="R541" s="1">
        <v>29861204</v>
      </c>
      <c r="S541" s="1">
        <v>41051</v>
      </c>
      <c r="T541" s="1">
        <v>41051</v>
      </c>
      <c r="U541" s="1">
        <v>39049</v>
      </c>
      <c r="V541" s="1">
        <v>1</v>
      </c>
      <c r="W541" s="1">
        <v>0</v>
      </c>
    </row>
    <row r="542">
      <c r="A542" s="1">
        <v>2019</v>
      </c>
      <c r="B542" s="1">
        <v>41</v>
      </c>
      <c r="C542" t="s">
        <v>3</v>
      </c>
      <c r="D542" s="1">
        <v>51</v>
      </c>
      <c r="E542" t="s">
        <v>6</v>
      </c>
      <c r="F542" s="1">
        <v>41</v>
      </c>
      <c r="G542" t="s">
        <v>3</v>
      </c>
      <c r="H542" s="1">
        <v>3</v>
      </c>
      <c r="I542" t="s">
        <v>124</v>
      </c>
      <c r="J542" s="1">
        <v>169</v>
      </c>
      <c r="K542" s="1">
        <v>224</v>
      </c>
      <c r="L542" s="1">
        <v>10017</v>
      </c>
      <c r="M542" s="1">
        <v>28310</v>
      </c>
      <c r="N542" s="1">
        <v>44411</v>
      </c>
      <c r="O542" s="1">
        <v>2058578</v>
      </c>
      <c r="P542" s="1">
        <v>342710</v>
      </c>
      <c r="Q542" s="1">
        <v>621678</v>
      </c>
      <c r="R542" s="1">
        <v>29861204</v>
      </c>
      <c r="S542" s="1">
        <v>41051</v>
      </c>
      <c r="T542" s="1">
        <v>41051</v>
      </c>
      <c r="U542" s="1">
        <v>41003</v>
      </c>
      <c r="V542" s="1">
        <v>1</v>
      </c>
      <c r="W542" s="1">
        <v>0</v>
      </c>
    </row>
    <row r="543">
      <c r="A543" s="1">
        <v>2019</v>
      </c>
      <c r="B543" s="1">
        <v>41</v>
      </c>
      <c r="C543" t="s">
        <v>3</v>
      </c>
      <c r="D543" s="1">
        <v>51</v>
      </c>
      <c r="E543" t="s">
        <v>6</v>
      </c>
      <c r="F543" s="1">
        <v>41</v>
      </c>
      <c r="G543" t="s">
        <v>3</v>
      </c>
      <c r="H543" s="1">
        <v>5</v>
      </c>
      <c r="I543" t="s">
        <v>125</v>
      </c>
      <c r="J543" s="1">
        <v>5111</v>
      </c>
      <c r="K543" s="1">
        <v>8956</v>
      </c>
      <c r="L543" s="1">
        <v>375923</v>
      </c>
      <c r="M543" s="1">
        <v>28310</v>
      </c>
      <c r="N543" s="1">
        <v>44411</v>
      </c>
      <c r="O543" s="1">
        <v>2058578</v>
      </c>
      <c r="P543" s="1">
        <v>342710</v>
      </c>
      <c r="Q543" s="1">
        <v>621678</v>
      </c>
      <c r="R543" s="1">
        <v>29861204</v>
      </c>
      <c r="S543" s="1">
        <v>41051</v>
      </c>
      <c r="T543" s="1">
        <v>41051</v>
      </c>
      <c r="U543" s="1">
        <v>41005</v>
      </c>
      <c r="V543" s="1">
        <v>1</v>
      </c>
      <c r="W543" s="1">
        <v>0</v>
      </c>
    </row>
    <row r="544">
      <c r="A544" s="1">
        <v>2019</v>
      </c>
      <c r="B544" s="1">
        <v>41</v>
      </c>
      <c r="C544" t="s">
        <v>3</v>
      </c>
      <c r="D544" s="1">
        <v>51</v>
      </c>
      <c r="E544" t="s">
        <v>6</v>
      </c>
      <c r="F544" s="1">
        <v>41</v>
      </c>
      <c r="G544" t="s">
        <v>3</v>
      </c>
      <c r="H544" s="1">
        <v>7</v>
      </c>
      <c r="I544" t="s">
        <v>126</v>
      </c>
      <c r="J544" s="1">
        <v>161</v>
      </c>
      <c r="K544" s="1">
        <v>239</v>
      </c>
      <c r="L544" s="1">
        <v>21468</v>
      </c>
      <c r="M544" s="1">
        <v>28310</v>
      </c>
      <c r="N544" s="1">
        <v>44411</v>
      </c>
      <c r="O544" s="1">
        <v>2058578</v>
      </c>
      <c r="P544" s="1">
        <v>342710</v>
      </c>
      <c r="Q544" s="1">
        <v>621678</v>
      </c>
      <c r="R544" s="1">
        <v>29861204</v>
      </c>
      <c r="S544" s="1">
        <v>41051</v>
      </c>
      <c r="T544" s="1">
        <v>41051</v>
      </c>
      <c r="U544" s="1">
        <v>41007</v>
      </c>
      <c r="V544" s="1">
        <v>1</v>
      </c>
      <c r="W544" s="1">
        <v>0</v>
      </c>
    </row>
    <row r="545">
      <c r="A545" s="1">
        <v>2019</v>
      </c>
      <c r="B545" s="1">
        <v>41</v>
      </c>
      <c r="C545" t="s">
        <v>3</v>
      </c>
      <c r="D545" s="1">
        <v>51</v>
      </c>
      <c r="E545" t="s">
        <v>6</v>
      </c>
      <c r="F545" s="1">
        <v>41</v>
      </c>
      <c r="G545" t="s">
        <v>3</v>
      </c>
      <c r="H545" s="1">
        <v>9</v>
      </c>
      <c r="I545" t="s">
        <v>127</v>
      </c>
      <c r="J545" s="1">
        <v>315</v>
      </c>
      <c r="K545" s="1">
        <v>550</v>
      </c>
      <c r="L545" s="1">
        <v>20298</v>
      </c>
      <c r="M545" s="1">
        <v>28310</v>
      </c>
      <c r="N545" s="1">
        <v>44411</v>
      </c>
      <c r="O545" s="1">
        <v>2058578</v>
      </c>
      <c r="P545" s="1">
        <v>342710</v>
      </c>
      <c r="Q545" s="1">
        <v>621678</v>
      </c>
      <c r="R545" s="1">
        <v>29861204</v>
      </c>
      <c r="S545" s="1">
        <v>41051</v>
      </c>
      <c r="T545" s="1">
        <v>41051</v>
      </c>
      <c r="U545" s="1">
        <v>41009</v>
      </c>
      <c r="V545" s="1">
        <v>1</v>
      </c>
      <c r="W545" s="1">
        <v>0</v>
      </c>
    </row>
    <row r="546">
      <c r="A546" s="1">
        <v>2019</v>
      </c>
      <c r="B546" s="1">
        <v>41</v>
      </c>
      <c r="C546" t="s">
        <v>3</v>
      </c>
      <c r="D546" s="1">
        <v>51</v>
      </c>
      <c r="E546" t="s">
        <v>6</v>
      </c>
      <c r="F546" s="1">
        <v>41</v>
      </c>
      <c r="G546" t="s">
        <v>3</v>
      </c>
      <c r="H546" s="1">
        <v>11</v>
      </c>
      <c r="I546" t="s">
        <v>128</v>
      </c>
      <c r="J546" s="1">
        <v>55</v>
      </c>
      <c r="K546" s="1">
        <v>74</v>
      </c>
      <c r="L546" s="1">
        <v>2160</v>
      </c>
      <c r="M546" s="1">
        <v>28310</v>
      </c>
      <c r="N546" s="1">
        <v>44411</v>
      </c>
      <c r="O546" s="1">
        <v>2058578</v>
      </c>
      <c r="P546" s="1">
        <v>342710</v>
      </c>
      <c r="Q546" s="1">
        <v>621678</v>
      </c>
      <c r="R546" s="1">
        <v>29861204</v>
      </c>
      <c r="S546" s="1">
        <v>41051</v>
      </c>
      <c r="T546" s="1">
        <v>41051</v>
      </c>
      <c r="U546" s="1">
        <v>41011</v>
      </c>
      <c r="V546" s="1">
        <v>1</v>
      </c>
      <c r="W546" s="1">
        <v>0</v>
      </c>
    </row>
    <row r="547">
      <c r="A547" s="1">
        <v>2019</v>
      </c>
      <c r="B547" s="1">
        <v>41</v>
      </c>
      <c r="C547" t="s">
        <v>3</v>
      </c>
      <c r="D547" s="1">
        <v>51</v>
      </c>
      <c r="E547" t="s">
        <v>6</v>
      </c>
      <c r="F547" s="1">
        <v>41</v>
      </c>
      <c r="G547" t="s">
        <v>3</v>
      </c>
      <c r="H547" s="1">
        <v>13</v>
      </c>
      <c r="I547" t="s">
        <v>129</v>
      </c>
      <c r="J547" s="1">
        <v>42</v>
      </c>
      <c r="K547" s="1">
        <v>64</v>
      </c>
      <c r="L547" s="1">
        <v>3246</v>
      </c>
      <c r="M547" s="1">
        <v>28310</v>
      </c>
      <c r="N547" s="1">
        <v>44411</v>
      </c>
      <c r="O547" s="1">
        <v>2058578</v>
      </c>
      <c r="P547" s="1">
        <v>342710</v>
      </c>
      <c r="Q547" s="1">
        <v>621678</v>
      </c>
      <c r="R547" s="1">
        <v>29861204</v>
      </c>
      <c r="S547" s="1">
        <v>41051</v>
      </c>
      <c r="T547" s="1">
        <v>41051</v>
      </c>
      <c r="U547" s="1">
        <v>41013</v>
      </c>
      <c r="V547" s="1">
        <v>1</v>
      </c>
      <c r="W547" s="1">
        <v>0</v>
      </c>
    </row>
    <row r="548">
      <c r="A548" s="1">
        <v>2019</v>
      </c>
      <c r="B548" s="1">
        <v>41</v>
      </c>
      <c r="C548" t="s">
        <v>3</v>
      </c>
      <c r="D548" s="1">
        <v>51</v>
      </c>
      <c r="E548" t="s">
        <v>6</v>
      </c>
      <c r="F548" s="1">
        <v>41</v>
      </c>
      <c r="G548" t="s">
        <v>3</v>
      </c>
      <c r="H548" s="1">
        <v>17</v>
      </c>
      <c r="I548" t="s">
        <v>130</v>
      </c>
      <c r="J548" s="1">
        <v>487</v>
      </c>
      <c r="K548" s="1">
        <v>738</v>
      </c>
      <c r="L548" s="1">
        <v>53218</v>
      </c>
      <c r="M548" s="1">
        <v>28310</v>
      </c>
      <c r="N548" s="1">
        <v>44411</v>
      </c>
      <c r="O548" s="1">
        <v>2058578</v>
      </c>
      <c r="P548" s="1">
        <v>342710</v>
      </c>
      <c r="Q548" s="1">
        <v>621678</v>
      </c>
      <c r="R548" s="1">
        <v>29861204</v>
      </c>
      <c r="S548" s="1">
        <v>41051</v>
      </c>
      <c r="T548" s="1">
        <v>41051</v>
      </c>
      <c r="U548" s="1">
        <v>41017</v>
      </c>
      <c r="V548" s="1">
        <v>1</v>
      </c>
      <c r="W548" s="1">
        <v>0</v>
      </c>
    </row>
    <row r="549">
      <c r="A549" s="1">
        <v>2019</v>
      </c>
      <c r="B549" s="1">
        <v>41</v>
      </c>
      <c r="C549" t="s">
        <v>3</v>
      </c>
      <c r="D549" s="1">
        <v>51</v>
      </c>
      <c r="E549" t="s">
        <v>6</v>
      </c>
      <c r="F549" s="1">
        <v>41</v>
      </c>
      <c r="G549" t="s">
        <v>3</v>
      </c>
      <c r="H549" s="1">
        <v>19</v>
      </c>
      <c r="I549" t="s">
        <v>131</v>
      </c>
      <c r="J549" s="1">
        <v>56</v>
      </c>
      <c r="K549" s="1">
        <v>80</v>
      </c>
      <c r="L549" s="1">
        <v>2407</v>
      </c>
      <c r="M549" s="1">
        <v>28310</v>
      </c>
      <c r="N549" s="1">
        <v>44411</v>
      </c>
      <c r="O549" s="1">
        <v>2058578</v>
      </c>
      <c r="P549" s="1">
        <v>342710</v>
      </c>
      <c r="Q549" s="1">
        <v>621678</v>
      </c>
      <c r="R549" s="1">
        <v>29861204</v>
      </c>
      <c r="S549" s="1">
        <v>41051</v>
      </c>
      <c r="T549" s="1">
        <v>41051</v>
      </c>
      <c r="U549" s="1">
        <v>41019</v>
      </c>
      <c r="V549" s="1">
        <v>1</v>
      </c>
      <c r="W549" s="1">
        <v>0</v>
      </c>
    </row>
    <row r="550">
      <c r="A550" s="1">
        <v>2019</v>
      </c>
      <c r="B550" s="1">
        <v>41</v>
      </c>
      <c r="C550" t="s">
        <v>3</v>
      </c>
      <c r="D550" s="1">
        <v>51</v>
      </c>
      <c r="E550" t="s">
        <v>6</v>
      </c>
      <c r="F550" s="1">
        <v>41</v>
      </c>
      <c r="G550" t="s">
        <v>3</v>
      </c>
      <c r="H550" s="1">
        <v>27</v>
      </c>
      <c r="I550" t="s">
        <v>132</v>
      </c>
      <c r="J550" s="1">
        <v>111</v>
      </c>
      <c r="K550" s="1">
        <v>194</v>
      </c>
      <c r="L550" s="1">
        <v>11299</v>
      </c>
      <c r="M550" s="1">
        <v>28310</v>
      </c>
      <c r="N550" s="1">
        <v>44411</v>
      </c>
      <c r="O550" s="1">
        <v>2058578</v>
      </c>
      <c r="P550" s="1">
        <v>342710</v>
      </c>
      <c r="Q550" s="1">
        <v>621678</v>
      </c>
      <c r="R550" s="1">
        <v>29861204</v>
      </c>
      <c r="S550" s="1">
        <v>41051</v>
      </c>
      <c r="T550" s="1">
        <v>41051</v>
      </c>
      <c r="U550" s="1">
        <v>41027</v>
      </c>
      <c r="V550" s="1">
        <v>1</v>
      </c>
      <c r="W550" s="1">
        <v>0</v>
      </c>
    </row>
    <row r="551">
      <c r="A551" s="1">
        <v>2019</v>
      </c>
      <c r="B551" s="1">
        <v>41</v>
      </c>
      <c r="C551" t="s">
        <v>3</v>
      </c>
      <c r="D551" s="1">
        <v>51</v>
      </c>
      <c r="E551" t="s">
        <v>6</v>
      </c>
      <c r="F551" s="1">
        <v>41</v>
      </c>
      <c r="G551" t="s">
        <v>3</v>
      </c>
      <c r="H551" s="1">
        <v>29</v>
      </c>
      <c r="I551" t="s">
        <v>133</v>
      </c>
      <c r="J551" s="1">
        <v>174</v>
      </c>
      <c r="K551" s="1">
        <v>265</v>
      </c>
      <c r="L551" s="1">
        <v>8686</v>
      </c>
      <c r="M551" s="1">
        <v>28310</v>
      </c>
      <c r="N551" s="1">
        <v>44411</v>
      </c>
      <c r="O551" s="1">
        <v>2058578</v>
      </c>
      <c r="P551" s="1">
        <v>342710</v>
      </c>
      <c r="Q551" s="1">
        <v>621678</v>
      </c>
      <c r="R551" s="1">
        <v>29861204</v>
      </c>
      <c r="S551" s="1">
        <v>41051</v>
      </c>
      <c r="T551" s="1">
        <v>41051</v>
      </c>
      <c r="U551" s="1">
        <v>41029</v>
      </c>
      <c r="V551" s="1">
        <v>1</v>
      </c>
      <c r="W551" s="1">
        <v>0</v>
      </c>
    </row>
    <row r="552">
      <c r="A552" s="1">
        <v>2019</v>
      </c>
      <c r="B552" s="1">
        <v>41</v>
      </c>
      <c r="C552" t="s">
        <v>3</v>
      </c>
      <c r="D552" s="1">
        <v>51</v>
      </c>
      <c r="E552" t="s">
        <v>6</v>
      </c>
      <c r="F552" s="1">
        <v>41</v>
      </c>
      <c r="G552" t="s">
        <v>3</v>
      </c>
      <c r="H552" s="1">
        <v>31</v>
      </c>
      <c r="I552" t="s">
        <v>83</v>
      </c>
      <c r="J552" s="1">
        <v>39</v>
      </c>
      <c r="K552" s="1">
        <v>62</v>
      </c>
      <c r="L552" s="1">
        <v>4606</v>
      </c>
      <c r="M552" s="1">
        <v>28310</v>
      </c>
      <c r="N552" s="1">
        <v>44411</v>
      </c>
      <c r="O552" s="1">
        <v>2058578</v>
      </c>
      <c r="P552" s="1">
        <v>342710</v>
      </c>
      <c r="Q552" s="1">
        <v>621678</v>
      </c>
      <c r="R552" s="1">
        <v>29861204</v>
      </c>
      <c r="S552" s="1">
        <v>41051</v>
      </c>
      <c r="T552" s="1">
        <v>41051</v>
      </c>
      <c r="U552" s="1">
        <v>41031</v>
      </c>
      <c r="V552" s="1">
        <v>1</v>
      </c>
      <c r="W552" s="1">
        <v>0</v>
      </c>
    </row>
    <row r="553">
      <c r="A553" s="1">
        <v>2019</v>
      </c>
      <c r="B553" s="1">
        <v>41</v>
      </c>
      <c r="C553" t="s">
        <v>3</v>
      </c>
      <c r="D553" s="1">
        <v>51</v>
      </c>
      <c r="E553" t="s">
        <v>6</v>
      </c>
      <c r="F553" s="1">
        <v>41</v>
      </c>
      <c r="G553" t="s">
        <v>3</v>
      </c>
      <c r="H553" s="1">
        <v>33</v>
      </c>
      <c r="I553" t="s">
        <v>134</v>
      </c>
      <c r="J553" s="1">
        <v>38</v>
      </c>
      <c r="K553" s="1">
        <v>67</v>
      </c>
      <c r="L553" s="1">
        <v>2423</v>
      </c>
      <c r="M553" s="1">
        <v>28310</v>
      </c>
      <c r="N553" s="1">
        <v>44411</v>
      </c>
      <c r="O553" s="1">
        <v>2058578</v>
      </c>
      <c r="P553" s="1">
        <v>342710</v>
      </c>
      <c r="Q553" s="1">
        <v>621678</v>
      </c>
      <c r="R553" s="1">
        <v>29861204</v>
      </c>
      <c r="S553" s="1">
        <v>41051</v>
      </c>
      <c r="T553" s="1">
        <v>41051</v>
      </c>
      <c r="U553" s="1">
        <v>41033</v>
      </c>
      <c r="V553" s="1">
        <v>1</v>
      </c>
      <c r="W553" s="1">
        <v>0</v>
      </c>
    </row>
    <row r="554">
      <c r="A554" s="1">
        <v>2019</v>
      </c>
      <c r="B554" s="1">
        <v>41</v>
      </c>
      <c r="C554" t="s">
        <v>3</v>
      </c>
      <c r="D554" s="1">
        <v>51</v>
      </c>
      <c r="E554" t="s">
        <v>6</v>
      </c>
      <c r="F554" s="1">
        <v>41</v>
      </c>
      <c r="G554" t="s">
        <v>3</v>
      </c>
      <c r="H554" s="1">
        <v>35</v>
      </c>
      <c r="I554" t="s">
        <v>135</v>
      </c>
      <c r="J554" s="1">
        <v>39</v>
      </c>
      <c r="K554" s="1">
        <v>65</v>
      </c>
      <c r="L554" s="1">
        <v>1837</v>
      </c>
      <c r="M554" s="1">
        <v>28310</v>
      </c>
      <c r="N554" s="1">
        <v>44411</v>
      </c>
      <c r="O554" s="1">
        <v>2058578</v>
      </c>
      <c r="P554" s="1">
        <v>342710</v>
      </c>
      <c r="Q554" s="1">
        <v>621678</v>
      </c>
      <c r="R554" s="1">
        <v>29861204</v>
      </c>
      <c r="S554" s="1">
        <v>41051</v>
      </c>
      <c r="T554" s="1">
        <v>41051</v>
      </c>
      <c r="U554" s="1">
        <v>41035</v>
      </c>
      <c r="V554" s="1">
        <v>1</v>
      </c>
      <c r="W554" s="1">
        <v>0</v>
      </c>
    </row>
    <row r="555">
      <c r="A555" s="1">
        <v>2019</v>
      </c>
      <c r="B555" s="1">
        <v>41</v>
      </c>
      <c r="C555" t="s">
        <v>3</v>
      </c>
      <c r="D555" s="1">
        <v>51</v>
      </c>
      <c r="E555" t="s">
        <v>6</v>
      </c>
      <c r="F555" s="1">
        <v>41</v>
      </c>
      <c r="G555" t="s">
        <v>3</v>
      </c>
      <c r="H555" s="1">
        <v>39</v>
      </c>
      <c r="I555" t="s">
        <v>136</v>
      </c>
      <c r="J555" s="1">
        <v>413</v>
      </c>
      <c r="K555" s="1">
        <v>563</v>
      </c>
      <c r="L555" s="1">
        <v>18722</v>
      </c>
      <c r="M555" s="1">
        <v>28310</v>
      </c>
      <c r="N555" s="1">
        <v>44411</v>
      </c>
      <c r="O555" s="1">
        <v>2058578</v>
      </c>
      <c r="P555" s="1">
        <v>342710</v>
      </c>
      <c r="Q555" s="1">
        <v>621678</v>
      </c>
      <c r="R555" s="1">
        <v>29861204</v>
      </c>
      <c r="S555" s="1">
        <v>41051</v>
      </c>
      <c r="T555" s="1">
        <v>41051</v>
      </c>
      <c r="U555" s="1">
        <v>41039</v>
      </c>
      <c r="V555" s="1">
        <v>1</v>
      </c>
      <c r="W555" s="1">
        <v>0</v>
      </c>
    </row>
    <row r="556">
      <c r="A556" s="1">
        <v>2019</v>
      </c>
      <c r="B556" s="1">
        <v>41</v>
      </c>
      <c r="C556" t="s">
        <v>3</v>
      </c>
      <c r="D556" s="1">
        <v>51</v>
      </c>
      <c r="E556" t="s">
        <v>6</v>
      </c>
      <c r="F556" s="1">
        <v>41</v>
      </c>
      <c r="G556" t="s">
        <v>3</v>
      </c>
      <c r="H556" s="1">
        <v>41</v>
      </c>
      <c r="I556" t="s">
        <v>137</v>
      </c>
      <c r="J556" s="1">
        <v>106</v>
      </c>
      <c r="K556" s="1">
        <v>158</v>
      </c>
      <c r="L556" s="1">
        <v>5722</v>
      </c>
      <c r="M556" s="1">
        <v>28310</v>
      </c>
      <c r="N556" s="1">
        <v>44411</v>
      </c>
      <c r="O556" s="1">
        <v>2058578</v>
      </c>
      <c r="P556" s="1">
        <v>342710</v>
      </c>
      <c r="Q556" s="1">
        <v>621678</v>
      </c>
      <c r="R556" s="1">
        <v>29861204</v>
      </c>
      <c r="S556" s="1">
        <v>41051</v>
      </c>
      <c r="T556" s="1">
        <v>41051</v>
      </c>
      <c r="U556" s="1">
        <v>41041</v>
      </c>
      <c r="V556" s="1">
        <v>1</v>
      </c>
      <c r="W556" s="1">
        <v>0</v>
      </c>
    </row>
    <row r="557">
      <c r="A557" s="1">
        <v>2019</v>
      </c>
      <c r="B557" s="1">
        <v>41</v>
      </c>
      <c r="C557" t="s">
        <v>3</v>
      </c>
      <c r="D557" s="1">
        <v>51</v>
      </c>
      <c r="E557" t="s">
        <v>6</v>
      </c>
      <c r="F557" s="1">
        <v>41</v>
      </c>
      <c r="G557" t="s">
        <v>3</v>
      </c>
      <c r="H557" s="1">
        <v>43</v>
      </c>
      <c r="I557" t="s">
        <v>138</v>
      </c>
      <c r="J557" s="1">
        <v>97</v>
      </c>
      <c r="K557" s="1">
        <v>139</v>
      </c>
      <c r="L557" s="1">
        <v>4131</v>
      </c>
      <c r="M557" s="1">
        <v>28310</v>
      </c>
      <c r="N557" s="1">
        <v>44411</v>
      </c>
      <c r="O557" s="1">
        <v>2058578</v>
      </c>
      <c r="P557" s="1">
        <v>342710</v>
      </c>
      <c r="Q557" s="1">
        <v>621678</v>
      </c>
      <c r="R557" s="1">
        <v>29861204</v>
      </c>
      <c r="S557" s="1">
        <v>41051</v>
      </c>
      <c r="T557" s="1">
        <v>41051</v>
      </c>
      <c r="U557" s="1">
        <v>41043</v>
      </c>
      <c r="V557" s="1">
        <v>1</v>
      </c>
      <c r="W557" s="1">
        <v>0</v>
      </c>
    </row>
    <row r="558">
      <c r="A558" s="1">
        <v>2019</v>
      </c>
      <c r="B558" s="1">
        <v>41</v>
      </c>
      <c r="C558" t="s">
        <v>3</v>
      </c>
      <c r="D558" s="1">
        <v>51</v>
      </c>
      <c r="E558" t="s">
        <v>6</v>
      </c>
      <c r="F558" s="1">
        <v>41</v>
      </c>
      <c r="G558" t="s">
        <v>3</v>
      </c>
      <c r="H558" s="1">
        <v>47</v>
      </c>
      <c r="I558" t="s">
        <v>99</v>
      </c>
      <c r="J558" s="1">
        <v>527</v>
      </c>
      <c r="K558" s="1">
        <v>881</v>
      </c>
      <c r="L558" s="1">
        <v>24045</v>
      </c>
      <c r="M558" s="1">
        <v>28310</v>
      </c>
      <c r="N558" s="1">
        <v>44411</v>
      </c>
      <c r="O558" s="1">
        <v>2058578</v>
      </c>
      <c r="P558" s="1">
        <v>342710</v>
      </c>
      <c r="Q558" s="1">
        <v>621678</v>
      </c>
      <c r="R558" s="1">
        <v>29861204</v>
      </c>
      <c r="S558" s="1">
        <v>41051</v>
      </c>
      <c r="T558" s="1">
        <v>41051</v>
      </c>
      <c r="U558" s="1">
        <v>41047</v>
      </c>
      <c r="V558" s="1">
        <v>1</v>
      </c>
      <c r="W558" s="1">
        <v>0</v>
      </c>
    </row>
    <row r="559">
      <c r="A559" s="1">
        <v>2019</v>
      </c>
      <c r="B559" s="1">
        <v>41</v>
      </c>
      <c r="C559" t="s">
        <v>3</v>
      </c>
      <c r="D559" s="1">
        <v>51</v>
      </c>
      <c r="E559" t="s">
        <v>6</v>
      </c>
      <c r="F559" s="1">
        <v>41</v>
      </c>
      <c r="G559" t="s">
        <v>3</v>
      </c>
      <c r="H559" s="1">
        <v>53</v>
      </c>
      <c r="I559" t="s">
        <v>100</v>
      </c>
      <c r="J559" s="1">
        <v>92</v>
      </c>
      <c r="K559" s="1">
        <v>150</v>
      </c>
      <c r="L559" s="1">
        <v>4198</v>
      </c>
      <c r="M559" s="1">
        <v>28310</v>
      </c>
      <c r="N559" s="1">
        <v>44411</v>
      </c>
      <c r="O559" s="1">
        <v>2058578</v>
      </c>
      <c r="P559" s="1">
        <v>342710</v>
      </c>
      <c r="Q559" s="1">
        <v>621678</v>
      </c>
      <c r="R559" s="1">
        <v>29861204</v>
      </c>
      <c r="S559" s="1">
        <v>41051</v>
      </c>
      <c r="T559" s="1">
        <v>41051</v>
      </c>
      <c r="U559" s="1">
        <v>41053</v>
      </c>
      <c r="V559" s="1">
        <v>1</v>
      </c>
      <c r="W559" s="1">
        <v>0</v>
      </c>
    </row>
    <row r="560">
      <c r="A560" s="1">
        <v>2019</v>
      </c>
      <c r="B560" s="1">
        <v>41</v>
      </c>
      <c r="C560" t="s">
        <v>3</v>
      </c>
      <c r="D560" s="1">
        <v>51</v>
      </c>
      <c r="E560" t="s">
        <v>6</v>
      </c>
      <c r="F560" s="1">
        <v>41</v>
      </c>
      <c r="G560" t="s">
        <v>3</v>
      </c>
      <c r="H560" s="1">
        <v>57</v>
      </c>
      <c r="I560" t="s">
        <v>139</v>
      </c>
      <c r="J560" s="1">
        <v>101</v>
      </c>
      <c r="K560" s="1">
        <v>158</v>
      </c>
      <c r="L560" s="1">
        <v>8521</v>
      </c>
      <c r="M560" s="1">
        <v>28310</v>
      </c>
      <c r="N560" s="1">
        <v>44411</v>
      </c>
      <c r="O560" s="1">
        <v>2058578</v>
      </c>
      <c r="P560" s="1">
        <v>342710</v>
      </c>
      <c r="Q560" s="1">
        <v>621678</v>
      </c>
      <c r="R560" s="1">
        <v>29861204</v>
      </c>
      <c r="S560" s="1">
        <v>41051</v>
      </c>
      <c r="T560" s="1">
        <v>41051</v>
      </c>
      <c r="U560" s="1">
        <v>41057</v>
      </c>
      <c r="V560" s="1">
        <v>1</v>
      </c>
      <c r="W560" s="1">
        <v>0</v>
      </c>
    </row>
    <row r="561">
      <c r="A561" s="1">
        <v>2019</v>
      </c>
      <c r="B561" s="1">
        <v>41</v>
      </c>
      <c r="C561" t="s">
        <v>3</v>
      </c>
      <c r="D561" s="1">
        <v>51</v>
      </c>
      <c r="E561" t="s">
        <v>6</v>
      </c>
      <c r="F561" s="1">
        <v>41</v>
      </c>
      <c r="G561" t="s">
        <v>3</v>
      </c>
      <c r="H561" s="1">
        <v>59</v>
      </c>
      <c r="I561" t="s">
        <v>140</v>
      </c>
      <c r="J561" s="1">
        <v>41</v>
      </c>
      <c r="K561" s="1">
        <v>63</v>
      </c>
      <c r="L561" s="1">
        <v>2259</v>
      </c>
      <c r="M561" s="1">
        <v>28310</v>
      </c>
      <c r="N561" s="1">
        <v>44411</v>
      </c>
      <c r="O561" s="1">
        <v>2058578</v>
      </c>
      <c r="P561" s="1">
        <v>342710</v>
      </c>
      <c r="Q561" s="1">
        <v>621678</v>
      </c>
      <c r="R561" s="1">
        <v>29861204</v>
      </c>
      <c r="S561" s="1">
        <v>41051</v>
      </c>
      <c r="T561" s="1">
        <v>41051</v>
      </c>
      <c r="U561" s="1">
        <v>41059</v>
      </c>
      <c r="V561" s="1">
        <v>1</v>
      </c>
      <c r="W561" s="1">
        <v>0</v>
      </c>
    </row>
    <row r="562">
      <c r="A562" s="1">
        <v>2019</v>
      </c>
      <c r="B562" s="1">
        <v>41</v>
      </c>
      <c r="C562" t="s">
        <v>3</v>
      </c>
      <c r="D562" s="1">
        <v>51</v>
      </c>
      <c r="E562" t="s">
        <v>6</v>
      </c>
      <c r="F562" s="1">
        <v>41</v>
      </c>
      <c r="G562" t="s">
        <v>3</v>
      </c>
      <c r="H562" s="1">
        <v>61</v>
      </c>
      <c r="I562" t="s">
        <v>141</v>
      </c>
      <c r="J562" s="1">
        <v>20</v>
      </c>
      <c r="K562" s="1">
        <v>28</v>
      </c>
      <c r="L562" s="1">
        <v>556</v>
      </c>
      <c r="M562" s="1">
        <v>28310</v>
      </c>
      <c r="N562" s="1">
        <v>44411</v>
      </c>
      <c r="O562" s="1">
        <v>2058578</v>
      </c>
      <c r="P562" s="1">
        <v>342710</v>
      </c>
      <c r="Q562" s="1">
        <v>621678</v>
      </c>
      <c r="R562" s="1">
        <v>29861204</v>
      </c>
      <c r="S562" s="1">
        <v>41051</v>
      </c>
      <c r="T562" s="1">
        <v>41051</v>
      </c>
      <c r="U562" s="1">
        <v>41061</v>
      </c>
      <c r="V562" s="1">
        <v>1</v>
      </c>
      <c r="W562" s="1">
        <v>0</v>
      </c>
    </row>
    <row r="563">
      <c r="A563" s="1">
        <v>2019</v>
      </c>
      <c r="B563" s="1">
        <v>41</v>
      </c>
      <c r="C563" t="s">
        <v>3</v>
      </c>
      <c r="D563" s="1">
        <v>51</v>
      </c>
      <c r="E563" t="s">
        <v>6</v>
      </c>
      <c r="F563" s="1">
        <v>41</v>
      </c>
      <c r="G563" t="s">
        <v>3</v>
      </c>
      <c r="H563" s="1">
        <v>65</v>
      </c>
      <c r="I563" t="s">
        <v>142</v>
      </c>
      <c r="J563" s="1">
        <v>92</v>
      </c>
      <c r="K563" s="1">
        <v>129</v>
      </c>
      <c r="L563" s="1">
        <v>4830</v>
      </c>
      <c r="M563" s="1">
        <v>28310</v>
      </c>
      <c r="N563" s="1">
        <v>44411</v>
      </c>
      <c r="O563" s="1">
        <v>2058578</v>
      </c>
      <c r="P563" s="1">
        <v>342710</v>
      </c>
      <c r="Q563" s="1">
        <v>621678</v>
      </c>
      <c r="R563" s="1">
        <v>29861204</v>
      </c>
      <c r="S563" s="1">
        <v>41051</v>
      </c>
      <c r="T563" s="1">
        <v>41051</v>
      </c>
      <c r="U563" s="1">
        <v>41065</v>
      </c>
      <c r="V563" s="1">
        <v>1</v>
      </c>
      <c r="W563" s="1">
        <v>0</v>
      </c>
    </row>
    <row r="564">
      <c r="A564" s="1">
        <v>2019</v>
      </c>
      <c r="B564" s="1">
        <v>41</v>
      </c>
      <c r="C564" t="s">
        <v>3</v>
      </c>
      <c r="D564" s="1">
        <v>51</v>
      </c>
      <c r="E564" t="s">
        <v>6</v>
      </c>
      <c r="F564" s="1">
        <v>41</v>
      </c>
      <c r="G564" t="s">
        <v>3</v>
      </c>
      <c r="H564" s="1">
        <v>67</v>
      </c>
      <c r="I564" t="s">
        <v>143</v>
      </c>
      <c r="J564" s="1">
        <v>4639</v>
      </c>
      <c r="K564" s="1">
        <v>7018</v>
      </c>
      <c r="L564" s="1">
        <v>342959</v>
      </c>
      <c r="M564" s="1">
        <v>28310</v>
      </c>
      <c r="N564" s="1">
        <v>44411</v>
      </c>
      <c r="O564" s="1">
        <v>2058578</v>
      </c>
      <c r="P564" s="1">
        <v>342710</v>
      </c>
      <c r="Q564" s="1">
        <v>621678</v>
      </c>
      <c r="R564" s="1">
        <v>29861204</v>
      </c>
      <c r="S564" s="1">
        <v>41051</v>
      </c>
      <c r="T564" s="1">
        <v>41051</v>
      </c>
      <c r="U564" s="1">
        <v>41067</v>
      </c>
      <c r="V564" s="1">
        <v>1</v>
      </c>
      <c r="W564" s="1">
        <v>0</v>
      </c>
    </row>
    <row r="565">
      <c r="A565" s="1">
        <v>2019</v>
      </c>
      <c r="B565" s="1">
        <v>41</v>
      </c>
      <c r="C565" t="s">
        <v>3</v>
      </c>
      <c r="D565" s="1">
        <v>51</v>
      </c>
      <c r="E565" t="s">
        <v>6</v>
      </c>
      <c r="F565" s="1">
        <v>41</v>
      </c>
      <c r="G565" t="s">
        <v>3</v>
      </c>
      <c r="H565" s="1">
        <v>71</v>
      </c>
      <c r="I565" t="s">
        <v>144</v>
      </c>
      <c r="J565" s="1">
        <v>196</v>
      </c>
      <c r="K565" s="1">
        <v>295</v>
      </c>
      <c r="L565" s="1">
        <v>13284</v>
      </c>
      <c r="M565" s="1">
        <v>28310</v>
      </c>
      <c r="N565" s="1">
        <v>44411</v>
      </c>
      <c r="O565" s="1">
        <v>2058578</v>
      </c>
      <c r="P565" s="1">
        <v>342710</v>
      </c>
      <c r="Q565" s="1">
        <v>621678</v>
      </c>
      <c r="R565" s="1">
        <v>29861204</v>
      </c>
      <c r="S565" s="1">
        <v>41051</v>
      </c>
      <c r="T565" s="1">
        <v>41051</v>
      </c>
      <c r="U565" s="1">
        <v>41071</v>
      </c>
      <c r="V565" s="1">
        <v>1</v>
      </c>
      <c r="W565" s="1">
        <v>0</v>
      </c>
    </row>
    <row r="566">
      <c r="A566" s="1">
        <v>2019</v>
      </c>
      <c r="B566" s="1">
        <v>41</v>
      </c>
      <c r="C566" t="s">
        <v>3</v>
      </c>
      <c r="D566" s="1">
        <v>51</v>
      </c>
      <c r="E566" t="s">
        <v>6</v>
      </c>
      <c r="F566" s="1">
        <v>42</v>
      </c>
      <c r="G566" t="s">
        <v>34</v>
      </c>
      <c r="H566" s="1">
        <v>3</v>
      </c>
      <c r="I566" t="s">
        <v>145</v>
      </c>
      <c r="J566" s="1">
        <v>56</v>
      </c>
      <c r="K566" s="1">
        <v>77</v>
      </c>
      <c r="L566" s="1">
        <v>4314</v>
      </c>
      <c r="M566" s="1">
        <v>28310</v>
      </c>
      <c r="N566" s="1">
        <v>44411</v>
      </c>
      <c r="O566" s="1">
        <v>2058578</v>
      </c>
      <c r="P566" s="1">
        <v>342710</v>
      </c>
      <c r="Q566" s="1">
        <v>621678</v>
      </c>
      <c r="R566" s="1">
        <v>29861204</v>
      </c>
      <c r="S566" s="1">
        <v>41051</v>
      </c>
      <c r="T566" s="1">
        <v>41051</v>
      </c>
      <c r="U566" s="1">
        <v>42003</v>
      </c>
      <c r="V566" s="1">
        <v>1</v>
      </c>
      <c r="W566" s="1">
        <v>0</v>
      </c>
    </row>
    <row r="567">
      <c r="A567" s="1">
        <v>2019</v>
      </c>
      <c r="B567" s="1">
        <v>41</v>
      </c>
      <c r="C567" t="s">
        <v>3</v>
      </c>
      <c r="D567" s="1">
        <v>51</v>
      </c>
      <c r="E567" t="s">
        <v>6</v>
      </c>
      <c r="F567" s="1">
        <v>42</v>
      </c>
      <c r="G567" t="s">
        <v>34</v>
      </c>
      <c r="H567" s="1">
        <v>101</v>
      </c>
      <c r="I567" t="s">
        <v>146</v>
      </c>
      <c r="J567" s="1">
        <v>85</v>
      </c>
      <c r="K567" s="1">
        <v>103</v>
      </c>
      <c r="L567" s="1">
        <v>4623</v>
      </c>
      <c r="M567" s="1">
        <v>28310</v>
      </c>
      <c r="N567" s="1">
        <v>44411</v>
      </c>
      <c r="O567" s="1">
        <v>2058578</v>
      </c>
      <c r="P567" s="1">
        <v>342710</v>
      </c>
      <c r="Q567" s="1">
        <v>621678</v>
      </c>
      <c r="R567" s="1">
        <v>29861204</v>
      </c>
      <c r="S567" s="1">
        <v>41051</v>
      </c>
      <c r="T567" s="1">
        <v>41051</v>
      </c>
      <c r="U567" s="1">
        <v>42101</v>
      </c>
      <c r="V567" s="1">
        <v>1</v>
      </c>
      <c r="W567" s="1">
        <v>0</v>
      </c>
    </row>
    <row r="568">
      <c r="A568" s="1">
        <v>2019</v>
      </c>
      <c r="B568" s="1">
        <v>41</v>
      </c>
      <c r="C568" t="s">
        <v>3</v>
      </c>
      <c r="D568" s="1">
        <v>51</v>
      </c>
      <c r="E568" t="s">
        <v>6</v>
      </c>
      <c r="F568" s="1">
        <v>47</v>
      </c>
      <c r="G568" t="s">
        <v>35</v>
      </c>
      <c r="H568" s="1">
        <v>37</v>
      </c>
      <c r="I568" t="s">
        <v>147</v>
      </c>
      <c r="J568" s="1">
        <v>47</v>
      </c>
      <c r="K568" s="1">
        <v>66</v>
      </c>
      <c r="L568" s="1">
        <v>3239</v>
      </c>
      <c r="M568" s="1">
        <v>28310</v>
      </c>
      <c r="N568" s="1">
        <v>44411</v>
      </c>
      <c r="O568" s="1">
        <v>2058578</v>
      </c>
      <c r="P568" s="1">
        <v>342710</v>
      </c>
      <c r="Q568" s="1">
        <v>621678</v>
      </c>
      <c r="R568" s="1">
        <v>29861204</v>
      </c>
      <c r="S568" s="1">
        <v>41051</v>
      </c>
      <c r="T568" s="1">
        <v>41051</v>
      </c>
      <c r="U568" s="1">
        <v>47037</v>
      </c>
      <c r="V568" s="1">
        <v>1</v>
      </c>
      <c r="W568" s="1">
        <v>0</v>
      </c>
    </row>
    <row r="569">
      <c r="A569" s="1">
        <v>2019</v>
      </c>
      <c r="B569" s="1">
        <v>41</v>
      </c>
      <c r="C569" t="s">
        <v>3</v>
      </c>
      <c r="D569" s="1">
        <v>51</v>
      </c>
      <c r="E569" t="s">
        <v>6</v>
      </c>
      <c r="F569" s="1">
        <v>47</v>
      </c>
      <c r="G569" t="s">
        <v>35</v>
      </c>
      <c r="H569" s="1">
        <v>157</v>
      </c>
      <c r="I569" t="s">
        <v>215</v>
      </c>
      <c r="J569" s="1">
        <v>23</v>
      </c>
      <c r="K569" s="1">
        <v>42</v>
      </c>
      <c r="L569" s="1">
        <v>1993</v>
      </c>
      <c r="M569" s="1">
        <v>28310</v>
      </c>
      <c r="N569" s="1">
        <v>44411</v>
      </c>
      <c r="O569" s="1">
        <v>2058578</v>
      </c>
      <c r="P569" s="1">
        <v>342710</v>
      </c>
      <c r="Q569" s="1">
        <v>621678</v>
      </c>
      <c r="R569" s="1">
        <v>29861204</v>
      </c>
      <c r="S569" s="1">
        <v>41051</v>
      </c>
      <c r="T569" s="1">
        <v>41051</v>
      </c>
      <c r="U569" s="1">
        <v>47157</v>
      </c>
      <c r="V569" s="1">
        <v>1</v>
      </c>
      <c r="W569" s="1">
        <v>0</v>
      </c>
    </row>
    <row r="570">
      <c r="A570" s="1">
        <v>2019</v>
      </c>
      <c r="B570" s="1">
        <v>41</v>
      </c>
      <c r="C570" t="s">
        <v>3</v>
      </c>
      <c r="D570" s="1">
        <v>51</v>
      </c>
      <c r="E570" t="s">
        <v>6</v>
      </c>
      <c r="F570" s="1">
        <v>48</v>
      </c>
      <c r="G570" t="s">
        <v>36</v>
      </c>
      <c r="H570" s="1">
        <v>29</v>
      </c>
      <c r="I570" t="s">
        <v>149</v>
      </c>
      <c r="J570" s="1">
        <v>38</v>
      </c>
      <c r="K570" s="1">
        <v>55</v>
      </c>
      <c r="L570" s="1">
        <v>3120</v>
      </c>
      <c r="M570" s="1">
        <v>28310</v>
      </c>
      <c r="N570" s="1">
        <v>44411</v>
      </c>
      <c r="O570" s="1">
        <v>2058578</v>
      </c>
      <c r="P570" s="1">
        <v>342710</v>
      </c>
      <c r="Q570" s="1">
        <v>621678</v>
      </c>
      <c r="R570" s="1">
        <v>29861204</v>
      </c>
      <c r="S570" s="1">
        <v>41051</v>
      </c>
      <c r="T570" s="1">
        <v>41051</v>
      </c>
      <c r="U570" s="1">
        <v>48029</v>
      </c>
      <c r="V570" s="1">
        <v>1</v>
      </c>
      <c r="W570" s="1">
        <v>0</v>
      </c>
    </row>
    <row r="571">
      <c r="A571" s="1">
        <v>2019</v>
      </c>
      <c r="B571" s="1">
        <v>41</v>
      </c>
      <c r="C571" t="s">
        <v>3</v>
      </c>
      <c r="D571" s="1">
        <v>51</v>
      </c>
      <c r="E571" t="s">
        <v>6</v>
      </c>
      <c r="F571" s="1">
        <v>48</v>
      </c>
      <c r="G571" t="s">
        <v>36</v>
      </c>
      <c r="H571" s="1">
        <v>113</v>
      </c>
      <c r="I571" t="s">
        <v>150</v>
      </c>
      <c r="J571" s="1">
        <v>58</v>
      </c>
      <c r="K571" s="1">
        <v>77</v>
      </c>
      <c r="L571" s="1">
        <v>4932</v>
      </c>
      <c r="M571" s="1">
        <v>28310</v>
      </c>
      <c r="N571" s="1">
        <v>44411</v>
      </c>
      <c r="O571" s="1">
        <v>2058578</v>
      </c>
      <c r="P571" s="1">
        <v>342710</v>
      </c>
      <c r="Q571" s="1">
        <v>621678</v>
      </c>
      <c r="R571" s="1">
        <v>29861204</v>
      </c>
      <c r="S571" s="1">
        <v>41051</v>
      </c>
      <c r="T571" s="1">
        <v>41051</v>
      </c>
      <c r="U571" s="1">
        <v>48113</v>
      </c>
      <c r="V571" s="1">
        <v>1</v>
      </c>
      <c r="W571" s="1">
        <v>0</v>
      </c>
    </row>
    <row r="572">
      <c r="A572" s="1">
        <v>2019</v>
      </c>
      <c r="B572" s="1">
        <v>41</v>
      </c>
      <c r="C572" t="s">
        <v>3</v>
      </c>
      <c r="D572" s="1">
        <v>51</v>
      </c>
      <c r="E572" t="s">
        <v>6</v>
      </c>
      <c r="F572" s="1">
        <v>48</v>
      </c>
      <c r="G572" t="s">
        <v>36</v>
      </c>
      <c r="H572" s="1">
        <v>201</v>
      </c>
      <c r="I572" t="s">
        <v>151</v>
      </c>
      <c r="J572" s="1">
        <v>78</v>
      </c>
      <c r="K572" s="1">
        <v>130</v>
      </c>
      <c r="L572" s="1">
        <v>4429</v>
      </c>
      <c r="M572" s="1">
        <v>28310</v>
      </c>
      <c r="N572" s="1">
        <v>44411</v>
      </c>
      <c r="O572" s="1">
        <v>2058578</v>
      </c>
      <c r="P572" s="1">
        <v>342710</v>
      </c>
      <c r="Q572" s="1">
        <v>621678</v>
      </c>
      <c r="R572" s="1">
        <v>29861204</v>
      </c>
      <c r="S572" s="1">
        <v>41051</v>
      </c>
      <c r="T572" s="1">
        <v>41051</v>
      </c>
      <c r="U572" s="1">
        <v>48201</v>
      </c>
      <c r="V572" s="1">
        <v>1</v>
      </c>
      <c r="W572" s="1">
        <v>0</v>
      </c>
    </row>
    <row r="573">
      <c r="A573" s="1">
        <v>2019</v>
      </c>
      <c r="B573" s="1">
        <v>41</v>
      </c>
      <c r="C573" t="s">
        <v>3</v>
      </c>
      <c r="D573" s="1">
        <v>51</v>
      </c>
      <c r="E573" t="s">
        <v>6</v>
      </c>
      <c r="F573" s="1">
        <v>48</v>
      </c>
      <c r="G573" t="s">
        <v>36</v>
      </c>
      <c r="H573" s="1">
        <v>439</v>
      </c>
      <c r="I573" t="s">
        <v>152</v>
      </c>
      <c r="J573" s="1">
        <v>45</v>
      </c>
      <c r="K573" s="1">
        <v>83</v>
      </c>
      <c r="L573" s="1">
        <v>2272</v>
      </c>
      <c r="M573" s="1">
        <v>28310</v>
      </c>
      <c r="N573" s="1">
        <v>44411</v>
      </c>
      <c r="O573" s="1">
        <v>2058578</v>
      </c>
      <c r="P573" s="1">
        <v>342710</v>
      </c>
      <c r="Q573" s="1">
        <v>621678</v>
      </c>
      <c r="R573" s="1">
        <v>29861204</v>
      </c>
      <c r="S573" s="1">
        <v>41051</v>
      </c>
      <c r="T573" s="1">
        <v>41051</v>
      </c>
      <c r="U573" s="1">
        <v>48439</v>
      </c>
      <c r="V573" s="1">
        <v>1</v>
      </c>
      <c r="W573" s="1">
        <v>0</v>
      </c>
    </row>
    <row r="574">
      <c r="A574" s="1">
        <v>2019</v>
      </c>
      <c r="B574" s="1">
        <v>41</v>
      </c>
      <c r="C574" t="s">
        <v>3</v>
      </c>
      <c r="D574" s="1">
        <v>51</v>
      </c>
      <c r="E574" t="s">
        <v>6</v>
      </c>
      <c r="F574" s="1">
        <v>48</v>
      </c>
      <c r="G574" t="s">
        <v>36</v>
      </c>
      <c r="H574" s="1">
        <v>453</v>
      </c>
      <c r="I574" t="s">
        <v>153</v>
      </c>
      <c r="J574" s="1">
        <v>137</v>
      </c>
      <c r="K574" s="1">
        <v>207</v>
      </c>
      <c r="L574" s="1">
        <v>10562</v>
      </c>
      <c r="M574" s="1">
        <v>28310</v>
      </c>
      <c r="N574" s="1">
        <v>44411</v>
      </c>
      <c r="O574" s="1">
        <v>2058578</v>
      </c>
      <c r="P574" s="1">
        <v>342710</v>
      </c>
      <c r="Q574" s="1">
        <v>621678</v>
      </c>
      <c r="R574" s="1">
        <v>29861204</v>
      </c>
      <c r="S574" s="1">
        <v>41051</v>
      </c>
      <c r="T574" s="1">
        <v>41051</v>
      </c>
      <c r="U574" s="1">
        <v>48453</v>
      </c>
      <c r="V574" s="1">
        <v>1</v>
      </c>
      <c r="W574" s="1">
        <v>0</v>
      </c>
    </row>
    <row r="575">
      <c r="A575" s="1">
        <v>2019</v>
      </c>
      <c r="B575" s="1">
        <v>41</v>
      </c>
      <c r="C575" t="s">
        <v>3</v>
      </c>
      <c r="D575" s="1">
        <v>51</v>
      </c>
      <c r="E575" t="s">
        <v>6</v>
      </c>
      <c r="F575" s="1">
        <v>48</v>
      </c>
      <c r="G575" t="s">
        <v>36</v>
      </c>
      <c r="H575" s="1">
        <v>491</v>
      </c>
      <c r="I575" t="s">
        <v>217</v>
      </c>
      <c r="J575" s="1">
        <v>24</v>
      </c>
      <c r="K575" s="1">
        <v>42</v>
      </c>
      <c r="L575" s="1">
        <v>1318</v>
      </c>
      <c r="M575" s="1">
        <v>28310</v>
      </c>
      <c r="N575" s="1">
        <v>44411</v>
      </c>
      <c r="O575" s="1">
        <v>2058578</v>
      </c>
      <c r="P575" s="1">
        <v>342710</v>
      </c>
      <c r="Q575" s="1">
        <v>621678</v>
      </c>
      <c r="R575" s="1">
        <v>29861204</v>
      </c>
      <c r="S575" s="1">
        <v>41051</v>
      </c>
      <c r="T575" s="1">
        <v>41051</v>
      </c>
      <c r="U575" s="1">
        <v>48491</v>
      </c>
      <c r="V575" s="1">
        <v>1</v>
      </c>
      <c r="W575" s="1">
        <v>0</v>
      </c>
    </row>
    <row r="576">
      <c r="A576" s="1">
        <v>2019</v>
      </c>
      <c r="B576" s="1">
        <v>41</v>
      </c>
      <c r="C576" t="s">
        <v>3</v>
      </c>
      <c r="D576" s="1">
        <v>51</v>
      </c>
      <c r="E576" t="s">
        <v>6</v>
      </c>
      <c r="F576" s="1">
        <v>49</v>
      </c>
      <c r="G576" t="s">
        <v>37</v>
      </c>
      <c r="H576" s="1">
        <v>35</v>
      </c>
      <c r="I576" t="s">
        <v>154</v>
      </c>
      <c r="J576" s="1">
        <v>100</v>
      </c>
      <c r="K576" s="1">
        <v>141</v>
      </c>
      <c r="L576" s="1">
        <v>5877</v>
      </c>
      <c r="M576" s="1">
        <v>28310</v>
      </c>
      <c r="N576" s="1">
        <v>44411</v>
      </c>
      <c r="O576" s="1">
        <v>2058578</v>
      </c>
      <c r="P576" s="1">
        <v>342710</v>
      </c>
      <c r="Q576" s="1">
        <v>621678</v>
      </c>
      <c r="R576" s="1">
        <v>29861204</v>
      </c>
      <c r="S576" s="1">
        <v>41051</v>
      </c>
      <c r="T576" s="1">
        <v>41051</v>
      </c>
      <c r="U576" s="1">
        <v>49035</v>
      </c>
      <c r="V576" s="1">
        <v>1</v>
      </c>
      <c r="W576" s="1">
        <v>0</v>
      </c>
    </row>
    <row r="577">
      <c r="A577" s="1">
        <v>2019</v>
      </c>
      <c r="B577" s="1">
        <v>41</v>
      </c>
      <c r="C577" t="s">
        <v>3</v>
      </c>
      <c r="D577" s="1">
        <v>51</v>
      </c>
      <c r="E577" t="s">
        <v>6</v>
      </c>
      <c r="F577" s="1">
        <v>49</v>
      </c>
      <c r="G577" t="s">
        <v>37</v>
      </c>
      <c r="H577" s="1">
        <v>49</v>
      </c>
      <c r="I577" t="s">
        <v>219</v>
      </c>
      <c r="J577" s="1">
        <v>22</v>
      </c>
      <c r="K577" s="1">
        <v>43</v>
      </c>
      <c r="L577" s="1">
        <v>1414</v>
      </c>
      <c r="M577" s="1">
        <v>28310</v>
      </c>
      <c r="N577" s="1">
        <v>44411</v>
      </c>
      <c r="O577" s="1">
        <v>2058578</v>
      </c>
      <c r="P577" s="1">
        <v>342710</v>
      </c>
      <c r="Q577" s="1">
        <v>621678</v>
      </c>
      <c r="R577" s="1">
        <v>29861204</v>
      </c>
      <c r="S577" s="1">
        <v>41051</v>
      </c>
      <c r="T577" s="1">
        <v>41051</v>
      </c>
      <c r="U577" s="1">
        <v>49049</v>
      </c>
      <c r="V577" s="1">
        <v>1</v>
      </c>
      <c r="W577" s="1">
        <v>0</v>
      </c>
    </row>
    <row r="578">
      <c r="A578" s="1">
        <v>2019</v>
      </c>
      <c r="B578" s="1">
        <v>41</v>
      </c>
      <c r="C578" t="s">
        <v>3</v>
      </c>
      <c r="D578" s="1">
        <v>51</v>
      </c>
      <c r="E578" t="s">
        <v>6</v>
      </c>
      <c r="F578" s="1">
        <v>50</v>
      </c>
      <c r="G578" t="s">
        <v>38</v>
      </c>
      <c r="H578" s="1">
        <v>7</v>
      </c>
      <c r="I578" t="s">
        <v>155</v>
      </c>
      <c r="J578" s="1">
        <v>22</v>
      </c>
      <c r="K578" s="1">
        <v>35</v>
      </c>
      <c r="L578" s="1">
        <v>1395</v>
      </c>
      <c r="M578" s="1">
        <v>28310</v>
      </c>
      <c r="N578" s="1">
        <v>44411</v>
      </c>
      <c r="O578" s="1">
        <v>2058578</v>
      </c>
      <c r="P578" s="1">
        <v>342710</v>
      </c>
      <c r="Q578" s="1">
        <v>621678</v>
      </c>
      <c r="R578" s="1">
        <v>29861204</v>
      </c>
      <c r="S578" s="1">
        <v>41051</v>
      </c>
      <c r="T578" s="1">
        <v>41051</v>
      </c>
      <c r="U578" s="1">
        <v>50007</v>
      </c>
      <c r="V578" s="1">
        <v>1</v>
      </c>
      <c r="W578" s="1">
        <v>0</v>
      </c>
    </row>
    <row r="579">
      <c r="A579" s="1">
        <v>2019</v>
      </c>
      <c r="B579" s="1">
        <v>41</v>
      </c>
      <c r="C579" t="s">
        <v>3</v>
      </c>
      <c r="D579" s="1">
        <v>51</v>
      </c>
      <c r="E579" t="s">
        <v>6</v>
      </c>
      <c r="F579" s="1">
        <v>51</v>
      </c>
      <c r="G579" t="s">
        <v>39</v>
      </c>
      <c r="H579" s="1">
        <v>760</v>
      </c>
      <c r="I579" t="s">
        <v>227</v>
      </c>
      <c r="J579" s="1">
        <v>21</v>
      </c>
      <c r="K579" s="1">
        <v>29</v>
      </c>
      <c r="L579" s="1">
        <v>958</v>
      </c>
      <c r="M579" s="1">
        <v>28310</v>
      </c>
      <c r="N579" s="1">
        <v>44411</v>
      </c>
      <c r="O579" s="1">
        <v>2058578</v>
      </c>
      <c r="P579" s="1">
        <v>342710</v>
      </c>
      <c r="Q579" s="1">
        <v>621678</v>
      </c>
      <c r="R579" s="1">
        <v>29861204</v>
      </c>
      <c r="S579" s="1">
        <v>41051</v>
      </c>
      <c r="T579" s="1">
        <v>41051</v>
      </c>
      <c r="U579" s="1">
        <v>51760</v>
      </c>
      <c r="V579" s="1">
        <v>1</v>
      </c>
      <c r="W579" s="1">
        <v>0</v>
      </c>
    </row>
    <row r="580">
      <c r="A580" s="1">
        <v>2019</v>
      </c>
      <c r="B580" s="1">
        <v>41</v>
      </c>
      <c r="C580" t="s">
        <v>3</v>
      </c>
      <c r="D580" s="1">
        <v>51</v>
      </c>
      <c r="E580" t="s">
        <v>6</v>
      </c>
      <c r="F580" s="1">
        <v>53</v>
      </c>
      <c r="G580" t="s">
        <v>40</v>
      </c>
      <c r="H580" s="1">
        <v>5</v>
      </c>
      <c r="I580" t="s">
        <v>124</v>
      </c>
      <c r="J580" s="1">
        <v>47</v>
      </c>
      <c r="K580" s="1">
        <v>70</v>
      </c>
      <c r="L580" s="1">
        <v>2380</v>
      </c>
      <c r="M580" s="1">
        <v>28310</v>
      </c>
      <c r="N580" s="1">
        <v>44411</v>
      </c>
      <c r="O580" s="1">
        <v>2058578</v>
      </c>
      <c r="P580" s="1">
        <v>342710</v>
      </c>
      <c r="Q580" s="1">
        <v>621678</v>
      </c>
      <c r="R580" s="1">
        <v>29861204</v>
      </c>
      <c r="S580" s="1">
        <v>41051</v>
      </c>
      <c r="T580" s="1">
        <v>41051</v>
      </c>
      <c r="U580" s="1">
        <v>53005</v>
      </c>
      <c r="V580" s="1">
        <v>1</v>
      </c>
      <c r="W580" s="1">
        <v>0</v>
      </c>
    </row>
    <row r="581">
      <c r="A581" s="1">
        <v>2019</v>
      </c>
      <c r="B581" s="1">
        <v>41</v>
      </c>
      <c r="C581" t="s">
        <v>3</v>
      </c>
      <c r="D581" s="1">
        <v>51</v>
      </c>
      <c r="E581" t="s">
        <v>6</v>
      </c>
      <c r="F581" s="1">
        <v>53</v>
      </c>
      <c r="G581" t="s">
        <v>40</v>
      </c>
      <c r="H581" s="1">
        <v>11</v>
      </c>
      <c r="I581" t="s">
        <v>112</v>
      </c>
      <c r="J581" s="1">
        <v>2712</v>
      </c>
      <c r="K581" s="1">
        <v>4782</v>
      </c>
      <c r="L581" s="1">
        <v>183091</v>
      </c>
      <c r="M581" s="1">
        <v>28310</v>
      </c>
      <c r="N581" s="1">
        <v>44411</v>
      </c>
      <c r="O581" s="1">
        <v>2058578</v>
      </c>
      <c r="P581" s="1">
        <v>342710</v>
      </c>
      <c r="Q581" s="1">
        <v>621678</v>
      </c>
      <c r="R581" s="1">
        <v>29861204</v>
      </c>
      <c r="S581" s="1">
        <v>41051</v>
      </c>
      <c r="T581" s="1">
        <v>41051</v>
      </c>
      <c r="U581" s="1">
        <v>53011</v>
      </c>
      <c r="V581" s="1">
        <v>1</v>
      </c>
      <c r="W581" s="1">
        <v>0</v>
      </c>
    </row>
    <row r="582">
      <c r="A582" s="1">
        <v>2019</v>
      </c>
      <c r="B582" s="1">
        <v>41</v>
      </c>
      <c r="C582" t="s">
        <v>3</v>
      </c>
      <c r="D582" s="1">
        <v>51</v>
      </c>
      <c r="E582" t="s">
        <v>6</v>
      </c>
      <c r="F582" s="1">
        <v>53</v>
      </c>
      <c r="G582" t="s">
        <v>40</v>
      </c>
      <c r="H582" s="1">
        <v>15</v>
      </c>
      <c r="I582" t="s">
        <v>157</v>
      </c>
      <c r="J582" s="1">
        <v>181</v>
      </c>
      <c r="K582" s="1">
        <v>337</v>
      </c>
      <c r="L582" s="1">
        <v>9628</v>
      </c>
      <c r="M582" s="1">
        <v>28310</v>
      </c>
      <c r="N582" s="1">
        <v>44411</v>
      </c>
      <c r="O582" s="1">
        <v>2058578</v>
      </c>
      <c r="P582" s="1">
        <v>342710</v>
      </c>
      <c r="Q582" s="1">
        <v>621678</v>
      </c>
      <c r="R582" s="1">
        <v>29861204</v>
      </c>
      <c r="S582" s="1">
        <v>41051</v>
      </c>
      <c r="T582" s="1">
        <v>41051</v>
      </c>
      <c r="U582" s="1">
        <v>53015</v>
      </c>
      <c r="V582" s="1">
        <v>1</v>
      </c>
      <c r="W582" s="1">
        <v>0</v>
      </c>
    </row>
    <row r="583">
      <c r="A583" s="1">
        <v>2019</v>
      </c>
      <c r="B583" s="1">
        <v>41</v>
      </c>
      <c r="C583" t="s">
        <v>3</v>
      </c>
      <c r="D583" s="1">
        <v>51</v>
      </c>
      <c r="E583" t="s">
        <v>6</v>
      </c>
      <c r="F583" s="1">
        <v>53</v>
      </c>
      <c r="G583" t="s">
        <v>40</v>
      </c>
      <c r="H583" s="1">
        <v>29</v>
      </c>
      <c r="I583" t="s">
        <v>159</v>
      </c>
      <c r="J583" s="1">
        <v>25</v>
      </c>
      <c r="K583" s="1">
        <v>39</v>
      </c>
      <c r="L583" s="1">
        <v>980</v>
      </c>
      <c r="M583" s="1">
        <v>28310</v>
      </c>
      <c r="N583" s="1">
        <v>44411</v>
      </c>
      <c r="O583" s="1">
        <v>2058578</v>
      </c>
      <c r="P583" s="1">
        <v>342710</v>
      </c>
      <c r="Q583" s="1">
        <v>621678</v>
      </c>
      <c r="R583" s="1">
        <v>29861204</v>
      </c>
      <c r="S583" s="1">
        <v>41051</v>
      </c>
      <c r="T583" s="1">
        <v>41051</v>
      </c>
      <c r="U583" s="1">
        <v>53029</v>
      </c>
      <c r="V583" s="1">
        <v>1</v>
      </c>
      <c r="W583" s="1">
        <v>0</v>
      </c>
    </row>
    <row r="584">
      <c r="A584" s="1">
        <v>2019</v>
      </c>
      <c r="B584" s="1">
        <v>41</v>
      </c>
      <c r="C584" t="s">
        <v>3</v>
      </c>
      <c r="D584" s="1">
        <v>51</v>
      </c>
      <c r="E584" t="s">
        <v>6</v>
      </c>
      <c r="F584" s="1">
        <v>53</v>
      </c>
      <c r="G584" t="s">
        <v>40</v>
      </c>
      <c r="H584" s="1">
        <v>31</v>
      </c>
      <c r="I584" t="s">
        <v>83</v>
      </c>
      <c r="J584" s="1">
        <v>27</v>
      </c>
      <c r="K584" s="1">
        <v>47</v>
      </c>
      <c r="L584" s="1">
        <v>2364</v>
      </c>
      <c r="M584" s="1">
        <v>28310</v>
      </c>
      <c r="N584" s="1">
        <v>44411</v>
      </c>
      <c r="O584" s="1">
        <v>2058578</v>
      </c>
      <c r="P584" s="1">
        <v>342710</v>
      </c>
      <c r="Q584" s="1">
        <v>621678</v>
      </c>
      <c r="R584" s="1">
        <v>29861204</v>
      </c>
      <c r="S584" s="1">
        <v>41051</v>
      </c>
      <c r="T584" s="1">
        <v>41051</v>
      </c>
      <c r="U584" s="1">
        <v>53031</v>
      </c>
      <c r="V584" s="1">
        <v>1</v>
      </c>
      <c r="W584" s="1">
        <v>0</v>
      </c>
    </row>
    <row r="585">
      <c r="A585" s="1">
        <v>2019</v>
      </c>
      <c r="B585" s="1">
        <v>41</v>
      </c>
      <c r="C585" t="s">
        <v>3</v>
      </c>
      <c r="D585" s="1">
        <v>51</v>
      </c>
      <c r="E585" t="s">
        <v>6</v>
      </c>
      <c r="F585" s="1">
        <v>53</v>
      </c>
      <c r="G585" t="s">
        <v>40</v>
      </c>
      <c r="H585" s="1">
        <v>33</v>
      </c>
      <c r="I585" t="s">
        <v>160</v>
      </c>
      <c r="J585" s="1">
        <v>895</v>
      </c>
      <c r="K585" s="1">
        <v>1212</v>
      </c>
      <c r="L585" s="1">
        <v>73644</v>
      </c>
      <c r="M585" s="1">
        <v>28310</v>
      </c>
      <c r="N585" s="1">
        <v>44411</v>
      </c>
      <c r="O585" s="1">
        <v>2058578</v>
      </c>
      <c r="P585" s="1">
        <v>342710</v>
      </c>
      <c r="Q585" s="1">
        <v>621678</v>
      </c>
      <c r="R585" s="1">
        <v>29861204</v>
      </c>
      <c r="S585" s="1">
        <v>41051</v>
      </c>
      <c r="T585" s="1">
        <v>41051</v>
      </c>
      <c r="U585" s="1">
        <v>53033</v>
      </c>
      <c r="V585" s="1">
        <v>1</v>
      </c>
      <c r="W585" s="1">
        <v>0</v>
      </c>
    </row>
    <row r="586">
      <c r="A586" s="1">
        <v>2019</v>
      </c>
      <c r="B586" s="1">
        <v>41</v>
      </c>
      <c r="C586" t="s">
        <v>3</v>
      </c>
      <c r="D586" s="1">
        <v>51</v>
      </c>
      <c r="E586" t="s">
        <v>6</v>
      </c>
      <c r="F586" s="1">
        <v>53</v>
      </c>
      <c r="G586" t="s">
        <v>40</v>
      </c>
      <c r="H586" s="1">
        <v>35</v>
      </c>
      <c r="I586" t="s">
        <v>161</v>
      </c>
      <c r="J586" s="1">
        <v>63</v>
      </c>
      <c r="K586" s="1">
        <v>100</v>
      </c>
      <c r="L586" s="1">
        <v>7600</v>
      </c>
      <c r="M586" s="1">
        <v>28310</v>
      </c>
      <c r="N586" s="1">
        <v>44411</v>
      </c>
      <c r="O586" s="1">
        <v>2058578</v>
      </c>
      <c r="P586" s="1">
        <v>342710</v>
      </c>
      <c r="Q586" s="1">
        <v>621678</v>
      </c>
      <c r="R586" s="1">
        <v>29861204</v>
      </c>
      <c r="S586" s="1">
        <v>41051</v>
      </c>
      <c r="T586" s="1">
        <v>41051</v>
      </c>
      <c r="U586" s="1">
        <v>53035</v>
      </c>
      <c r="V586" s="1">
        <v>1</v>
      </c>
      <c r="W586" s="1">
        <v>0</v>
      </c>
    </row>
    <row r="587">
      <c r="A587" s="1">
        <v>2019</v>
      </c>
      <c r="B587" s="1">
        <v>41</v>
      </c>
      <c r="C587" t="s">
        <v>3</v>
      </c>
      <c r="D587" s="1">
        <v>51</v>
      </c>
      <c r="E587" t="s">
        <v>6</v>
      </c>
      <c r="F587" s="1">
        <v>53</v>
      </c>
      <c r="G587" t="s">
        <v>40</v>
      </c>
      <c r="H587" s="1">
        <v>39</v>
      </c>
      <c r="I587" t="s">
        <v>162</v>
      </c>
      <c r="J587" s="1">
        <v>66</v>
      </c>
      <c r="K587" s="1">
        <v>97</v>
      </c>
      <c r="L587" s="1">
        <v>8889</v>
      </c>
      <c r="M587" s="1">
        <v>28310</v>
      </c>
      <c r="N587" s="1">
        <v>44411</v>
      </c>
      <c r="O587" s="1">
        <v>2058578</v>
      </c>
      <c r="P587" s="1">
        <v>342710</v>
      </c>
      <c r="Q587" s="1">
        <v>621678</v>
      </c>
      <c r="R587" s="1">
        <v>29861204</v>
      </c>
      <c r="S587" s="1">
        <v>41051</v>
      </c>
      <c r="T587" s="1">
        <v>41051</v>
      </c>
      <c r="U587" s="1">
        <v>53039</v>
      </c>
      <c r="V587" s="1">
        <v>1</v>
      </c>
      <c r="W587" s="1">
        <v>0</v>
      </c>
    </row>
    <row r="588">
      <c r="A588" s="1">
        <v>2019</v>
      </c>
      <c r="B588" s="1">
        <v>41</v>
      </c>
      <c r="C588" t="s">
        <v>3</v>
      </c>
      <c r="D588" s="1">
        <v>51</v>
      </c>
      <c r="E588" t="s">
        <v>6</v>
      </c>
      <c r="F588" s="1">
        <v>53</v>
      </c>
      <c r="G588" t="s">
        <v>40</v>
      </c>
      <c r="H588" s="1">
        <v>41</v>
      </c>
      <c r="I588" t="s">
        <v>163</v>
      </c>
      <c r="J588" s="1">
        <v>25</v>
      </c>
      <c r="K588" s="1">
        <v>56</v>
      </c>
      <c r="L588" s="1">
        <v>1259</v>
      </c>
      <c r="M588" s="1">
        <v>28310</v>
      </c>
      <c r="N588" s="1">
        <v>44411</v>
      </c>
      <c r="O588" s="1">
        <v>2058578</v>
      </c>
      <c r="P588" s="1">
        <v>342710</v>
      </c>
      <c r="Q588" s="1">
        <v>621678</v>
      </c>
      <c r="R588" s="1">
        <v>29861204</v>
      </c>
      <c r="S588" s="1">
        <v>41051</v>
      </c>
      <c r="T588" s="1">
        <v>41051</v>
      </c>
      <c r="U588" s="1">
        <v>53041</v>
      </c>
      <c r="V588" s="1">
        <v>1</v>
      </c>
      <c r="W588" s="1">
        <v>0</v>
      </c>
    </row>
    <row r="589">
      <c r="A589" s="1">
        <v>2019</v>
      </c>
      <c r="B589" s="1">
        <v>41</v>
      </c>
      <c r="C589" t="s">
        <v>3</v>
      </c>
      <c r="D589" s="1">
        <v>51</v>
      </c>
      <c r="E589" t="s">
        <v>6</v>
      </c>
      <c r="F589" s="1">
        <v>53</v>
      </c>
      <c r="G589" t="s">
        <v>40</v>
      </c>
      <c r="H589" s="1">
        <v>49</v>
      </c>
      <c r="I589" t="s">
        <v>164</v>
      </c>
      <c r="J589" s="1">
        <v>38</v>
      </c>
      <c r="K589" s="1">
        <v>60</v>
      </c>
      <c r="L589" s="1">
        <v>4372</v>
      </c>
      <c r="M589" s="1">
        <v>28310</v>
      </c>
      <c r="N589" s="1">
        <v>44411</v>
      </c>
      <c r="O589" s="1">
        <v>2058578</v>
      </c>
      <c r="P589" s="1">
        <v>342710</v>
      </c>
      <c r="Q589" s="1">
        <v>621678</v>
      </c>
      <c r="R589" s="1">
        <v>29861204</v>
      </c>
      <c r="S589" s="1">
        <v>41051</v>
      </c>
      <c r="T589" s="1">
        <v>41051</v>
      </c>
      <c r="U589" s="1">
        <v>53049</v>
      </c>
      <c r="V589" s="1">
        <v>1</v>
      </c>
      <c r="W589" s="1">
        <v>0</v>
      </c>
    </row>
    <row r="590">
      <c r="A590" s="1">
        <v>2019</v>
      </c>
      <c r="B590" s="1">
        <v>41</v>
      </c>
      <c r="C590" t="s">
        <v>3</v>
      </c>
      <c r="D590" s="1">
        <v>51</v>
      </c>
      <c r="E590" t="s">
        <v>6</v>
      </c>
      <c r="F590" s="1">
        <v>53</v>
      </c>
      <c r="G590" t="s">
        <v>40</v>
      </c>
      <c r="H590" s="1">
        <v>53</v>
      </c>
      <c r="I590" t="s">
        <v>165</v>
      </c>
      <c r="J590" s="1">
        <v>161</v>
      </c>
      <c r="K590" s="1">
        <v>252</v>
      </c>
      <c r="L590" s="1">
        <v>11074</v>
      </c>
      <c r="M590" s="1">
        <v>28310</v>
      </c>
      <c r="N590" s="1">
        <v>44411</v>
      </c>
      <c r="O590" s="1">
        <v>2058578</v>
      </c>
      <c r="P590" s="1">
        <v>342710</v>
      </c>
      <c r="Q590" s="1">
        <v>621678</v>
      </c>
      <c r="R590" s="1">
        <v>29861204</v>
      </c>
      <c r="S590" s="1">
        <v>41051</v>
      </c>
      <c r="T590" s="1">
        <v>41051</v>
      </c>
      <c r="U590" s="1">
        <v>53053</v>
      </c>
      <c r="V590" s="1">
        <v>1</v>
      </c>
      <c r="W590" s="1">
        <v>0</v>
      </c>
    </row>
    <row r="591">
      <c r="A591" s="1">
        <v>2019</v>
      </c>
      <c r="B591" s="1">
        <v>41</v>
      </c>
      <c r="C591" t="s">
        <v>3</v>
      </c>
      <c r="D591" s="1">
        <v>51</v>
      </c>
      <c r="E591" t="s">
        <v>6</v>
      </c>
      <c r="F591" s="1">
        <v>53</v>
      </c>
      <c r="G591" t="s">
        <v>40</v>
      </c>
      <c r="H591" s="1">
        <v>57</v>
      </c>
      <c r="I591" t="s">
        <v>223</v>
      </c>
      <c r="J591" s="1">
        <v>24</v>
      </c>
      <c r="K591" s="1">
        <v>30</v>
      </c>
      <c r="L591" s="1">
        <v>1936</v>
      </c>
      <c r="M591" s="1">
        <v>28310</v>
      </c>
      <c r="N591" s="1">
        <v>44411</v>
      </c>
      <c r="O591" s="1">
        <v>2058578</v>
      </c>
      <c r="P591" s="1">
        <v>342710</v>
      </c>
      <c r="Q591" s="1">
        <v>621678</v>
      </c>
      <c r="R591" s="1">
        <v>29861204</v>
      </c>
      <c r="S591" s="1">
        <v>41051</v>
      </c>
      <c r="T591" s="1">
        <v>41051</v>
      </c>
      <c r="U591" s="1">
        <v>53057</v>
      </c>
      <c r="V591" s="1">
        <v>1</v>
      </c>
      <c r="W591" s="1">
        <v>0</v>
      </c>
    </row>
    <row r="592">
      <c r="A592" s="1">
        <v>2019</v>
      </c>
      <c r="B592" s="1">
        <v>41</v>
      </c>
      <c r="C592" t="s">
        <v>3</v>
      </c>
      <c r="D592" s="1">
        <v>51</v>
      </c>
      <c r="E592" t="s">
        <v>6</v>
      </c>
      <c r="F592" s="1">
        <v>53</v>
      </c>
      <c r="G592" t="s">
        <v>40</v>
      </c>
      <c r="H592" s="1">
        <v>59</v>
      </c>
      <c r="I592" t="s">
        <v>166</v>
      </c>
      <c r="J592" s="1">
        <v>43</v>
      </c>
      <c r="K592" s="1">
        <v>81</v>
      </c>
      <c r="L592" s="1">
        <v>4411</v>
      </c>
      <c r="M592" s="1">
        <v>28310</v>
      </c>
      <c r="N592" s="1">
        <v>44411</v>
      </c>
      <c r="O592" s="1">
        <v>2058578</v>
      </c>
      <c r="P592" s="1">
        <v>342710</v>
      </c>
      <c r="Q592" s="1">
        <v>621678</v>
      </c>
      <c r="R592" s="1">
        <v>29861204</v>
      </c>
      <c r="S592" s="1">
        <v>41051</v>
      </c>
      <c r="T592" s="1">
        <v>41051</v>
      </c>
      <c r="U592" s="1">
        <v>53059</v>
      </c>
      <c r="V592" s="1">
        <v>1</v>
      </c>
      <c r="W592" s="1">
        <v>0</v>
      </c>
    </row>
    <row r="593">
      <c r="A593" s="1">
        <v>2019</v>
      </c>
      <c r="B593" s="1">
        <v>41</v>
      </c>
      <c r="C593" t="s">
        <v>3</v>
      </c>
      <c r="D593" s="1">
        <v>51</v>
      </c>
      <c r="E593" t="s">
        <v>6</v>
      </c>
      <c r="F593" s="1">
        <v>53</v>
      </c>
      <c r="G593" t="s">
        <v>40</v>
      </c>
      <c r="H593" s="1">
        <v>61</v>
      </c>
      <c r="I593" t="s">
        <v>167</v>
      </c>
      <c r="J593" s="1">
        <v>129</v>
      </c>
      <c r="K593" s="1">
        <v>179</v>
      </c>
      <c r="L593" s="1">
        <v>7516</v>
      </c>
      <c r="M593" s="1">
        <v>28310</v>
      </c>
      <c r="N593" s="1">
        <v>44411</v>
      </c>
      <c r="O593" s="1">
        <v>2058578</v>
      </c>
      <c r="P593" s="1">
        <v>342710</v>
      </c>
      <c r="Q593" s="1">
        <v>621678</v>
      </c>
      <c r="R593" s="1">
        <v>29861204</v>
      </c>
      <c r="S593" s="1">
        <v>41051</v>
      </c>
      <c r="T593" s="1">
        <v>41051</v>
      </c>
      <c r="U593" s="1">
        <v>53061</v>
      </c>
      <c r="V593" s="1">
        <v>1</v>
      </c>
      <c r="W593" s="1">
        <v>0</v>
      </c>
    </row>
    <row r="594">
      <c r="A594" s="1">
        <v>2019</v>
      </c>
      <c r="B594" s="1">
        <v>41</v>
      </c>
      <c r="C594" t="s">
        <v>3</v>
      </c>
      <c r="D594" s="1">
        <v>51</v>
      </c>
      <c r="E594" t="s">
        <v>6</v>
      </c>
      <c r="F594" s="1">
        <v>53</v>
      </c>
      <c r="G594" t="s">
        <v>40</v>
      </c>
      <c r="H594" s="1">
        <v>63</v>
      </c>
      <c r="I594" t="s">
        <v>168</v>
      </c>
      <c r="J594" s="1">
        <v>152</v>
      </c>
      <c r="K594" s="1">
        <v>227</v>
      </c>
      <c r="L594" s="1">
        <v>8182</v>
      </c>
      <c r="M594" s="1">
        <v>28310</v>
      </c>
      <c r="N594" s="1">
        <v>44411</v>
      </c>
      <c r="O594" s="1">
        <v>2058578</v>
      </c>
      <c r="P594" s="1">
        <v>342710</v>
      </c>
      <c r="Q594" s="1">
        <v>621678</v>
      </c>
      <c r="R594" s="1">
        <v>29861204</v>
      </c>
      <c r="S594" s="1">
        <v>41051</v>
      </c>
      <c r="T594" s="1">
        <v>41051</v>
      </c>
      <c r="U594" s="1">
        <v>53063</v>
      </c>
      <c r="V594" s="1">
        <v>1</v>
      </c>
      <c r="W594" s="1">
        <v>0</v>
      </c>
    </row>
    <row r="595">
      <c r="A595" s="1">
        <v>2019</v>
      </c>
      <c r="B595" s="1">
        <v>41</v>
      </c>
      <c r="C595" t="s">
        <v>3</v>
      </c>
      <c r="D595" s="1">
        <v>51</v>
      </c>
      <c r="E595" t="s">
        <v>6</v>
      </c>
      <c r="F595" s="1">
        <v>53</v>
      </c>
      <c r="G595" t="s">
        <v>40</v>
      </c>
      <c r="H595" s="1">
        <v>67</v>
      </c>
      <c r="I595" t="s">
        <v>169</v>
      </c>
      <c r="J595" s="1">
        <v>93</v>
      </c>
      <c r="K595" s="1">
        <v>145</v>
      </c>
      <c r="L595" s="1">
        <v>5734</v>
      </c>
      <c r="M595" s="1">
        <v>28310</v>
      </c>
      <c r="N595" s="1">
        <v>44411</v>
      </c>
      <c r="O595" s="1">
        <v>2058578</v>
      </c>
      <c r="P595" s="1">
        <v>342710</v>
      </c>
      <c r="Q595" s="1">
        <v>621678</v>
      </c>
      <c r="R595" s="1">
        <v>29861204</v>
      </c>
      <c r="S595" s="1">
        <v>41051</v>
      </c>
      <c r="T595" s="1">
        <v>41051</v>
      </c>
      <c r="U595" s="1">
        <v>53067</v>
      </c>
      <c r="V595" s="1">
        <v>1</v>
      </c>
      <c r="W595" s="1">
        <v>0</v>
      </c>
    </row>
    <row r="596">
      <c r="A596" s="1">
        <v>2019</v>
      </c>
      <c r="B596" s="1">
        <v>41</v>
      </c>
      <c r="C596" t="s">
        <v>3</v>
      </c>
      <c r="D596" s="1">
        <v>51</v>
      </c>
      <c r="E596" t="s">
        <v>6</v>
      </c>
      <c r="F596" s="1">
        <v>53</v>
      </c>
      <c r="G596" t="s">
        <v>40</v>
      </c>
      <c r="H596" s="1">
        <v>71</v>
      </c>
      <c r="I596" t="s">
        <v>170</v>
      </c>
      <c r="J596" s="1">
        <v>23</v>
      </c>
      <c r="K596" s="1">
        <v>36</v>
      </c>
      <c r="L596" s="1">
        <v>1119</v>
      </c>
      <c r="M596" s="1">
        <v>28310</v>
      </c>
      <c r="N596" s="1">
        <v>44411</v>
      </c>
      <c r="O596" s="1">
        <v>2058578</v>
      </c>
      <c r="P596" s="1">
        <v>342710</v>
      </c>
      <c r="Q596" s="1">
        <v>621678</v>
      </c>
      <c r="R596" s="1">
        <v>29861204</v>
      </c>
      <c r="S596" s="1">
        <v>41051</v>
      </c>
      <c r="T596" s="1">
        <v>41051</v>
      </c>
      <c r="U596" s="1">
        <v>53071</v>
      </c>
      <c r="V596" s="1">
        <v>1</v>
      </c>
      <c r="W596" s="1">
        <v>0</v>
      </c>
    </row>
    <row r="597">
      <c r="A597" s="1">
        <v>2019</v>
      </c>
      <c r="B597" s="1">
        <v>41</v>
      </c>
      <c r="C597" t="s">
        <v>3</v>
      </c>
      <c r="D597" s="1">
        <v>51</v>
      </c>
      <c r="E597" t="s">
        <v>6</v>
      </c>
      <c r="F597" s="1">
        <v>53</v>
      </c>
      <c r="G597" t="s">
        <v>40</v>
      </c>
      <c r="H597" s="1">
        <v>73</v>
      </c>
      <c r="I597" t="s">
        <v>171</v>
      </c>
      <c r="J597" s="1">
        <v>65</v>
      </c>
      <c r="K597" s="1">
        <v>99</v>
      </c>
      <c r="L597" s="1">
        <v>4211</v>
      </c>
      <c r="M597" s="1">
        <v>28310</v>
      </c>
      <c r="N597" s="1">
        <v>44411</v>
      </c>
      <c r="O597" s="1">
        <v>2058578</v>
      </c>
      <c r="P597" s="1">
        <v>342710</v>
      </c>
      <c r="Q597" s="1">
        <v>621678</v>
      </c>
      <c r="R597" s="1">
        <v>29861204</v>
      </c>
      <c r="S597" s="1">
        <v>41051</v>
      </c>
      <c r="T597" s="1">
        <v>41051</v>
      </c>
      <c r="U597" s="1">
        <v>53073</v>
      </c>
      <c r="V597" s="1">
        <v>1</v>
      </c>
      <c r="W597" s="1">
        <v>0</v>
      </c>
    </row>
    <row r="598">
      <c r="A598" s="1">
        <v>2019</v>
      </c>
      <c r="B598" s="1">
        <v>41</v>
      </c>
      <c r="C598" t="s">
        <v>3</v>
      </c>
      <c r="D598" s="1">
        <v>51</v>
      </c>
      <c r="E598" t="s">
        <v>6</v>
      </c>
      <c r="F598" s="1">
        <v>53</v>
      </c>
      <c r="G598" t="s">
        <v>40</v>
      </c>
      <c r="H598" s="1">
        <v>75</v>
      </c>
      <c r="I598" t="s">
        <v>228</v>
      </c>
      <c r="J598" s="1">
        <v>21</v>
      </c>
      <c r="K598" s="1">
        <v>33</v>
      </c>
      <c r="L598" s="1">
        <v>1126</v>
      </c>
      <c r="M598" s="1">
        <v>28310</v>
      </c>
      <c r="N598" s="1">
        <v>44411</v>
      </c>
      <c r="O598" s="1">
        <v>2058578</v>
      </c>
      <c r="P598" s="1">
        <v>342710</v>
      </c>
      <c r="Q598" s="1">
        <v>621678</v>
      </c>
      <c r="R598" s="1">
        <v>29861204</v>
      </c>
      <c r="S598" s="1">
        <v>41051</v>
      </c>
      <c r="T598" s="1">
        <v>41051</v>
      </c>
      <c r="U598" s="1">
        <v>53075</v>
      </c>
      <c r="V598" s="1">
        <v>1</v>
      </c>
      <c r="W598" s="1">
        <v>0</v>
      </c>
    </row>
    <row r="599">
      <c r="A599" s="1">
        <v>2019</v>
      </c>
      <c r="B599" s="1">
        <v>41</v>
      </c>
      <c r="C599" t="s">
        <v>3</v>
      </c>
      <c r="D599" s="1">
        <v>51</v>
      </c>
      <c r="E599" t="s">
        <v>6</v>
      </c>
      <c r="F599" s="1">
        <v>53</v>
      </c>
      <c r="G599" t="s">
        <v>40</v>
      </c>
      <c r="H599" s="1">
        <v>77</v>
      </c>
      <c r="I599" t="s">
        <v>172</v>
      </c>
      <c r="J599" s="1">
        <v>31</v>
      </c>
      <c r="K599" s="1">
        <v>48</v>
      </c>
      <c r="L599" s="1">
        <v>1185</v>
      </c>
      <c r="M599" s="1">
        <v>28310</v>
      </c>
      <c r="N599" s="1">
        <v>44411</v>
      </c>
      <c r="O599" s="1">
        <v>2058578</v>
      </c>
      <c r="P599" s="1">
        <v>342710</v>
      </c>
      <c r="Q599" s="1">
        <v>621678</v>
      </c>
      <c r="R599" s="1">
        <v>29861204</v>
      </c>
      <c r="S599" s="1">
        <v>41051</v>
      </c>
      <c r="T599" s="1">
        <v>41051</v>
      </c>
      <c r="U599" s="1">
        <v>53077</v>
      </c>
      <c r="V599" s="1">
        <v>1</v>
      </c>
      <c r="W599" s="1">
        <v>0</v>
      </c>
    </row>
    <row r="600">
      <c r="A600" s="1">
        <v>2019</v>
      </c>
      <c r="B600" s="1">
        <v>41</v>
      </c>
      <c r="C600" t="s">
        <v>3</v>
      </c>
      <c r="D600" s="1">
        <v>51</v>
      </c>
      <c r="E600" t="s">
        <v>6</v>
      </c>
      <c r="F600" s="1">
        <v>55</v>
      </c>
      <c r="G600" t="s">
        <v>41</v>
      </c>
      <c r="H600" s="1">
        <v>25</v>
      </c>
      <c r="I600" t="s">
        <v>173</v>
      </c>
      <c r="J600" s="1">
        <v>40</v>
      </c>
      <c r="K600" s="1">
        <v>51</v>
      </c>
      <c r="L600" s="1">
        <v>2501</v>
      </c>
      <c r="M600" s="1">
        <v>28310</v>
      </c>
      <c r="N600" s="1">
        <v>44411</v>
      </c>
      <c r="O600" s="1">
        <v>2058578</v>
      </c>
      <c r="P600" s="1">
        <v>342710</v>
      </c>
      <c r="Q600" s="1">
        <v>621678</v>
      </c>
      <c r="R600" s="1">
        <v>29861204</v>
      </c>
      <c r="S600" s="1">
        <v>41051</v>
      </c>
      <c r="T600" s="1">
        <v>41051</v>
      </c>
      <c r="U600" s="1">
        <v>55025</v>
      </c>
      <c r="V600" s="1">
        <v>1</v>
      </c>
      <c r="W600" s="1">
        <v>0</v>
      </c>
    </row>
    <row r="601">
      <c r="A601" s="1">
        <v>2019</v>
      </c>
      <c r="B601" s="1">
        <v>41</v>
      </c>
      <c r="C601" t="s">
        <v>3</v>
      </c>
      <c r="D601" s="1">
        <v>51</v>
      </c>
      <c r="E601" t="s">
        <v>6</v>
      </c>
      <c r="F601" s="1">
        <v>55</v>
      </c>
      <c r="G601" t="s">
        <v>41</v>
      </c>
      <c r="H601" s="1">
        <v>79</v>
      </c>
      <c r="I601" t="s">
        <v>174</v>
      </c>
      <c r="J601" s="1">
        <v>25</v>
      </c>
      <c r="K601" s="1">
        <v>34</v>
      </c>
      <c r="L601" s="1">
        <v>1897</v>
      </c>
      <c r="M601" s="1">
        <v>28310</v>
      </c>
      <c r="N601" s="1">
        <v>44411</v>
      </c>
      <c r="O601" s="1">
        <v>2058578</v>
      </c>
      <c r="P601" s="1">
        <v>342710</v>
      </c>
      <c r="Q601" s="1">
        <v>621678</v>
      </c>
      <c r="R601" s="1">
        <v>29861204</v>
      </c>
      <c r="S601" s="1">
        <v>41051</v>
      </c>
      <c r="T601" s="1">
        <v>41051</v>
      </c>
      <c r="U601" s="1">
        <v>55079</v>
      </c>
      <c r="V601" s="1">
        <v>1</v>
      </c>
      <c r="W601" s="1">
        <v>0</v>
      </c>
    </row>
    <row r="602">
      <c r="A602" s="1">
        <v>2020</v>
      </c>
      <c r="B602" s="1">
        <v>41</v>
      </c>
      <c r="C602" t="s">
        <v>3</v>
      </c>
      <c r="D602" s="1">
        <v>51</v>
      </c>
      <c r="E602" t="s">
        <v>6</v>
      </c>
      <c r="F602" s="1">
        <v>2</v>
      </c>
      <c r="G602" t="s">
        <v>9</v>
      </c>
      <c r="H602" s="1">
        <v>20</v>
      </c>
      <c r="I602" t="s">
        <v>52</v>
      </c>
      <c r="J602" s="1">
        <v>48</v>
      </c>
      <c r="K602" s="1">
        <v>72</v>
      </c>
      <c r="L602" s="1">
        <v>3038</v>
      </c>
      <c r="M602" s="1">
        <v>32214</v>
      </c>
      <c r="N602" s="1">
        <v>51593</v>
      </c>
      <c r="O602" s="1">
        <v>2469717</v>
      </c>
      <c r="P602" s="1">
        <v>348477</v>
      </c>
      <c r="Q602" s="1">
        <v>638004</v>
      </c>
      <c r="R602" s="1">
        <v>31134364</v>
      </c>
      <c r="S602" s="1">
        <v>41051</v>
      </c>
      <c r="T602" s="1">
        <v>41051</v>
      </c>
      <c r="U602" s="1">
        <v>2020</v>
      </c>
      <c r="V602" s="1">
        <v>1</v>
      </c>
      <c r="W602" s="1">
        <v>0</v>
      </c>
    </row>
    <row r="603">
      <c r="A603" s="1">
        <v>2020</v>
      </c>
      <c r="B603" s="1">
        <v>41</v>
      </c>
      <c r="C603" t="s">
        <v>3</v>
      </c>
      <c r="D603" s="1">
        <v>51</v>
      </c>
      <c r="E603" t="s">
        <v>6</v>
      </c>
      <c r="F603" s="1">
        <v>4</v>
      </c>
      <c r="G603" t="s">
        <v>10</v>
      </c>
      <c r="H603" s="1">
        <v>5</v>
      </c>
      <c r="I603" t="s">
        <v>175</v>
      </c>
      <c r="J603" s="1">
        <v>20</v>
      </c>
      <c r="K603" s="1">
        <v>31</v>
      </c>
      <c r="L603" s="1">
        <v>1529</v>
      </c>
      <c r="M603" s="1">
        <v>32214</v>
      </c>
      <c r="N603" s="1">
        <v>51593</v>
      </c>
      <c r="O603" s="1">
        <v>2469717</v>
      </c>
      <c r="P603" s="1">
        <v>348477</v>
      </c>
      <c r="Q603" s="1">
        <v>638004</v>
      </c>
      <c r="R603" s="1">
        <v>31134364</v>
      </c>
      <c r="S603" s="1">
        <v>41051</v>
      </c>
      <c r="T603" s="1">
        <v>41051</v>
      </c>
      <c r="U603" s="1">
        <v>4005</v>
      </c>
      <c r="V603" s="1">
        <v>1</v>
      </c>
      <c r="W603" s="1">
        <v>0</v>
      </c>
    </row>
    <row r="604">
      <c r="A604" s="1">
        <v>2020</v>
      </c>
      <c r="B604" s="1">
        <v>41</v>
      </c>
      <c r="C604" t="s">
        <v>3</v>
      </c>
      <c r="D604" s="1">
        <v>51</v>
      </c>
      <c r="E604" t="s">
        <v>6</v>
      </c>
      <c r="F604" s="1">
        <v>4</v>
      </c>
      <c r="G604" t="s">
        <v>10</v>
      </c>
      <c r="H604" s="1">
        <v>13</v>
      </c>
      <c r="I604" t="s">
        <v>53</v>
      </c>
      <c r="J604" s="1">
        <v>422</v>
      </c>
      <c r="K604" s="1">
        <v>669</v>
      </c>
      <c r="L604" s="1">
        <v>30018</v>
      </c>
      <c r="M604" s="1">
        <v>32214</v>
      </c>
      <c r="N604" s="1">
        <v>51593</v>
      </c>
      <c r="O604" s="1">
        <v>2469717</v>
      </c>
      <c r="P604" s="1">
        <v>348477</v>
      </c>
      <c r="Q604" s="1">
        <v>638004</v>
      </c>
      <c r="R604" s="1">
        <v>31134364</v>
      </c>
      <c r="S604" s="1">
        <v>41051</v>
      </c>
      <c r="T604" s="1">
        <v>41051</v>
      </c>
      <c r="U604" s="1">
        <v>4013</v>
      </c>
      <c r="V604" s="1">
        <v>1</v>
      </c>
      <c r="W604" s="1">
        <v>0</v>
      </c>
    </row>
    <row r="605">
      <c r="A605" s="1">
        <v>2020</v>
      </c>
      <c r="B605" s="1">
        <v>41</v>
      </c>
      <c r="C605" t="s">
        <v>3</v>
      </c>
      <c r="D605" s="1">
        <v>51</v>
      </c>
      <c r="E605" t="s">
        <v>6</v>
      </c>
      <c r="F605" s="1">
        <v>4</v>
      </c>
      <c r="G605" t="s">
        <v>10</v>
      </c>
      <c r="H605" s="1">
        <v>15</v>
      </c>
      <c r="I605" t="s">
        <v>224</v>
      </c>
      <c r="J605" s="1">
        <v>20</v>
      </c>
      <c r="K605" s="1">
        <v>40</v>
      </c>
      <c r="L605" s="1">
        <v>1092</v>
      </c>
      <c r="M605" s="1">
        <v>32214</v>
      </c>
      <c r="N605" s="1">
        <v>51593</v>
      </c>
      <c r="O605" s="1">
        <v>2469717</v>
      </c>
      <c r="P605" s="1">
        <v>348477</v>
      </c>
      <c r="Q605" s="1">
        <v>638004</v>
      </c>
      <c r="R605" s="1">
        <v>31134364</v>
      </c>
      <c r="S605" s="1">
        <v>41051</v>
      </c>
      <c r="T605" s="1">
        <v>41051</v>
      </c>
      <c r="U605" s="1">
        <v>4015</v>
      </c>
      <c r="V605" s="1">
        <v>1</v>
      </c>
      <c r="W605" s="1">
        <v>0</v>
      </c>
    </row>
    <row r="606">
      <c r="A606" s="1">
        <v>2020</v>
      </c>
      <c r="B606" s="1">
        <v>41</v>
      </c>
      <c r="C606" t="s">
        <v>3</v>
      </c>
      <c r="D606" s="1">
        <v>51</v>
      </c>
      <c r="E606" t="s">
        <v>6</v>
      </c>
      <c r="F606" s="1">
        <v>4</v>
      </c>
      <c r="G606" t="s">
        <v>10</v>
      </c>
      <c r="H606" s="1">
        <v>19</v>
      </c>
      <c r="I606" t="s">
        <v>54</v>
      </c>
      <c r="J606" s="1">
        <v>109</v>
      </c>
      <c r="K606" s="1">
        <v>157</v>
      </c>
      <c r="L606" s="1">
        <v>6498</v>
      </c>
      <c r="M606" s="1">
        <v>32214</v>
      </c>
      <c r="N606" s="1">
        <v>51593</v>
      </c>
      <c r="O606" s="1">
        <v>2469717</v>
      </c>
      <c r="P606" s="1">
        <v>348477</v>
      </c>
      <c r="Q606" s="1">
        <v>638004</v>
      </c>
      <c r="R606" s="1">
        <v>31134364</v>
      </c>
      <c r="S606" s="1">
        <v>41051</v>
      </c>
      <c r="T606" s="1">
        <v>41051</v>
      </c>
      <c r="U606" s="1">
        <v>4019</v>
      </c>
      <c r="V606" s="1">
        <v>1</v>
      </c>
      <c r="W606" s="1">
        <v>0</v>
      </c>
    </row>
    <row r="607">
      <c r="A607" s="1">
        <v>2020</v>
      </c>
      <c r="B607" s="1">
        <v>41</v>
      </c>
      <c r="C607" t="s">
        <v>3</v>
      </c>
      <c r="D607" s="1">
        <v>51</v>
      </c>
      <c r="E607" t="s">
        <v>6</v>
      </c>
      <c r="F607" s="1">
        <v>4</v>
      </c>
      <c r="G607" t="s">
        <v>10</v>
      </c>
      <c r="H607" s="1">
        <v>21</v>
      </c>
      <c r="I607" t="s">
        <v>55</v>
      </c>
      <c r="J607" s="1">
        <v>30</v>
      </c>
      <c r="K607" s="1">
        <v>58</v>
      </c>
      <c r="L607" s="1">
        <v>2283</v>
      </c>
      <c r="M607" s="1">
        <v>32214</v>
      </c>
      <c r="N607" s="1">
        <v>51593</v>
      </c>
      <c r="O607" s="1">
        <v>2469717</v>
      </c>
      <c r="P607" s="1">
        <v>348477</v>
      </c>
      <c r="Q607" s="1">
        <v>638004</v>
      </c>
      <c r="R607" s="1">
        <v>31134364</v>
      </c>
      <c r="S607" s="1">
        <v>41051</v>
      </c>
      <c r="T607" s="1">
        <v>41051</v>
      </c>
      <c r="U607" s="1">
        <v>4021</v>
      </c>
      <c r="V607" s="1">
        <v>1</v>
      </c>
      <c r="W607" s="1">
        <v>0</v>
      </c>
    </row>
    <row r="608">
      <c r="A608" s="1">
        <v>2020</v>
      </c>
      <c r="B608" s="1">
        <v>41</v>
      </c>
      <c r="C608" t="s">
        <v>3</v>
      </c>
      <c r="D608" s="1">
        <v>51</v>
      </c>
      <c r="E608" t="s">
        <v>6</v>
      </c>
      <c r="F608" s="1">
        <v>4</v>
      </c>
      <c r="G608" t="s">
        <v>10</v>
      </c>
      <c r="H608" s="1">
        <v>25</v>
      </c>
      <c r="I608" t="s">
        <v>176</v>
      </c>
      <c r="J608" s="1">
        <v>29</v>
      </c>
      <c r="K608" s="1">
        <v>47</v>
      </c>
      <c r="L608" s="1">
        <v>1919</v>
      </c>
      <c r="M608" s="1">
        <v>32214</v>
      </c>
      <c r="N608" s="1">
        <v>51593</v>
      </c>
      <c r="O608" s="1">
        <v>2469717</v>
      </c>
      <c r="P608" s="1">
        <v>348477</v>
      </c>
      <c r="Q608" s="1">
        <v>638004</v>
      </c>
      <c r="R608" s="1">
        <v>31134364</v>
      </c>
      <c r="S608" s="1">
        <v>41051</v>
      </c>
      <c r="T608" s="1">
        <v>41051</v>
      </c>
      <c r="U608" s="1">
        <v>4025</v>
      </c>
      <c r="V608" s="1">
        <v>1</v>
      </c>
      <c r="W608" s="1">
        <v>0</v>
      </c>
    </row>
    <row r="609">
      <c r="A609" s="1">
        <v>2020</v>
      </c>
      <c r="B609" s="1">
        <v>41</v>
      </c>
      <c r="C609" t="s">
        <v>3</v>
      </c>
      <c r="D609" s="1">
        <v>51</v>
      </c>
      <c r="E609" t="s">
        <v>6</v>
      </c>
      <c r="F609" s="1">
        <v>6</v>
      </c>
      <c r="G609" t="s">
        <v>11</v>
      </c>
      <c r="H609" s="1">
        <v>1</v>
      </c>
      <c r="I609" t="s">
        <v>56</v>
      </c>
      <c r="J609" s="1">
        <v>151</v>
      </c>
      <c r="K609" s="1">
        <v>183</v>
      </c>
      <c r="L609" s="1">
        <v>13922</v>
      </c>
      <c r="M609" s="1">
        <v>32214</v>
      </c>
      <c r="N609" s="1">
        <v>51593</v>
      </c>
      <c r="O609" s="1">
        <v>2469717</v>
      </c>
      <c r="P609" s="1">
        <v>348477</v>
      </c>
      <c r="Q609" s="1">
        <v>638004</v>
      </c>
      <c r="R609" s="1">
        <v>31134364</v>
      </c>
      <c r="S609" s="1">
        <v>41051</v>
      </c>
      <c r="T609" s="1">
        <v>41051</v>
      </c>
      <c r="U609" s="1">
        <v>6001</v>
      </c>
      <c r="V609" s="1">
        <v>1</v>
      </c>
      <c r="W609" s="1">
        <v>0</v>
      </c>
    </row>
    <row r="610">
      <c r="A610" s="1">
        <v>2020</v>
      </c>
      <c r="B610" s="1">
        <v>41</v>
      </c>
      <c r="C610" t="s">
        <v>3</v>
      </c>
      <c r="D610" s="1">
        <v>51</v>
      </c>
      <c r="E610" t="s">
        <v>6</v>
      </c>
      <c r="F610" s="1">
        <v>6</v>
      </c>
      <c r="G610" t="s">
        <v>11</v>
      </c>
      <c r="H610" s="1">
        <v>13</v>
      </c>
      <c r="I610" t="s">
        <v>57</v>
      </c>
      <c r="J610" s="1">
        <v>65</v>
      </c>
      <c r="K610" s="1">
        <v>97</v>
      </c>
      <c r="L610" s="1">
        <v>4477</v>
      </c>
      <c r="M610" s="1">
        <v>32214</v>
      </c>
      <c r="N610" s="1">
        <v>51593</v>
      </c>
      <c r="O610" s="1">
        <v>2469717</v>
      </c>
      <c r="P610" s="1">
        <v>348477</v>
      </c>
      <c r="Q610" s="1">
        <v>638004</v>
      </c>
      <c r="R610" s="1">
        <v>31134364</v>
      </c>
      <c r="S610" s="1">
        <v>41051</v>
      </c>
      <c r="T610" s="1">
        <v>41051</v>
      </c>
      <c r="U610" s="1">
        <v>6013</v>
      </c>
      <c r="V610" s="1">
        <v>1</v>
      </c>
      <c r="W610" s="1">
        <v>0</v>
      </c>
    </row>
    <row r="611">
      <c r="A611" s="1">
        <v>2020</v>
      </c>
      <c r="B611" s="1">
        <v>41</v>
      </c>
      <c r="C611" t="s">
        <v>3</v>
      </c>
      <c r="D611" s="1">
        <v>51</v>
      </c>
      <c r="E611" t="s">
        <v>6</v>
      </c>
      <c r="F611" s="1">
        <v>6</v>
      </c>
      <c r="G611" t="s">
        <v>11</v>
      </c>
      <c r="H611" s="1">
        <v>17</v>
      </c>
      <c r="I611" t="s">
        <v>229</v>
      </c>
      <c r="J611" s="1">
        <v>20</v>
      </c>
      <c r="K611" s="1">
        <v>22</v>
      </c>
      <c r="L611" s="1">
        <v>830</v>
      </c>
      <c r="M611" s="1">
        <v>32214</v>
      </c>
      <c r="N611" s="1">
        <v>51593</v>
      </c>
      <c r="O611" s="1">
        <v>2469717</v>
      </c>
      <c r="P611" s="1">
        <v>348477</v>
      </c>
      <c r="Q611" s="1">
        <v>638004</v>
      </c>
      <c r="R611" s="1">
        <v>31134364</v>
      </c>
      <c r="S611" s="1">
        <v>41051</v>
      </c>
      <c r="T611" s="1">
        <v>41051</v>
      </c>
      <c r="U611" s="1">
        <v>6017</v>
      </c>
      <c r="V611" s="1">
        <v>1</v>
      </c>
      <c r="W611" s="1">
        <v>0</v>
      </c>
    </row>
    <row r="612">
      <c r="A612" s="1">
        <v>2020</v>
      </c>
      <c r="B612" s="1">
        <v>41</v>
      </c>
      <c r="C612" t="s">
        <v>3</v>
      </c>
      <c r="D612" s="1">
        <v>51</v>
      </c>
      <c r="E612" t="s">
        <v>6</v>
      </c>
      <c r="F612" s="1">
        <v>6</v>
      </c>
      <c r="G612" t="s">
        <v>11</v>
      </c>
      <c r="H612" s="1">
        <v>19</v>
      </c>
      <c r="I612" t="s">
        <v>58</v>
      </c>
      <c r="J612" s="1">
        <v>30</v>
      </c>
      <c r="K612" s="1">
        <v>45</v>
      </c>
      <c r="L612" s="1">
        <v>1220</v>
      </c>
      <c r="M612" s="1">
        <v>32214</v>
      </c>
      <c r="N612" s="1">
        <v>51593</v>
      </c>
      <c r="O612" s="1">
        <v>2469717</v>
      </c>
      <c r="P612" s="1">
        <v>348477</v>
      </c>
      <c r="Q612" s="1">
        <v>638004</v>
      </c>
      <c r="R612" s="1">
        <v>31134364</v>
      </c>
      <c r="S612" s="1">
        <v>41051</v>
      </c>
      <c r="T612" s="1">
        <v>41051</v>
      </c>
      <c r="U612" s="1">
        <v>6019</v>
      </c>
      <c r="V612" s="1">
        <v>1</v>
      </c>
      <c r="W612" s="1">
        <v>0</v>
      </c>
    </row>
    <row r="613">
      <c r="A613" s="1">
        <v>2020</v>
      </c>
      <c r="B613" s="1">
        <v>41</v>
      </c>
      <c r="C613" t="s">
        <v>3</v>
      </c>
      <c r="D613" s="1">
        <v>51</v>
      </c>
      <c r="E613" t="s">
        <v>6</v>
      </c>
      <c r="F613" s="1">
        <v>6</v>
      </c>
      <c r="G613" t="s">
        <v>11</v>
      </c>
      <c r="H613" s="1">
        <v>23</v>
      </c>
      <c r="I613" t="s">
        <v>59</v>
      </c>
      <c r="J613" s="1">
        <v>39</v>
      </c>
      <c r="K613" s="1">
        <v>51</v>
      </c>
      <c r="L613" s="1">
        <v>1635</v>
      </c>
      <c r="M613" s="1">
        <v>32214</v>
      </c>
      <c r="N613" s="1">
        <v>51593</v>
      </c>
      <c r="O613" s="1">
        <v>2469717</v>
      </c>
      <c r="P613" s="1">
        <v>348477</v>
      </c>
      <c r="Q613" s="1">
        <v>638004</v>
      </c>
      <c r="R613" s="1">
        <v>31134364</v>
      </c>
      <c r="S613" s="1">
        <v>41051</v>
      </c>
      <c r="T613" s="1">
        <v>41051</v>
      </c>
      <c r="U613" s="1">
        <v>6023</v>
      </c>
      <c r="V613" s="1">
        <v>1</v>
      </c>
      <c r="W613" s="1">
        <v>0</v>
      </c>
    </row>
    <row r="614">
      <c r="A614" s="1">
        <v>2020</v>
      </c>
      <c r="B614" s="1">
        <v>41</v>
      </c>
      <c r="C614" t="s">
        <v>3</v>
      </c>
      <c r="D614" s="1">
        <v>51</v>
      </c>
      <c r="E614" t="s">
        <v>6</v>
      </c>
      <c r="F614" s="1">
        <v>6</v>
      </c>
      <c r="G614" t="s">
        <v>11</v>
      </c>
      <c r="H614" s="1">
        <v>29</v>
      </c>
      <c r="I614" t="s">
        <v>60</v>
      </c>
      <c r="J614" s="1">
        <v>24</v>
      </c>
      <c r="K614" s="1">
        <v>37</v>
      </c>
      <c r="L614" s="1">
        <v>1002</v>
      </c>
      <c r="M614" s="1">
        <v>32214</v>
      </c>
      <c r="N614" s="1">
        <v>51593</v>
      </c>
      <c r="O614" s="1">
        <v>2469717</v>
      </c>
      <c r="P614" s="1">
        <v>348477</v>
      </c>
      <c r="Q614" s="1">
        <v>638004</v>
      </c>
      <c r="R614" s="1">
        <v>31134364</v>
      </c>
      <c r="S614" s="1">
        <v>41051</v>
      </c>
      <c r="T614" s="1">
        <v>41051</v>
      </c>
      <c r="U614" s="1">
        <v>6029</v>
      </c>
      <c r="V614" s="1">
        <v>1</v>
      </c>
      <c r="W614" s="1">
        <v>0</v>
      </c>
    </row>
    <row r="615">
      <c r="A615" s="1">
        <v>2020</v>
      </c>
      <c r="B615" s="1">
        <v>41</v>
      </c>
      <c r="C615" t="s">
        <v>3</v>
      </c>
      <c r="D615" s="1">
        <v>51</v>
      </c>
      <c r="E615" t="s">
        <v>6</v>
      </c>
      <c r="F615" s="1">
        <v>6</v>
      </c>
      <c r="G615" t="s">
        <v>11</v>
      </c>
      <c r="H615" s="1">
        <v>37</v>
      </c>
      <c r="I615" t="s">
        <v>61</v>
      </c>
      <c r="J615" s="1">
        <v>577</v>
      </c>
      <c r="K615" s="1">
        <v>747</v>
      </c>
      <c r="L615" s="1">
        <v>37547</v>
      </c>
      <c r="M615" s="1">
        <v>32214</v>
      </c>
      <c r="N615" s="1">
        <v>51593</v>
      </c>
      <c r="O615" s="1">
        <v>2469717</v>
      </c>
      <c r="P615" s="1">
        <v>348477</v>
      </c>
      <c r="Q615" s="1">
        <v>638004</v>
      </c>
      <c r="R615" s="1">
        <v>31134364</v>
      </c>
      <c r="S615" s="1">
        <v>41051</v>
      </c>
      <c r="T615" s="1">
        <v>41051</v>
      </c>
      <c r="U615" s="1">
        <v>6037</v>
      </c>
      <c r="V615" s="1">
        <v>1</v>
      </c>
      <c r="W615" s="1">
        <v>0</v>
      </c>
    </row>
    <row r="616">
      <c r="A616" s="1">
        <v>2020</v>
      </c>
      <c r="B616" s="1">
        <v>41</v>
      </c>
      <c r="C616" t="s">
        <v>3</v>
      </c>
      <c r="D616" s="1">
        <v>51</v>
      </c>
      <c r="E616" t="s">
        <v>6</v>
      </c>
      <c r="F616" s="1">
        <v>6</v>
      </c>
      <c r="G616" t="s">
        <v>11</v>
      </c>
      <c r="H616" s="1">
        <v>41</v>
      </c>
      <c r="I616" t="s">
        <v>62</v>
      </c>
      <c r="J616" s="1">
        <v>31</v>
      </c>
      <c r="K616" s="1">
        <v>44</v>
      </c>
      <c r="L616" s="1">
        <v>4751</v>
      </c>
      <c r="M616" s="1">
        <v>32214</v>
      </c>
      <c r="N616" s="1">
        <v>51593</v>
      </c>
      <c r="O616" s="1">
        <v>2469717</v>
      </c>
      <c r="P616" s="1">
        <v>348477</v>
      </c>
      <c r="Q616" s="1">
        <v>638004</v>
      </c>
      <c r="R616" s="1">
        <v>31134364</v>
      </c>
      <c r="S616" s="1">
        <v>41051</v>
      </c>
      <c r="T616" s="1">
        <v>41051</v>
      </c>
      <c r="U616" s="1">
        <v>6041</v>
      </c>
      <c r="V616" s="1">
        <v>1</v>
      </c>
      <c r="W616" s="1">
        <v>0</v>
      </c>
    </row>
    <row r="617">
      <c r="A617" s="1">
        <v>2020</v>
      </c>
      <c r="B617" s="1">
        <v>41</v>
      </c>
      <c r="C617" t="s">
        <v>3</v>
      </c>
      <c r="D617" s="1">
        <v>51</v>
      </c>
      <c r="E617" t="s">
        <v>6</v>
      </c>
      <c r="F617" s="1">
        <v>6</v>
      </c>
      <c r="G617" t="s">
        <v>11</v>
      </c>
      <c r="H617" s="1">
        <v>57</v>
      </c>
      <c r="I617" t="s">
        <v>230</v>
      </c>
      <c r="J617" s="1">
        <v>24</v>
      </c>
      <c r="K617" s="1">
        <v>36</v>
      </c>
      <c r="L617" s="1">
        <v>1945</v>
      </c>
      <c r="M617" s="1">
        <v>32214</v>
      </c>
      <c r="N617" s="1">
        <v>51593</v>
      </c>
      <c r="O617" s="1">
        <v>2469717</v>
      </c>
      <c r="P617" s="1">
        <v>348477</v>
      </c>
      <c r="Q617" s="1">
        <v>638004</v>
      </c>
      <c r="R617" s="1">
        <v>31134364</v>
      </c>
      <c r="S617" s="1">
        <v>41051</v>
      </c>
      <c r="T617" s="1">
        <v>41051</v>
      </c>
      <c r="U617" s="1">
        <v>6057</v>
      </c>
      <c r="V617" s="1">
        <v>1</v>
      </c>
      <c r="W617" s="1">
        <v>0</v>
      </c>
    </row>
    <row r="618">
      <c r="A618" s="1">
        <v>2020</v>
      </c>
      <c r="B618" s="1">
        <v>41</v>
      </c>
      <c r="C618" t="s">
        <v>3</v>
      </c>
      <c r="D618" s="1">
        <v>51</v>
      </c>
      <c r="E618" t="s">
        <v>6</v>
      </c>
      <c r="F618" s="1">
        <v>6</v>
      </c>
      <c r="G618" t="s">
        <v>11</v>
      </c>
      <c r="H618" s="1">
        <v>59</v>
      </c>
      <c r="I618" t="s">
        <v>64</v>
      </c>
      <c r="J618" s="1">
        <v>186</v>
      </c>
      <c r="K618" s="1">
        <v>274</v>
      </c>
      <c r="L618" s="1">
        <v>20261</v>
      </c>
      <c r="M618" s="1">
        <v>32214</v>
      </c>
      <c r="N618" s="1">
        <v>51593</v>
      </c>
      <c r="O618" s="1">
        <v>2469717</v>
      </c>
      <c r="P618" s="1">
        <v>348477</v>
      </c>
      <c r="Q618" s="1">
        <v>638004</v>
      </c>
      <c r="R618" s="1">
        <v>31134364</v>
      </c>
      <c r="S618" s="1">
        <v>41051</v>
      </c>
      <c r="T618" s="1">
        <v>41051</v>
      </c>
      <c r="U618" s="1">
        <v>6059</v>
      </c>
      <c r="V618" s="1">
        <v>1</v>
      </c>
      <c r="W618" s="1">
        <v>0</v>
      </c>
    </row>
    <row r="619">
      <c r="A619" s="1">
        <v>2020</v>
      </c>
      <c r="B619" s="1">
        <v>41</v>
      </c>
      <c r="C619" t="s">
        <v>3</v>
      </c>
      <c r="D619" s="1">
        <v>51</v>
      </c>
      <c r="E619" t="s">
        <v>6</v>
      </c>
      <c r="F619" s="1">
        <v>6</v>
      </c>
      <c r="G619" t="s">
        <v>11</v>
      </c>
      <c r="H619" s="1">
        <v>61</v>
      </c>
      <c r="I619" t="s">
        <v>65</v>
      </c>
      <c r="J619" s="1">
        <v>32</v>
      </c>
      <c r="K619" s="1">
        <v>51</v>
      </c>
      <c r="L619" s="1">
        <v>1710</v>
      </c>
      <c r="M619" s="1">
        <v>32214</v>
      </c>
      <c r="N619" s="1">
        <v>51593</v>
      </c>
      <c r="O619" s="1">
        <v>2469717</v>
      </c>
      <c r="P619" s="1">
        <v>348477</v>
      </c>
      <c r="Q619" s="1">
        <v>638004</v>
      </c>
      <c r="R619" s="1">
        <v>31134364</v>
      </c>
      <c r="S619" s="1">
        <v>41051</v>
      </c>
      <c r="T619" s="1">
        <v>41051</v>
      </c>
      <c r="U619" s="1">
        <v>6061</v>
      </c>
      <c r="V619" s="1">
        <v>1</v>
      </c>
      <c r="W619" s="1">
        <v>0</v>
      </c>
    </row>
    <row r="620">
      <c r="A620" s="1">
        <v>2020</v>
      </c>
      <c r="B620" s="1">
        <v>41</v>
      </c>
      <c r="C620" t="s">
        <v>3</v>
      </c>
      <c r="D620" s="1">
        <v>51</v>
      </c>
      <c r="E620" t="s">
        <v>6</v>
      </c>
      <c r="F620" s="1">
        <v>6</v>
      </c>
      <c r="G620" t="s">
        <v>11</v>
      </c>
      <c r="H620" s="1">
        <v>65</v>
      </c>
      <c r="I620" t="s">
        <v>66</v>
      </c>
      <c r="J620" s="1">
        <v>142</v>
      </c>
      <c r="K620" s="1">
        <v>213</v>
      </c>
      <c r="L620" s="1">
        <v>16229</v>
      </c>
      <c r="M620" s="1">
        <v>32214</v>
      </c>
      <c r="N620" s="1">
        <v>51593</v>
      </c>
      <c r="O620" s="1">
        <v>2469717</v>
      </c>
      <c r="P620" s="1">
        <v>348477</v>
      </c>
      <c r="Q620" s="1">
        <v>638004</v>
      </c>
      <c r="R620" s="1">
        <v>31134364</v>
      </c>
      <c r="S620" s="1">
        <v>41051</v>
      </c>
      <c r="T620" s="1">
        <v>41051</v>
      </c>
      <c r="U620" s="1">
        <v>6065</v>
      </c>
      <c r="V620" s="1">
        <v>1</v>
      </c>
      <c r="W620" s="1">
        <v>0</v>
      </c>
    </row>
    <row r="621">
      <c r="A621" s="1">
        <v>2020</v>
      </c>
      <c r="B621" s="1">
        <v>41</v>
      </c>
      <c r="C621" t="s">
        <v>3</v>
      </c>
      <c r="D621" s="1">
        <v>51</v>
      </c>
      <c r="E621" t="s">
        <v>6</v>
      </c>
      <c r="F621" s="1">
        <v>6</v>
      </c>
      <c r="G621" t="s">
        <v>11</v>
      </c>
      <c r="H621" s="1">
        <v>67</v>
      </c>
      <c r="I621" t="s">
        <v>67</v>
      </c>
      <c r="J621" s="1">
        <v>161</v>
      </c>
      <c r="K621" s="1">
        <v>229</v>
      </c>
      <c r="L621" s="1">
        <v>9344</v>
      </c>
      <c r="M621" s="1">
        <v>32214</v>
      </c>
      <c r="N621" s="1">
        <v>51593</v>
      </c>
      <c r="O621" s="1">
        <v>2469717</v>
      </c>
      <c r="P621" s="1">
        <v>348477</v>
      </c>
      <c r="Q621" s="1">
        <v>638004</v>
      </c>
      <c r="R621" s="1">
        <v>31134364</v>
      </c>
      <c r="S621" s="1">
        <v>41051</v>
      </c>
      <c r="T621" s="1">
        <v>41051</v>
      </c>
      <c r="U621" s="1">
        <v>6067</v>
      </c>
      <c r="V621" s="1">
        <v>1</v>
      </c>
      <c r="W621" s="1">
        <v>0</v>
      </c>
    </row>
    <row r="622">
      <c r="A622" s="1">
        <v>2020</v>
      </c>
      <c r="B622" s="1">
        <v>41</v>
      </c>
      <c r="C622" t="s">
        <v>3</v>
      </c>
      <c r="D622" s="1">
        <v>51</v>
      </c>
      <c r="E622" t="s">
        <v>6</v>
      </c>
      <c r="F622" s="1">
        <v>6</v>
      </c>
      <c r="G622" t="s">
        <v>11</v>
      </c>
      <c r="H622" s="1">
        <v>71</v>
      </c>
      <c r="I622" t="s">
        <v>68</v>
      </c>
      <c r="J622" s="1">
        <v>71</v>
      </c>
      <c r="K622" s="1">
        <v>109</v>
      </c>
      <c r="L622" s="1">
        <v>2615</v>
      </c>
      <c r="M622" s="1">
        <v>32214</v>
      </c>
      <c r="N622" s="1">
        <v>51593</v>
      </c>
      <c r="O622" s="1">
        <v>2469717</v>
      </c>
      <c r="P622" s="1">
        <v>348477</v>
      </c>
      <c r="Q622" s="1">
        <v>638004</v>
      </c>
      <c r="R622" s="1">
        <v>31134364</v>
      </c>
      <c r="S622" s="1">
        <v>41051</v>
      </c>
      <c r="T622" s="1">
        <v>41051</v>
      </c>
      <c r="U622" s="1">
        <v>6071</v>
      </c>
      <c r="V622" s="1">
        <v>1</v>
      </c>
      <c r="W622" s="1">
        <v>0</v>
      </c>
    </row>
    <row r="623">
      <c r="A623" s="1">
        <v>2020</v>
      </c>
      <c r="B623" s="1">
        <v>41</v>
      </c>
      <c r="C623" t="s">
        <v>3</v>
      </c>
      <c r="D623" s="1">
        <v>51</v>
      </c>
      <c r="E623" t="s">
        <v>6</v>
      </c>
      <c r="F623" s="1">
        <v>6</v>
      </c>
      <c r="G623" t="s">
        <v>11</v>
      </c>
      <c r="H623" s="1">
        <v>73</v>
      </c>
      <c r="I623" t="s">
        <v>69</v>
      </c>
      <c r="J623" s="1">
        <v>287</v>
      </c>
      <c r="K623" s="1">
        <v>403</v>
      </c>
      <c r="L623" s="1">
        <v>19247</v>
      </c>
      <c r="M623" s="1">
        <v>32214</v>
      </c>
      <c r="N623" s="1">
        <v>51593</v>
      </c>
      <c r="O623" s="1">
        <v>2469717</v>
      </c>
      <c r="P623" s="1">
        <v>348477</v>
      </c>
      <c r="Q623" s="1">
        <v>638004</v>
      </c>
      <c r="R623" s="1">
        <v>31134364</v>
      </c>
      <c r="S623" s="1">
        <v>41051</v>
      </c>
      <c r="T623" s="1">
        <v>41051</v>
      </c>
      <c r="U623" s="1">
        <v>6073</v>
      </c>
      <c r="V623" s="1">
        <v>1</v>
      </c>
      <c r="W623" s="1">
        <v>0</v>
      </c>
    </row>
    <row r="624">
      <c r="A624" s="1">
        <v>2020</v>
      </c>
      <c r="B624" s="1">
        <v>41</v>
      </c>
      <c r="C624" t="s">
        <v>3</v>
      </c>
      <c r="D624" s="1">
        <v>51</v>
      </c>
      <c r="E624" t="s">
        <v>6</v>
      </c>
      <c r="F624" s="1">
        <v>6</v>
      </c>
      <c r="G624" t="s">
        <v>11</v>
      </c>
      <c r="H624" s="1">
        <v>75</v>
      </c>
      <c r="I624" t="s">
        <v>70</v>
      </c>
      <c r="J624" s="1">
        <v>171</v>
      </c>
      <c r="K624" s="1">
        <v>216</v>
      </c>
      <c r="L624" s="1">
        <v>19833</v>
      </c>
      <c r="M624" s="1">
        <v>32214</v>
      </c>
      <c r="N624" s="1">
        <v>51593</v>
      </c>
      <c r="O624" s="1">
        <v>2469717</v>
      </c>
      <c r="P624" s="1">
        <v>348477</v>
      </c>
      <c r="Q624" s="1">
        <v>638004</v>
      </c>
      <c r="R624" s="1">
        <v>31134364</v>
      </c>
      <c r="S624" s="1">
        <v>41051</v>
      </c>
      <c r="T624" s="1">
        <v>41051</v>
      </c>
      <c r="U624" s="1">
        <v>6075</v>
      </c>
      <c r="V624" s="1">
        <v>1</v>
      </c>
      <c r="W624" s="1">
        <v>0</v>
      </c>
    </row>
    <row r="625">
      <c r="A625" s="1">
        <v>2020</v>
      </c>
      <c r="B625" s="1">
        <v>41</v>
      </c>
      <c r="C625" t="s">
        <v>3</v>
      </c>
      <c r="D625" s="1">
        <v>51</v>
      </c>
      <c r="E625" t="s">
        <v>6</v>
      </c>
      <c r="F625" s="1">
        <v>6</v>
      </c>
      <c r="G625" t="s">
        <v>11</v>
      </c>
      <c r="H625" s="1">
        <v>77</v>
      </c>
      <c r="I625" t="s">
        <v>179</v>
      </c>
      <c r="J625" s="1">
        <v>29</v>
      </c>
      <c r="K625" s="1">
        <v>47</v>
      </c>
      <c r="L625" s="1">
        <v>1197</v>
      </c>
      <c r="M625" s="1">
        <v>32214</v>
      </c>
      <c r="N625" s="1">
        <v>51593</v>
      </c>
      <c r="O625" s="1">
        <v>2469717</v>
      </c>
      <c r="P625" s="1">
        <v>348477</v>
      </c>
      <c r="Q625" s="1">
        <v>638004</v>
      </c>
      <c r="R625" s="1">
        <v>31134364</v>
      </c>
      <c r="S625" s="1">
        <v>41051</v>
      </c>
      <c r="T625" s="1">
        <v>41051</v>
      </c>
      <c r="U625" s="1">
        <v>6077</v>
      </c>
      <c r="V625" s="1">
        <v>1</v>
      </c>
      <c r="W625" s="1">
        <v>0</v>
      </c>
    </row>
    <row r="626">
      <c r="A626" s="1">
        <v>2020</v>
      </c>
      <c r="B626" s="1">
        <v>41</v>
      </c>
      <c r="C626" t="s">
        <v>3</v>
      </c>
      <c r="D626" s="1">
        <v>51</v>
      </c>
      <c r="E626" t="s">
        <v>6</v>
      </c>
      <c r="F626" s="1">
        <v>6</v>
      </c>
      <c r="G626" t="s">
        <v>11</v>
      </c>
      <c r="H626" s="1">
        <v>79</v>
      </c>
      <c r="I626" t="s">
        <v>71</v>
      </c>
      <c r="J626" s="1">
        <v>32</v>
      </c>
      <c r="K626" s="1">
        <v>54</v>
      </c>
      <c r="L626" s="1">
        <v>1843</v>
      </c>
      <c r="M626" s="1">
        <v>32214</v>
      </c>
      <c r="N626" s="1">
        <v>51593</v>
      </c>
      <c r="O626" s="1">
        <v>2469717</v>
      </c>
      <c r="P626" s="1">
        <v>348477</v>
      </c>
      <c r="Q626" s="1">
        <v>638004</v>
      </c>
      <c r="R626" s="1">
        <v>31134364</v>
      </c>
      <c r="S626" s="1">
        <v>41051</v>
      </c>
      <c r="T626" s="1">
        <v>41051</v>
      </c>
      <c r="U626" s="1">
        <v>6079</v>
      </c>
      <c r="V626" s="1">
        <v>1</v>
      </c>
      <c r="W626" s="1">
        <v>0</v>
      </c>
    </row>
    <row r="627">
      <c r="A627" s="1">
        <v>2020</v>
      </c>
      <c r="B627" s="1">
        <v>41</v>
      </c>
      <c r="C627" t="s">
        <v>3</v>
      </c>
      <c r="D627" s="1">
        <v>51</v>
      </c>
      <c r="E627" t="s">
        <v>6</v>
      </c>
      <c r="F627" s="1">
        <v>6</v>
      </c>
      <c r="G627" t="s">
        <v>11</v>
      </c>
      <c r="H627" s="1">
        <v>81</v>
      </c>
      <c r="I627" t="s">
        <v>72</v>
      </c>
      <c r="J627" s="1">
        <v>52</v>
      </c>
      <c r="K627" s="1">
        <v>77</v>
      </c>
      <c r="L627" s="1">
        <v>5004</v>
      </c>
      <c r="M627" s="1">
        <v>32214</v>
      </c>
      <c r="N627" s="1">
        <v>51593</v>
      </c>
      <c r="O627" s="1">
        <v>2469717</v>
      </c>
      <c r="P627" s="1">
        <v>348477</v>
      </c>
      <c r="Q627" s="1">
        <v>638004</v>
      </c>
      <c r="R627" s="1">
        <v>31134364</v>
      </c>
      <c r="S627" s="1">
        <v>41051</v>
      </c>
      <c r="T627" s="1">
        <v>41051</v>
      </c>
      <c r="U627" s="1">
        <v>6081</v>
      </c>
      <c r="V627" s="1">
        <v>1</v>
      </c>
      <c r="W627" s="1">
        <v>0</v>
      </c>
    </row>
    <row r="628">
      <c r="A628" s="1">
        <v>2020</v>
      </c>
      <c r="B628" s="1">
        <v>41</v>
      </c>
      <c r="C628" t="s">
        <v>3</v>
      </c>
      <c r="D628" s="1">
        <v>51</v>
      </c>
      <c r="E628" t="s">
        <v>6</v>
      </c>
      <c r="F628" s="1">
        <v>6</v>
      </c>
      <c r="G628" t="s">
        <v>11</v>
      </c>
      <c r="H628" s="1">
        <v>83</v>
      </c>
      <c r="I628" t="s">
        <v>73</v>
      </c>
      <c r="J628" s="1">
        <v>50</v>
      </c>
      <c r="K628" s="1">
        <v>67</v>
      </c>
      <c r="L628" s="1">
        <v>3188</v>
      </c>
      <c r="M628" s="1">
        <v>32214</v>
      </c>
      <c r="N628" s="1">
        <v>51593</v>
      </c>
      <c r="O628" s="1">
        <v>2469717</v>
      </c>
      <c r="P628" s="1">
        <v>348477</v>
      </c>
      <c r="Q628" s="1">
        <v>638004</v>
      </c>
      <c r="R628" s="1">
        <v>31134364</v>
      </c>
      <c r="S628" s="1">
        <v>41051</v>
      </c>
      <c r="T628" s="1">
        <v>41051</v>
      </c>
      <c r="U628" s="1">
        <v>6083</v>
      </c>
      <c r="V628" s="1">
        <v>1</v>
      </c>
      <c r="W628" s="1">
        <v>0</v>
      </c>
    </row>
    <row r="629">
      <c r="A629" s="1">
        <v>2020</v>
      </c>
      <c r="B629" s="1">
        <v>41</v>
      </c>
      <c r="C629" t="s">
        <v>3</v>
      </c>
      <c r="D629" s="1">
        <v>51</v>
      </c>
      <c r="E629" t="s">
        <v>6</v>
      </c>
      <c r="F629" s="1">
        <v>6</v>
      </c>
      <c r="G629" t="s">
        <v>11</v>
      </c>
      <c r="H629" s="1">
        <v>85</v>
      </c>
      <c r="I629" t="s">
        <v>74</v>
      </c>
      <c r="J629" s="1">
        <v>151</v>
      </c>
      <c r="K629" s="1">
        <v>195</v>
      </c>
      <c r="L629" s="1">
        <v>14126</v>
      </c>
      <c r="M629" s="1">
        <v>32214</v>
      </c>
      <c r="N629" s="1">
        <v>51593</v>
      </c>
      <c r="O629" s="1">
        <v>2469717</v>
      </c>
      <c r="P629" s="1">
        <v>348477</v>
      </c>
      <c r="Q629" s="1">
        <v>638004</v>
      </c>
      <c r="R629" s="1">
        <v>31134364</v>
      </c>
      <c r="S629" s="1">
        <v>41051</v>
      </c>
      <c r="T629" s="1">
        <v>41051</v>
      </c>
      <c r="U629" s="1">
        <v>6085</v>
      </c>
      <c r="V629" s="1">
        <v>1</v>
      </c>
      <c r="W629" s="1">
        <v>0</v>
      </c>
    </row>
    <row r="630">
      <c r="A630" s="1">
        <v>2020</v>
      </c>
      <c r="B630" s="1">
        <v>41</v>
      </c>
      <c r="C630" t="s">
        <v>3</v>
      </c>
      <c r="D630" s="1">
        <v>51</v>
      </c>
      <c r="E630" t="s">
        <v>6</v>
      </c>
      <c r="F630" s="1">
        <v>6</v>
      </c>
      <c r="G630" t="s">
        <v>11</v>
      </c>
      <c r="H630" s="1">
        <v>87</v>
      </c>
      <c r="I630" t="s">
        <v>75</v>
      </c>
      <c r="J630" s="1">
        <v>43</v>
      </c>
      <c r="K630" s="1">
        <v>65</v>
      </c>
      <c r="L630" s="1">
        <v>3050</v>
      </c>
      <c r="M630" s="1">
        <v>32214</v>
      </c>
      <c r="N630" s="1">
        <v>51593</v>
      </c>
      <c r="O630" s="1">
        <v>2469717</v>
      </c>
      <c r="P630" s="1">
        <v>348477</v>
      </c>
      <c r="Q630" s="1">
        <v>638004</v>
      </c>
      <c r="R630" s="1">
        <v>31134364</v>
      </c>
      <c r="S630" s="1">
        <v>41051</v>
      </c>
      <c r="T630" s="1">
        <v>41051</v>
      </c>
      <c r="U630" s="1">
        <v>6087</v>
      </c>
      <c r="V630" s="1">
        <v>1</v>
      </c>
      <c r="W630" s="1">
        <v>0</v>
      </c>
    </row>
    <row r="631">
      <c r="A631" s="1">
        <v>2020</v>
      </c>
      <c r="B631" s="1">
        <v>41</v>
      </c>
      <c r="C631" t="s">
        <v>3</v>
      </c>
      <c r="D631" s="1">
        <v>51</v>
      </c>
      <c r="E631" t="s">
        <v>6</v>
      </c>
      <c r="F631" s="1">
        <v>6</v>
      </c>
      <c r="G631" t="s">
        <v>11</v>
      </c>
      <c r="H631" s="1">
        <v>89</v>
      </c>
      <c r="I631" t="s">
        <v>76</v>
      </c>
      <c r="J631" s="1">
        <v>24</v>
      </c>
      <c r="K631" s="1">
        <v>27</v>
      </c>
      <c r="L631" s="1">
        <v>846</v>
      </c>
      <c r="M631" s="1">
        <v>32214</v>
      </c>
      <c r="N631" s="1">
        <v>51593</v>
      </c>
      <c r="O631" s="1">
        <v>2469717</v>
      </c>
      <c r="P631" s="1">
        <v>348477</v>
      </c>
      <c r="Q631" s="1">
        <v>638004</v>
      </c>
      <c r="R631" s="1">
        <v>31134364</v>
      </c>
      <c r="S631" s="1">
        <v>41051</v>
      </c>
      <c r="T631" s="1">
        <v>41051</v>
      </c>
      <c r="U631" s="1">
        <v>6089</v>
      </c>
      <c r="V631" s="1">
        <v>1</v>
      </c>
      <c r="W631" s="1">
        <v>0</v>
      </c>
    </row>
    <row r="632">
      <c r="A632" s="1">
        <v>2020</v>
      </c>
      <c r="B632" s="1">
        <v>41</v>
      </c>
      <c r="C632" t="s">
        <v>3</v>
      </c>
      <c r="D632" s="1">
        <v>51</v>
      </c>
      <c r="E632" t="s">
        <v>6</v>
      </c>
      <c r="F632" s="1">
        <v>6</v>
      </c>
      <c r="G632" t="s">
        <v>11</v>
      </c>
      <c r="H632" s="1">
        <v>95</v>
      </c>
      <c r="I632" t="s">
        <v>180</v>
      </c>
      <c r="J632" s="1">
        <v>29</v>
      </c>
      <c r="K632" s="1">
        <v>46</v>
      </c>
      <c r="L632" s="1">
        <v>1900</v>
      </c>
      <c r="M632" s="1">
        <v>32214</v>
      </c>
      <c r="N632" s="1">
        <v>51593</v>
      </c>
      <c r="O632" s="1">
        <v>2469717</v>
      </c>
      <c r="P632" s="1">
        <v>348477</v>
      </c>
      <c r="Q632" s="1">
        <v>638004</v>
      </c>
      <c r="R632" s="1">
        <v>31134364</v>
      </c>
      <c r="S632" s="1">
        <v>41051</v>
      </c>
      <c r="T632" s="1">
        <v>41051</v>
      </c>
      <c r="U632" s="1">
        <v>6095</v>
      </c>
      <c r="V632" s="1">
        <v>1</v>
      </c>
      <c r="W632" s="1">
        <v>0</v>
      </c>
    </row>
    <row r="633">
      <c r="A633" s="1">
        <v>2020</v>
      </c>
      <c r="B633" s="1">
        <v>41</v>
      </c>
      <c r="C633" t="s">
        <v>3</v>
      </c>
      <c r="D633" s="1">
        <v>51</v>
      </c>
      <c r="E633" t="s">
        <v>6</v>
      </c>
      <c r="F633" s="1">
        <v>6</v>
      </c>
      <c r="G633" t="s">
        <v>11</v>
      </c>
      <c r="H633" s="1">
        <v>97</v>
      </c>
      <c r="I633" t="s">
        <v>77</v>
      </c>
      <c r="J633" s="1">
        <v>51</v>
      </c>
      <c r="K633" s="1">
        <v>63</v>
      </c>
      <c r="L633" s="1">
        <v>2841</v>
      </c>
      <c r="M633" s="1">
        <v>32214</v>
      </c>
      <c r="N633" s="1">
        <v>51593</v>
      </c>
      <c r="O633" s="1">
        <v>2469717</v>
      </c>
      <c r="P633" s="1">
        <v>348477</v>
      </c>
      <c r="Q633" s="1">
        <v>638004</v>
      </c>
      <c r="R633" s="1">
        <v>31134364</v>
      </c>
      <c r="S633" s="1">
        <v>41051</v>
      </c>
      <c r="T633" s="1">
        <v>41051</v>
      </c>
      <c r="U633" s="1">
        <v>6097</v>
      </c>
      <c r="V633" s="1">
        <v>1</v>
      </c>
      <c r="W633" s="1">
        <v>0</v>
      </c>
    </row>
    <row r="634">
      <c r="A634" s="1">
        <v>2020</v>
      </c>
      <c r="B634" s="1">
        <v>41</v>
      </c>
      <c r="C634" t="s">
        <v>3</v>
      </c>
      <c r="D634" s="1">
        <v>51</v>
      </c>
      <c r="E634" t="s">
        <v>6</v>
      </c>
      <c r="F634" s="1">
        <v>6</v>
      </c>
      <c r="G634" t="s">
        <v>11</v>
      </c>
      <c r="H634" s="1">
        <v>111</v>
      </c>
      <c r="I634" t="s">
        <v>78</v>
      </c>
      <c r="J634" s="1">
        <v>45</v>
      </c>
      <c r="K634" s="1">
        <v>72</v>
      </c>
      <c r="L634" s="1">
        <v>3265</v>
      </c>
      <c r="M634" s="1">
        <v>32214</v>
      </c>
      <c r="N634" s="1">
        <v>51593</v>
      </c>
      <c r="O634" s="1">
        <v>2469717</v>
      </c>
      <c r="P634" s="1">
        <v>348477</v>
      </c>
      <c r="Q634" s="1">
        <v>638004</v>
      </c>
      <c r="R634" s="1">
        <v>31134364</v>
      </c>
      <c r="S634" s="1">
        <v>41051</v>
      </c>
      <c r="T634" s="1">
        <v>41051</v>
      </c>
      <c r="U634" s="1">
        <v>6111</v>
      </c>
      <c r="V634" s="1">
        <v>1</v>
      </c>
      <c r="W634" s="1">
        <v>0</v>
      </c>
    </row>
    <row r="635">
      <c r="A635" s="1">
        <v>2020</v>
      </c>
      <c r="B635" s="1">
        <v>41</v>
      </c>
      <c r="C635" t="s">
        <v>3</v>
      </c>
      <c r="D635" s="1">
        <v>51</v>
      </c>
      <c r="E635" t="s">
        <v>6</v>
      </c>
      <c r="F635" s="1">
        <v>8</v>
      </c>
      <c r="G635" t="s">
        <v>12</v>
      </c>
      <c r="H635" s="1">
        <v>1</v>
      </c>
      <c r="I635" t="s">
        <v>225</v>
      </c>
      <c r="J635" s="1">
        <v>30</v>
      </c>
      <c r="K635" s="1">
        <v>43</v>
      </c>
      <c r="L635" s="1">
        <v>2417</v>
      </c>
      <c r="M635" s="1">
        <v>32214</v>
      </c>
      <c r="N635" s="1">
        <v>51593</v>
      </c>
      <c r="O635" s="1">
        <v>2469717</v>
      </c>
      <c r="P635" s="1">
        <v>348477</v>
      </c>
      <c r="Q635" s="1">
        <v>638004</v>
      </c>
      <c r="R635" s="1">
        <v>31134364</v>
      </c>
      <c r="S635" s="1">
        <v>41051</v>
      </c>
      <c r="T635" s="1">
        <v>41051</v>
      </c>
      <c r="U635" s="1">
        <v>8001</v>
      </c>
      <c r="V635" s="1">
        <v>1</v>
      </c>
      <c r="W635" s="1">
        <v>0</v>
      </c>
    </row>
    <row r="636">
      <c r="A636" s="1">
        <v>2020</v>
      </c>
      <c r="B636" s="1">
        <v>41</v>
      </c>
      <c r="C636" t="s">
        <v>3</v>
      </c>
      <c r="D636" s="1">
        <v>51</v>
      </c>
      <c r="E636" t="s">
        <v>6</v>
      </c>
      <c r="F636" s="1">
        <v>8</v>
      </c>
      <c r="G636" t="s">
        <v>12</v>
      </c>
      <c r="H636" s="1">
        <v>5</v>
      </c>
      <c r="I636" t="s">
        <v>79</v>
      </c>
      <c r="J636" s="1">
        <v>56</v>
      </c>
      <c r="K636" s="1">
        <v>86</v>
      </c>
      <c r="L636" s="1">
        <v>2904</v>
      </c>
      <c r="M636" s="1">
        <v>32214</v>
      </c>
      <c r="N636" s="1">
        <v>51593</v>
      </c>
      <c r="O636" s="1">
        <v>2469717</v>
      </c>
      <c r="P636" s="1">
        <v>348477</v>
      </c>
      <c r="Q636" s="1">
        <v>638004</v>
      </c>
      <c r="R636" s="1">
        <v>31134364</v>
      </c>
      <c r="S636" s="1">
        <v>41051</v>
      </c>
      <c r="T636" s="1">
        <v>41051</v>
      </c>
      <c r="U636" s="1">
        <v>8005</v>
      </c>
      <c r="V636" s="1">
        <v>1</v>
      </c>
      <c r="W636" s="1">
        <v>0</v>
      </c>
    </row>
    <row r="637">
      <c r="A637" s="1">
        <v>2020</v>
      </c>
      <c r="B637" s="1">
        <v>41</v>
      </c>
      <c r="C637" t="s">
        <v>3</v>
      </c>
      <c r="D637" s="1">
        <v>51</v>
      </c>
      <c r="E637" t="s">
        <v>6</v>
      </c>
      <c r="F637" s="1">
        <v>8</v>
      </c>
      <c r="G637" t="s">
        <v>12</v>
      </c>
      <c r="H637" s="1">
        <v>13</v>
      </c>
      <c r="I637" t="s">
        <v>80</v>
      </c>
      <c r="J637" s="1">
        <v>53</v>
      </c>
      <c r="K637" s="1">
        <v>75</v>
      </c>
      <c r="L637" s="1">
        <v>4052</v>
      </c>
      <c r="M637" s="1">
        <v>32214</v>
      </c>
      <c r="N637" s="1">
        <v>51593</v>
      </c>
      <c r="O637" s="1">
        <v>2469717</v>
      </c>
      <c r="P637" s="1">
        <v>348477</v>
      </c>
      <c r="Q637" s="1">
        <v>638004</v>
      </c>
      <c r="R637" s="1">
        <v>31134364</v>
      </c>
      <c r="S637" s="1">
        <v>41051</v>
      </c>
      <c r="T637" s="1">
        <v>41051</v>
      </c>
      <c r="U637" s="1">
        <v>8013</v>
      </c>
      <c r="V637" s="1">
        <v>1</v>
      </c>
      <c r="W637" s="1">
        <v>0</v>
      </c>
    </row>
    <row r="638">
      <c r="A638" s="1">
        <v>2020</v>
      </c>
      <c r="B638" s="1">
        <v>41</v>
      </c>
      <c r="C638" t="s">
        <v>3</v>
      </c>
      <c r="D638" s="1">
        <v>51</v>
      </c>
      <c r="E638" t="s">
        <v>6</v>
      </c>
      <c r="F638" s="1">
        <v>8</v>
      </c>
      <c r="G638" t="s">
        <v>12</v>
      </c>
      <c r="H638" s="1">
        <v>31</v>
      </c>
      <c r="I638" t="s">
        <v>81</v>
      </c>
      <c r="J638" s="1">
        <v>161</v>
      </c>
      <c r="K638" s="1">
        <v>195</v>
      </c>
      <c r="L638" s="1">
        <v>11134</v>
      </c>
      <c r="M638" s="1">
        <v>32214</v>
      </c>
      <c r="N638" s="1">
        <v>51593</v>
      </c>
      <c r="O638" s="1">
        <v>2469717</v>
      </c>
      <c r="P638" s="1">
        <v>348477</v>
      </c>
      <c r="Q638" s="1">
        <v>638004</v>
      </c>
      <c r="R638" s="1">
        <v>31134364</v>
      </c>
      <c r="S638" s="1">
        <v>41051</v>
      </c>
      <c r="T638" s="1">
        <v>41051</v>
      </c>
      <c r="U638" s="1">
        <v>8031</v>
      </c>
      <c r="V638" s="1">
        <v>1</v>
      </c>
      <c r="W638" s="1">
        <v>0</v>
      </c>
    </row>
    <row r="639">
      <c r="A639" s="1">
        <v>2020</v>
      </c>
      <c r="B639" s="1">
        <v>41</v>
      </c>
      <c r="C639" t="s">
        <v>3</v>
      </c>
      <c r="D639" s="1">
        <v>51</v>
      </c>
      <c r="E639" t="s">
        <v>6</v>
      </c>
      <c r="F639" s="1">
        <v>8</v>
      </c>
      <c r="G639" t="s">
        <v>12</v>
      </c>
      <c r="H639" s="1">
        <v>35</v>
      </c>
      <c r="I639" t="s">
        <v>131</v>
      </c>
      <c r="J639" s="1">
        <v>20</v>
      </c>
      <c r="K639" s="1">
        <v>24</v>
      </c>
      <c r="L639" s="1">
        <v>1182</v>
      </c>
      <c r="M639" s="1">
        <v>32214</v>
      </c>
      <c r="N639" s="1">
        <v>51593</v>
      </c>
      <c r="O639" s="1">
        <v>2469717</v>
      </c>
      <c r="P639" s="1">
        <v>348477</v>
      </c>
      <c r="Q639" s="1">
        <v>638004</v>
      </c>
      <c r="R639" s="1">
        <v>31134364</v>
      </c>
      <c r="S639" s="1">
        <v>41051</v>
      </c>
      <c r="T639" s="1">
        <v>41051</v>
      </c>
      <c r="U639" s="1">
        <v>8035</v>
      </c>
      <c r="V639" s="1">
        <v>1</v>
      </c>
      <c r="W639" s="1">
        <v>0</v>
      </c>
    </row>
    <row r="640">
      <c r="A640" s="1">
        <v>2020</v>
      </c>
      <c r="B640" s="1">
        <v>41</v>
      </c>
      <c r="C640" t="s">
        <v>3</v>
      </c>
      <c r="D640" s="1">
        <v>51</v>
      </c>
      <c r="E640" t="s">
        <v>6</v>
      </c>
      <c r="F640" s="1">
        <v>8</v>
      </c>
      <c r="G640" t="s">
        <v>12</v>
      </c>
      <c r="H640" s="1">
        <v>41</v>
      </c>
      <c r="I640" t="s">
        <v>82</v>
      </c>
      <c r="J640" s="1">
        <v>45</v>
      </c>
      <c r="K640" s="1">
        <v>76</v>
      </c>
      <c r="L640" s="1">
        <v>2400</v>
      </c>
      <c r="M640" s="1">
        <v>32214</v>
      </c>
      <c r="N640" s="1">
        <v>51593</v>
      </c>
      <c r="O640" s="1">
        <v>2469717</v>
      </c>
      <c r="P640" s="1">
        <v>348477</v>
      </c>
      <c r="Q640" s="1">
        <v>638004</v>
      </c>
      <c r="R640" s="1">
        <v>31134364</v>
      </c>
      <c r="S640" s="1">
        <v>41051</v>
      </c>
      <c r="T640" s="1">
        <v>41051</v>
      </c>
      <c r="U640" s="1">
        <v>8041</v>
      </c>
      <c r="V640" s="1">
        <v>1</v>
      </c>
      <c r="W640" s="1">
        <v>0</v>
      </c>
    </row>
    <row r="641">
      <c r="A641" s="1">
        <v>2020</v>
      </c>
      <c r="B641" s="1">
        <v>41</v>
      </c>
      <c r="C641" t="s">
        <v>3</v>
      </c>
      <c r="D641" s="1">
        <v>51</v>
      </c>
      <c r="E641" t="s">
        <v>6</v>
      </c>
      <c r="F641" s="1">
        <v>8</v>
      </c>
      <c r="G641" t="s">
        <v>12</v>
      </c>
      <c r="H641" s="1">
        <v>59</v>
      </c>
      <c r="I641" t="s">
        <v>83</v>
      </c>
      <c r="J641" s="1">
        <v>46</v>
      </c>
      <c r="K641" s="1">
        <v>64</v>
      </c>
      <c r="L641" s="1">
        <v>4555</v>
      </c>
      <c r="M641" s="1">
        <v>32214</v>
      </c>
      <c r="N641" s="1">
        <v>51593</v>
      </c>
      <c r="O641" s="1">
        <v>2469717</v>
      </c>
      <c r="P641" s="1">
        <v>348477</v>
      </c>
      <c r="Q641" s="1">
        <v>638004</v>
      </c>
      <c r="R641" s="1">
        <v>31134364</v>
      </c>
      <c r="S641" s="1">
        <v>41051</v>
      </c>
      <c r="T641" s="1">
        <v>41051</v>
      </c>
      <c r="U641" s="1">
        <v>8059</v>
      </c>
      <c r="V641" s="1">
        <v>1</v>
      </c>
      <c r="W641" s="1">
        <v>0</v>
      </c>
    </row>
    <row r="642">
      <c r="A642" s="1">
        <v>2020</v>
      </c>
      <c r="B642" s="1">
        <v>41</v>
      </c>
      <c r="C642" t="s">
        <v>3</v>
      </c>
      <c r="D642" s="1">
        <v>51</v>
      </c>
      <c r="E642" t="s">
        <v>6</v>
      </c>
      <c r="F642" s="1">
        <v>8</v>
      </c>
      <c r="G642" t="s">
        <v>12</v>
      </c>
      <c r="H642" s="1">
        <v>69</v>
      </c>
      <c r="I642" t="s">
        <v>84</v>
      </c>
      <c r="J642" s="1">
        <v>41</v>
      </c>
      <c r="K642" s="1">
        <v>68</v>
      </c>
      <c r="L642" s="1">
        <v>3034</v>
      </c>
      <c r="M642" s="1">
        <v>32214</v>
      </c>
      <c r="N642" s="1">
        <v>51593</v>
      </c>
      <c r="O642" s="1">
        <v>2469717</v>
      </c>
      <c r="P642" s="1">
        <v>348477</v>
      </c>
      <c r="Q642" s="1">
        <v>638004</v>
      </c>
      <c r="R642" s="1">
        <v>31134364</v>
      </c>
      <c r="S642" s="1">
        <v>41051</v>
      </c>
      <c r="T642" s="1">
        <v>41051</v>
      </c>
      <c r="U642" s="1">
        <v>8069</v>
      </c>
      <c r="V642" s="1">
        <v>1</v>
      </c>
      <c r="W642" s="1">
        <v>0</v>
      </c>
    </row>
    <row r="643">
      <c r="A643" s="1">
        <v>2020</v>
      </c>
      <c r="B643" s="1">
        <v>41</v>
      </c>
      <c r="C643" t="s">
        <v>3</v>
      </c>
      <c r="D643" s="1">
        <v>51</v>
      </c>
      <c r="E643" t="s">
        <v>6</v>
      </c>
      <c r="F643" s="1">
        <v>11</v>
      </c>
      <c r="G643" t="s">
        <v>14</v>
      </c>
      <c r="H643" s="1">
        <v>1</v>
      </c>
      <c r="I643" t="s">
        <v>14</v>
      </c>
      <c r="J643" s="1">
        <v>56</v>
      </c>
      <c r="K643" s="1">
        <v>69</v>
      </c>
      <c r="L643" s="1">
        <v>3424</v>
      </c>
      <c r="M643" s="1">
        <v>32214</v>
      </c>
      <c r="N643" s="1">
        <v>51593</v>
      </c>
      <c r="O643" s="1">
        <v>2469717</v>
      </c>
      <c r="P643" s="1">
        <v>348477</v>
      </c>
      <c r="Q643" s="1">
        <v>638004</v>
      </c>
      <c r="R643" s="1">
        <v>31134364</v>
      </c>
      <c r="S643" s="1">
        <v>41051</v>
      </c>
      <c r="T643" s="1">
        <v>41051</v>
      </c>
      <c r="U643" s="1">
        <v>11001</v>
      </c>
      <c r="V643" s="1">
        <v>1</v>
      </c>
      <c r="W643" s="1">
        <v>0</v>
      </c>
    </row>
    <row r="644">
      <c r="A644" s="1">
        <v>2020</v>
      </c>
      <c r="B644" s="1">
        <v>41</v>
      </c>
      <c r="C644" t="s">
        <v>3</v>
      </c>
      <c r="D644" s="1">
        <v>51</v>
      </c>
      <c r="E644" t="s">
        <v>6</v>
      </c>
      <c r="F644" s="1">
        <v>12</v>
      </c>
      <c r="G644" t="s">
        <v>15</v>
      </c>
      <c r="H644" s="1">
        <v>11</v>
      </c>
      <c r="I644" t="s">
        <v>183</v>
      </c>
      <c r="J644" s="1">
        <v>27</v>
      </c>
      <c r="K644" s="1">
        <v>32</v>
      </c>
      <c r="L644" s="1">
        <v>1688</v>
      </c>
      <c r="M644" s="1">
        <v>32214</v>
      </c>
      <c r="N644" s="1">
        <v>51593</v>
      </c>
      <c r="O644" s="1">
        <v>2469717</v>
      </c>
      <c r="P644" s="1">
        <v>348477</v>
      </c>
      <c r="Q644" s="1">
        <v>638004</v>
      </c>
      <c r="R644" s="1">
        <v>31134364</v>
      </c>
      <c r="S644" s="1">
        <v>41051</v>
      </c>
      <c r="T644" s="1">
        <v>41051</v>
      </c>
      <c r="U644" s="1">
        <v>12011</v>
      </c>
      <c r="V644" s="1">
        <v>1</v>
      </c>
      <c r="W644" s="1">
        <v>0</v>
      </c>
    </row>
    <row r="645">
      <c r="A645" s="1">
        <v>2020</v>
      </c>
      <c r="B645" s="1">
        <v>41</v>
      </c>
      <c r="C645" t="s">
        <v>3</v>
      </c>
      <c r="D645" s="1">
        <v>51</v>
      </c>
      <c r="E645" t="s">
        <v>6</v>
      </c>
      <c r="F645" s="1">
        <v>12</v>
      </c>
      <c r="G645" t="s">
        <v>15</v>
      </c>
      <c r="H645" s="1">
        <v>31</v>
      </c>
      <c r="I645" t="s">
        <v>184</v>
      </c>
      <c r="J645" s="1">
        <v>20</v>
      </c>
      <c r="K645" s="1">
        <v>34</v>
      </c>
      <c r="L645" s="1">
        <v>1175</v>
      </c>
      <c r="M645" s="1">
        <v>32214</v>
      </c>
      <c r="N645" s="1">
        <v>51593</v>
      </c>
      <c r="O645" s="1">
        <v>2469717</v>
      </c>
      <c r="P645" s="1">
        <v>348477</v>
      </c>
      <c r="Q645" s="1">
        <v>638004</v>
      </c>
      <c r="R645" s="1">
        <v>31134364</v>
      </c>
      <c r="S645" s="1">
        <v>41051</v>
      </c>
      <c r="T645" s="1">
        <v>41051</v>
      </c>
      <c r="U645" s="1">
        <v>12031</v>
      </c>
      <c r="V645" s="1">
        <v>1</v>
      </c>
      <c r="W645" s="1">
        <v>0</v>
      </c>
    </row>
    <row r="646">
      <c r="A646" s="1">
        <v>2020</v>
      </c>
      <c r="B646" s="1">
        <v>41</v>
      </c>
      <c r="C646" t="s">
        <v>3</v>
      </c>
      <c r="D646" s="1">
        <v>51</v>
      </c>
      <c r="E646" t="s">
        <v>6</v>
      </c>
      <c r="F646" s="1">
        <v>12</v>
      </c>
      <c r="G646" t="s">
        <v>15</v>
      </c>
      <c r="H646" s="1">
        <v>57</v>
      </c>
      <c r="I646" t="s">
        <v>86</v>
      </c>
      <c r="J646" s="1">
        <v>61</v>
      </c>
      <c r="K646" s="1">
        <v>85</v>
      </c>
      <c r="L646" s="1">
        <v>2601</v>
      </c>
      <c r="M646" s="1">
        <v>32214</v>
      </c>
      <c r="N646" s="1">
        <v>51593</v>
      </c>
      <c r="O646" s="1">
        <v>2469717</v>
      </c>
      <c r="P646" s="1">
        <v>348477</v>
      </c>
      <c r="Q646" s="1">
        <v>638004</v>
      </c>
      <c r="R646" s="1">
        <v>31134364</v>
      </c>
      <c r="S646" s="1">
        <v>41051</v>
      </c>
      <c r="T646" s="1">
        <v>41051</v>
      </c>
      <c r="U646" s="1">
        <v>12057</v>
      </c>
      <c r="V646" s="1">
        <v>1</v>
      </c>
      <c r="W646" s="1">
        <v>0</v>
      </c>
    </row>
    <row r="647">
      <c r="A647" s="1">
        <v>2020</v>
      </c>
      <c r="B647" s="1">
        <v>41</v>
      </c>
      <c r="C647" t="s">
        <v>3</v>
      </c>
      <c r="D647" s="1">
        <v>51</v>
      </c>
      <c r="E647" t="s">
        <v>6</v>
      </c>
      <c r="F647" s="1">
        <v>12</v>
      </c>
      <c r="G647" t="s">
        <v>15</v>
      </c>
      <c r="H647" s="1">
        <v>71</v>
      </c>
      <c r="I647" t="s">
        <v>226</v>
      </c>
      <c r="J647" s="1">
        <v>22</v>
      </c>
      <c r="K647" s="1">
        <v>43</v>
      </c>
      <c r="L647" s="1">
        <v>933</v>
      </c>
      <c r="M647" s="1">
        <v>32214</v>
      </c>
      <c r="N647" s="1">
        <v>51593</v>
      </c>
      <c r="O647" s="1">
        <v>2469717</v>
      </c>
      <c r="P647" s="1">
        <v>348477</v>
      </c>
      <c r="Q647" s="1">
        <v>638004</v>
      </c>
      <c r="R647" s="1">
        <v>31134364</v>
      </c>
      <c r="S647" s="1">
        <v>41051</v>
      </c>
      <c r="T647" s="1">
        <v>41051</v>
      </c>
      <c r="U647" s="1">
        <v>12071</v>
      </c>
      <c r="V647" s="1">
        <v>1</v>
      </c>
      <c r="W647" s="1">
        <v>0</v>
      </c>
    </row>
    <row r="648">
      <c r="A648" s="1">
        <v>2020</v>
      </c>
      <c r="B648" s="1">
        <v>41</v>
      </c>
      <c r="C648" t="s">
        <v>3</v>
      </c>
      <c r="D648" s="1">
        <v>51</v>
      </c>
      <c r="E648" t="s">
        <v>6</v>
      </c>
      <c r="F648" s="1">
        <v>12</v>
      </c>
      <c r="G648" t="s">
        <v>15</v>
      </c>
      <c r="H648" s="1">
        <v>86</v>
      </c>
      <c r="I648" t="s">
        <v>87</v>
      </c>
      <c r="J648" s="1">
        <v>50</v>
      </c>
      <c r="K648" s="1">
        <v>77</v>
      </c>
      <c r="L648" s="1">
        <v>3813</v>
      </c>
      <c r="M648" s="1">
        <v>32214</v>
      </c>
      <c r="N648" s="1">
        <v>51593</v>
      </c>
      <c r="O648" s="1">
        <v>2469717</v>
      </c>
      <c r="P648" s="1">
        <v>348477</v>
      </c>
      <c r="Q648" s="1">
        <v>638004</v>
      </c>
      <c r="R648" s="1">
        <v>31134364</v>
      </c>
      <c r="S648" s="1">
        <v>41051</v>
      </c>
      <c r="T648" s="1">
        <v>41051</v>
      </c>
      <c r="U648" s="1">
        <v>12086</v>
      </c>
      <c r="V648" s="1">
        <v>1</v>
      </c>
      <c r="W648" s="1">
        <v>0</v>
      </c>
    </row>
    <row r="649">
      <c r="A649" s="1">
        <v>2020</v>
      </c>
      <c r="B649" s="1">
        <v>41</v>
      </c>
      <c r="C649" t="s">
        <v>3</v>
      </c>
      <c r="D649" s="1">
        <v>51</v>
      </c>
      <c r="E649" t="s">
        <v>6</v>
      </c>
      <c r="F649" s="1">
        <v>12</v>
      </c>
      <c r="G649" t="s">
        <v>15</v>
      </c>
      <c r="H649" s="1">
        <v>95</v>
      </c>
      <c r="I649" t="s">
        <v>64</v>
      </c>
      <c r="J649" s="1">
        <v>35</v>
      </c>
      <c r="K649" s="1">
        <v>60</v>
      </c>
      <c r="L649" s="1">
        <v>2259</v>
      </c>
      <c r="M649" s="1">
        <v>32214</v>
      </c>
      <c r="N649" s="1">
        <v>51593</v>
      </c>
      <c r="O649" s="1">
        <v>2469717</v>
      </c>
      <c r="P649" s="1">
        <v>348477</v>
      </c>
      <c r="Q649" s="1">
        <v>638004</v>
      </c>
      <c r="R649" s="1">
        <v>31134364</v>
      </c>
      <c r="S649" s="1">
        <v>41051</v>
      </c>
      <c r="T649" s="1">
        <v>41051</v>
      </c>
      <c r="U649" s="1">
        <v>12095</v>
      </c>
      <c r="V649" s="1">
        <v>1</v>
      </c>
      <c r="W649" s="1">
        <v>0</v>
      </c>
    </row>
    <row r="650">
      <c r="A650" s="1">
        <v>2020</v>
      </c>
      <c r="B650" s="1">
        <v>41</v>
      </c>
      <c r="C650" t="s">
        <v>3</v>
      </c>
      <c r="D650" s="1">
        <v>51</v>
      </c>
      <c r="E650" t="s">
        <v>6</v>
      </c>
      <c r="F650" s="1">
        <v>12</v>
      </c>
      <c r="G650" t="s">
        <v>15</v>
      </c>
      <c r="H650" s="1">
        <v>99</v>
      </c>
      <c r="I650" t="s">
        <v>88</v>
      </c>
      <c r="J650" s="1">
        <v>26</v>
      </c>
      <c r="K650" s="1">
        <v>37</v>
      </c>
      <c r="L650" s="1">
        <v>1749</v>
      </c>
      <c r="M650" s="1">
        <v>32214</v>
      </c>
      <c r="N650" s="1">
        <v>51593</v>
      </c>
      <c r="O650" s="1">
        <v>2469717</v>
      </c>
      <c r="P650" s="1">
        <v>348477</v>
      </c>
      <c r="Q650" s="1">
        <v>638004</v>
      </c>
      <c r="R650" s="1">
        <v>31134364</v>
      </c>
      <c r="S650" s="1">
        <v>41051</v>
      </c>
      <c r="T650" s="1">
        <v>41051</v>
      </c>
      <c r="U650" s="1">
        <v>12099</v>
      </c>
      <c r="V650" s="1">
        <v>1</v>
      </c>
      <c r="W650" s="1">
        <v>0</v>
      </c>
    </row>
    <row r="651">
      <c r="A651" s="1">
        <v>2020</v>
      </c>
      <c r="B651" s="1">
        <v>41</v>
      </c>
      <c r="C651" t="s">
        <v>3</v>
      </c>
      <c r="D651" s="1">
        <v>51</v>
      </c>
      <c r="E651" t="s">
        <v>6</v>
      </c>
      <c r="F651" s="1">
        <v>12</v>
      </c>
      <c r="G651" t="s">
        <v>15</v>
      </c>
      <c r="H651" s="1">
        <v>103</v>
      </c>
      <c r="I651" t="s">
        <v>89</v>
      </c>
      <c r="J651" s="1">
        <v>32</v>
      </c>
      <c r="K651" s="1">
        <v>46</v>
      </c>
      <c r="L651" s="1">
        <v>2117</v>
      </c>
      <c r="M651" s="1">
        <v>32214</v>
      </c>
      <c r="N651" s="1">
        <v>51593</v>
      </c>
      <c r="O651" s="1">
        <v>2469717</v>
      </c>
      <c r="P651" s="1">
        <v>348477</v>
      </c>
      <c r="Q651" s="1">
        <v>638004</v>
      </c>
      <c r="R651" s="1">
        <v>31134364</v>
      </c>
      <c r="S651" s="1">
        <v>41051</v>
      </c>
      <c r="T651" s="1">
        <v>41051</v>
      </c>
      <c r="U651" s="1">
        <v>12103</v>
      </c>
      <c r="V651" s="1">
        <v>1</v>
      </c>
      <c r="W651" s="1">
        <v>0</v>
      </c>
    </row>
    <row r="652">
      <c r="A652" s="1">
        <v>2020</v>
      </c>
      <c r="B652" s="1">
        <v>41</v>
      </c>
      <c r="C652" t="s">
        <v>3</v>
      </c>
      <c r="D652" s="1">
        <v>51</v>
      </c>
      <c r="E652" t="s">
        <v>6</v>
      </c>
      <c r="F652" s="1">
        <v>12</v>
      </c>
      <c r="G652" t="s">
        <v>15</v>
      </c>
      <c r="H652" s="1">
        <v>115</v>
      </c>
      <c r="I652" t="s">
        <v>231</v>
      </c>
      <c r="J652" s="1">
        <v>22</v>
      </c>
      <c r="K652" s="1">
        <v>37</v>
      </c>
      <c r="L652" s="1">
        <v>2228</v>
      </c>
      <c r="M652" s="1">
        <v>32214</v>
      </c>
      <c r="N652" s="1">
        <v>51593</v>
      </c>
      <c r="O652" s="1">
        <v>2469717</v>
      </c>
      <c r="P652" s="1">
        <v>348477</v>
      </c>
      <c r="Q652" s="1">
        <v>638004</v>
      </c>
      <c r="R652" s="1">
        <v>31134364</v>
      </c>
      <c r="S652" s="1">
        <v>41051</v>
      </c>
      <c r="T652" s="1">
        <v>41051</v>
      </c>
      <c r="U652" s="1">
        <v>12115</v>
      </c>
      <c r="V652" s="1">
        <v>1</v>
      </c>
      <c r="W652" s="1">
        <v>0</v>
      </c>
    </row>
    <row r="653">
      <c r="A653" s="1">
        <v>2020</v>
      </c>
      <c r="B653" s="1">
        <v>41</v>
      </c>
      <c r="C653" t="s">
        <v>3</v>
      </c>
      <c r="D653" s="1">
        <v>51</v>
      </c>
      <c r="E653" t="s">
        <v>6</v>
      </c>
      <c r="F653" s="1">
        <v>13</v>
      </c>
      <c r="G653" t="s">
        <v>16</v>
      </c>
      <c r="H653" s="1">
        <v>89</v>
      </c>
      <c r="I653" t="s">
        <v>90</v>
      </c>
      <c r="J653" s="1">
        <v>29</v>
      </c>
      <c r="K653" s="1">
        <v>44</v>
      </c>
      <c r="L653" s="1">
        <v>1271</v>
      </c>
      <c r="M653" s="1">
        <v>32214</v>
      </c>
      <c r="N653" s="1">
        <v>51593</v>
      </c>
      <c r="O653" s="1">
        <v>2469717</v>
      </c>
      <c r="P653" s="1">
        <v>348477</v>
      </c>
      <c r="Q653" s="1">
        <v>638004</v>
      </c>
      <c r="R653" s="1">
        <v>31134364</v>
      </c>
      <c r="S653" s="1">
        <v>41051</v>
      </c>
      <c r="T653" s="1">
        <v>41051</v>
      </c>
      <c r="U653" s="1">
        <v>13089</v>
      </c>
      <c r="V653" s="1">
        <v>1</v>
      </c>
      <c r="W653" s="1">
        <v>0</v>
      </c>
    </row>
    <row r="654">
      <c r="A654" s="1">
        <v>2020</v>
      </c>
      <c r="B654" s="1">
        <v>41</v>
      </c>
      <c r="C654" t="s">
        <v>3</v>
      </c>
      <c r="D654" s="1">
        <v>51</v>
      </c>
      <c r="E654" t="s">
        <v>6</v>
      </c>
      <c r="F654" s="1">
        <v>13</v>
      </c>
      <c r="G654" t="s">
        <v>16</v>
      </c>
      <c r="H654" s="1">
        <v>121</v>
      </c>
      <c r="I654" t="s">
        <v>91</v>
      </c>
      <c r="J654" s="1">
        <v>43</v>
      </c>
      <c r="K654" s="1">
        <v>55</v>
      </c>
      <c r="L654" s="1">
        <v>4561</v>
      </c>
      <c r="M654" s="1">
        <v>32214</v>
      </c>
      <c r="N654" s="1">
        <v>51593</v>
      </c>
      <c r="O654" s="1">
        <v>2469717</v>
      </c>
      <c r="P654" s="1">
        <v>348477</v>
      </c>
      <c r="Q654" s="1">
        <v>638004</v>
      </c>
      <c r="R654" s="1">
        <v>31134364</v>
      </c>
      <c r="S654" s="1">
        <v>41051</v>
      </c>
      <c r="T654" s="1">
        <v>41051</v>
      </c>
      <c r="U654" s="1">
        <v>13121</v>
      </c>
      <c r="V654" s="1">
        <v>1</v>
      </c>
      <c r="W654" s="1">
        <v>0</v>
      </c>
    </row>
    <row r="655">
      <c r="A655" s="1">
        <v>2020</v>
      </c>
      <c r="B655" s="1">
        <v>41</v>
      </c>
      <c r="C655" t="s">
        <v>3</v>
      </c>
      <c r="D655" s="1">
        <v>51</v>
      </c>
      <c r="E655" t="s">
        <v>6</v>
      </c>
      <c r="F655" s="1">
        <v>15</v>
      </c>
      <c r="G655" t="s">
        <v>17</v>
      </c>
      <c r="H655" s="1">
        <v>1</v>
      </c>
      <c r="I655" t="s">
        <v>92</v>
      </c>
      <c r="J655" s="1">
        <v>59</v>
      </c>
      <c r="K655" s="1">
        <v>92</v>
      </c>
      <c r="L655" s="1">
        <v>3084</v>
      </c>
      <c r="M655" s="1">
        <v>32214</v>
      </c>
      <c r="N655" s="1">
        <v>51593</v>
      </c>
      <c r="O655" s="1">
        <v>2469717</v>
      </c>
      <c r="P655" s="1">
        <v>348477</v>
      </c>
      <c r="Q655" s="1">
        <v>638004</v>
      </c>
      <c r="R655" s="1">
        <v>31134364</v>
      </c>
      <c r="S655" s="1">
        <v>41051</v>
      </c>
      <c r="T655" s="1">
        <v>41051</v>
      </c>
      <c r="U655" s="1">
        <v>15001</v>
      </c>
      <c r="V655" s="1">
        <v>1</v>
      </c>
      <c r="W655" s="1">
        <v>0</v>
      </c>
    </row>
    <row r="656">
      <c r="A656" s="1">
        <v>2020</v>
      </c>
      <c r="B656" s="1">
        <v>41</v>
      </c>
      <c r="C656" t="s">
        <v>3</v>
      </c>
      <c r="D656" s="1">
        <v>51</v>
      </c>
      <c r="E656" t="s">
        <v>6</v>
      </c>
      <c r="F656" s="1">
        <v>15</v>
      </c>
      <c r="G656" t="s">
        <v>17</v>
      </c>
      <c r="H656" s="1">
        <v>3</v>
      </c>
      <c r="I656" t="s">
        <v>93</v>
      </c>
      <c r="J656" s="1">
        <v>103</v>
      </c>
      <c r="K656" s="1">
        <v>168</v>
      </c>
      <c r="L656" s="1">
        <v>6627</v>
      </c>
      <c r="M656" s="1">
        <v>32214</v>
      </c>
      <c r="N656" s="1">
        <v>51593</v>
      </c>
      <c r="O656" s="1">
        <v>2469717</v>
      </c>
      <c r="P656" s="1">
        <v>348477</v>
      </c>
      <c r="Q656" s="1">
        <v>638004</v>
      </c>
      <c r="R656" s="1">
        <v>31134364</v>
      </c>
      <c r="S656" s="1">
        <v>41051</v>
      </c>
      <c r="T656" s="1">
        <v>41051</v>
      </c>
      <c r="U656" s="1">
        <v>15003</v>
      </c>
      <c r="V656" s="1">
        <v>1</v>
      </c>
      <c r="W656" s="1">
        <v>0</v>
      </c>
    </row>
    <row r="657">
      <c r="A657" s="1">
        <v>2020</v>
      </c>
      <c r="B657" s="1">
        <v>41</v>
      </c>
      <c r="C657" t="s">
        <v>3</v>
      </c>
      <c r="D657" s="1">
        <v>51</v>
      </c>
      <c r="E657" t="s">
        <v>6</v>
      </c>
      <c r="F657" s="1">
        <v>15</v>
      </c>
      <c r="G657" t="s">
        <v>17</v>
      </c>
      <c r="H657" s="1">
        <v>7</v>
      </c>
      <c r="I657" t="s">
        <v>185</v>
      </c>
      <c r="J657" s="1">
        <v>26</v>
      </c>
      <c r="K657" s="1">
        <v>40</v>
      </c>
      <c r="L657" s="1">
        <v>808</v>
      </c>
      <c r="M657" s="1">
        <v>32214</v>
      </c>
      <c r="N657" s="1">
        <v>51593</v>
      </c>
      <c r="O657" s="1">
        <v>2469717</v>
      </c>
      <c r="P657" s="1">
        <v>348477</v>
      </c>
      <c r="Q657" s="1">
        <v>638004</v>
      </c>
      <c r="R657" s="1">
        <v>31134364</v>
      </c>
      <c r="S657" s="1">
        <v>41051</v>
      </c>
      <c r="T657" s="1">
        <v>41051</v>
      </c>
      <c r="U657" s="1">
        <v>15007</v>
      </c>
      <c r="V657" s="1">
        <v>1</v>
      </c>
      <c r="W657" s="1">
        <v>0</v>
      </c>
    </row>
    <row r="658">
      <c r="A658" s="1">
        <v>2020</v>
      </c>
      <c r="B658" s="1">
        <v>41</v>
      </c>
      <c r="C658" t="s">
        <v>3</v>
      </c>
      <c r="D658" s="1">
        <v>51</v>
      </c>
      <c r="E658" t="s">
        <v>6</v>
      </c>
      <c r="F658" s="1">
        <v>15</v>
      </c>
      <c r="G658" t="s">
        <v>17</v>
      </c>
      <c r="H658" s="1">
        <v>9</v>
      </c>
      <c r="I658" t="s">
        <v>94</v>
      </c>
      <c r="J658" s="1">
        <v>38</v>
      </c>
      <c r="K658" s="1">
        <v>62</v>
      </c>
      <c r="L658" s="1">
        <v>2264</v>
      </c>
      <c r="M658" s="1">
        <v>32214</v>
      </c>
      <c r="N658" s="1">
        <v>51593</v>
      </c>
      <c r="O658" s="1">
        <v>2469717</v>
      </c>
      <c r="P658" s="1">
        <v>348477</v>
      </c>
      <c r="Q658" s="1">
        <v>638004</v>
      </c>
      <c r="R658" s="1">
        <v>31134364</v>
      </c>
      <c r="S658" s="1">
        <v>41051</v>
      </c>
      <c r="T658" s="1">
        <v>41051</v>
      </c>
      <c r="U658" s="1">
        <v>15009</v>
      </c>
      <c r="V658" s="1">
        <v>1</v>
      </c>
      <c r="W658" s="1">
        <v>0</v>
      </c>
    </row>
    <row r="659">
      <c r="A659" s="1">
        <v>2020</v>
      </c>
      <c r="B659" s="1">
        <v>41</v>
      </c>
      <c r="C659" t="s">
        <v>3</v>
      </c>
      <c r="D659" s="1">
        <v>51</v>
      </c>
      <c r="E659" t="s">
        <v>6</v>
      </c>
      <c r="F659" s="1">
        <v>16</v>
      </c>
      <c r="G659" t="s">
        <v>18</v>
      </c>
      <c r="H659" s="1">
        <v>1</v>
      </c>
      <c r="I659" t="s">
        <v>95</v>
      </c>
      <c r="J659" s="1">
        <v>171</v>
      </c>
      <c r="K659" s="1">
        <v>257</v>
      </c>
      <c r="L659" s="1">
        <v>11235</v>
      </c>
      <c r="M659" s="1">
        <v>32214</v>
      </c>
      <c r="N659" s="1">
        <v>51593</v>
      </c>
      <c r="O659" s="1">
        <v>2469717</v>
      </c>
      <c r="P659" s="1">
        <v>348477</v>
      </c>
      <c r="Q659" s="1">
        <v>638004</v>
      </c>
      <c r="R659" s="1">
        <v>31134364</v>
      </c>
      <c r="S659" s="1">
        <v>41051</v>
      </c>
      <c r="T659" s="1">
        <v>41051</v>
      </c>
      <c r="U659" s="1">
        <v>16001</v>
      </c>
      <c r="V659" s="1">
        <v>1</v>
      </c>
      <c r="W659" s="1">
        <v>0</v>
      </c>
    </row>
    <row r="660">
      <c r="A660" s="1">
        <v>2020</v>
      </c>
      <c r="B660" s="1">
        <v>41</v>
      </c>
      <c r="C660" t="s">
        <v>3</v>
      </c>
      <c r="D660" s="1">
        <v>51</v>
      </c>
      <c r="E660" t="s">
        <v>6</v>
      </c>
      <c r="F660" s="1">
        <v>16</v>
      </c>
      <c r="G660" t="s">
        <v>18</v>
      </c>
      <c r="H660" s="1">
        <v>27</v>
      </c>
      <c r="I660" t="s">
        <v>96</v>
      </c>
      <c r="J660" s="1">
        <v>62</v>
      </c>
      <c r="K660" s="1">
        <v>141</v>
      </c>
      <c r="L660" s="1">
        <v>3239</v>
      </c>
      <c r="M660" s="1">
        <v>32214</v>
      </c>
      <c r="N660" s="1">
        <v>51593</v>
      </c>
      <c r="O660" s="1">
        <v>2469717</v>
      </c>
      <c r="P660" s="1">
        <v>348477</v>
      </c>
      <c r="Q660" s="1">
        <v>638004</v>
      </c>
      <c r="R660" s="1">
        <v>31134364</v>
      </c>
      <c r="S660" s="1">
        <v>41051</v>
      </c>
      <c r="T660" s="1">
        <v>41051</v>
      </c>
      <c r="U660" s="1">
        <v>16027</v>
      </c>
      <c r="V660" s="1">
        <v>1</v>
      </c>
      <c r="W660" s="1">
        <v>0</v>
      </c>
    </row>
    <row r="661">
      <c r="A661" s="1">
        <v>2020</v>
      </c>
      <c r="B661" s="1">
        <v>41</v>
      </c>
      <c r="C661" t="s">
        <v>3</v>
      </c>
      <c r="D661" s="1">
        <v>51</v>
      </c>
      <c r="E661" t="s">
        <v>6</v>
      </c>
      <c r="F661" s="1">
        <v>16</v>
      </c>
      <c r="G661" t="s">
        <v>18</v>
      </c>
      <c r="H661" s="1">
        <v>55</v>
      </c>
      <c r="I661" t="s">
        <v>97</v>
      </c>
      <c r="J661" s="1">
        <v>62</v>
      </c>
      <c r="K661" s="1">
        <v>131</v>
      </c>
      <c r="L661" s="1">
        <v>3558</v>
      </c>
      <c r="M661" s="1">
        <v>32214</v>
      </c>
      <c r="N661" s="1">
        <v>51593</v>
      </c>
      <c r="O661" s="1">
        <v>2469717</v>
      </c>
      <c r="P661" s="1">
        <v>348477</v>
      </c>
      <c r="Q661" s="1">
        <v>638004</v>
      </c>
      <c r="R661" s="1">
        <v>31134364</v>
      </c>
      <c r="S661" s="1">
        <v>41051</v>
      </c>
      <c r="T661" s="1">
        <v>41051</v>
      </c>
      <c r="U661" s="1">
        <v>16055</v>
      </c>
      <c r="V661" s="1">
        <v>1</v>
      </c>
      <c r="W661" s="1">
        <v>0</v>
      </c>
    </row>
    <row r="662">
      <c r="A662" s="1">
        <v>2020</v>
      </c>
      <c r="B662" s="1">
        <v>41</v>
      </c>
      <c r="C662" t="s">
        <v>3</v>
      </c>
      <c r="D662" s="1">
        <v>51</v>
      </c>
      <c r="E662" t="s">
        <v>6</v>
      </c>
      <c r="F662" s="1">
        <v>17</v>
      </c>
      <c r="G662" t="s">
        <v>19</v>
      </c>
      <c r="H662" s="1">
        <v>31</v>
      </c>
      <c r="I662" t="s">
        <v>98</v>
      </c>
      <c r="J662" s="1">
        <v>203</v>
      </c>
      <c r="K662" s="1">
        <v>287</v>
      </c>
      <c r="L662" s="1">
        <v>15019</v>
      </c>
      <c r="M662" s="1">
        <v>32214</v>
      </c>
      <c r="N662" s="1">
        <v>51593</v>
      </c>
      <c r="O662" s="1">
        <v>2469717</v>
      </c>
      <c r="P662" s="1">
        <v>348477</v>
      </c>
      <c r="Q662" s="1">
        <v>638004</v>
      </c>
      <c r="R662" s="1">
        <v>31134364</v>
      </c>
      <c r="S662" s="1">
        <v>41051</v>
      </c>
      <c r="T662" s="1">
        <v>41051</v>
      </c>
      <c r="U662" s="1">
        <v>17031</v>
      </c>
      <c r="V662" s="1">
        <v>1</v>
      </c>
      <c r="W662" s="1">
        <v>0</v>
      </c>
    </row>
    <row r="663">
      <c r="A663" s="1">
        <v>2020</v>
      </c>
      <c r="B663" s="1">
        <v>41</v>
      </c>
      <c r="C663" t="s">
        <v>3</v>
      </c>
      <c r="D663" s="1">
        <v>51</v>
      </c>
      <c r="E663" t="s">
        <v>6</v>
      </c>
      <c r="F663" s="1">
        <v>17</v>
      </c>
      <c r="G663" t="s">
        <v>19</v>
      </c>
      <c r="H663" s="1">
        <v>43</v>
      </c>
      <c r="I663" t="s">
        <v>187</v>
      </c>
      <c r="J663" s="1">
        <v>21</v>
      </c>
      <c r="K663" s="1">
        <v>27</v>
      </c>
      <c r="L663" s="1">
        <v>1409</v>
      </c>
      <c r="M663" s="1">
        <v>32214</v>
      </c>
      <c r="N663" s="1">
        <v>51593</v>
      </c>
      <c r="O663" s="1">
        <v>2469717</v>
      </c>
      <c r="P663" s="1">
        <v>348477</v>
      </c>
      <c r="Q663" s="1">
        <v>638004</v>
      </c>
      <c r="R663" s="1">
        <v>31134364</v>
      </c>
      <c r="S663" s="1">
        <v>41051</v>
      </c>
      <c r="T663" s="1">
        <v>41051</v>
      </c>
      <c r="U663" s="1">
        <v>17043</v>
      </c>
      <c r="V663" s="1">
        <v>1</v>
      </c>
      <c r="W663" s="1">
        <v>0</v>
      </c>
    </row>
    <row r="664">
      <c r="A664" s="1">
        <v>2020</v>
      </c>
      <c r="B664" s="1">
        <v>41</v>
      </c>
      <c r="C664" t="s">
        <v>3</v>
      </c>
      <c r="D664" s="1">
        <v>51</v>
      </c>
      <c r="E664" t="s">
        <v>6</v>
      </c>
      <c r="F664" s="1">
        <v>17</v>
      </c>
      <c r="G664" t="s">
        <v>19</v>
      </c>
      <c r="H664" s="1">
        <v>97</v>
      </c>
      <c r="I664" t="s">
        <v>232</v>
      </c>
      <c r="J664" s="1">
        <v>20</v>
      </c>
      <c r="K664" s="1">
        <v>24</v>
      </c>
      <c r="L664" s="1">
        <v>1520</v>
      </c>
      <c r="M664" s="1">
        <v>32214</v>
      </c>
      <c r="N664" s="1">
        <v>51593</v>
      </c>
      <c r="O664" s="1">
        <v>2469717</v>
      </c>
      <c r="P664" s="1">
        <v>348477</v>
      </c>
      <c r="Q664" s="1">
        <v>638004</v>
      </c>
      <c r="R664" s="1">
        <v>31134364</v>
      </c>
      <c r="S664" s="1">
        <v>41051</v>
      </c>
      <c r="T664" s="1">
        <v>41051</v>
      </c>
      <c r="U664" s="1">
        <v>17097</v>
      </c>
      <c r="V664" s="1">
        <v>1</v>
      </c>
      <c r="W664" s="1">
        <v>0</v>
      </c>
    </row>
    <row r="665">
      <c r="A665" s="1">
        <v>2020</v>
      </c>
      <c r="B665" s="1">
        <v>41</v>
      </c>
      <c r="C665" t="s">
        <v>3</v>
      </c>
      <c r="D665" s="1">
        <v>51</v>
      </c>
      <c r="E665" t="s">
        <v>6</v>
      </c>
      <c r="F665" s="1">
        <v>18</v>
      </c>
      <c r="G665" t="s">
        <v>20</v>
      </c>
      <c r="H665" s="1">
        <v>97</v>
      </c>
      <c r="I665" t="s">
        <v>99</v>
      </c>
      <c r="J665" s="1">
        <v>25</v>
      </c>
      <c r="K665" s="1">
        <v>35</v>
      </c>
      <c r="L665" s="1">
        <v>1326</v>
      </c>
      <c r="M665" s="1">
        <v>32214</v>
      </c>
      <c r="N665" s="1">
        <v>51593</v>
      </c>
      <c r="O665" s="1">
        <v>2469717</v>
      </c>
      <c r="P665" s="1">
        <v>348477</v>
      </c>
      <c r="Q665" s="1">
        <v>638004</v>
      </c>
      <c r="R665" s="1">
        <v>31134364</v>
      </c>
      <c r="S665" s="1">
        <v>41051</v>
      </c>
      <c r="T665" s="1">
        <v>41051</v>
      </c>
      <c r="U665" s="1">
        <v>18097</v>
      </c>
      <c r="V665" s="1">
        <v>1</v>
      </c>
      <c r="W665" s="1">
        <v>0</v>
      </c>
    </row>
    <row r="666">
      <c r="A666" s="1">
        <v>2020</v>
      </c>
      <c r="B666" s="1">
        <v>41</v>
      </c>
      <c r="C666" t="s">
        <v>3</v>
      </c>
      <c r="D666" s="1">
        <v>51</v>
      </c>
      <c r="E666" t="s">
        <v>6</v>
      </c>
      <c r="F666" s="1">
        <v>19</v>
      </c>
      <c r="G666" t="s">
        <v>21</v>
      </c>
      <c r="H666" s="1">
        <v>153</v>
      </c>
      <c r="I666" t="s">
        <v>100</v>
      </c>
      <c r="J666" s="1">
        <v>28</v>
      </c>
      <c r="K666" s="1">
        <v>46</v>
      </c>
      <c r="L666" s="1">
        <v>1459</v>
      </c>
      <c r="M666" s="1">
        <v>32214</v>
      </c>
      <c r="N666" s="1">
        <v>51593</v>
      </c>
      <c r="O666" s="1">
        <v>2469717</v>
      </c>
      <c r="P666" s="1">
        <v>348477</v>
      </c>
      <c r="Q666" s="1">
        <v>638004</v>
      </c>
      <c r="R666" s="1">
        <v>31134364</v>
      </c>
      <c r="S666" s="1">
        <v>41051</v>
      </c>
      <c r="T666" s="1">
        <v>41051</v>
      </c>
      <c r="U666" s="1">
        <v>19153</v>
      </c>
      <c r="V666" s="1">
        <v>1</v>
      </c>
      <c r="W666" s="1">
        <v>0</v>
      </c>
    </row>
    <row r="667">
      <c r="A667" s="1">
        <v>2020</v>
      </c>
      <c r="B667" s="1">
        <v>41</v>
      </c>
      <c r="C667" t="s">
        <v>3</v>
      </c>
      <c r="D667" s="1">
        <v>51</v>
      </c>
      <c r="E667" t="s">
        <v>6</v>
      </c>
      <c r="F667" s="1">
        <v>21</v>
      </c>
      <c r="G667" t="s">
        <v>43</v>
      </c>
      <c r="H667" s="1">
        <v>111</v>
      </c>
      <c r="I667" t="s">
        <v>83</v>
      </c>
      <c r="J667" s="1">
        <v>22</v>
      </c>
      <c r="K667" s="1">
        <v>31</v>
      </c>
      <c r="L667" s="1">
        <v>1736</v>
      </c>
      <c r="M667" s="1">
        <v>32214</v>
      </c>
      <c r="N667" s="1">
        <v>51593</v>
      </c>
      <c r="O667" s="1">
        <v>2469717</v>
      </c>
      <c r="P667" s="1">
        <v>348477</v>
      </c>
      <c r="Q667" s="1">
        <v>638004</v>
      </c>
      <c r="R667" s="1">
        <v>31134364</v>
      </c>
      <c r="S667" s="1">
        <v>41051</v>
      </c>
      <c r="T667" s="1">
        <v>41051</v>
      </c>
      <c r="U667" s="1">
        <v>21111</v>
      </c>
      <c r="V667" s="1">
        <v>1</v>
      </c>
      <c r="W667" s="1">
        <v>0</v>
      </c>
    </row>
    <row r="668">
      <c r="A668" s="1">
        <v>2020</v>
      </c>
      <c r="B668" s="1">
        <v>41</v>
      </c>
      <c r="C668" t="s">
        <v>3</v>
      </c>
      <c r="D668" s="1">
        <v>51</v>
      </c>
      <c r="E668" t="s">
        <v>6</v>
      </c>
      <c r="F668" s="1">
        <v>22</v>
      </c>
      <c r="G668" t="s">
        <v>22</v>
      </c>
      <c r="H668" s="1">
        <v>71</v>
      </c>
      <c r="I668" t="s">
        <v>101</v>
      </c>
      <c r="J668" s="1">
        <v>36</v>
      </c>
      <c r="K668" s="1">
        <v>46</v>
      </c>
      <c r="L668" s="1">
        <v>1681</v>
      </c>
      <c r="M668" s="1">
        <v>32214</v>
      </c>
      <c r="N668" s="1">
        <v>51593</v>
      </c>
      <c r="O668" s="1">
        <v>2469717</v>
      </c>
      <c r="P668" s="1">
        <v>348477</v>
      </c>
      <c r="Q668" s="1">
        <v>638004</v>
      </c>
      <c r="R668" s="1">
        <v>31134364</v>
      </c>
      <c r="S668" s="1">
        <v>41051</v>
      </c>
      <c r="T668" s="1">
        <v>41051</v>
      </c>
      <c r="U668" s="1">
        <v>22071</v>
      </c>
      <c r="V668" s="1">
        <v>1</v>
      </c>
      <c r="W668" s="1">
        <v>0</v>
      </c>
    </row>
    <row r="669">
      <c r="A669" s="1">
        <v>2020</v>
      </c>
      <c r="B669" s="1">
        <v>41</v>
      </c>
      <c r="C669" t="s">
        <v>3</v>
      </c>
      <c r="D669" s="1">
        <v>51</v>
      </c>
      <c r="E669" t="s">
        <v>6</v>
      </c>
      <c r="F669" s="1">
        <v>23</v>
      </c>
      <c r="G669" t="s">
        <v>23</v>
      </c>
      <c r="H669" s="1">
        <v>5</v>
      </c>
      <c r="I669" t="s">
        <v>102</v>
      </c>
      <c r="J669" s="1">
        <v>39</v>
      </c>
      <c r="K669" s="1">
        <v>55</v>
      </c>
      <c r="L669" s="1">
        <v>3603</v>
      </c>
      <c r="M669" s="1">
        <v>32214</v>
      </c>
      <c r="N669" s="1">
        <v>51593</v>
      </c>
      <c r="O669" s="1">
        <v>2469717</v>
      </c>
      <c r="P669" s="1">
        <v>348477</v>
      </c>
      <c r="Q669" s="1">
        <v>638004</v>
      </c>
      <c r="R669" s="1">
        <v>31134364</v>
      </c>
      <c r="S669" s="1">
        <v>41051</v>
      </c>
      <c r="T669" s="1">
        <v>41051</v>
      </c>
      <c r="U669" s="1">
        <v>23005</v>
      </c>
      <c r="V669" s="1">
        <v>1</v>
      </c>
      <c r="W669" s="1">
        <v>0</v>
      </c>
    </row>
    <row r="670">
      <c r="A670" s="1">
        <v>2020</v>
      </c>
      <c r="B670" s="1">
        <v>41</v>
      </c>
      <c r="C670" t="s">
        <v>3</v>
      </c>
      <c r="D670" s="1">
        <v>51</v>
      </c>
      <c r="E670" t="s">
        <v>6</v>
      </c>
      <c r="F670" s="1">
        <v>24</v>
      </c>
      <c r="G670" t="s">
        <v>24</v>
      </c>
      <c r="H670" s="1">
        <v>31</v>
      </c>
      <c r="I670" t="s">
        <v>103</v>
      </c>
      <c r="J670" s="1">
        <v>27</v>
      </c>
      <c r="K670" s="1">
        <v>35</v>
      </c>
      <c r="L670" s="1">
        <v>2536</v>
      </c>
      <c r="M670" s="1">
        <v>32214</v>
      </c>
      <c r="N670" s="1">
        <v>51593</v>
      </c>
      <c r="O670" s="1">
        <v>2469717</v>
      </c>
      <c r="P670" s="1">
        <v>348477</v>
      </c>
      <c r="Q670" s="1">
        <v>638004</v>
      </c>
      <c r="R670" s="1">
        <v>31134364</v>
      </c>
      <c r="S670" s="1">
        <v>41051</v>
      </c>
      <c r="T670" s="1">
        <v>41051</v>
      </c>
      <c r="U670" s="1">
        <v>24031</v>
      </c>
      <c r="V670" s="1">
        <v>1</v>
      </c>
      <c r="W670" s="1">
        <v>0</v>
      </c>
    </row>
    <row r="671">
      <c r="A671" s="1">
        <v>2020</v>
      </c>
      <c r="B671" s="1">
        <v>41</v>
      </c>
      <c r="C671" t="s">
        <v>3</v>
      </c>
      <c r="D671" s="1">
        <v>51</v>
      </c>
      <c r="E671" t="s">
        <v>6</v>
      </c>
      <c r="F671" s="1">
        <v>24</v>
      </c>
      <c r="G671" t="s">
        <v>24</v>
      </c>
      <c r="H671" s="1">
        <v>510</v>
      </c>
      <c r="I671" t="s">
        <v>190</v>
      </c>
      <c r="J671" s="1">
        <v>21</v>
      </c>
      <c r="K671" s="1">
        <v>30</v>
      </c>
      <c r="L671" s="1">
        <v>1026</v>
      </c>
      <c r="M671" s="1">
        <v>32214</v>
      </c>
      <c r="N671" s="1">
        <v>51593</v>
      </c>
      <c r="O671" s="1">
        <v>2469717</v>
      </c>
      <c r="P671" s="1">
        <v>348477</v>
      </c>
      <c r="Q671" s="1">
        <v>638004</v>
      </c>
      <c r="R671" s="1">
        <v>31134364</v>
      </c>
      <c r="S671" s="1">
        <v>41051</v>
      </c>
      <c r="T671" s="1">
        <v>41051</v>
      </c>
      <c r="U671" s="1">
        <v>24510</v>
      </c>
      <c r="V671" s="1">
        <v>1</v>
      </c>
      <c r="W671" s="1">
        <v>0</v>
      </c>
    </row>
    <row r="672">
      <c r="A672" s="1">
        <v>2020</v>
      </c>
      <c r="B672" s="1">
        <v>41</v>
      </c>
      <c r="C672" t="s">
        <v>3</v>
      </c>
      <c r="D672" s="1">
        <v>51</v>
      </c>
      <c r="E672" t="s">
        <v>6</v>
      </c>
      <c r="F672" s="1">
        <v>25</v>
      </c>
      <c r="G672" t="s">
        <v>25</v>
      </c>
      <c r="H672" s="1">
        <v>17</v>
      </c>
      <c r="I672" t="s">
        <v>104</v>
      </c>
      <c r="J672" s="1">
        <v>48</v>
      </c>
      <c r="K672" s="1">
        <v>67</v>
      </c>
      <c r="L672" s="1">
        <v>4669</v>
      </c>
      <c r="M672" s="1">
        <v>32214</v>
      </c>
      <c r="N672" s="1">
        <v>51593</v>
      </c>
      <c r="O672" s="1">
        <v>2469717</v>
      </c>
      <c r="P672" s="1">
        <v>348477</v>
      </c>
      <c r="Q672" s="1">
        <v>638004</v>
      </c>
      <c r="R672" s="1">
        <v>31134364</v>
      </c>
      <c r="S672" s="1">
        <v>41051</v>
      </c>
      <c r="T672" s="1">
        <v>41051</v>
      </c>
      <c r="U672" s="1">
        <v>25017</v>
      </c>
      <c r="V672" s="1">
        <v>1</v>
      </c>
      <c r="W672" s="1">
        <v>0</v>
      </c>
    </row>
    <row r="673">
      <c r="A673" s="1">
        <v>2020</v>
      </c>
      <c r="B673" s="1">
        <v>41</v>
      </c>
      <c r="C673" t="s">
        <v>3</v>
      </c>
      <c r="D673" s="1">
        <v>51</v>
      </c>
      <c r="E673" t="s">
        <v>6</v>
      </c>
      <c r="F673" s="1">
        <v>25</v>
      </c>
      <c r="G673" t="s">
        <v>25</v>
      </c>
      <c r="H673" s="1">
        <v>25</v>
      </c>
      <c r="I673" t="s">
        <v>105</v>
      </c>
      <c r="J673" s="1">
        <v>55</v>
      </c>
      <c r="K673" s="1">
        <v>73</v>
      </c>
      <c r="L673" s="1">
        <v>5885</v>
      </c>
      <c r="M673" s="1">
        <v>32214</v>
      </c>
      <c r="N673" s="1">
        <v>51593</v>
      </c>
      <c r="O673" s="1">
        <v>2469717</v>
      </c>
      <c r="P673" s="1">
        <v>348477</v>
      </c>
      <c r="Q673" s="1">
        <v>638004</v>
      </c>
      <c r="R673" s="1">
        <v>31134364</v>
      </c>
      <c r="S673" s="1">
        <v>41051</v>
      </c>
      <c r="T673" s="1">
        <v>41051</v>
      </c>
      <c r="U673" s="1">
        <v>25025</v>
      </c>
      <c r="V673" s="1">
        <v>1</v>
      </c>
      <c r="W673" s="1">
        <v>0</v>
      </c>
    </row>
    <row r="674">
      <c r="A674" s="1">
        <v>2020</v>
      </c>
      <c r="B674" s="1">
        <v>41</v>
      </c>
      <c r="C674" t="s">
        <v>3</v>
      </c>
      <c r="D674" s="1">
        <v>51</v>
      </c>
      <c r="E674" t="s">
        <v>6</v>
      </c>
      <c r="F674" s="1">
        <v>26</v>
      </c>
      <c r="G674" t="s">
        <v>26</v>
      </c>
      <c r="H674" s="1">
        <v>81</v>
      </c>
      <c r="I674" t="s">
        <v>193</v>
      </c>
      <c r="J674" s="1">
        <v>21</v>
      </c>
      <c r="K674" s="1">
        <v>40</v>
      </c>
      <c r="L674" s="1">
        <v>1625</v>
      </c>
      <c r="M674" s="1">
        <v>32214</v>
      </c>
      <c r="N674" s="1">
        <v>51593</v>
      </c>
      <c r="O674" s="1">
        <v>2469717</v>
      </c>
      <c r="P674" s="1">
        <v>348477</v>
      </c>
      <c r="Q674" s="1">
        <v>638004</v>
      </c>
      <c r="R674" s="1">
        <v>31134364</v>
      </c>
      <c r="S674" s="1">
        <v>41051</v>
      </c>
      <c r="T674" s="1">
        <v>41051</v>
      </c>
      <c r="U674" s="1">
        <v>26081</v>
      </c>
      <c r="V674" s="1">
        <v>1</v>
      </c>
      <c r="W674" s="1">
        <v>0</v>
      </c>
    </row>
    <row r="675">
      <c r="A675" s="1">
        <v>2020</v>
      </c>
      <c r="B675" s="1">
        <v>41</v>
      </c>
      <c r="C675" t="s">
        <v>3</v>
      </c>
      <c r="D675" s="1">
        <v>51</v>
      </c>
      <c r="E675" t="s">
        <v>6</v>
      </c>
      <c r="F675" s="1">
        <v>26</v>
      </c>
      <c r="G675" t="s">
        <v>26</v>
      </c>
      <c r="H675" s="1">
        <v>125</v>
      </c>
      <c r="I675" t="s">
        <v>194</v>
      </c>
      <c r="J675" s="1">
        <v>29</v>
      </c>
      <c r="K675" s="1">
        <v>45</v>
      </c>
      <c r="L675" s="1">
        <v>2473</v>
      </c>
      <c r="M675" s="1">
        <v>32214</v>
      </c>
      <c r="N675" s="1">
        <v>51593</v>
      </c>
      <c r="O675" s="1">
        <v>2469717</v>
      </c>
      <c r="P675" s="1">
        <v>348477</v>
      </c>
      <c r="Q675" s="1">
        <v>638004</v>
      </c>
      <c r="R675" s="1">
        <v>31134364</v>
      </c>
      <c r="S675" s="1">
        <v>41051</v>
      </c>
      <c r="T675" s="1">
        <v>41051</v>
      </c>
      <c r="U675" s="1">
        <v>26125</v>
      </c>
      <c r="V675" s="1">
        <v>1</v>
      </c>
      <c r="W675" s="1">
        <v>0</v>
      </c>
    </row>
    <row r="676">
      <c r="A676" s="1">
        <v>2020</v>
      </c>
      <c r="B676" s="1">
        <v>41</v>
      </c>
      <c r="C676" t="s">
        <v>3</v>
      </c>
      <c r="D676" s="1">
        <v>51</v>
      </c>
      <c r="E676" t="s">
        <v>6</v>
      </c>
      <c r="F676" s="1">
        <v>26</v>
      </c>
      <c r="G676" t="s">
        <v>26</v>
      </c>
      <c r="H676" s="1">
        <v>161</v>
      </c>
      <c r="I676" t="s">
        <v>106</v>
      </c>
      <c r="J676" s="1">
        <v>22</v>
      </c>
      <c r="K676" s="1">
        <v>27</v>
      </c>
      <c r="L676" s="1">
        <v>1186</v>
      </c>
      <c r="M676" s="1">
        <v>32214</v>
      </c>
      <c r="N676" s="1">
        <v>51593</v>
      </c>
      <c r="O676" s="1">
        <v>2469717</v>
      </c>
      <c r="P676" s="1">
        <v>348477</v>
      </c>
      <c r="Q676" s="1">
        <v>638004</v>
      </c>
      <c r="R676" s="1">
        <v>31134364</v>
      </c>
      <c r="S676" s="1">
        <v>41051</v>
      </c>
      <c r="T676" s="1">
        <v>41051</v>
      </c>
      <c r="U676" s="1">
        <v>26161</v>
      </c>
      <c r="V676" s="1">
        <v>1</v>
      </c>
      <c r="W676" s="1">
        <v>0</v>
      </c>
    </row>
    <row r="677">
      <c r="A677" s="1">
        <v>2020</v>
      </c>
      <c r="B677" s="1">
        <v>41</v>
      </c>
      <c r="C677" t="s">
        <v>3</v>
      </c>
      <c r="D677" s="1">
        <v>51</v>
      </c>
      <c r="E677" t="s">
        <v>6</v>
      </c>
      <c r="F677" s="1">
        <v>26</v>
      </c>
      <c r="G677" t="s">
        <v>26</v>
      </c>
      <c r="H677" s="1">
        <v>163</v>
      </c>
      <c r="I677" t="s">
        <v>195</v>
      </c>
      <c r="J677" s="1">
        <v>33</v>
      </c>
      <c r="K677" s="1">
        <v>47</v>
      </c>
      <c r="L677" s="1">
        <v>1511</v>
      </c>
      <c r="M677" s="1">
        <v>32214</v>
      </c>
      <c r="N677" s="1">
        <v>51593</v>
      </c>
      <c r="O677" s="1">
        <v>2469717</v>
      </c>
      <c r="P677" s="1">
        <v>348477</v>
      </c>
      <c r="Q677" s="1">
        <v>638004</v>
      </c>
      <c r="R677" s="1">
        <v>31134364</v>
      </c>
      <c r="S677" s="1">
        <v>41051</v>
      </c>
      <c r="T677" s="1">
        <v>41051</v>
      </c>
      <c r="U677" s="1">
        <v>26163</v>
      </c>
      <c r="V677" s="1">
        <v>1</v>
      </c>
      <c r="W677" s="1">
        <v>0</v>
      </c>
    </row>
    <row r="678">
      <c r="A678" s="1">
        <v>2020</v>
      </c>
      <c r="B678" s="1">
        <v>41</v>
      </c>
      <c r="C678" t="s">
        <v>3</v>
      </c>
      <c r="D678" s="1">
        <v>51</v>
      </c>
      <c r="E678" t="s">
        <v>6</v>
      </c>
      <c r="F678" s="1">
        <v>27</v>
      </c>
      <c r="G678" t="s">
        <v>27</v>
      </c>
      <c r="H678" s="1">
        <v>53</v>
      </c>
      <c r="I678" t="s">
        <v>107</v>
      </c>
      <c r="J678" s="1">
        <v>107</v>
      </c>
      <c r="K678" s="1">
        <v>153</v>
      </c>
      <c r="L678" s="1">
        <v>6839</v>
      </c>
      <c r="M678" s="1">
        <v>32214</v>
      </c>
      <c r="N678" s="1">
        <v>51593</v>
      </c>
      <c r="O678" s="1">
        <v>2469717</v>
      </c>
      <c r="P678" s="1">
        <v>348477</v>
      </c>
      <c r="Q678" s="1">
        <v>638004</v>
      </c>
      <c r="R678" s="1">
        <v>31134364</v>
      </c>
      <c r="S678" s="1">
        <v>41051</v>
      </c>
      <c r="T678" s="1">
        <v>41051</v>
      </c>
      <c r="U678" s="1">
        <v>27053</v>
      </c>
      <c r="V678" s="1">
        <v>1</v>
      </c>
      <c r="W678" s="1">
        <v>0</v>
      </c>
    </row>
    <row r="679">
      <c r="A679" s="1">
        <v>2020</v>
      </c>
      <c r="B679" s="1">
        <v>41</v>
      </c>
      <c r="C679" t="s">
        <v>3</v>
      </c>
      <c r="D679" s="1">
        <v>51</v>
      </c>
      <c r="E679" t="s">
        <v>6</v>
      </c>
      <c r="F679" s="1">
        <v>27</v>
      </c>
      <c r="G679" t="s">
        <v>27</v>
      </c>
      <c r="H679" s="1">
        <v>123</v>
      </c>
      <c r="I679" t="s">
        <v>108</v>
      </c>
      <c r="J679" s="1">
        <v>30</v>
      </c>
      <c r="K679" s="1">
        <v>42</v>
      </c>
      <c r="L679" s="1">
        <v>1867</v>
      </c>
      <c r="M679" s="1">
        <v>32214</v>
      </c>
      <c r="N679" s="1">
        <v>51593</v>
      </c>
      <c r="O679" s="1">
        <v>2469717</v>
      </c>
      <c r="P679" s="1">
        <v>348477</v>
      </c>
      <c r="Q679" s="1">
        <v>638004</v>
      </c>
      <c r="R679" s="1">
        <v>31134364</v>
      </c>
      <c r="S679" s="1">
        <v>41051</v>
      </c>
      <c r="T679" s="1">
        <v>41051</v>
      </c>
      <c r="U679" s="1">
        <v>27123</v>
      </c>
      <c r="V679" s="1">
        <v>1</v>
      </c>
      <c r="W679" s="1">
        <v>0</v>
      </c>
    </row>
    <row r="680">
      <c r="A680" s="1">
        <v>2020</v>
      </c>
      <c r="B680" s="1">
        <v>41</v>
      </c>
      <c r="C680" t="s">
        <v>3</v>
      </c>
      <c r="D680" s="1">
        <v>51</v>
      </c>
      <c r="E680" t="s">
        <v>6</v>
      </c>
      <c r="F680" s="1">
        <v>29</v>
      </c>
      <c r="G680" t="s">
        <v>44</v>
      </c>
      <c r="H680" s="1">
        <v>77</v>
      </c>
      <c r="I680" t="s">
        <v>196</v>
      </c>
      <c r="J680" s="1">
        <v>20</v>
      </c>
      <c r="K680" s="1">
        <v>111</v>
      </c>
      <c r="L680" s="1">
        <v>678</v>
      </c>
      <c r="M680" s="1">
        <v>32214</v>
      </c>
      <c r="N680" s="1">
        <v>51593</v>
      </c>
      <c r="O680" s="1">
        <v>2469717</v>
      </c>
      <c r="P680" s="1">
        <v>348477</v>
      </c>
      <c r="Q680" s="1">
        <v>638004</v>
      </c>
      <c r="R680" s="1">
        <v>31134364</v>
      </c>
      <c r="S680" s="1">
        <v>41051</v>
      </c>
      <c r="T680" s="1">
        <v>41051</v>
      </c>
      <c r="U680" s="1">
        <v>29077</v>
      </c>
      <c r="V680" s="1">
        <v>1</v>
      </c>
      <c r="W680" s="1">
        <v>0</v>
      </c>
    </row>
    <row r="681">
      <c r="A681" s="1">
        <v>2020</v>
      </c>
      <c r="B681" s="1">
        <v>41</v>
      </c>
      <c r="C681" t="s">
        <v>3</v>
      </c>
      <c r="D681" s="1">
        <v>51</v>
      </c>
      <c r="E681" t="s">
        <v>6</v>
      </c>
      <c r="F681" s="1">
        <v>29</v>
      </c>
      <c r="G681" t="s">
        <v>44</v>
      </c>
      <c r="H681" s="1">
        <v>95</v>
      </c>
      <c r="I681" t="s">
        <v>133</v>
      </c>
      <c r="J681" s="1">
        <v>31</v>
      </c>
      <c r="K681" s="1">
        <v>55</v>
      </c>
      <c r="L681" s="1">
        <v>1676</v>
      </c>
      <c r="M681" s="1">
        <v>32214</v>
      </c>
      <c r="N681" s="1">
        <v>51593</v>
      </c>
      <c r="O681" s="1">
        <v>2469717</v>
      </c>
      <c r="P681" s="1">
        <v>348477</v>
      </c>
      <c r="Q681" s="1">
        <v>638004</v>
      </c>
      <c r="R681" s="1">
        <v>31134364</v>
      </c>
      <c r="S681" s="1">
        <v>41051</v>
      </c>
      <c r="T681" s="1">
        <v>41051</v>
      </c>
      <c r="U681" s="1">
        <v>29095</v>
      </c>
      <c r="V681" s="1">
        <v>1</v>
      </c>
      <c r="W681" s="1">
        <v>0</v>
      </c>
    </row>
    <row r="682">
      <c r="A682" s="1">
        <v>2020</v>
      </c>
      <c r="B682" s="1">
        <v>41</v>
      </c>
      <c r="C682" t="s">
        <v>3</v>
      </c>
      <c r="D682" s="1">
        <v>51</v>
      </c>
      <c r="E682" t="s">
        <v>6</v>
      </c>
      <c r="F682" s="1">
        <v>29</v>
      </c>
      <c r="G682" t="s">
        <v>44</v>
      </c>
      <c r="H682" s="1">
        <v>189</v>
      </c>
      <c r="I682" t="s">
        <v>197</v>
      </c>
      <c r="J682" s="1">
        <v>25</v>
      </c>
      <c r="K682" s="1">
        <v>36</v>
      </c>
      <c r="L682" s="1">
        <v>1299</v>
      </c>
      <c r="M682" s="1">
        <v>32214</v>
      </c>
      <c r="N682" s="1">
        <v>51593</v>
      </c>
      <c r="O682" s="1">
        <v>2469717</v>
      </c>
      <c r="P682" s="1">
        <v>348477</v>
      </c>
      <c r="Q682" s="1">
        <v>638004</v>
      </c>
      <c r="R682" s="1">
        <v>31134364</v>
      </c>
      <c r="S682" s="1">
        <v>41051</v>
      </c>
      <c r="T682" s="1">
        <v>41051</v>
      </c>
      <c r="U682" s="1">
        <v>29189</v>
      </c>
      <c r="V682" s="1">
        <v>1</v>
      </c>
      <c r="W682" s="1">
        <v>0</v>
      </c>
    </row>
    <row r="683">
      <c r="A683" s="1">
        <v>2020</v>
      </c>
      <c r="B683" s="1">
        <v>41</v>
      </c>
      <c r="C683" t="s">
        <v>3</v>
      </c>
      <c r="D683" s="1">
        <v>51</v>
      </c>
      <c r="E683" t="s">
        <v>6</v>
      </c>
      <c r="F683" s="1">
        <v>29</v>
      </c>
      <c r="G683" t="s">
        <v>44</v>
      </c>
      <c r="H683" s="1">
        <v>510</v>
      </c>
      <c r="I683" t="s">
        <v>198</v>
      </c>
      <c r="J683" s="1">
        <v>22</v>
      </c>
      <c r="K683" s="1">
        <v>27</v>
      </c>
      <c r="L683" s="1">
        <v>1236</v>
      </c>
      <c r="M683" s="1">
        <v>32214</v>
      </c>
      <c r="N683" s="1">
        <v>51593</v>
      </c>
      <c r="O683" s="1">
        <v>2469717</v>
      </c>
      <c r="P683" s="1">
        <v>348477</v>
      </c>
      <c r="Q683" s="1">
        <v>638004</v>
      </c>
      <c r="R683" s="1">
        <v>31134364</v>
      </c>
      <c r="S683" s="1">
        <v>41051</v>
      </c>
      <c r="T683" s="1">
        <v>41051</v>
      </c>
      <c r="U683" s="1">
        <v>29510</v>
      </c>
      <c r="V683" s="1">
        <v>1</v>
      </c>
      <c r="W683" s="1">
        <v>0</v>
      </c>
    </row>
    <row r="684">
      <c r="A684" s="1">
        <v>2020</v>
      </c>
      <c r="B684" s="1">
        <v>41</v>
      </c>
      <c r="C684" t="s">
        <v>3</v>
      </c>
      <c r="D684" s="1">
        <v>51</v>
      </c>
      <c r="E684" t="s">
        <v>6</v>
      </c>
      <c r="F684" s="1">
        <v>30</v>
      </c>
      <c r="G684" t="s">
        <v>28</v>
      </c>
      <c r="H684" s="1">
        <v>29</v>
      </c>
      <c r="I684" t="s">
        <v>199</v>
      </c>
      <c r="J684" s="1">
        <v>23</v>
      </c>
      <c r="K684" s="1">
        <v>49</v>
      </c>
      <c r="L684" s="1">
        <v>2847</v>
      </c>
      <c r="M684" s="1">
        <v>32214</v>
      </c>
      <c r="N684" s="1">
        <v>51593</v>
      </c>
      <c r="O684" s="1">
        <v>2469717</v>
      </c>
      <c r="P684" s="1">
        <v>348477</v>
      </c>
      <c r="Q684" s="1">
        <v>638004</v>
      </c>
      <c r="R684" s="1">
        <v>31134364</v>
      </c>
      <c r="S684" s="1">
        <v>41051</v>
      </c>
      <c r="T684" s="1">
        <v>41051</v>
      </c>
      <c r="U684" s="1">
        <v>30029</v>
      </c>
      <c r="V684" s="1">
        <v>1</v>
      </c>
      <c r="W684" s="1">
        <v>0</v>
      </c>
    </row>
    <row r="685">
      <c r="A685" s="1">
        <v>2020</v>
      </c>
      <c r="B685" s="1">
        <v>41</v>
      </c>
      <c r="C685" t="s">
        <v>3</v>
      </c>
      <c r="D685" s="1">
        <v>51</v>
      </c>
      <c r="E685" t="s">
        <v>6</v>
      </c>
      <c r="F685" s="1">
        <v>30</v>
      </c>
      <c r="G685" t="s">
        <v>28</v>
      </c>
      <c r="H685" s="1">
        <v>31</v>
      </c>
      <c r="I685" t="s">
        <v>109</v>
      </c>
      <c r="J685" s="1">
        <v>34</v>
      </c>
      <c r="K685" s="1">
        <v>45</v>
      </c>
      <c r="L685" s="1">
        <v>2358</v>
      </c>
      <c r="M685" s="1">
        <v>32214</v>
      </c>
      <c r="N685" s="1">
        <v>51593</v>
      </c>
      <c r="O685" s="1">
        <v>2469717</v>
      </c>
      <c r="P685" s="1">
        <v>348477</v>
      </c>
      <c r="Q685" s="1">
        <v>638004</v>
      </c>
      <c r="R685" s="1">
        <v>31134364</v>
      </c>
      <c r="S685" s="1">
        <v>41051</v>
      </c>
      <c r="T685" s="1">
        <v>41051</v>
      </c>
      <c r="U685" s="1">
        <v>30031</v>
      </c>
      <c r="V685" s="1">
        <v>1</v>
      </c>
      <c r="W685" s="1">
        <v>0</v>
      </c>
    </row>
    <row r="686">
      <c r="A686" s="1">
        <v>2020</v>
      </c>
      <c r="B686" s="1">
        <v>41</v>
      </c>
      <c r="C686" t="s">
        <v>3</v>
      </c>
      <c r="D686" s="1">
        <v>51</v>
      </c>
      <c r="E686" t="s">
        <v>6</v>
      </c>
      <c r="F686" s="1">
        <v>30</v>
      </c>
      <c r="G686" t="s">
        <v>28</v>
      </c>
      <c r="H686" s="1">
        <v>49</v>
      </c>
      <c r="I686" t="s">
        <v>200</v>
      </c>
      <c r="J686" s="1">
        <v>22</v>
      </c>
      <c r="K686" s="1">
        <v>30</v>
      </c>
      <c r="L686" s="1">
        <v>1045</v>
      </c>
      <c r="M686" s="1">
        <v>32214</v>
      </c>
      <c r="N686" s="1">
        <v>51593</v>
      </c>
      <c r="O686" s="1">
        <v>2469717</v>
      </c>
      <c r="P686" s="1">
        <v>348477</v>
      </c>
      <c r="Q686" s="1">
        <v>638004</v>
      </c>
      <c r="R686" s="1">
        <v>31134364</v>
      </c>
      <c r="S686" s="1">
        <v>41051</v>
      </c>
      <c r="T686" s="1">
        <v>41051</v>
      </c>
      <c r="U686" s="1">
        <v>30049</v>
      </c>
      <c r="V686" s="1">
        <v>1</v>
      </c>
      <c r="W686" s="1">
        <v>0</v>
      </c>
    </row>
    <row r="687">
      <c r="A687" s="1">
        <v>2020</v>
      </c>
      <c r="B687" s="1">
        <v>41</v>
      </c>
      <c r="C687" t="s">
        <v>3</v>
      </c>
      <c r="D687" s="1">
        <v>51</v>
      </c>
      <c r="E687" t="s">
        <v>6</v>
      </c>
      <c r="F687" s="1">
        <v>30</v>
      </c>
      <c r="G687" t="s">
        <v>28</v>
      </c>
      <c r="H687" s="1">
        <v>63</v>
      </c>
      <c r="I687" t="s">
        <v>110</v>
      </c>
      <c r="J687" s="1">
        <v>51</v>
      </c>
      <c r="K687" s="1">
        <v>66</v>
      </c>
      <c r="L687" s="1">
        <v>2724</v>
      </c>
      <c r="M687" s="1">
        <v>32214</v>
      </c>
      <c r="N687" s="1">
        <v>51593</v>
      </c>
      <c r="O687" s="1">
        <v>2469717</v>
      </c>
      <c r="P687" s="1">
        <v>348477</v>
      </c>
      <c r="Q687" s="1">
        <v>638004</v>
      </c>
      <c r="R687" s="1">
        <v>31134364</v>
      </c>
      <c r="S687" s="1">
        <v>41051</v>
      </c>
      <c r="T687" s="1">
        <v>41051</v>
      </c>
      <c r="U687" s="1">
        <v>30063</v>
      </c>
      <c r="V687" s="1">
        <v>1</v>
      </c>
      <c r="W687" s="1">
        <v>0</v>
      </c>
    </row>
    <row r="688">
      <c r="A688" s="1">
        <v>2020</v>
      </c>
      <c r="B688" s="1">
        <v>41</v>
      </c>
      <c r="C688" t="s">
        <v>3</v>
      </c>
      <c r="D688" s="1">
        <v>51</v>
      </c>
      <c r="E688" t="s">
        <v>6</v>
      </c>
      <c r="F688" s="1">
        <v>30</v>
      </c>
      <c r="G688" t="s">
        <v>28</v>
      </c>
      <c r="H688" s="1">
        <v>111</v>
      </c>
      <c r="I688" t="s">
        <v>111</v>
      </c>
      <c r="J688" s="1">
        <v>21</v>
      </c>
      <c r="K688" s="1">
        <v>71</v>
      </c>
      <c r="L688" s="1">
        <v>1343</v>
      </c>
      <c r="M688" s="1">
        <v>32214</v>
      </c>
      <c r="N688" s="1">
        <v>51593</v>
      </c>
      <c r="O688" s="1">
        <v>2469717</v>
      </c>
      <c r="P688" s="1">
        <v>348477</v>
      </c>
      <c r="Q688" s="1">
        <v>638004</v>
      </c>
      <c r="R688" s="1">
        <v>31134364</v>
      </c>
      <c r="S688" s="1">
        <v>41051</v>
      </c>
      <c r="T688" s="1">
        <v>41051</v>
      </c>
      <c r="U688" s="1">
        <v>30111</v>
      </c>
      <c r="V688" s="1">
        <v>1</v>
      </c>
      <c r="W688" s="1">
        <v>0</v>
      </c>
    </row>
    <row r="689">
      <c r="A689" s="1">
        <v>2020</v>
      </c>
      <c r="B689" s="1">
        <v>41</v>
      </c>
      <c r="C689" t="s">
        <v>3</v>
      </c>
      <c r="D689" s="1">
        <v>51</v>
      </c>
      <c r="E689" t="s">
        <v>6</v>
      </c>
      <c r="F689" s="1">
        <v>32</v>
      </c>
      <c r="G689" t="s">
        <v>29</v>
      </c>
      <c r="H689" s="1">
        <v>3</v>
      </c>
      <c r="I689" t="s">
        <v>112</v>
      </c>
      <c r="J689" s="1">
        <v>235</v>
      </c>
      <c r="K689" s="1">
        <v>398</v>
      </c>
      <c r="L689" s="1">
        <v>12304</v>
      </c>
      <c r="M689" s="1">
        <v>32214</v>
      </c>
      <c r="N689" s="1">
        <v>51593</v>
      </c>
      <c r="O689" s="1">
        <v>2469717</v>
      </c>
      <c r="P689" s="1">
        <v>348477</v>
      </c>
      <c r="Q689" s="1">
        <v>638004</v>
      </c>
      <c r="R689" s="1">
        <v>31134364</v>
      </c>
      <c r="S689" s="1">
        <v>41051</v>
      </c>
      <c r="T689" s="1">
        <v>41051</v>
      </c>
      <c r="U689" s="1">
        <v>32003</v>
      </c>
      <c r="V689" s="1">
        <v>1</v>
      </c>
      <c r="W689" s="1">
        <v>0</v>
      </c>
    </row>
    <row r="690">
      <c r="A690" s="1">
        <v>2020</v>
      </c>
      <c r="B690" s="1">
        <v>41</v>
      </c>
      <c r="C690" t="s">
        <v>3</v>
      </c>
      <c r="D690" s="1">
        <v>51</v>
      </c>
      <c r="E690" t="s">
        <v>6</v>
      </c>
      <c r="F690" s="1">
        <v>32</v>
      </c>
      <c r="G690" t="s">
        <v>29</v>
      </c>
      <c r="H690" s="1">
        <v>31</v>
      </c>
      <c r="I690" t="s">
        <v>113</v>
      </c>
      <c r="J690" s="1">
        <v>46</v>
      </c>
      <c r="K690" s="1">
        <v>75</v>
      </c>
      <c r="L690" s="1">
        <v>3569</v>
      </c>
      <c r="M690" s="1">
        <v>32214</v>
      </c>
      <c r="N690" s="1">
        <v>51593</v>
      </c>
      <c r="O690" s="1">
        <v>2469717</v>
      </c>
      <c r="P690" s="1">
        <v>348477</v>
      </c>
      <c r="Q690" s="1">
        <v>638004</v>
      </c>
      <c r="R690" s="1">
        <v>31134364</v>
      </c>
      <c r="S690" s="1">
        <v>41051</v>
      </c>
      <c r="T690" s="1">
        <v>41051</v>
      </c>
      <c r="U690" s="1">
        <v>32031</v>
      </c>
      <c r="V690" s="1">
        <v>1</v>
      </c>
      <c r="W690" s="1">
        <v>0</v>
      </c>
    </row>
    <row r="691">
      <c r="A691" s="1">
        <v>2020</v>
      </c>
      <c r="B691" s="1">
        <v>41</v>
      </c>
      <c r="C691" t="s">
        <v>3</v>
      </c>
      <c r="D691" s="1">
        <v>51</v>
      </c>
      <c r="E691" t="s">
        <v>6</v>
      </c>
      <c r="F691" s="1">
        <v>35</v>
      </c>
      <c r="G691" t="s">
        <v>30</v>
      </c>
      <c r="H691" s="1">
        <v>1</v>
      </c>
      <c r="I691" t="s">
        <v>114</v>
      </c>
      <c r="J691" s="1">
        <v>57</v>
      </c>
      <c r="K691" s="1">
        <v>84</v>
      </c>
      <c r="L691" s="1">
        <v>3094</v>
      </c>
      <c r="M691" s="1">
        <v>32214</v>
      </c>
      <c r="N691" s="1">
        <v>51593</v>
      </c>
      <c r="O691" s="1">
        <v>2469717</v>
      </c>
      <c r="P691" s="1">
        <v>348477</v>
      </c>
      <c r="Q691" s="1">
        <v>638004</v>
      </c>
      <c r="R691" s="1">
        <v>31134364</v>
      </c>
      <c r="S691" s="1">
        <v>41051</v>
      </c>
      <c r="T691" s="1">
        <v>41051</v>
      </c>
      <c r="U691" s="1">
        <v>35001</v>
      </c>
      <c r="V691" s="1">
        <v>1</v>
      </c>
      <c r="W691" s="1">
        <v>0</v>
      </c>
    </row>
    <row r="692">
      <c r="A692" s="1">
        <v>2020</v>
      </c>
      <c r="B692" s="1">
        <v>41</v>
      </c>
      <c r="C692" t="s">
        <v>3</v>
      </c>
      <c r="D692" s="1">
        <v>51</v>
      </c>
      <c r="E692" t="s">
        <v>6</v>
      </c>
      <c r="F692" s="1">
        <v>35</v>
      </c>
      <c r="G692" t="s">
        <v>30</v>
      </c>
      <c r="H692" s="1">
        <v>49</v>
      </c>
      <c r="I692" t="s">
        <v>115</v>
      </c>
      <c r="J692" s="1">
        <v>43</v>
      </c>
      <c r="K692" s="1">
        <v>58</v>
      </c>
      <c r="L692" s="1">
        <v>2567</v>
      </c>
      <c r="M692" s="1">
        <v>32214</v>
      </c>
      <c r="N692" s="1">
        <v>51593</v>
      </c>
      <c r="O692" s="1">
        <v>2469717</v>
      </c>
      <c r="P692" s="1">
        <v>348477</v>
      </c>
      <c r="Q692" s="1">
        <v>638004</v>
      </c>
      <c r="R692" s="1">
        <v>31134364</v>
      </c>
      <c r="S692" s="1">
        <v>41051</v>
      </c>
      <c r="T692" s="1">
        <v>41051</v>
      </c>
      <c r="U692" s="1">
        <v>35049</v>
      </c>
      <c r="V692" s="1">
        <v>1</v>
      </c>
      <c r="W692" s="1">
        <v>0</v>
      </c>
    </row>
    <row r="693">
      <c r="A693" s="1">
        <v>2020</v>
      </c>
      <c r="B693" s="1">
        <v>41</v>
      </c>
      <c r="C693" t="s">
        <v>3</v>
      </c>
      <c r="D693" s="1">
        <v>51</v>
      </c>
      <c r="E693" t="s">
        <v>6</v>
      </c>
      <c r="F693" s="1">
        <v>36</v>
      </c>
      <c r="G693" t="s">
        <v>31</v>
      </c>
      <c r="H693" s="1">
        <v>29</v>
      </c>
      <c r="I693" t="s">
        <v>202</v>
      </c>
      <c r="J693" s="1">
        <v>22</v>
      </c>
      <c r="K693" s="1">
        <v>29</v>
      </c>
      <c r="L693" s="1">
        <v>1573</v>
      </c>
      <c r="M693" s="1">
        <v>32214</v>
      </c>
      <c r="N693" s="1">
        <v>51593</v>
      </c>
      <c r="O693" s="1">
        <v>2469717</v>
      </c>
      <c r="P693" s="1">
        <v>348477</v>
      </c>
      <c r="Q693" s="1">
        <v>638004</v>
      </c>
      <c r="R693" s="1">
        <v>31134364</v>
      </c>
      <c r="S693" s="1">
        <v>41051</v>
      </c>
      <c r="T693" s="1">
        <v>41051</v>
      </c>
      <c r="U693" s="1">
        <v>36029</v>
      </c>
      <c r="V693" s="1">
        <v>1</v>
      </c>
      <c r="W693" s="1">
        <v>0</v>
      </c>
    </row>
    <row r="694">
      <c r="A694" s="1">
        <v>2020</v>
      </c>
      <c r="B694" s="1">
        <v>41</v>
      </c>
      <c r="C694" t="s">
        <v>3</v>
      </c>
      <c r="D694" s="1">
        <v>51</v>
      </c>
      <c r="E694" t="s">
        <v>6</v>
      </c>
      <c r="F694" s="1">
        <v>36</v>
      </c>
      <c r="G694" t="s">
        <v>31</v>
      </c>
      <c r="H694" s="1">
        <v>47</v>
      </c>
      <c r="I694" t="s">
        <v>116</v>
      </c>
      <c r="J694" s="1">
        <v>133</v>
      </c>
      <c r="K694" s="1">
        <v>143</v>
      </c>
      <c r="L694" s="1">
        <v>6775</v>
      </c>
      <c r="M694" s="1">
        <v>32214</v>
      </c>
      <c r="N694" s="1">
        <v>51593</v>
      </c>
      <c r="O694" s="1">
        <v>2469717</v>
      </c>
      <c r="P694" s="1">
        <v>348477</v>
      </c>
      <c r="Q694" s="1">
        <v>638004</v>
      </c>
      <c r="R694" s="1">
        <v>31134364</v>
      </c>
      <c r="S694" s="1">
        <v>41051</v>
      </c>
      <c r="T694" s="1">
        <v>41051</v>
      </c>
      <c r="U694" s="1">
        <v>36047</v>
      </c>
      <c r="V694" s="1">
        <v>1</v>
      </c>
      <c r="W694" s="1">
        <v>0</v>
      </c>
    </row>
    <row r="695">
      <c r="A695" s="1">
        <v>2020</v>
      </c>
      <c r="B695" s="1">
        <v>41</v>
      </c>
      <c r="C695" t="s">
        <v>3</v>
      </c>
      <c r="D695" s="1">
        <v>51</v>
      </c>
      <c r="E695" t="s">
        <v>6</v>
      </c>
      <c r="F695" s="1">
        <v>36</v>
      </c>
      <c r="G695" t="s">
        <v>31</v>
      </c>
      <c r="H695" s="1">
        <v>55</v>
      </c>
      <c r="I695" t="s">
        <v>203</v>
      </c>
      <c r="J695" s="1">
        <v>28</v>
      </c>
      <c r="K695" s="1">
        <v>43</v>
      </c>
      <c r="L695" s="1">
        <v>2008</v>
      </c>
      <c r="M695" s="1">
        <v>32214</v>
      </c>
      <c r="N695" s="1">
        <v>51593</v>
      </c>
      <c r="O695" s="1">
        <v>2469717</v>
      </c>
      <c r="P695" s="1">
        <v>348477</v>
      </c>
      <c r="Q695" s="1">
        <v>638004</v>
      </c>
      <c r="R695" s="1">
        <v>31134364</v>
      </c>
      <c r="S695" s="1">
        <v>41051</v>
      </c>
      <c r="T695" s="1">
        <v>41051</v>
      </c>
      <c r="U695" s="1">
        <v>36055</v>
      </c>
      <c r="V695" s="1">
        <v>1</v>
      </c>
      <c r="W695" s="1">
        <v>0</v>
      </c>
    </row>
    <row r="696">
      <c r="A696" s="1">
        <v>2020</v>
      </c>
      <c r="B696" s="1">
        <v>41</v>
      </c>
      <c r="C696" t="s">
        <v>3</v>
      </c>
      <c r="D696" s="1">
        <v>51</v>
      </c>
      <c r="E696" t="s">
        <v>6</v>
      </c>
      <c r="F696" s="1">
        <v>36</v>
      </c>
      <c r="G696" t="s">
        <v>31</v>
      </c>
      <c r="H696" s="1">
        <v>61</v>
      </c>
      <c r="I696" t="s">
        <v>117</v>
      </c>
      <c r="J696" s="1">
        <v>95</v>
      </c>
      <c r="K696" s="1">
        <v>110</v>
      </c>
      <c r="L696" s="1">
        <v>7461</v>
      </c>
      <c r="M696" s="1">
        <v>32214</v>
      </c>
      <c r="N696" s="1">
        <v>51593</v>
      </c>
      <c r="O696" s="1">
        <v>2469717</v>
      </c>
      <c r="P696" s="1">
        <v>348477</v>
      </c>
      <c r="Q696" s="1">
        <v>638004</v>
      </c>
      <c r="R696" s="1">
        <v>31134364</v>
      </c>
      <c r="S696" s="1">
        <v>41051</v>
      </c>
      <c r="T696" s="1">
        <v>41051</v>
      </c>
      <c r="U696" s="1">
        <v>36061</v>
      </c>
      <c r="V696" s="1">
        <v>1</v>
      </c>
      <c r="W696" s="1">
        <v>0</v>
      </c>
    </row>
    <row r="697">
      <c r="A697" s="1">
        <v>2020</v>
      </c>
      <c r="B697" s="1">
        <v>41</v>
      </c>
      <c r="C697" t="s">
        <v>3</v>
      </c>
      <c r="D697" s="1">
        <v>51</v>
      </c>
      <c r="E697" t="s">
        <v>6</v>
      </c>
      <c r="F697" s="1">
        <v>36</v>
      </c>
      <c r="G697" t="s">
        <v>31</v>
      </c>
      <c r="H697" s="1">
        <v>81</v>
      </c>
      <c r="I697" t="s">
        <v>118</v>
      </c>
      <c r="J697" s="1">
        <v>36</v>
      </c>
      <c r="K697" s="1">
        <v>44</v>
      </c>
      <c r="L697" s="1">
        <v>1880</v>
      </c>
      <c r="M697" s="1">
        <v>32214</v>
      </c>
      <c r="N697" s="1">
        <v>51593</v>
      </c>
      <c r="O697" s="1">
        <v>2469717</v>
      </c>
      <c r="P697" s="1">
        <v>348477</v>
      </c>
      <c r="Q697" s="1">
        <v>638004</v>
      </c>
      <c r="R697" s="1">
        <v>31134364</v>
      </c>
      <c r="S697" s="1">
        <v>41051</v>
      </c>
      <c r="T697" s="1">
        <v>41051</v>
      </c>
      <c r="U697" s="1">
        <v>36081</v>
      </c>
      <c r="V697" s="1">
        <v>1</v>
      </c>
      <c r="W697" s="1">
        <v>0</v>
      </c>
    </row>
    <row r="698">
      <c r="A698" s="1">
        <v>2020</v>
      </c>
      <c r="B698" s="1">
        <v>41</v>
      </c>
      <c r="C698" t="s">
        <v>3</v>
      </c>
      <c r="D698" s="1">
        <v>51</v>
      </c>
      <c r="E698" t="s">
        <v>6</v>
      </c>
      <c r="F698" s="1">
        <v>37</v>
      </c>
      <c r="G698" t="s">
        <v>32</v>
      </c>
      <c r="H698" s="1">
        <v>21</v>
      </c>
      <c r="I698" t="s">
        <v>120</v>
      </c>
      <c r="J698" s="1">
        <v>22</v>
      </c>
      <c r="K698" s="1">
        <v>31</v>
      </c>
      <c r="L698" s="1">
        <v>1270</v>
      </c>
      <c r="M698" s="1">
        <v>32214</v>
      </c>
      <c r="N698" s="1">
        <v>51593</v>
      </c>
      <c r="O698" s="1">
        <v>2469717</v>
      </c>
      <c r="P698" s="1">
        <v>348477</v>
      </c>
      <c r="Q698" s="1">
        <v>638004</v>
      </c>
      <c r="R698" s="1">
        <v>31134364</v>
      </c>
      <c r="S698" s="1">
        <v>41051</v>
      </c>
      <c r="T698" s="1">
        <v>41051</v>
      </c>
      <c r="U698" s="1">
        <v>37021</v>
      </c>
      <c r="V698" s="1">
        <v>1</v>
      </c>
      <c r="W698" s="1">
        <v>0</v>
      </c>
    </row>
    <row r="699">
      <c r="A699" s="1">
        <v>2020</v>
      </c>
      <c r="B699" s="1">
        <v>41</v>
      </c>
      <c r="C699" t="s">
        <v>3</v>
      </c>
      <c r="D699" s="1">
        <v>51</v>
      </c>
      <c r="E699" t="s">
        <v>6</v>
      </c>
      <c r="F699" s="1">
        <v>37</v>
      </c>
      <c r="G699" t="s">
        <v>32</v>
      </c>
      <c r="H699" s="1">
        <v>119</v>
      </c>
      <c r="I699" t="s">
        <v>121</v>
      </c>
      <c r="J699" s="1">
        <v>38</v>
      </c>
      <c r="K699" s="1">
        <v>71</v>
      </c>
      <c r="L699" s="1">
        <v>3095</v>
      </c>
      <c r="M699" s="1">
        <v>32214</v>
      </c>
      <c r="N699" s="1">
        <v>51593</v>
      </c>
      <c r="O699" s="1">
        <v>2469717</v>
      </c>
      <c r="P699" s="1">
        <v>348477</v>
      </c>
      <c r="Q699" s="1">
        <v>638004</v>
      </c>
      <c r="R699" s="1">
        <v>31134364</v>
      </c>
      <c r="S699" s="1">
        <v>41051</v>
      </c>
      <c r="T699" s="1">
        <v>41051</v>
      </c>
      <c r="U699" s="1">
        <v>37119</v>
      </c>
      <c r="V699" s="1">
        <v>1</v>
      </c>
      <c r="W699" s="1">
        <v>0</v>
      </c>
    </row>
    <row r="700">
      <c r="A700" s="1">
        <v>2020</v>
      </c>
      <c r="B700" s="1">
        <v>41</v>
      </c>
      <c r="C700" t="s">
        <v>3</v>
      </c>
      <c r="D700" s="1">
        <v>51</v>
      </c>
      <c r="E700" t="s">
        <v>6</v>
      </c>
      <c r="F700" s="1">
        <v>37</v>
      </c>
      <c r="G700" t="s">
        <v>32</v>
      </c>
      <c r="H700" s="1">
        <v>183</v>
      </c>
      <c r="I700" t="s">
        <v>206</v>
      </c>
      <c r="J700" s="1">
        <v>35</v>
      </c>
      <c r="K700" s="1">
        <v>55</v>
      </c>
      <c r="L700" s="1">
        <v>2188</v>
      </c>
      <c r="M700" s="1">
        <v>32214</v>
      </c>
      <c r="N700" s="1">
        <v>51593</v>
      </c>
      <c r="O700" s="1">
        <v>2469717</v>
      </c>
      <c r="P700" s="1">
        <v>348477</v>
      </c>
      <c r="Q700" s="1">
        <v>638004</v>
      </c>
      <c r="R700" s="1">
        <v>31134364</v>
      </c>
      <c r="S700" s="1">
        <v>41051</v>
      </c>
      <c r="T700" s="1">
        <v>41051</v>
      </c>
      <c r="U700" s="1">
        <v>37183</v>
      </c>
      <c r="V700" s="1">
        <v>1</v>
      </c>
      <c r="W700" s="1">
        <v>0</v>
      </c>
    </row>
    <row r="701">
      <c r="A701" s="1">
        <v>2020</v>
      </c>
      <c r="B701" s="1">
        <v>41</v>
      </c>
      <c r="C701" t="s">
        <v>3</v>
      </c>
      <c r="D701" s="1">
        <v>51</v>
      </c>
      <c r="E701" t="s">
        <v>6</v>
      </c>
      <c r="F701" s="1">
        <v>39</v>
      </c>
      <c r="G701" t="s">
        <v>33</v>
      </c>
      <c r="H701" s="1">
        <v>35</v>
      </c>
      <c r="I701" t="s">
        <v>207</v>
      </c>
      <c r="J701" s="1">
        <v>32</v>
      </c>
      <c r="K701" s="1">
        <v>52</v>
      </c>
      <c r="L701" s="1">
        <v>2205</v>
      </c>
      <c r="M701" s="1">
        <v>32214</v>
      </c>
      <c r="N701" s="1">
        <v>51593</v>
      </c>
      <c r="O701" s="1">
        <v>2469717</v>
      </c>
      <c r="P701" s="1">
        <v>348477</v>
      </c>
      <c r="Q701" s="1">
        <v>638004</v>
      </c>
      <c r="R701" s="1">
        <v>31134364</v>
      </c>
      <c r="S701" s="1">
        <v>41051</v>
      </c>
      <c r="T701" s="1">
        <v>41051</v>
      </c>
      <c r="U701" s="1">
        <v>39035</v>
      </c>
      <c r="V701" s="1">
        <v>1</v>
      </c>
      <c r="W701" s="1">
        <v>0</v>
      </c>
    </row>
    <row r="702">
      <c r="A702" s="1">
        <v>2020</v>
      </c>
      <c r="B702" s="1">
        <v>41</v>
      </c>
      <c r="C702" t="s">
        <v>3</v>
      </c>
      <c r="D702" s="1">
        <v>51</v>
      </c>
      <c r="E702" t="s">
        <v>6</v>
      </c>
      <c r="F702" s="1">
        <v>39</v>
      </c>
      <c r="G702" t="s">
        <v>33</v>
      </c>
      <c r="H702" s="1">
        <v>49</v>
      </c>
      <c r="I702" t="s">
        <v>122</v>
      </c>
      <c r="J702" s="1">
        <v>51</v>
      </c>
      <c r="K702" s="1">
        <v>101</v>
      </c>
      <c r="L702" s="1">
        <v>3379</v>
      </c>
      <c r="M702" s="1">
        <v>32214</v>
      </c>
      <c r="N702" s="1">
        <v>51593</v>
      </c>
      <c r="O702" s="1">
        <v>2469717</v>
      </c>
      <c r="P702" s="1">
        <v>348477</v>
      </c>
      <c r="Q702" s="1">
        <v>638004</v>
      </c>
      <c r="R702" s="1">
        <v>31134364</v>
      </c>
      <c r="S702" s="1">
        <v>41051</v>
      </c>
      <c r="T702" s="1">
        <v>41051</v>
      </c>
      <c r="U702" s="1">
        <v>39049</v>
      </c>
      <c r="V702" s="1">
        <v>1</v>
      </c>
      <c r="W702" s="1">
        <v>0</v>
      </c>
    </row>
    <row r="703">
      <c r="A703" s="1">
        <v>2020</v>
      </c>
      <c r="B703" s="1">
        <v>41</v>
      </c>
      <c r="C703" t="s">
        <v>3</v>
      </c>
      <c r="D703" s="1">
        <v>51</v>
      </c>
      <c r="E703" t="s">
        <v>6</v>
      </c>
      <c r="F703" s="1">
        <v>39</v>
      </c>
      <c r="G703" t="s">
        <v>33</v>
      </c>
      <c r="H703" s="1">
        <v>61</v>
      </c>
      <c r="I703" t="s">
        <v>208</v>
      </c>
      <c r="J703" s="1">
        <v>22</v>
      </c>
      <c r="K703" s="1">
        <v>34</v>
      </c>
      <c r="L703" s="1">
        <v>1501</v>
      </c>
      <c r="M703" s="1">
        <v>32214</v>
      </c>
      <c r="N703" s="1">
        <v>51593</v>
      </c>
      <c r="O703" s="1">
        <v>2469717</v>
      </c>
      <c r="P703" s="1">
        <v>348477</v>
      </c>
      <c r="Q703" s="1">
        <v>638004</v>
      </c>
      <c r="R703" s="1">
        <v>31134364</v>
      </c>
      <c r="S703" s="1">
        <v>41051</v>
      </c>
      <c r="T703" s="1">
        <v>41051</v>
      </c>
      <c r="U703" s="1">
        <v>39061</v>
      </c>
      <c r="V703" s="1">
        <v>1</v>
      </c>
      <c r="W703" s="1">
        <v>0</v>
      </c>
    </row>
    <row r="704">
      <c r="A704" s="1">
        <v>2020</v>
      </c>
      <c r="B704" s="1">
        <v>41</v>
      </c>
      <c r="C704" t="s">
        <v>3</v>
      </c>
      <c r="D704" s="1">
        <v>51</v>
      </c>
      <c r="E704" t="s">
        <v>6</v>
      </c>
      <c r="F704" s="1">
        <v>40</v>
      </c>
      <c r="G704" t="s">
        <v>47</v>
      </c>
      <c r="H704" s="1">
        <v>109</v>
      </c>
      <c r="I704" t="s">
        <v>209</v>
      </c>
      <c r="J704" s="1">
        <v>30</v>
      </c>
      <c r="K704" s="1">
        <v>48</v>
      </c>
      <c r="L704" s="1">
        <v>1649</v>
      </c>
      <c r="M704" s="1">
        <v>32214</v>
      </c>
      <c r="N704" s="1">
        <v>51593</v>
      </c>
      <c r="O704" s="1">
        <v>2469717</v>
      </c>
      <c r="P704" s="1">
        <v>348477</v>
      </c>
      <c r="Q704" s="1">
        <v>638004</v>
      </c>
      <c r="R704" s="1">
        <v>31134364</v>
      </c>
      <c r="S704" s="1">
        <v>41051</v>
      </c>
      <c r="T704" s="1">
        <v>41051</v>
      </c>
      <c r="U704" s="1">
        <v>40109</v>
      </c>
      <c r="V704" s="1">
        <v>1</v>
      </c>
      <c r="W704" s="1">
        <v>0</v>
      </c>
    </row>
    <row r="705">
      <c r="A705" s="1">
        <v>2020</v>
      </c>
      <c r="B705" s="1">
        <v>41</v>
      </c>
      <c r="C705" t="s">
        <v>3</v>
      </c>
      <c r="D705" s="1">
        <v>51</v>
      </c>
      <c r="E705" t="s">
        <v>6</v>
      </c>
      <c r="F705" s="1">
        <v>40</v>
      </c>
      <c r="G705" t="s">
        <v>47</v>
      </c>
      <c r="H705" s="1">
        <v>143</v>
      </c>
      <c r="I705" t="s">
        <v>233</v>
      </c>
      <c r="J705" s="1">
        <v>37</v>
      </c>
      <c r="K705" s="1">
        <v>54</v>
      </c>
      <c r="L705" s="1">
        <v>2135</v>
      </c>
      <c r="M705" s="1">
        <v>32214</v>
      </c>
      <c r="N705" s="1">
        <v>51593</v>
      </c>
      <c r="O705" s="1">
        <v>2469717</v>
      </c>
      <c r="P705" s="1">
        <v>348477</v>
      </c>
      <c r="Q705" s="1">
        <v>638004</v>
      </c>
      <c r="R705" s="1">
        <v>31134364</v>
      </c>
      <c r="S705" s="1">
        <v>41051</v>
      </c>
      <c r="T705" s="1">
        <v>41051</v>
      </c>
      <c r="U705" s="1">
        <v>40143</v>
      </c>
      <c r="V705" s="1">
        <v>1</v>
      </c>
      <c r="W705" s="1">
        <v>0</v>
      </c>
    </row>
    <row r="706">
      <c r="A706" s="1">
        <v>2020</v>
      </c>
      <c r="B706" s="1">
        <v>41</v>
      </c>
      <c r="C706" t="s">
        <v>3</v>
      </c>
      <c r="D706" s="1">
        <v>51</v>
      </c>
      <c r="E706" t="s">
        <v>6</v>
      </c>
      <c r="F706" s="1">
        <v>41</v>
      </c>
      <c r="G706" t="s">
        <v>3</v>
      </c>
      <c r="H706" s="1">
        <v>3</v>
      </c>
      <c r="I706" t="s">
        <v>124</v>
      </c>
      <c r="J706" s="1">
        <v>189</v>
      </c>
      <c r="K706" s="1">
        <v>267</v>
      </c>
      <c r="L706" s="1">
        <v>10562</v>
      </c>
      <c r="M706" s="1">
        <v>32214</v>
      </c>
      <c r="N706" s="1">
        <v>51593</v>
      </c>
      <c r="O706" s="1">
        <v>2469717</v>
      </c>
      <c r="P706" s="1">
        <v>348477</v>
      </c>
      <c r="Q706" s="1">
        <v>638004</v>
      </c>
      <c r="R706" s="1">
        <v>31134364</v>
      </c>
      <c r="S706" s="1">
        <v>41051</v>
      </c>
      <c r="T706" s="1">
        <v>41051</v>
      </c>
      <c r="U706" s="1">
        <v>41003</v>
      </c>
      <c r="V706" s="1">
        <v>1</v>
      </c>
      <c r="W706" s="1">
        <v>0</v>
      </c>
    </row>
    <row r="707">
      <c r="A707" s="1">
        <v>2020</v>
      </c>
      <c r="B707" s="1">
        <v>41</v>
      </c>
      <c r="C707" t="s">
        <v>3</v>
      </c>
      <c r="D707" s="1">
        <v>51</v>
      </c>
      <c r="E707" t="s">
        <v>6</v>
      </c>
      <c r="F707" s="1">
        <v>41</v>
      </c>
      <c r="G707" t="s">
        <v>3</v>
      </c>
      <c r="H707" s="1">
        <v>5</v>
      </c>
      <c r="I707" t="s">
        <v>125</v>
      </c>
      <c r="J707" s="1">
        <v>5956</v>
      </c>
      <c r="K707" s="1">
        <v>10731</v>
      </c>
      <c r="L707" s="1">
        <v>462807</v>
      </c>
      <c r="M707" s="1">
        <v>32214</v>
      </c>
      <c r="N707" s="1">
        <v>51593</v>
      </c>
      <c r="O707" s="1">
        <v>2469717</v>
      </c>
      <c r="P707" s="1">
        <v>348477</v>
      </c>
      <c r="Q707" s="1">
        <v>638004</v>
      </c>
      <c r="R707" s="1">
        <v>31134364</v>
      </c>
      <c r="S707" s="1">
        <v>41051</v>
      </c>
      <c r="T707" s="1">
        <v>41051</v>
      </c>
      <c r="U707" s="1">
        <v>41005</v>
      </c>
      <c r="V707" s="1">
        <v>1</v>
      </c>
      <c r="W707" s="1">
        <v>0</v>
      </c>
    </row>
    <row r="708">
      <c r="A708" s="1">
        <v>2020</v>
      </c>
      <c r="B708" s="1">
        <v>41</v>
      </c>
      <c r="C708" t="s">
        <v>3</v>
      </c>
      <c r="D708" s="1">
        <v>51</v>
      </c>
      <c r="E708" t="s">
        <v>6</v>
      </c>
      <c r="F708" s="1">
        <v>41</v>
      </c>
      <c r="G708" t="s">
        <v>3</v>
      </c>
      <c r="H708" s="1">
        <v>7</v>
      </c>
      <c r="I708" t="s">
        <v>126</v>
      </c>
      <c r="J708" s="1">
        <v>209</v>
      </c>
      <c r="K708" s="1">
        <v>334</v>
      </c>
      <c r="L708" s="1">
        <v>18713</v>
      </c>
      <c r="M708" s="1">
        <v>32214</v>
      </c>
      <c r="N708" s="1">
        <v>51593</v>
      </c>
      <c r="O708" s="1">
        <v>2469717</v>
      </c>
      <c r="P708" s="1">
        <v>348477</v>
      </c>
      <c r="Q708" s="1">
        <v>638004</v>
      </c>
      <c r="R708" s="1">
        <v>31134364</v>
      </c>
      <c r="S708" s="1">
        <v>41051</v>
      </c>
      <c r="T708" s="1">
        <v>41051</v>
      </c>
      <c r="U708" s="1">
        <v>41007</v>
      </c>
      <c r="V708" s="1">
        <v>1</v>
      </c>
      <c r="W708" s="1">
        <v>0</v>
      </c>
    </row>
    <row r="709">
      <c r="A709" s="1">
        <v>2020</v>
      </c>
      <c r="B709" s="1">
        <v>41</v>
      </c>
      <c r="C709" t="s">
        <v>3</v>
      </c>
      <c r="D709" s="1">
        <v>51</v>
      </c>
      <c r="E709" t="s">
        <v>6</v>
      </c>
      <c r="F709" s="1">
        <v>41</v>
      </c>
      <c r="G709" t="s">
        <v>3</v>
      </c>
      <c r="H709" s="1">
        <v>9</v>
      </c>
      <c r="I709" t="s">
        <v>127</v>
      </c>
      <c r="J709" s="1">
        <v>364</v>
      </c>
      <c r="K709" s="1">
        <v>627</v>
      </c>
      <c r="L709" s="1">
        <v>22801</v>
      </c>
      <c r="M709" s="1">
        <v>32214</v>
      </c>
      <c r="N709" s="1">
        <v>51593</v>
      </c>
      <c r="O709" s="1">
        <v>2469717</v>
      </c>
      <c r="P709" s="1">
        <v>348477</v>
      </c>
      <c r="Q709" s="1">
        <v>638004</v>
      </c>
      <c r="R709" s="1">
        <v>31134364</v>
      </c>
      <c r="S709" s="1">
        <v>41051</v>
      </c>
      <c r="T709" s="1">
        <v>41051</v>
      </c>
      <c r="U709" s="1">
        <v>41009</v>
      </c>
      <c r="V709" s="1">
        <v>1</v>
      </c>
      <c r="W709" s="1">
        <v>0</v>
      </c>
    </row>
    <row r="710">
      <c r="A710" s="1">
        <v>2020</v>
      </c>
      <c r="B710" s="1">
        <v>41</v>
      </c>
      <c r="C710" t="s">
        <v>3</v>
      </c>
      <c r="D710" s="1">
        <v>51</v>
      </c>
      <c r="E710" t="s">
        <v>6</v>
      </c>
      <c r="F710" s="1">
        <v>41</v>
      </c>
      <c r="G710" t="s">
        <v>3</v>
      </c>
      <c r="H710" s="1">
        <v>11</v>
      </c>
      <c r="I710" t="s">
        <v>128</v>
      </c>
      <c r="J710" s="1">
        <v>55</v>
      </c>
      <c r="K710" s="1">
        <v>81</v>
      </c>
      <c r="L710" s="1">
        <v>2998</v>
      </c>
      <c r="M710" s="1">
        <v>32214</v>
      </c>
      <c r="N710" s="1">
        <v>51593</v>
      </c>
      <c r="O710" s="1">
        <v>2469717</v>
      </c>
      <c r="P710" s="1">
        <v>348477</v>
      </c>
      <c r="Q710" s="1">
        <v>638004</v>
      </c>
      <c r="R710" s="1">
        <v>31134364</v>
      </c>
      <c r="S710" s="1">
        <v>41051</v>
      </c>
      <c r="T710" s="1">
        <v>41051</v>
      </c>
      <c r="U710" s="1">
        <v>41011</v>
      </c>
      <c r="V710" s="1">
        <v>1</v>
      </c>
      <c r="W710" s="1">
        <v>0</v>
      </c>
    </row>
    <row r="711">
      <c r="A711" s="1">
        <v>2020</v>
      </c>
      <c r="B711" s="1">
        <v>41</v>
      </c>
      <c r="C711" t="s">
        <v>3</v>
      </c>
      <c r="D711" s="1">
        <v>51</v>
      </c>
      <c r="E711" t="s">
        <v>6</v>
      </c>
      <c r="F711" s="1">
        <v>41</v>
      </c>
      <c r="G711" t="s">
        <v>3</v>
      </c>
      <c r="H711" s="1">
        <v>13</v>
      </c>
      <c r="I711" t="s">
        <v>129</v>
      </c>
      <c r="J711" s="1">
        <v>45</v>
      </c>
      <c r="K711" s="1">
        <v>76</v>
      </c>
      <c r="L711" s="1">
        <v>7023</v>
      </c>
      <c r="M711" s="1">
        <v>32214</v>
      </c>
      <c r="N711" s="1">
        <v>51593</v>
      </c>
      <c r="O711" s="1">
        <v>2469717</v>
      </c>
      <c r="P711" s="1">
        <v>348477</v>
      </c>
      <c r="Q711" s="1">
        <v>638004</v>
      </c>
      <c r="R711" s="1">
        <v>31134364</v>
      </c>
      <c r="S711" s="1">
        <v>41051</v>
      </c>
      <c r="T711" s="1">
        <v>41051</v>
      </c>
      <c r="U711" s="1">
        <v>41013</v>
      </c>
      <c r="V711" s="1">
        <v>1</v>
      </c>
      <c r="W711" s="1">
        <v>0</v>
      </c>
    </row>
    <row r="712">
      <c r="A712" s="1">
        <v>2020</v>
      </c>
      <c r="B712" s="1">
        <v>41</v>
      </c>
      <c r="C712" t="s">
        <v>3</v>
      </c>
      <c r="D712" s="1">
        <v>51</v>
      </c>
      <c r="E712" t="s">
        <v>6</v>
      </c>
      <c r="F712" s="1">
        <v>41</v>
      </c>
      <c r="G712" t="s">
        <v>3</v>
      </c>
      <c r="H712" s="1">
        <v>15</v>
      </c>
      <c r="I712" t="s">
        <v>210</v>
      </c>
      <c r="J712" s="1">
        <v>35</v>
      </c>
      <c r="K712" s="1">
        <v>48</v>
      </c>
      <c r="L712" s="1">
        <v>2044</v>
      </c>
      <c r="M712" s="1">
        <v>32214</v>
      </c>
      <c r="N712" s="1">
        <v>51593</v>
      </c>
      <c r="O712" s="1">
        <v>2469717</v>
      </c>
      <c r="P712" s="1">
        <v>348477</v>
      </c>
      <c r="Q712" s="1">
        <v>638004</v>
      </c>
      <c r="R712" s="1">
        <v>31134364</v>
      </c>
      <c r="S712" s="1">
        <v>41051</v>
      </c>
      <c r="T712" s="1">
        <v>41051</v>
      </c>
      <c r="U712" s="1">
        <v>41015</v>
      </c>
      <c r="V712" s="1">
        <v>1</v>
      </c>
      <c r="W712" s="1">
        <v>0</v>
      </c>
    </row>
    <row r="713">
      <c r="A713" s="1">
        <v>2020</v>
      </c>
      <c r="B713" s="1">
        <v>41</v>
      </c>
      <c r="C713" t="s">
        <v>3</v>
      </c>
      <c r="D713" s="1">
        <v>51</v>
      </c>
      <c r="E713" t="s">
        <v>6</v>
      </c>
      <c r="F713" s="1">
        <v>41</v>
      </c>
      <c r="G713" t="s">
        <v>3</v>
      </c>
      <c r="H713" s="1">
        <v>17</v>
      </c>
      <c r="I713" t="s">
        <v>130</v>
      </c>
      <c r="J713" s="1">
        <v>706</v>
      </c>
      <c r="K713" s="1">
        <v>1181</v>
      </c>
      <c r="L713" s="1">
        <v>138328</v>
      </c>
      <c r="M713" s="1">
        <v>32214</v>
      </c>
      <c r="N713" s="1">
        <v>51593</v>
      </c>
      <c r="O713" s="1">
        <v>2469717</v>
      </c>
      <c r="P713" s="1">
        <v>348477</v>
      </c>
      <c r="Q713" s="1">
        <v>638004</v>
      </c>
      <c r="R713" s="1">
        <v>31134364</v>
      </c>
      <c r="S713" s="1">
        <v>41051</v>
      </c>
      <c r="T713" s="1">
        <v>41051</v>
      </c>
      <c r="U713" s="1">
        <v>41017</v>
      </c>
      <c r="V713" s="1">
        <v>1</v>
      </c>
      <c r="W713" s="1">
        <v>0</v>
      </c>
    </row>
    <row r="714">
      <c r="A714" s="1">
        <v>2020</v>
      </c>
      <c r="B714" s="1">
        <v>41</v>
      </c>
      <c r="C714" t="s">
        <v>3</v>
      </c>
      <c r="D714" s="1">
        <v>51</v>
      </c>
      <c r="E714" t="s">
        <v>6</v>
      </c>
      <c r="F714" s="1">
        <v>41</v>
      </c>
      <c r="G714" t="s">
        <v>3</v>
      </c>
      <c r="H714" s="1">
        <v>19</v>
      </c>
      <c r="I714" t="s">
        <v>131</v>
      </c>
      <c r="J714" s="1">
        <v>82</v>
      </c>
      <c r="K714" s="1">
        <v>134</v>
      </c>
      <c r="L714" s="1">
        <v>3469</v>
      </c>
      <c r="M714" s="1">
        <v>32214</v>
      </c>
      <c r="N714" s="1">
        <v>51593</v>
      </c>
      <c r="O714" s="1">
        <v>2469717</v>
      </c>
      <c r="P714" s="1">
        <v>348477</v>
      </c>
      <c r="Q714" s="1">
        <v>638004</v>
      </c>
      <c r="R714" s="1">
        <v>31134364</v>
      </c>
      <c r="S714" s="1">
        <v>41051</v>
      </c>
      <c r="T714" s="1">
        <v>41051</v>
      </c>
      <c r="U714" s="1">
        <v>41019</v>
      </c>
      <c r="V714" s="1">
        <v>1</v>
      </c>
      <c r="W714" s="1">
        <v>0</v>
      </c>
    </row>
    <row r="715">
      <c r="A715" s="1">
        <v>2020</v>
      </c>
      <c r="B715" s="1">
        <v>41</v>
      </c>
      <c r="C715" t="s">
        <v>3</v>
      </c>
      <c r="D715" s="1">
        <v>51</v>
      </c>
      <c r="E715" t="s">
        <v>6</v>
      </c>
      <c r="F715" s="1">
        <v>41</v>
      </c>
      <c r="G715" t="s">
        <v>3</v>
      </c>
      <c r="H715" s="1">
        <v>27</v>
      </c>
      <c r="I715" t="s">
        <v>132</v>
      </c>
      <c r="J715" s="1">
        <v>162</v>
      </c>
      <c r="K715" s="1">
        <v>277</v>
      </c>
      <c r="L715" s="1">
        <v>17575</v>
      </c>
      <c r="M715" s="1">
        <v>32214</v>
      </c>
      <c r="N715" s="1">
        <v>51593</v>
      </c>
      <c r="O715" s="1">
        <v>2469717</v>
      </c>
      <c r="P715" s="1">
        <v>348477</v>
      </c>
      <c r="Q715" s="1">
        <v>638004</v>
      </c>
      <c r="R715" s="1">
        <v>31134364</v>
      </c>
      <c r="S715" s="1">
        <v>41051</v>
      </c>
      <c r="T715" s="1">
        <v>41051</v>
      </c>
      <c r="U715" s="1">
        <v>41027</v>
      </c>
      <c r="V715" s="1">
        <v>1</v>
      </c>
      <c r="W715" s="1">
        <v>0</v>
      </c>
    </row>
    <row r="716">
      <c r="A716" s="1">
        <v>2020</v>
      </c>
      <c r="B716" s="1">
        <v>41</v>
      </c>
      <c r="C716" t="s">
        <v>3</v>
      </c>
      <c r="D716" s="1">
        <v>51</v>
      </c>
      <c r="E716" t="s">
        <v>6</v>
      </c>
      <c r="F716" s="1">
        <v>41</v>
      </c>
      <c r="G716" t="s">
        <v>3</v>
      </c>
      <c r="H716" s="1">
        <v>29</v>
      </c>
      <c r="I716" t="s">
        <v>133</v>
      </c>
      <c r="J716" s="1">
        <v>185</v>
      </c>
      <c r="K716" s="1">
        <v>263</v>
      </c>
      <c r="L716" s="1">
        <v>9285</v>
      </c>
      <c r="M716" s="1">
        <v>32214</v>
      </c>
      <c r="N716" s="1">
        <v>51593</v>
      </c>
      <c r="O716" s="1">
        <v>2469717</v>
      </c>
      <c r="P716" s="1">
        <v>348477</v>
      </c>
      <c r="Q716" s="1">
        <v>638004</v>
      </c>
      <c r="R716" s="1">
        <v>31134364</v>
      </c>
      <c r="S716" s="1">
        <v>41051</v>
      </c>
      <c r="T716" s="1">
        <v>41051</v>
      </c>
      <c r="U716" s="1">
        <v>41029</v>
      </c>
      <c r="V716" s="1">
        <v>1</v>
      </c>
      <c r="W716" s="1">
        <v>0</v>
      </c>
    </row>
    <row r="717">
      <c r="A717" s="1">
        <v>2020</v>
      </c>
      <c r="B717" s="1">
        <v>41</v>
      </c>
      <c r="C717" t="s">
        <v>3</v>
      </c>
      <c r="D717" s="1">
        <v>51</v>
      </c>
      <c r="E717" t="s">
        <v>6</v>
      </c>
      <c r="F717" s="1">
        <v>41</v>
      </c>
      <c r="G717" t="s">
        <v>3</v>
      </c>
      <c r="H717" s="1">
        <v>31</v>
      </c>
      <c r="I717" t="s">
        <v>83</v>
      </c>
      <c r="J717" s="1">
        <v>41</v>
      </c>
      <c r="K717" s="1">
        <v>64</v>
      </c>
      <c r="L717" s="1">
        <v>3577</v>
      </c>
      <c r="M717" s="1">
        <v>32214</v>
      </c>
      <c r="N717" s="1">
        <v>51593</v>
      </c>
      <c r="O717" s="1">
        <v>2469717</v>
      </c>
      <c r="P717" s="1">
        <v>348477</v>
      </c>
      <c r="Q717" s="1">
        <v>638004</v>
      </c>
      <c r="R717" s="1">
        <v>31134364</v>
      </c>
      <c r="S717" s="1">
        <v>41051</v>
      </c>
      <c r="T717" s="1">
        <v>41051</v>
      </c>
      <c r="U717" s="1">
        <v>41031</v>
      </c>
      <c r="V717" s="1">
        <v>1</v>
      </c>
      <c r="W717" s="1">
        <v>0</v>
      </c>
    </row>
    <row r="718">
      <c r="A718" s="1">
        <v>2020</v>
      </c>
      <c r="B718" s="1">
        <v>41</v>
      </c>
      <c r="C718" t="s">
        <v>3</v>
      </c>
      <c r="D718" s="1">
        <v>51</v>
      </c>
      <c r="E718" t="s">
        <v>6</v>
      </c>
      <c r="F718" s="1">
        <v>41</v>
      </c>
      <c r="G718" t="s">
        <v>3</v>
      </c>
      <c r="H718" s="1">
        <v>33</v>
      </c>
      <c r="I718" t="s">
        <v>134</v>
      </c>
      <c r="J718" s="1">
        <v>72</v>
      </c>
      <c r="K718" s="1">
        <v>120</v>
      </c>
      <c r="L718" s="1">
        <v>3253</v>
      </c>
      <c r="M718" s="1">
        <v>32214</v>
      </c>
      <c r="N718" s="1">
        <v>51593</v>
      </c>
      <c r="O718" s="1">
        <v>2469717</v>
      </c>
      <c r="P718" s="1">
        <v>348477</v>
      </c>
      <c r="Q718" s="1">
        <v>638004</v>
      </c>
      <c r="R718" s="1">
        <v>31134364</v>
      </c>
      <c r="S718" s="1">
        <v>41051</v>
      </c>
      <c r="T718" s="1">
        <v>41051</v>
      </c>
      <c r="U718" s="1">
        <v>41033</v>
      </c>
      <c r="V718" s="1">
        <v>1</v>
      </c>
      <c r="W718" s="1">
        <v>0</v>
      </c>
    </row>
    <row r="719">
      <c r="A719" s="1">
        <v>2020</v>
      </c>
      <c r="B719" s="1">
        <v>41</v>
      </c>
      <c r="C719" t="s">
        <v>3</v>
      </c>
      <c r="D719" s="1">
        <v>51</v>
      </c>
      <c r="E719" t="s">
        <v>6</v>
      </c>
      <c r="F719" s="1">
        <v>41</v>
      </c>
      <c r="G719" t="s">
        <v>3</v>
      </c>
      <c r="H719" s="1">
        <v>35</v>
      </c>
      <c r="I719" t="s">
        <v>135</v>
      </c>
      <c r="J719" s="1">
        <v>55</v>
      </c>
      <c r="K719" s="1">
        <v>98</v>
      </c>
      <c r="L719" s="1">
        <v>2586</v>
      </c>
      <c r="M719" s="1">
        <v>32214</v>
      </c>
      <c r="N719" s="1">
        <v>51593</v>
      </c>
      <c r="O719" s="1">
        <v>2469717</v>
      </c>
      <c r="P719" s="1">
        <v>348477</v>
      </c>
      <c r="Q719" s="1">
        <v>638004</v>
      </c>
      <c r="R719" s="1">
        <v>31134364</v>
      </c>
      <c r="S719" s="1">
        <v>41051</v>
      </c>
      <c r="T719" s="1">
        <v>41051</v>
      </c>
      <c r="U719" s="1">
        <v>41035</v>
      </c>
      <c r="V719" s="1">
        <v>1</v>
      </c>
      <c r="W719" s="1">
        <v>0</v>
      </c>
    </row>
    <row r="720">
      <c r="A720" s="1">
        <v>2020</v>
      </c>
      <c r="B720" s="1">
        <v>41</v>
      </c>
      <c r="C720" t="s">
        <v>3</v>
      </c>
      <c r="D720" s="1">
        <v>51</v>
      </c>
      <c r="E720" t="s">
        <v>6</v>
      </c>
      <c r="F720" s="1">
        <v>41</v>
      </c>
      <c r="G720" t="s">
        <v>3</v>
      </c>
      <c r="H720" s="1">
        <v>39</v>
      </c>
      <c r="I720" t="s">
        <v>136</v>
      </c>
      <c r="J720" s="1">
        <v>482</v>
      </c>
      <c r="K720" s="1">
        <v>677</v>
      </c>
      <c r="L720" s="1">
        <v>26466</v>
      </c>
      <c r="M720" s="1">
        <v>32214</v>
      </c>
      <c r="N720" s="1">
        <v>51593</v>
      </c>
      <c r="O720" s="1">
        <v>2469717</v>
      </c>
      <c r="P720" s="1">
        <v>348477</v>
      </c>
      <c r="Q720" s="1">
        <v>638004</v>
      </c>
      <c r="R720" s="1">
        <v>31134364</v>
      </c>
      <c r="S720" s="1">
        <v>41051</v>
      </c>
      <c r="T720" s="1">
        <v>41051</v>
      </c>
      <c r="U720" s="1">
        <v>41039</v>
      </c>
      <c r="V720" s="1">
        <v>1</v>
      </c>
      <c r="W720" s="1">
        <v>0</v>
      </c>
    </row>
    <row r="721">
      <c r="A721" s="1">
        <v>2020</v>
      </c>
      <c r="B721" s="1">
        <v>41</v>
      </c>
      <c r="C721" t="s">
        <v>3</v>
      </c>
      <c r="D721" s="1">
        <v>51</v>
      </c>
      <c r="E721" t="s">
        <v>6</v>
      </c>
      <c r="F721" s="1">
        <v>41</v>
      </c>
      <c r="G721" t="s">
        <v>3</v>
      </c>
      <c r="H721" s="1">
        <v>41</v>
      </c>
      <c r="I721" t="s">
        <v>137</v>
      </c>
      <c r="J721" s="1">
        <v>135</v>
      </c>
      <c r="K721" s="1">
        <v>196</v>
      </c>
      <c r="L721" s="1">
        <v>11890</v>
      </c>
      <c r="M721" s="1">
        <v>32214</v>
      </c>
      <c r="N721" s="1">
        <v>51593</v>
      </c>
      <c r="O721" s="1">
        <v>2469717</v>
      </c>
      <c r="P721" s="1">
        <v>348477</v>
      </c>
      <c r="Q721" s="1">
        <v>638004</v>
      </c>
      <c r="R721" s="1">
        <v>31134364</v>
      </c>
      <c r="S721" s="1">
        <v>41051</v>
      </c>
      <c r="T721" s="1">
        <v>41051</v>
      </c>
      <c r="U721" s="1">
        <v>41041</v>
      </c>
      <c r="V721" s="1">
        <v>1</v>
      </c>
      <c r="W721" s="1">
        <v>0</v>
      </c>
    </row>
    <row r="722">
      <c r="A722" s="1">
        <v>2020</v>
      </c>
      <c r="B722" s="1">
        <v>41</v>
      </c>
      <c r="C722" t="s">
        <v>3</v>
      </c>
      <c r="D722" s="1">
        <v>51</v>
      </c>
      <c r="E722" t="s">
        <v>6</v>
      </c>
      <c r="F722" s="1">
        <v>41</v>
      </c>
      <c r="G722" t="s">
        <v>3</v>
      </c>
      <c r="H722" s="1">
        <v>43</v>
      </c>
      <c r="I722" t="s">
        <v>138</v>
      </c>
      <c r="J722" s="1">
        <v>116</v>
      </c>
      <c r="K722" s="1">
        <v>178</v>
      </c>
      <c r="L722" s="1">
        <v>6012</v>
      </c>
      <c r="M722" s="1">
        <v>32214</v>
      </c>
      <c r="N722" s="1">
        <v>51593</v>
      </c>
      <c r="O722" s="1">
        <v>2469717</v>
      </c>
      <c r="P722" s="1">
        <v>348477</v>
      </c>
      <c r="Q722" s="1">
        <v>638004</v>
      </c>
      <c r="R722" s="1">
        <v>31134364</v>
      </c>
      <c r="S722" s="1">
        <v>41051</v>
      </c>
      <c r="T722" s="1">
        <v>41051</v>
      </c>
      <c r="U722" s="1">
        <v>41043</v>
      </c>
      <c r="V722" s="1">
        <v>1</v>
      </c>
      <c r="W722" s="1">
        <v>0</v>
      </c>
    </row>
    <row r="723">
      <c r="A723" s="1">
        <v>2020</v>
      </c>
      <c r="B723" s="1">
        <v>41</v>
      </c>
      <c r="C723" t="s">
        <v>3</v>
      </c>
      <c r="D723" s="1">
        <v>51</v>
      </c>
      <c r="E723" t="s">
        <v>6</v>
      </c>
      <c r="F723" s="1">
        <v>41</v>
      </c>
      <c r="G723" t="s">
        <v>3</v>
      </c>
      <c r="H723" s="1">
        <v>47</v>
      </c>
      <c r="I723" t="s">
        <v>99</v>
      </c>
      <c r="J723" s="1">
        <v>574</v>
      </c>
      <c r="K723" s="1">
        <v>945</v>
      </c>
      <c r="L723" s="1">
        <v>29828</v>
      </c>
      <c r="M723" s="1">
        <v>32214</v>
      </c>
      <c r="N723" s="1">
        <v>51593</v>
      </c>
      <c r="O723" s="1">
        <v>2469717</v>
      </c>
      <c r="P723" s="1">
        <v>348477</v>
      </c>
      <c r="Q723" s="1">
        <v>638004</v>
      </c>
      <c r="R723" s="1">
        <v>31134364</v>
      </c>
      <c r="S723" s="1">
        <v>41051</v>
      </c>
      <c r="T723" s="1">
        <v>41051</v>
      </c>
      <c r="U723" s="1">
        <v>41047</v>
      </c>
      <c r="V723" s="1">
        <v>1</v>
      </c>
      <c r="W723" s="1">
        <v>0</v>
      </c>
    </row>
    <row r="724">
      <c r="A724" s="1">
        <v>2020</v>
      </c>
      <c r="B724" s="1">
        <v>41</v>
      </c>
      <c r="C724" t="s">
        <v>3</v>
      </c>
      <c r="D724" s="1">
        <v>51</v>
      </c>
      <c r="E724" t="s">
        <v>6</v>
      </c>
      <c r="F724" s="1">
        <v>41</v>
      </c>
      <c r="G724" t="s">
        <v>3</v>
      </c>
      <c r="H724" s="1">
        <v>53</v>
      </c>
      <c r="I724" t="s">
        <v>100</v>
      </c>
      <c r="J724" s="1">
        <v>149</v>
      </c>
      <c r="K724" s="1">
        <v>239</v>
      </c>
      <c r="L724" s="1">
        <v>8940</v>
      </c>
      <c r="M724" s="1">
        <v>32214</v>
      </c>
      <c r="N724" s="1">
        <v>51593</v>
      </c>
      <c r="O724" s="1">
        <v>2469717</v>
      </c>
      <c r="P724" s="1">
        <v>348477</v>
      </c>
      <c r="Q724" s="1">
        <v>638004</v>
      </c>
      <c r="R724" s="1">
        <v>31134364</v>
      </c>
      <c r="S724" s="1">
        <v>41051</v>
      </c>
      <c r="T724" s="1">
        <v>41051</v>
      </c>
      <c r="U724" s="1">
        <v>41053</v>
      </c>
      <c r="V724" s="1">
        <v>1</v>
      </c>
      <c r="W724" s="1">
        <v>0</v>
      </c>
    </row>
    <row r="725">
      <c r="A725" s="1">
        <v>2020</v>
      </c>
      <c r="B725" s="1">
        <v>41</v>
      </c>
      <c r="C725" t="s">
        <v>3</v>
      </c>
      <c r="D725" s="1">
        <v>51</v>
      </c>
      <c r="E725" t="s">
        <v>6</v>
      </c>
      <c r="F725" s="1">
        <v>41</v>
      </c>
      <c r="G725" t="s">
        <v>3</v>
      </c>
      <c r="H725" s="1">
        <v>57</v>
      </c>
      <c r="I725" t="s">
        <v>139</v>
      </c>
      <c r="J725" s="1">
        <v>147</v>
      </c>
      <c r="K725" s="1">
        <v>255</v>
      </c>
      <c r="L725" s="1">
        <v>14922</v>
      </c>
      <c r="M725" s="1">
        <v>32214</v>
      </c>
      <c r="N725" s="1">
        <v>51593</v>
      </c>
      <c r="O725" s="1">
        <v>2469717</v>
      </c>
      <c r="P725" s="1">
        <v>348477</v>
      </c>
      <c r="Q725" s="1">
        <v>638004</v>
      </c>
      <c r="R725" s="1">
        <v>31134364</v>
      </c>
      <c r="S725" s="1">
        <v>41051</v>
      </c>
      <c r="T725" s="1">
        <v>41051</v>
      </c>
      <c r="U725" s="1">
        <v>41057</v>
      </c>
      <c r="V725" s="1">
        <v>1</v>
      </c>
      <c r="W725" s="1">
        <v>0</v>
      </c>
    </row>
    <row r="726">
      <c r="A726" s="1">
        <v>2020</v>
      </c>
      <c r="B726" s="1">
        <v>41</v>
      </c>
      <c r="C726" t="s">
        <v>3</v>
      </c>
      <c r="D726" s="1">
        <v>51</v>
      </c>
      <c r="E726" t="s">
        <v>6</v>
      </c>
      <c r="F726" s="1">
        <v>41</v>
      </c>
      <c r="G726" t="s">
        <v>3</v>
      </c>
      <c r="H726" s="1">
        <v>59</v>
      </c>
      <c r="I726" t="s">
        <v>140</v>
      </c>
      <c r="J726" s="1">
        <v>52</v>
      </c>
      <c r="K726" s="1">
        <v>81</v>
      </c>
      <c r="L726" s="1">
        <v>2590</v>
      </c>
      <c r="M726" s="1">
        <v>32214</v>
      </c>
      <c r="N726" s="1">
        <v>51593</v>
      </c>
      <c r="O726" s="1">
        <v>2469717</v>
      </c>
      <c r="P726" s="1">
        <v>348477</v>
      </c>
      <c r="Q726" s="1">
        <v>638004</v>
      </c>
      <c r="R726" s="1">
        <v>31134364</v>
      </c>
      <c r="S726" s="1">
        <v>41051</v>
      </c>
      <c r="T726" s="1">
        <v>41051</v>
      </c>
      <c r="U726" s="1">
        <v>41059</v>
      </c>
      <c r="V726" s="1">
        <v>1</v>
      </c>
      <c r="W726" s="1">
        <v>0</v>
      </c>
    </row>
    <row r="727">
      <c r="A727" s="1">
        <v>2020</v>
      </c>
      <c r="B727" s="1">
        <v>41</v>
      </c>
      <c r="C727" t="s">
        <v>3</v>
      </c>
      <c r="D727" s="1">
        <v>51</v>
      </c>
      <c r="E727" t="s">
        <v>6</v>
      </c>
      <c r="F727" s="1">
        <v>41</v>
      </c>
      <c r="G727" t="s">
        <v>3</v>
      </c>
      <c r="H727" s="1">
        <v>61</v>
      </c>
      <c r="I727" t="s">
        <v>141</v>
      </c>
      <c r="J727" s="1">
        <v>27</v>
      </c>
      <c r="K727" s="1">
        <v>47</v>
      </c>
      <c r="L727" s="1">
        <v>1195</v>
      </c>
      <c r="M727" s="1">
        <v>32214</v>
      </c>
      <c r="N727" s="1">
        <v>51593</v>
      </c>
      <c r="O727" s="1">
        <v>2469717</v>
      </c>
      <c r="P727" s="1">
        <v>348477</v>
      </c>
      <c r="Q727" s="1">
        <v>638004</v>
      </c>
      <c r="R727" s="1">
        <v>31134364</v>
      </c>
      <c r="S727" s="1">
        <v>41051</v>
      </c>
      <c r="T727" s="1">
        <v>41051</v>
      </c>
      <c r="U727" s="1">
        <v>41061</v>
      </c>
      <c r="V727" s="1">
        <v>1</v>
      </c>
      <c r="W727" s="1">
        <v>0</v>
      </c>
    </row>
    <row r="728">
      <c r="A728" s="1">
        <v>2020</v>
      </c>
      <c r="B728" s="1">
        <v>41</v>
      </c>
      <c r="C728" t="s">
        <v>3</v>
      </c>
      <c r="D728" s="1">
        <v>51</v>
      </c>
      <c r="E728" t="s">
        <v>6</v>
      </c>
      <c r="F728" s="1">
        <v>41</v>
      </c>
      <c r="G728" t="s">
        <v>3</v>
      </c>
      <c r="H728" s="1">
        <v>65</v>
      </c>
      <c r="I728" t="s">
        <v>142</v>
      </c>
      <c r="J728" s="1">
        <v>77</v>
      </c>
      <c r="K728" s="1">
        <v>122</v>
      </c>
      <c r="L728" s="1">
        <v>6393</v>
      </c>
      <c r="M728" s="1">
        <v>32214</v>
      </c>
      <c r="N728" s="1">
        <v>51593</v>
      </c>
      <c r="O728" s="1">
        <v>2469717</v>
      </c>
      <c r="P728" s="1">
        <v>348477</v>
      </c>
      <c r="Q728" s="1">
        <v>638004</v>
      </c>
      <c r="R728" s="1">
        <v>31134364</v>
      </c>
      <c r="S728" s="1">
        <v>41051</v>
      </c>
      <c r="T728" s="1">
        <v>41051</v>
      </c>
      <c r="U728" s="1">
        <v>41065</v>
      </c>
      <c r="V728" s="1">
        <v>1</v>
      </c>
      <c r="W728" s="1">
        <v>0</v>
      </c>
    </row>
    <row r="729">
      <c r="A729" s="1">
        <v>2020</v>
      </c>
      <c r="B729" s="1">
        <v>41</v>
      </c>
      <c r="C729" t="s">
        <v>3</v>
      </c>
      <c r="D729" s="1">
        <v>51</v>
      </c>
      <c r="E729" t="s">
        <v>6</v>
      </c>
      <c r="F729" s="1">
        <v>41</v>
      </c>
      <c r="G729" t="s">
        <v>3</v>
      </c>
      <c r="H729" s="1">
        <v>67</v>
      </c>
      <c r="I729" t="s">
        <v>143</v>
      </c>
      <c r="J729" s="1">
        <v>5212</v>
      </c>
      <c r="K729" s="1">
        <v>7922</v>
      </c>
      <c r="L729" s="1">
        <v>377836</v>
      </c>
      <c r="M729" s="1">
        <v>32214</v>
      </c>
      <c r="N729" s="1">
        <v>51593</v>
      </c>
      <c r="O729" s="1">
        <v>2469717</v>
      </c>
      <c r="P729" s="1">
        <v>348477</v>
      </c>
      <c r="Q729" s="1">
        <v>638004</v>
      </c>
      <c r="R729" s="1">
        <v>31134364</v>
      </c>
      <c r="S729" s="1">
        <v>41051</v>
      </c>
      <c r="T729" s="1">
        <v>41051</v>
      </c>
      <c r="U729" s="1">
        <v>41067</v>
      </c>
      <c r="V729" s="1">
        <v>1</v>
      </c>
      <c r="W729" s="1">
        <v>0</v>
      </c>
    </row>
    <row r="730">
      <c r="A730" s="1">
        <v>2020</v>
      </c>
      <c r="B730" s="1">
        <v>41</v>
      </c>
      <c r="C730" t="s">
        <v>3</v>
      </c>
      <c r="D730" s="1">
        <v>51</v>
      </c>
      <c r="E730" t="s">
        <v>6</v>
      </c>
      <c r="F730" s="1">
        <v>41</v>
      </c>
      <c r="G730" t="s">
        <v>3</v>
      </c>
      <c r="H730" s="1">
        <v>71</v>
      </c>
      <c r="I730" t="s">
        <v>144</v>
      </c>
      <c r="J730" s="1">
        <v>288</v>
      </c>
      <c r="K730" s="1">
        <v>465</v>
      </c>
      <c r="L730" s="1">
        <v>27297</v>
      </c>
      <c r="M730" s="1">
        <v>32214</v>
      </c>
      <c r="N730" s="1">
        <v>51593</v>
      </c>
      <c r="O730" s="1">
        <v>2469717</v>
      </c>
      <c r="P730" s="1">
        <v>348477</v>
      </c>
      <c r="Q730" s="1">
        <v>638004</v>
      </c>
      <c r="R730" s="1">
        <v>31134364</v>
      </c>
      <c r="S730" s="1">
        <v>41051</v>
      </c>
      <c r="T730" s="1">
        <v>41051</v>
      </c>
      <c r="U730" s="1">
        <v>41071</v>
      </c>
      <c r="V730" s="1">
        <v>1</v>
      </c>
      <c r="W730" s="1">
        <v>0</v>
      </c>
    </row>
    <row r="731">
      <c r="A731" s="1">
        <v>2020</v>
      </c>
      <c r="B731" s="1">
        <v>41</v>
      </c>
      <c r="C731" t="s">
        <v>3</v>
      </c>
      <c r="D731" s="1">
        <v>51</v>
      </c>
      <c r="E731" t="s">
        <v>6</v>
      </c>
      <c r="F731" s="1">
        <v>42</v>
      </c>
      <c r="G731" t="s">
        <v>34</v>
      </c>
      <c r="H731" s="1">
        <v>3</v>
      </c>
      <c r="I731" t="s">
        <v>145</v>
      </c>
      <c r="J731" s="1">
        <v>52</v>
      </c>
      <c r="K731" s="1">
        <v>70</v>
      </c>
      <c r="L731" s="1">
        <v>5047</v>
      </c>
      <c r="M731" s="1">
        <v>32214</v>
      </c>
      <c r="N731" s="1">
        <v>51593</v>
      </c>
      <c r="O731" s="1">
        <v>2469717</v>
      </c>
      <c r="P731" s="1">
        <v>348477</v>
      </c>
      <c r="Q731" s="1">
        <v>638004</v>
      </c>
      <c r="R731" s="1">
        <v>31134364</v>
      </c>
      <c r="S731" s="1">
        <v>41051</v>
      </c>
      <c r="T731" s="1">
        <v>41051</v>
      </c>
      <c r="U731" s="1">
        <v>42003</v>
      </c>
      <c r="V731" s="1">
        <v>1</v>
      </c>
      <c r="W731" s="1">
        <v>0</v>
      </c>
    </row>
    <row r="732">
      <c r="A732" s="1">
        <v>2020</v>
      </c>
      <c r="B732" s="1">
        <v>41</v>
      </c>
      <c r="C732" t="s">
        <v>3</v>
      </c>
      <c r="D732" s="1">
        <v>51</v>
      </c>
      <c r="E732" t="s">
        <v>6</v>
      </c>
      <c r="F732" s="1">
        <v>42</v>
      </c>
      <c r="G732" t="s">
        <v>34</v>
      </c>
      <c r="H732" s="1">
        <v>101</v>
      </c>
      <c r="I732" t="s">
        <v>146</v>
      </c>
      <c r="J732" s="1">
        <v>75</v>
      </c>
      <c r="K732" s="1">
        <v>95</v>
      </c>
      <c r="L732" s="1">
        <v>7140</v>
      </c>
      <c r="M732" s="1">
        <v>32214</v>
      </c>
      <c r="N732" s="1">
        <v>51593</v>
      </c>
      <c r="O732" s="1">
        <v>2469717</v>
      </c>
      <c r="P732" s="1">
        <v>348477</v>
      </c>
      <c r="Q732" s="1">
        <v>638004</v>
      </c>
      <c r="R732" s="1">
        <v>31134364</v>
      </c>
      <c r="S732" s="1">
        <v>41051</v>
      </c>
      <c r="T732" s="1">
        <v>41051</v>
      </c>
      <c r="U732" s="1">
        <v>42101</v>
      </c>
      <c r="V732" s="1">
        <v>1</v>
      </c>
      <c r="W732" s="1">
        <v>0</v>
      </c>
    </row>
    <row r="733">
      <c r="A733" s="1">
        <v>2020</v>
      </c>
      <c r="B733" s="1">
        <v>41</v>
      </c>
      <c r="C733" t="s">
        <v>3</v>
      </c>
      <c r="D733" s="1">
        <v>51</v>
      </c>
      <c r="E733" t="s">
        <v>6</v>
      </c>
      <c r="F733" s="1">
        <v>47</v>
      </c>
      <c r="G733" t="s">
        <v>35</v>
      </c>
      <c r="H733" s="1">
        <v>37</v>
      </c>
      <c r="I733" t="s">
        <v>147</v>
      </c>
      <c r="J733" s="1">
        <v>55</v>
      </c>
      <c r="K733" s="1">
        <v>63</v>
      </c>
      <c r="L733" s="1">
        <v>3764</v>
      </c>
      <c r="M733" s="1">
        <v>32214</v>
      </c>
      <c r="N733" s="1">
        <v>51593</v>
      </c>
      <c r="O733" s="1">
        <v>2469717</v>
      </c>
      <c r="P733" s="1">
        <v>348477</v>
      </c>
      <c r="Q733" s="1">
        <v>638004</v>
      </c>
      <c r="R733" s="1">
        <v>31134364</v>
      </c>
      <c r="S733" s="1">
        <v>41051</v>
      </c>
      <c r="T733" s="1">
        <v>41051</v>
      </c>
      <c r="U733" s="1">
        <v>47037</v>
      </c>
      <c r="V733" s="1">
        <v>1</v>
      </c>
      <c r="W733" s="1">
        <v>0</v>
      </c>
    </row>
    <row r="734">
      <c r="A734" s="1">
        <v>2020</v>
      </c>
      <c r="B734" s="1">
        <v>41</v>
      </c>
      <c r="C734" t="s">
        <v>3</v>
      </c>
      <c r="D734" s="1">
        <v>51</v>
      </c>
      <c r="E734" t="s">
        <v>6</v>
      </c>
      <c r="F734" s="1">
        <v>47</v>
      </c>
      <c r="G734" t="s">
        <v>35</v>
      </c>
      <c r="H734" s="1">
        <v>157</v>
      </c>
      <c r="I734" t="s">
        <v>215</v>
      </c>
      <c r="J734" s="1">
        <v>25</v>
      </c>
      <c r="K734" s="1">
        <v>36</v>
      </c>
      <c r="L734" s="1">
        <v>1145</v>
      </c>
      <c r="M734" s="1">
        <v>32214</v>
      </c>
      <c r="N734" s="1">
        <v>51593</v>
      </c>
      <c r="O734" s="1">
        <v>2469717</v>
      </c>
      <c r="P734" s="1">
        <v>348477</v>
      </c>
      <c r="Q734" s="1">
        <v>638004</v>
      </c>
      <c r="R734" s="1">
        <v>31134364</v>
      </c>
      <c r="S734" s="1">
        <v>41051</v>
      </c>
      <c r="T734" s="1">
        <v>41051</v>
      </c>
      <c r="U734" s="1">
        <v>47157</v>
      </c>
      <c r="V734" s="1">
        <v>1</v>
      </c>
      <c r="W734" s="1">
        <v>0</v>
      </c>
    </row>
    <row r="735">
      <c r="A735" s="1">
        <v>2020</v>
      </c>
      <c r="B735" s="1">
        <v>41</v>
      </c>
      <c r="C735" t="s">
        <v>3</v>
      </c>
      <c r="D735" s="1">
        <v>51</v>
      </c>
      <c r="E735" t="s">
        <v>6</v>
      </c>
      <c r="F735" s="1">
        <v>48</v>
      </c>
      <c r="G735" t="s">
        <v>36</v>
      </c>
      <c r="H735" s="1">
        <v>29</v>
      </c>
      <c r="I735" t="s">
        <v>149</v>
      </c>
      <c r="J735" s="1">
        <v>57</v>
      </c>
      <c r="K735" s="1">
        <v>85</v>
      </c>
      <c r="L735" s="1">
        <v>3393</v>
      </c>
      <c r="M735" s="1">
        <v>32214</v>
      </c>
      <c r="N735" s="1">
        <v>51593</v>
      </c>
      <c r="O735" s="1">
        <v>2469717</v>
      </c>
      <c r="P735" s="1">
        <v>348477</v>
      </c>
      <c r="Q735" s="1">
        <v>638004</v>
      </c>
      <c r="R735" s="1">
        <v>31134364</v>
      </c>
      <c r="S735" s="1">
        <v>41051</v>
      </c>
      <c r="T735" s="1">
        <v>41051</v>
      </c>
      <c r="U735" s="1">
        <v>48029</v>
      </c>
      <c r="V735" s="1">
        <v>1</v>
      </c>
      <c r="W735" s="1">
        <v>0</v>
      </c>
    </row>
    <row r="736">
      <c r="A736" s="1">
        <v>2020</v>
      </c>
      <c r="B736" s="1">
        <v>41</v>
      </c>
      <c r="C736" t="s">
        <v>3</v>
      </c>
      <c r="D736" s="1">
        <v>51</v>
      </c>
      <c r="E736" t="s">
        <v>6</v>
      </c>
      <c r="F736" s="1">
        <v>48</v>
      </c>
      <c r="G736" t="s">
        <v>36</v>
      </c>
      <c r="H736" s="1">
        <v>85</v>
      </c>
      <c r="I736" t="s">
        <v>216</v>
      </c>
      <c r="J736" s="1">
        <v>27</v>
      </c>
      <c r="K736" s="1">
        <v>44</v>
      </c>
      <c r="L736" s="1">
        <v>2395</v>
      </c>
      <c r="M736" s="1">
        <v>32214</v>
      </c>
      <c r="N736" s="1">
        <v>51593</v>
      </c>
      <c r="O736" s="1">
        <v>2469717</v>
      </c>
      <c r="P736" s="1">
        <v>348477</v>
      </c>
      <c r="Q736" s="1">
        <v>638004</v>
      </c>
      <c r="R736" s="1">
        <v>31134364</v>
      </c>
      <c r="S736" s="1">
        <v>41051</v>
      </c>
      <c r="T736" s="1">
        <v>41051</v>
      </c>
      <c r="U736" s="1">
        <v>48085</v>
      </c>
      <c r="V736" s="1">
        <v>1</v>
      </c>
      <c r="W736" s="1">
        <v>0</v>
      </c>
    </row>
    <row r="737">
      <c r="A737" s="1">
        <v>2020</v>
      </c>
      <c r="B737" s="1">
        <v>41</v>
      </c>
      <c r="C737" t="s">
        <v>3</v>
      </c>
      <c r="D737" s="1">
        <v>51</v>
      </c>
      <c r="E737" t="s">
        <v>6</v>
      </c>
      <c r="F737" s="1">
        <v>48</v>
      </c>
      <c r="G737" t="s">
        <v>36</v>
      </c>
      <c r="H737" s="1">
        <v>113</v>
      </c>
      <c r="I737" t="s">
        <v>150</v>
      </c>
      <c r="J737" s="1">
        <v>78</v>
      </c>
      <c r="K737" s="1">
        <v>118</v>
      </c>
      <c r="L737" s="1">
        <v>6352</v>
      </c>
      <c r="M737" s="1">
        <v>32214</v>
      </c>
      <c r="N737" s="1">
        <v>51593</v>
      </c>
      <c r="O737" s="1">
        <v>2469717</v>
      </c>
      <c r="P737" s="1">
        <v>348477</v>
      </c>
      <c r="Q737" s="1">
        <v>638004</v>
      </c>
      <c r="R737" s="1">
        <v>31134364</v>
      </c>
      <c r="S737" s="1">
        <v>41051</v>
      </c>
      <c r="T737" s="1">
        <v>41051</v>
      </c>
      <c r="U737" s="1">
        <v>48113</v>
      </c>
      <c r="V737" s="1">
        <v>1</v>
      </c>
      <c r="W737" s="1">
        <v>0</v>
      </c>
    </row>
    <row r="738">
      <c r="A738" s="1">
        <v>2020</v>
      </c>
      <c r="B738" s="1">
        <v>41</v>
      </c>
      <c r="C738" t="s">
        <v>3</v>
      </c>
      <c r="D738" s="1">
        <v>51</v>
      </c>
      <c r="E738" t="s">
        <v>6</v>
      </c>
      <c r="F738" s="1">
        <v>48</v>
      </c>
      <c r="G738" t="s">
        <v>36</v>
      </c>
      <c r="H738" s="1">
        <v>121</v>
      </c>
      <c r="I738" t="s">
        <v>234</v>
      </c>
      <c r="J738" s="1">
        <v>27</v>
      </c>
      <c r="K738" s="1">
        <v>44</v>
      </c>
      <c r="L738" s="1">
        <v>2728</v>
      </c>
      <c r="M738" s="1">
        <v>32214</v>
      </c>
      <c r="N738" s="1">
        <v>51593</v>
      </c>
      <c r="O738" s="1">
        <v>2469717</v>
      </c>
      <c r="P738" s="1">
        <v>348477</v>
      </c>
      <c r="Q738" s="1">
        <v>638004</v>
      </c>
      <c r="R738" s="1">
        <v>31134364</v>
      </c>
      <c r="S738" s="1">
        <v>41051</v>
      </c>
      <c r="T738" s="1">
        <v>41051</v>
      </c>
      <c r="U738" s="1">
        <v>48121</v>
      </c>
      <c r="V738" s="1">
        <v>1</v>
      </c>
      <c r="W738" s="1">
        <v>0</v>
      </c>
    </row>
    <row r="739">
      <c r="A739" s="1">
        <v>2020</v>
      </c>
      <c r="B739" s="1">
        <v>41</v>
      </c>
      <c r="C739" t="s">
        <v>3</v>
      </c>
      <c r="D739" s="1">
        <v>51</v>
      </c>
      <c r="E739" t="s">
        <v>6</v>
      </c>
      <c r="F739" s="1">
        <v>48</v>
      </c>
      <c r="G739" t="s">
        <v>36</v>
      </c>
      <c r="H739" s="1">
        <v>201</v>
      </c>
      <c r="I739" t="s">
        <v>151</v>
      </c>
      <c r="J739" s="1">
        <v>89</v>
      </c>
      <c r="K739" s="1">
        <v>158</v>
      </c>
      <c r="L739" s="1">
        <v>6319</v>
      </c>
      <c r="M739" s="1">
        <v>32214</v>
      </c>
      <c r="N739" s="1">
        <v>51593</v>
      </c>
      <c r="O739" s="1">
        <v>2469717</v>
      </c>
      <c r="P739" s="1">
        <v>348477</v>
      </c>
      <c r="Q739" s="1">
        <v>638004</v>
      </c>
      <c r="R739" s="1">
        <v>31134364</v>
      </c>
      <c r="S739" s="1">
        <v>41051</v>
      </c>
      <c r="T739" s="1">
        <v>41051</v>
      </c>
      <c r="U739" s="1">
        <v>48201</v>
      </c>
      <c r="V739" s="1">
        <v>1</v>
      </c>
      <c r="W739" s="1">
        <v>0</v>
      </c>
    </row>
    <row r="740">
      <c r="A740" s="1">
        <v>2020</v>
      </c>
      <c r="B740" s="1">
        <v>41</v>
      </c>
      <c r="C740" t="s">
        <v>3</v>
      </c>
      <c r="D740" s="1">
        <v>51</v>
      </c>
      <c r="E740" t="s">
        <v>6</v>
      </c>
      <c r="F740" s="1">
        <v>48</v>
      </c>
      <c r="G740" t="s">
        <v>36</v>
      </c>
      <c r="H740" s="1">
        <v>209</v>
      </c>
      <c r="I740" t="s">
        <v>235</v>
      </c>
      <c r="J740" s="1">
        <v>20</v>
      </c>
      <c r="K740" s="1">
        <v>44</v>
      </c>
      <c r="L740" s="1">
        <v>1933</v>
      </c>
      <c r="M740" s="1">
        <v>32214</v>
      </c>
      <c r="N740" s="1">
        <v>51593</v>
      </c>
      <c r="O740" s="1">
        <v>2469717</v>
      </c>
      <c r="P740" s="1">
        <v>348477</v>
      </c>
      <c r="Q740" s="1">
        <v>638004</v>
      </c>
      <c r="R740" s="1">
        <v>31134364</v>
      </c>
      <c r="S740" s="1">
        <v>41051</v>
      </c>
      <c r="T740" s="1">
        <v>41051</v>
      </c>
      <c r="U740" s="1">
        <v>48209</v>
      </c>
      <c r="V740" s="1">
        <v>1</v>
      </c>
      <c r="W740" s="1">
        <v>0</v>
      </c>
    </row>
    <row r="741">
      <c r="A741" s="1">
        <v>2020</v>
      </c>
      <c r="B741" s="1">
        <v>41</v>
      </c>
      <c r="C741" t="s">
        <v>3</v>
      </c>
      <c r="D741" s="1">
        <v>51</v>
      </c>
      <c r="E741" t="s">
        <v>6</v>
      </c>
      <c r="F741" s="1">
        <v>48</v>
      </c>
      <c r="G741" t="s">
        <v>36</v>
      </c>
      <c r="H741" s="1">
        <v>439</v>
      </c>
      <c r="I741" t="s">
        <v>152</v>
      </c>
      <c r="J741" s="1">
        <v>58</v>
      </c>
      <c r="K741" s="1">
        <v>90</v>
      </c>
      <c r="L741" s="1">
        <v>5060</v>
      </c>
      <c r="M741" s="1">
        <v>32214</v>
      </c>
      <c r="N741" s="1">
        <v>51593</v>
      </c>
      <c r="O741" s="1">
        <v>2469717</v>
      </c>
      <c r="P741" s="1">
        <v>348477</v>
      </c>
      <c r="Q741" s="1">
        <v>638004</v>
      </c>
      <c r="R741" s="1">
        <v>31134364</v>
      </c>
      <c r="S741" s="1">
        <v>41051</v>
      </c>
      <c r="T741" s="1">
        <v>41051</v>
      </c>
      <c r="U741" s="1">
        <v>48439</v>
      </c>
      <c r="V741" s="1">
        <v>1</v>
      </c>
      <c r="W741" s="1">
        <v>0</v>
      </c>
    </row>
    <row r="742">
      <c r="A742" s="1">
        <v>2020</v>
      </c>
      <c r="B742" s="1">
        <v>41</v>
      </c>
      <c r="C742" t="s">
        <v>3</v>
      </c>
      <c r="D742" s="1">
        <v>51</v>
      </c>
      <c r="E742" t="s">
        <v>6</v>
      </c>
      <c r="F742" s="1">
        <v>48</v>
      </c>
      <c r="G742" t="s">
        <v>36</v>
      </c>
      <c r="H742" s="1">
        <v>453</v>
      </c>
      <c r="I742" t="s">
        <v>153</v>
      </c>
      <c r="J742" s="1">
        <v>147</v>
      </c>
      <c r="K742" s="1">
        <v>201</v>
      </c>
      <c r="L742" s="1">
        <v>24842</v>
      </c>
      <c r="M742" s="1">
        <v>32214</v>
      </c>
      <c r="N742" s="1">
        <v>51593</v>
      </c>
      <c r="O742" s="1">
        <v>2469717</v>
      </c>
      <c r="P742" s="1">
        <v>348477</v>
      </c>
      <c r="Q742" s="1">
        <v>638004</v>
      </c>
      <c r="R742" s="1">
        <v>31134364</v>
      </c>
      <c r="S742" s="1">
        <v>41051</v>
      </c>
      <c r="T742" s="1">
        <v>41051</v>
      </c>
      <c r="U742" s="1">
        <v>48453</v>
      </c>
      <c r="V742" s="1">
        <v>1</v>
      </c>
      <c r="W742" s="1">
        <v>0</v>
      </c>
    </row>
    <row r="743">
      <c r="A743" s="1">
        <v>2020</v>
      </c>
      <c r="B743" s="1">
        <v>41</v>
      </c>
      <c r="C743" t="s">
        <v>3</v>
      </c>
      <c r="D743" s="1">
        <v>51</v>
      </c>
      <c r="E743" t="s">
        <v>6</v>
      </c>
      <c r="F743" s="1">
        <v>48</v>
      </c>
      <c r="G743" t="s">
        <v>36</v>
      </c>
      <c r="H743" s="1">
        <v>491</v>
      </c>
      <c r="I743" t="s">
        <v>217</v>
      </c>
      <c r="J743" s="1">
        <v>43</v>
      </c>
      <c r="K743" s="1">
        <v>87</v>
      </c>
      <c r="L743" s="1">
        <v>3190</v>
      </c>
      <c r="M743" s="1">
        <v>32214</v>
      </c>
      <c r="N743" s="1">
        <v>51593</v>
      </c>
      <c r="O743" s="1">
        <v>2469717</v>
      </c>
      <c r="P743" s="1">
        <v>348477</v>
      </c>
      <c r="Q743" s="1">
        <v>638004</v>
      </c>
      <c r="R743" s="1">
        <v>31134364</v>
      </c>
      <c r="S743" s="1">
        <v>41051</v>
      </c>
      <c r="T743" s="1">
        <v>41051</v>
      </c>
      <c r="U743" s="1">
        <v>48491</v>
      </c>
      <c r="V743" s="1">
        <v>1</v>
      </c>
      <c r="W743" s="1">
        <v>0</v>
      </c>
    </row>
    <row r="744">
      <c r="A744" s="1">
        <v>2020</v>
      </c>
      <c r="B744" s="1">
        <v>41</v>
      </c>
      <c r="C744" t="s">
        <v>3</v>
      </c>
      <c r="D744" s="1">
        <v>51</v>
      </c>
      <c r="E744" t="s">
        <v>6</v>
      </c>
      <c r="F744" s="1">
        <v>49</v>
      </c>
      <c r="G744" t="s">
        <v>37</v>
      </c>
      <c r="H744" s="1">
        <v>35</v>
      </c>
      <c r="I744" t="s">
        <v>154</v>
      </c>
      <c r="J744" s="1">
        <v>122</v>
      </c>
      <c r="K744" s="1">
        <v>162</v>
      </c>
      <c r="L744" s="1">
        <v>6551</v>
      </c>
      <c r="M744" s="1">
        <v>32214</v>
      </c>
      <c r="N744" s="1">
        <v>51593</v>
      </c>
      <c r="O744" s="1">
        <v>2469717</v>
      </c>
      <c r="P744" s="1">
        <v>348477</v>
      </c>
      <c r="Q744" s="1">
        <v>638004</v>
      </c>
      <c r="R744" s="1">
        <v>31134364</v>
      </c>
      <c r="S744" s="1">
        <v>41051</v>
      </c>
      <c r="T744" s="1">
        <v>41051</v>
      </c>
      <c r="U744" s="1">
        <v>49035</v>
      </c>
      <c r="V744" s="1">
        <v>1</v>
      </c>
      <c r="W744" s="1">
        <v>0</v>
      </c>
    </row>
    <row r="745">
      <c r="A745" s="1">
        <v>2020</v>
      </c>
      <c r="B745" s="1">
        <v>41</v>
      </c>
      <c r="C745" t="s">
        <v>3</v>
      </c>
      <c r="D745" s="1">
        <v>51</v>
      </c>
      <c r="E745" t="s">
        <v>6</v>
      </c>
      <c r="F745" s="1">
        <v>49</v>
      </c>
      <c r="G745" t="s">
        <v>37</v>
      </c>
      <c r="H745" s="1">
        <v>49</v>
      </c>
      <c r="I745" t="s">
        <v>219</v>
      </c>
      <c r="J745" s="1">
        <v>32</v>
      </c>
      <c r="K745" s="1">
        <v>56</v>
      </c>
      <c r="L745" s="1">
        <v>1469</v>
      </c>
      <c r="M745" s="1">
        <v>32214</v>
      </c>
      <c r="N745" s="1">
        <v>51593</v>
      </c>
      <c r="O745" s="1">
        <v>2469717</v>
      </c>
      <c r="P745" s="1">
        <v>348477</v>
      </c>
      <c r="Q745" s="1">
        <v>638004</v>
      </c>
      <c r="R745" s="1">
        <v>31134364</v>
      </c>
      <c r="S745" s="1">
        <v>41051</v>
      </c>
      <c r="T745" s="1">
        <v>41051</v>
      </c>
      <c r="U745" s="1">
        <v>49049</v>
      </c>
      <c r="V745" s="1">
        <v>1</v>
      </c>
      <c r="W745" s="1">
        <v>0</v>
      </c>
    </row>
    <row r="746">
      <c r="A746" s="1">
        <v>2020</v>
      </c>
      <c r="B746" s="1">
        <v>41</v>
      </c>
      <c r="C746" t="s">
        <v>3</v>
      </c>
      <c r="D746" s="1">
        <v>51</v>
      </c>
      <c r="E746" t="s">
        <v>6</v>
      </c>
      <c r="F746" s="1">
        <v>49</v>
      </c>
      <c r="G746" t="s">
        <v>37</v>
      </c>
      <c r="H746" s="1">
        <v>53</v>
      </c>
      <c r="I746" t="s">
        <v>143</v>
      </c>
      <c r="J746" s="1">
        <v>22</v>
      </c>
      <c r="K746" s="1">
        <v>36</v>
      </c>
      <c r="L746" s="1">
        <v>1226</v>
      </c>
      <c r="M746" s="1">
        <v>32214</v>
      </c>
      <c r="N746" s="1">
        <v>51593</v>
      </c>
      <c r="O746" s="1">
        <v>2469717</v>
      </c>
      <c r="P746" s="1">
        <v>348477</v>
      </c>
      <c r="Q746" s="1">
        <v>638004</v>
      </c>
      <c r="R746" s="1">
        <v>31134364</v>
      </c>
      <c r="S746" s="1">
        <v>41051</v>
      </c>
      <c r="T746" s="1">
        <v>41051</v>
      </c>
      <c r="U746" s="1">
        <v>49053</v>
      </c>
      <c r="V746" s="1">
        <v>1</v>
      </c>
      <c r="W746" s="1">
        <v>0</v>
      </c>
    </row>
    <row r="747">
      <c r="A747" s="1">
        <v>2020</v>
      </c>
      <c r="B747" s="1">
        <v>41</v>
      </c>
      <c r="C747" t="s">
        <v>3</v>
      </c>
      <c r="D747" s="1">
        <v>51</v>
      </c>
      <c r="E747" t="s">
        <v>6</v>
      </c>
      <c r="F747" s="1">
        <v>51</v>
      </c>
      <c r="G747" t="s">
        <v>39</v>
      </c>
      <c r="H747" s="1">
        <v>13</v>
      </c>
      <c r="I747" t="s">
        <v>221</v>
      </c>
      <c r="J747" s="1">
        <v>23</v>
      </c>
      <c r="K747" s="1">
        <v>31</v>
      </c>
      <c r="L747" s="1">
        <v>1902</v>
      </c>
      <c r="M747" s="1">
        <v>32214</v>
      </c>
      <c r="N747" s="1">
        <v>51593</v>
      </c>
      <c r="O747" s="1">
        <v>2469717</v>
      </c>
      <c r="P747" s="1">
        <v>348477</v>
      </c>
      <c r="Q747" s="1">
        <v>638004</v>
      </c>
      <c r="R747" s="1">
        <v>31134364</v>
      </c>
      <c r="S747" s="1">
        <v>41051</v>
      </c>
      <c r="T747" s="1">
        <v>41051</v>
      </c>
      <c r="U747" s="1">
        <v>51013</v>
      </c>
      <c r="V747" s="1">
        <v>1</v>
      </c>
      <c r="W747" s="1">
        <v>0</v>
      </c>
    </row>
    <row r="748">
      <c r="A748" s="1">
        <v>2020</v>
      </c>
      <c r="B748" s="1">
        <v>41</v>
      </c>
      <c r="C748" t="s">
        <v>3</v>
      </c>
      <c r="D748" s="1">
        <v>51</v>
      </c>
      <c r="E748" t="s">
        <v>6</v>
      </c>
      <c r="F748" s="1">
        <v>53</v>
      </c>
      <c r="G748" t="s">
        <v>40</v>
      </c>
      <c r="H748" s="1">
        <v>5</v>
      </c>
      <c r="I748" t="s">
        <v>124</v>
      </c>
      <c r="J748" s="1">
        <v>59</v>
      </c>
      <c r="K748" s="1">
        <v>92</v>
      </c>
      <c r="L748" s="1">
        <v>4128</v>
      </c>
      <c r="M748" s="1">
        <v>32214</v>
      </c>
      <c r="N748" s="1">
        <v>51593</v>
      </c>
      <c r="O748" s="1">
        <v>2469717</v>
      </c>
      <c r="P748" s="1">
        <v>348477</v>
      </c>
      <c r="Q748" s="1">
        <v>638004</v>
      </c>
      <c r="R748" s="1">
        <v>31134364</v>
      </c>
      <c r="S748" s="1">
        <v>41051</v>
      </c>
      <c r="T748" s="1">
        <v>41051</v>
      </c>
      <c r="U748" s="1">
        <v>53005</v>
      </c>
      <c r="V748" s="1">
        <v>1</v>
      </c>
      <c r="W748" s="1">
        <v>0</v>
      </c>
    </row>
    <row r="749">
      <c r="A749" s="1">
        <v>2020</v>
      </c>
      <c r="B749" s="1">
        <v>41</v>
      </c>
      <c r="C749" t="s">
        <v>3</v>
      </c>
      <c r="D749" s="1">
        <v>51</v>
      </c>
      <c r="E749" t="s">
        <v>6</v>
      </c>
      <c r="F749" s="1">
        <v>53</v>
      </c>
      <c r="G749" t="s">
        <v>40</v>
      </c>
      <c r="H749" s="1">
        <v>7</v>
      </c>
      <c r="I749" t="s">
        <v>236</v>
      </c>
      <c r="J749" s="1">
        <v>27</v>
      </c>
      <c r="K749" s="1">
        <v>36</v>
      </c>
      <c r="L749" s="1">
        <v>1705</v>
      </c>
      <c r="M749" s="1">
        <v>32214</v>
      </c>
      <c r="N749" s="1">
        <v>51593</v>
      </c>
      <c r="O749" s="1">
        <v>2469717</v>
      </c>
      <c r="P749" s="1">
        <v>348477</v>
      </c>
      <c r="Q749" s="1">
        <v>638004</v>
      </c>
      <c r="R749" s="1">
        <v>31134364</v>
      </c>
      <c r="S749" s="1">
        <v>41051</v>
      </c>
      <c r="T749" s="1">
        <v>41051</v>
      </c>
      <c r="U749" s="1">
        <v>53007</v>
      </c>
      <c r="V749" s="1">
        <v>1</v>
      </c>
      <c r="W749" s="1">
        <v>0</v>
      </c>
    </row>
    <row r="750">
      <c r="A750" s="1">
        <v>2020</v>
      </c>
      <c r="B750" s="1">
        <v>41</v>
      </c>
      <c r="C750" t="s">
        <v>3</v>
      </c>
      <c r="D750" s="1">
        <v>51</v>
      </c>
      <c r="E750" t="s">
        <v>6</v>
      </c>
      <c r="F750" s="1">
        <v>53</v>
      </c>
      <c r="G750" t="s">
        <v>40</v>
      </c>
      <c r="H750" s="1">
        <v>9</v>
      </c>
      <c r="I750" t="s">
        <v>222</v>
      </c>
      <c r="J750" s="1">
        <v>20</v>
      </c>
      <c r="K750" s="1">
        <v>31</v>
      </c>
      <c r="L750" s="1">
        <v>1310</v>
      </c>
      <c r="M750" s="1">
        <v>32214</v>
      </c>
      <c r="N750" s="1">
        <v>51593</v>
      </c>
      <c r="O750" s="1">
        <v>2469717</v>
      </c>
      <c r="P750" s="1">
        <v>348477</v>
      </c>
      <c r="Q750" s="1">
        <v>638004</v>
      </c>
      <c r="R750" s="1">
        <v>31134364</v>
      </c>
      <c r="S750" s="1">
        <v>41051</v>
      </c>
      <c r="T750" s="1">
        <v>41051</v>
      </c>
      <c r="U750" s="1">
        <v>53009</v>
      </c>
      <c r="V750" s="1">
        <v>1</v>
      </c>
      <c r="W750" s="1">
        <v>0</v>
      </c>
    </row>
    <row r="751">
      <c r="A751" s="1">
        <v>2020</v>
      </c>
      <c r="B751" s="1">
        <v>41</v>
      </c>
      <c r="C751" t="s">
        <v>3</v>
      </c>
      <c r="D751" s="1">
        <v>51</v>
      </c>
      <c r="E751" t="s">
        <v>6</v>
      </c>
      <c r="F751" s="1">
        <v>53</v>
      </c>
      <c r="G751" t="s">
        <v>40</v>
      </c>
      <c r="H751" s="1">
        <v>11</v>
      </c>
      <c r="I751" t="s">
        <v>112</v>
      </c>
      <c r="J751" s="1">
        <v>3137</v>
      </c>
      <c r="K751" s="1">
        <v>5447</v>
      </c>
      <c r="L751" s="1">
        <v>235189</v>
      </c>
      <c r="M751" s="1">
        <v>32214</v>
      </c>
      <c r="N751" s="1">
        <v>51593</v>
      </c>
      <c r="O751" s="1">
        <v>2469717</v>
      </c>
      <c r="P751" s="1">
        <v>348477</v>
      </c>
      <c r="Q751" s="1">
        <v>638004</v>
      </c>
      <c r="R751" s="1">
        <v>31134364</v>
      </c>
      <c r="S751" s="1">
        <v>41051</v>
      </c>
      <c r="T751" s="1">
        <v>41051</v>
      </c>
      <c r="U751" s="1">
        <v>53011</v>
      </c>
      <c r="V751" s="1">
        <v>1</v>
      </c>
      <c r="W751" s="1">
        <v>0</v>
      </c>
    </row>
    <row r="752">
      <c r="A752" s="1">
        <v>2020</v>
      </c>
      <c r="B752" s="1">
        <v>41</v>
      </c>
      <c r="C752" t="s">
        <v>3</v>
      </c>
      <c r="D752" s="1">
        <v>51</v>
      </c>
      <c r="E752" t="s">
        <v>6</v>
      </c>
      <c r="F752" s="1">
        <v>53</v>
      </c>
      <c r="G752" t="s">
        <v>40</v>
      </c>
      <c r="H752" s="1">
        <v>15</v>
      </c>
      <c r="I752" t="s">
        <v>157</v>
      </c>
      <c r="J752" s="1">
        <v>167</v>
      </c>
      <c r="K752" s="1">
        <v>310</v>
      </c>
      <c r="L752" s="1">
        <v>10885</v>
      </c>
      <c r="M752" s="1">
        <v>32214</v>
      </c>
      <c r="N752" s="1">
        <v>51593</v>
      </c>
      <c r="O752" s="1">
        <v>2469717</v>
      </c>
      <c r="P752" s="1">
        <v>348477</v>
      </c>
      <c r="Q752" s="1">
        <v>638004</v>
      </c>
      <c r="R752" s="1">
        <v>31134364</v>
      </c>
      <c r="S752" s="1">
        <v>41051</v>
      </c>
      <c r="T752" s="1">
        <v>41051</v>
      </c>
      <c r="U752" s="1">
        <v>53015</v>
      </c>
      <c r="V752" s="1">
        <v>1</v>
      </c>
      <c r="W752" s="1">
        <v>0</v>
      </c>
    </row>
    <row r="753">
      <c r="A753" s="1">
        <v>2020</v>
      </c>
      <c r="B753" s="1">
        <v>41</v>
      </c>
      <c r="C753" t="s">
        <v>3</v>
      </c>
      <c r="D753" s="1">
        <v>51</v>
      </c>
      <c r="E753" t="s">
        <v>6</v>
      </c>
      <c r="F753" s="1">
        <v>53</v>
      </c>
      <c r="G753" t="s">
        <v>40</v>
      </c>
      <c r="H753" s="1">
        <v>29</v>
      </c>
      <c r="I753" t="s">
        <v>159</v>
      </c>
      <c r="J753" s="1">
        <v>20</v>
      </c>
      <c r="K753" s="1">
        <v>30</v>
      </c>
      <c r="L753" s="1">
        <v>951</v>
      </c>
      <c r="M753" s="1">
        <v>32214</v>
      </c>
      <c r="N753" s="1">
        <v>51593</v>
      </c>
      <c r="O753" s="1">
        <v>2469717</v>
      </c>
      <c r="P753" s="1">
        <v>348477</v>
      </c>
      <c r="Q753" s="1">
        <v>638004</v>
      </c>
      <c r="R753" s="1">
        <v>31134364</v>
      </c>
      <c r="S753" s="1">
        <v>41051</v>
      </c>
      <c r="T753" s="1">
        <v>41051</v>
      </c>
      <c r="U753" s="1">
        <v>53029</v>
      </c>
      <c r="V753" s="1">
        <v>1</v>
      </c>
      <c r="W753" s="1">
        <v>0</v>
      </c>
    </row>
    <row r="754">
      <c r="A754" s="1">
        <v>2020</v>
      </c>
      <c r="B754" s="1">
        <v>41</v>
      </c>
      <c r="C754" t="s">
        <v>3</v>
      </c>
      <c r="D754" s="1">
        <v>51</v>
      </c>
      <c r="E754" t="s">
        <v>6</v>
      </c>
      <c r="F754" s="1">
        <v>53</v>
      </c>
      <c r="G754" t="s">
        <v>40</v>
      </c>
      <c r="H754" s="1">
        <v>31</v>
      </c>
      <c r="I754" t="s">
        <v>83</v>
      </c>
      <c r="J754" s="1">
        <v>31</v>
      </c>
      <c r="K754" s="1">
        <v>50</v>
      </c>
      <c r="L754" s="1">
        <v>2551</v>
      </c>
      <c r="M754" s="1">
        <v>32214</v>
      </c>
      <c r="N754" s="1">
        <v>51593</v>
      </c>
      <c r="O754" s="1">
        <v>2469717</v>
      </c>
      <c r="P754" s="1">
        <v>348477</v>
      </c>
      <c r="Q754" s="1">
        <v>638004</v>
      </c>
      <c r="R754" s="1">
        <v>31134364</v>
      </c>
      <c r="S754" s="1">
        <v>41051</v>
      </c>
      <c r="T754" s="1">
        <v>41051</v>
      </c>
      <c r="U754" s="1">
        <v>53031</v>
      </c>
      <c r="V754" s="1">
        <v>1</v>
      </c>
      <c r="W754" s="1">
        <v>0</v>
      </c>
    </row>
    <row r="755">
      <c r="A755" s="1">
        <v>2020</v>
      </c>
      <c r="B755" s="1">
        <v>41</v>
      </c>
      <c r="C755" t="s">
        <v>3</v>
      </c>
      <c r="D755" s="1">
        <v>51</v>
      </c>
      <c r="E755" t="s">
        <v>6</v>
      </c>
      <c r="F755" s="1">
        <v>53</v>
      </c>
      <c r="G755" t="s">
        <v>40</v>
      </c>
      <c r="H755" s="1">
        <v>33</v>
      </c>
      <c r="I755" t="s">
        <v>160</v>
      </c>
      <c r="J755" s="1">
        <v>766</v>
      </c>
      <c r="K755" s="1">
        <v>1027</v>
      </c>
      <c r="L755" s="1">
        <v>61943</v>
      </c>
      <c r="M755" s="1">
        <v>32214</v>
      </c>
      <c r="N755" s="1">
        <v>51593</v>
      </c>
      <c r="O755" s="1">
        <v>2469717</v>
      </c>
      <c r="P755" s="1">
        <v>348477</v>
      </c>
      <c r="Q755" s="1">
        <v>638004</v>
      </c>
      <c r="R755" s="1">
        <v>31134364</v>
      </c>
      <c r="S755" s="1">
        <v>41051</v>
      </c>
      <c r="T755" s="1">
        <v>41051</v>
      </c>
      <c r="U755" s="1">
        <v>53033</v>
      </c>
      <c r="V755" s="1">
        <v>1</v>
      </c>
      <c r="W755" s="1">
        <v>0</v>
      </c>
    </row>
    <row r="756">
      <c r="A756" s="1">
        <v>2020</v>
      </c>
      <c r="B756" s="1">
        <v>41</v>
      </c>
      <c r="C756" t="s">
        <v>3</v>
      </c>
      <c r="D756" s="1">
        <v>51</v>
      </c>
      <c r="E756" t="s">
        <v>6</v>
      </c>
      <c r="F756" s="1">
        <v>53</v>
      </c>
      <c r="G756" t="s">
        <v>40</v>
      </c>
      <c r="H756" s="1">
        <v>35</v>
      </c>
      <c r="I756" t="s">
        <v>161</v>
      </c>
      <c r="J756" s="1">
        <v>70</v>
      </c>
      <c r="K756" s="1">
        <v>120</v>
      </c>
      <c r="L756" s="1">
        <v>5610</v>
      </c>
      <c r="M756" s="1">
        <v>32214</v>
      </c>
      <c r="N756" s="1">
        <v>51593</v>
      </c>
      <c r="O756" s="1">
        <v>2469717</v>
      </c>
      <c r="P756" s="1">
        <v>348477</v>
      </c>
      <c r="Q756" s="1">
        <v>638004</v>
      </c>
      <c r="R756" s="1">
        <v>31134364</v>
      </c>
      <c r="S756" s="1">
        <v>41051</v>
      </c>
      <c r="T756" s="1">
        <v>41051</v>
      </c>
      <c r="U756" s="1">
        <v>53035</v>
      </c>
      <c r="V756" s="1">
        <v>1</v>
      </c>
      <c r="W756" s="1">
        <v>0</v>
      </c>
    </row>
    <row r="757">
      <c r="A757" s="1">
        <v>2020</v>
      </c>
      <c r="B757" s="1">
        <v>41</v>
      </c>
      <c r="C757" t="s">
        <v>3</v>
      </c>
      <c r="D757" s="1">
        <v>51</v>
      </c>
      <c r="E757" t="s">
        <v>6</v>
      </c>
      <c r="F757" s="1">
        <v>53</v>
      </c>
      <c r="G757" t="s">
        <v>40</v>
      </c>
      <c r="H757" s="1">
        <v>39</v>
      </c>
      <c r="I757" t="s">
        <v>162</v>
      </c>
      <c r="J757" s="1">
        <v>82</v>
      </c>
      <c r="K757" s="1">
        <v>134</v>
      </c>
      <c r="L757" s="1">
        <v>10684</v>
      </c>
      <c r="M757" s="1">
        <v>32214</v>
      </c>
      <c r="N757" s="1">
        <v>51593</v>
      </c>
      <c r="O757" s="1">
        <v>2469717</v>
      </c>
      <c r="P757" s="1">
        <v>348477</v>
      </c>
      <c r="Q757" s="1">
        <v>638004</v>
      </c>
      <c r="R757" s="1">
        <v>31134364</v>
      </c>
      <c r="S757" s="1">
        <v>41051</v>
      </c>
      <c r="T757" s="1">
        <v>41051</v>
      </c>
      <c r="U757" s="1">
        <v>53039</v>
      </c>
      <c r="V757" s="1">
        <v>1</v>
      </c>
      <c r="W757" s="1">
        <v>0</v>
      </c>
    </row>
    <row r="758">
      <c r="A758" s="1">
        <v>2020</v>
      </c>
      <c r="B758" s="1">
        <v>41</v>
      </c>
      <c r="C758" t="s">
        <v>3</v>
      </c>
      <c r="D758" s="1">
        <v>51</v>
      </c>
      <c r="E758" t="s">
        <v>6</v>
      </c>
      <c r="F758" s="1">
        <v>53</v>
      </c>
      <c r="G758" t="s">
        <v>40</v>
      </c>
      <c r="H758" s="1">
        <v>41</v>
      </c>
      <c r="I758" t="s">
        <v>163</v>
      </c>
      <c r="J758" s="1">
        <v>26</v>
      </c>
      <c r="K758" s="1">
        <v>44</v>
      </c>
      <c r="L758" s="1">
        <v>1601</v>
      </c>
      <c r="M758" s="1">
        <v>32214</v>
      </c>
      <c r="N758" s="1">
        <v>51593</v>
      </c>
      <c r="O758" s="1">
        <v>2469717</v>
      </c>
      <c r="P758" s="1">
        <v>348477</v>
      </c>
      <c r="Q758" s="1">
        <v>638004</v>
      </c>
      <c r="R758" s="1">
        <v>31134364</v>
      </c>
      <c r="S758" s="1">
        <v>41051</v>
      </c>
      <c r="T758" s="1">
        <v>41051</v>
      </c>
      <c r="U758" s="1">
        <v>53041</v>
      </c>
      <c r="V758" s="1">
        <v>1</v>
      </c>
      <c r="W758" s="1">
        <v>0</v>
      </c>
    </row>
    <row r="759">
      <c r="A759" s="1">
        <v>2020</v>
      </c>
      <c r="B759" s="1">
        <v>41</v>
      </c>
      <c r="C759" t="s">
        <v>3</v>
      </c>
      <c r="D759" s="1">
        <v>51</v>
      </c>
      <c r="E759" t="s">
        <v>6</v>
      </c>
      <c r="F759" s="1">
        <v>53</v>
      </c>
      <c r="G759" t="s">
        <v>40</v>
      </c>
      <c r="H759" s="1">
        <v>45</v>
      </c>
      <c r="I759" t="s">
        <v>237</v>
      </c>
      <c r="J759" s="1">
        <v>29</v>
      </c>
      <c r="K759" s="1">
        <v>46</v>
      </c>
      <c r="L759" s="1">
        <v>3232</v>
      </c>
      <c r="M759" s="1">
        <v>32214</v>
      </c>
      <c r="N759" s="1">
        <v>51593</v>
      </c>
      <c r="O759" s="1">
        <v>2469717</v>
      </c>
      <c r="P759" s="1">
        <v>348477</v>
      </c>
      <c r="Q759" s="1">
        <v>638004</v>
      </c>
      <c r="R759" s="1">
        <v>31134364</v>
      </c>
      <c r="S759" s="1">
        <v>41051</v>
      </c>
      <c r="T759" s="1">
        <v>41051</v>
      </c>
      <c r="U759" s="1">
        <v>53045</v>
      </c>
      <c r="V759" s="1">
        <v>1</v>
      </c>
      <c r="W759" s="1">
        <v>0</v>
      </c>
    </row>
    <row r="760">
      <c r="A760" s="1">
        <v>2020</v>
      </c>
      <c r="B760" s="1">
        <v>41</v>
      </c>
      <c r="C760" t="s">
        <v>3</v>
      </c>
      <c r="D760" s="1">
        <v>51</v>
      </c>
      <c r="E760" t="s">
        <v>6</v>
      </c>
      <c r="F760" s="1">
        <v>53</v>
      </c>
      <c r="G760" t="s">
        <v>40</v>
      </c>
      <c r="H760" s="1">
        <v>49</v>
      </c>
      <c r="I760" t="s">
        <v>164</v>
      </c>
      <c r="J760" s="1">
        <v>39</v>
      </c>
      <c r="K760" s="1">
        <v>59</v>
      </c>
      <c r="L760" s="1">
        <v>4402</v>
      </c>
      <c r="M760" s="1">
        <v>32214</v>
      </c>
      <c r="N760" s="1">
        <v>51593</v>
      </c>
      <c r="O760" s="1">
        <v>2469717</v>
      </c>
      <c r="P760" s="1">
        <v>348477</v>
      </c>
      <c r="Q760" s="1">
        <v>638004</v>
      </c>
      <c r="R760" s="1">
        <v>31134364</v>
      </c>
      <c r="S760" s="1">
        <v>41051</v>
      </c>
      <c r="T760" s="1">
        <v>41051</v>
      </c>
      <c r="U760" s="1">
        <v>53049</v>
      </c>
      <c r="V760" s="1">
        <v>1</v>
      </c>
      <c r="W760" s="1">
        <v>0</v>
      </c>
    </row>
    <row r="761">
      <c r="A761" s="1">
        <v>2020</v>
      </c>
      <c r="B761" s="1">
        <v>41</v>
      </c>
      <c r="C761" t="s">
        <v>3</v>
      </c>
      <c r="D761" s="1">
        <v>51</v>
      </c>
      <c r="E761" t="s">
        <v>6</v>
      </c>
      <c r="F761" s="1">
        <v>53</v>
      </c>
      <c r="G761" t="s">
        <v>40</v>
      </c>
      <c r="H761" s="1">
        <v>53</v>
      </c>
      <c r="I761" t="s">
        <v>165</v>
      </c>
      <c r="J761" s="1">
        <v>207</v>
      </c>
      <c r="K761" s="1">
        <v>344</v>
      </c>
      <c r="L761" s="1">
        <v>11010</v>
      </c>
      <c r="M761" s="1">
        <v>32214</v>
      </c>
      <c r="N761" s="1">
        <v>51593</v>
      </c>
      <c r="O761" s="1">
        <v>2469717</v>
      </c>
      <c r="P761" s="1">
        <v>348477</v>
      </c>
      <c r="Q761" s="1">
        <v>638004</v>
      </c>
      <c r="R761" s="1">
        <v>31134364</v>
      </c>
      <c r="S761" s="1">
        <v>41051</v>
      </c>
      <c r="T761" s="1">
        <v>41051</v>
      </c>
      <c r="U761" s="1">
        <v>53053</v>
      </c>
      <c r="V761" s="1">
        <v>1</v>
      </c>
      <c r="W761" s="1">
        <v>0</v>
      </c>
    </row>
    <row r="762">
      <c r="A762" s="1">
        <v>2020</v>
      </c>
      <c r="B762" s="1">
        <v>41</v>
      </c>
      <c r="C762" t="s">
        <v>3</v>
      </c>
      <c r="D762" s="1">
        <v>51</v>
      </c>
      <c r="E762" t="s">
        <v>6</v>
      </c>
      <c r="F762" s="1">
        <v>53</v>
      </c>
      <c r="G762" t="s">
        <v>40</v>
      </c>
      <c r="H762" s="1">
        <v>55</v>
      </c>
      <c r="I762" t="s">
        <v>238</v>
      </c>
      <c r="J762" s="1">
        <v>22</v>
      </c>
      <c r="K762" s="1">
        <v>31</v>
      </c>
      <c r="L762" s="1">
        <v>1775</v>
      </c>
      <c r="M762" s="1">
        <v>32214</v>
      </c>
      <c r="N762" s="1">
        <v>51593</v>
      </c>
      <c r="O762" s="1">
        <v>2469717</v>
      </c>
      <c r="P762" s="1">
        <v>348477</v>
      </c>
      <c r="Q762" s="1">
        <v>638004</v>
      </c>
      <c r="R762" s="1">
        <v>31134364</v>
      </c>
      <c r="S762" s="1">
        <v>41051</v>
      </c>
      <c r="T762" s="1">
        <v>41051</v>
      </c>
      <c r="U762" s="1">
        <v>53055</v>
      </c>
      <c r="V762" s="1">
        <v>1</v>
      </c>
      <c r="W762" s="1">
        <v>0</v>
      </c>
    </row>
    <row r="763">
      <c r="A763" s="1">
        <v>2020</v>
      </c>
      <c r="B763" s="1">
        <v>41</v>
      </c>
      <c r="C763" t="s">
        <v>3</v>
      </c>
      <c r="D763" s="1">
        <v>51</v>
      </c>
      <c r="E763" t="s">
        <v>6</v>
      </c>
      <c r="F763" s="1">
        <v>53</v>
      </c>
      <c r="G763" t="s">
        <v>40</v>
      </c>
      <c r="H763" s="1">
        <v>57</v>
      </c>
      <c r="I763" t="s">
        <v>223</v>
      </c>
      <c r="J763" s="1">
        <v>29</v>
      </c>
      <c r="K763" s="1">
        <v>42</v>
      </c>
      <c r="L763" s="1">
        <v>2556</v>
      </c>
      <c r="M763" s="1">
        <v>32214</v>
      </c>
      <c r="N763" s="1">
        <v>51593</v>
      </c>
      <c r="O763" s="1">
        <v>2469717</v>
      </c>
      <c r="P763" s="1">
        <v>348477</v>
      </c>
      <c r="Q763" s="1">
        <v>638004</v>
      </c>
      <c r="R763" s="1">
        <v>31134364</v>
      </c>
      <c r="S763" s="1">
        <v>41051</v>
      </c>
      <c r="T763" s="1">
        <v>41051</v>
      </c>
      <c r="U763" s="1">
        <v>53057</v>
      </c>
      <c r="V763" s="1">
        <v>1</v>
      </c>
      <c r="W763" s="1">
        <v>0</v>
      </c>
    </row>
    <row r="764">
      <c r="A764" s="1">
        <v>2020</v>
      </c>
      <c r="B764" s="1">
        <v>41</v>
      </c>
      <c r="C764" t="s">
        <v>3</v>
      </c>
      <c r="D764" s="1">
        <v>51</v>
      </c>
      <c r="E764" t="s">
        <v>6</v>
      </c>
      <c r="F764" s="1">
        <v>53</v>
      </c>
      <c r="G764" t="s">
        <v>40</v>
      </c>
      <c r="H764" s="1">
        <v>59</v>
      </c>
      <c r="I764" t="s">
        <v>166</v>
      </c>
      <c r="J764" s="1">
        <v>61</v>
      </c>
      <c r="K764" s="1">
        <v>105</v>
      </c>
      <c r="L764" s="1">
        <v>25750</v>
      </c>
      <c r="M764" s="1">
        <v>32214</v>
      </c>
      <c r="N764" s="1">
        <v>51593</v>
      </c>
      <c r="O764" s="1">
        <v>2469717</v>
      </c>
      <c r="P764" s="1">
        <v>348477</v>
      </c>
      <c r="Q764" s="1">
        <v>638004</v>
      </c>
      <c r="R764" s="1">
        <v>31134364</v>
      </c>
      <c r="S764" s="1">
        <v>41051</v>
      </c>
      <c r="T764" s="1">
        <v>41051</v>
      </c>
      <c r="U764" s="1">
        <v>53059</v>
      </c>
      <c r="V764" s="1">
        <v>1</v>
      </c>
      <c r="W764" s="1">
        <v>0</v>
      </c>
    </row>
    <row r="765">
      <c r="A765" s="1">
        <v>2020</v>
      </c>
      <c r="B765" s="1">
        <v>41</v>
      </c>
      <c r="C765" t="s">
        <v>3</v>
      </c>
      <c r="D765" s="1">
        <v>51</v>
      </c>
      <c r="E765" t="s">
        <v>6</v>
      </c>
      <c r="F765" s="1">
        <v>53</v>
      </c>
      <c r="G765" t="s">
        <v>40</v>
      </c>
      <c r="H765" s="1">
        <v>61</v>
      </c>
      <c r="I765" t="s">
        <v>167</v>
      </c>
      <c r="J765" s="1">
        <v>113</v>
      </c>
      <c r="K765" s="1">
        <v>162</v>
      </c>
      <c r="L765" s="1">
        <v>6822</v>
      </c>
      <c r="M765" s="1">
        <v>32214</v>
      </c>
      <c r="N765" s="1">
        <v>51593</v>
      </c>
      <c r="O765" s="1">
        <v>2469717</v>
      </c>
      <c r="P765" s="1">
        <v>348477</v>
      </c>
      <c r="Q765" s="1">
        <v>638004</v>
      </c>
      <c r="R765" s="1">
        <v>31134364</v>
      </c>
      <c r="S765" s="1">
        <v>41051</v>
      </c>
      <c r="T765" s="1">
        <v>41051</v>
      </c>
      <c r="U765" s="1">
        <v>53061</v>
      </c>
      <c r="V765" s="1">
        <v>1</v>
      </c>
      <c r="W765" s="1">
        <v>0</v>
      </c>
    </row>
    <row r="766">
      <c r="A766" s="1">
        <v>2020</v>
      </c>
      <c r="B766" s="1">
        <v>41</v>
      </c>
      <c r="C766" t="s">
        <v>3</v>
      </c>
      <c r="D766" s="1">
        <v>51</v>
      </c>
      <c r="E766" t="s">
        <v>6</v>
      </c>
      <c r="F766" s="1">
        <v>53</v>
      </c>
      <c r="G766" t="s">
        <v>40</v>
      </c>
      <c r="H766" s="1">
        <v>63</v>
      </c>
      <c r="I766" t="s">
        <v>168</v>
      </c>
      <c r="J766" s="1">
        <v>188</v>
      </c>
      <c r="K766" s="1">
        <v>290</v>
      </c>
      <c r="L766" s="1">
        <v>10505</v>
      </c>
      <c r="M766" s="1">
        <v>32214</v>
      </c>
      <c r="N766" s="1">
        <v>51593</v>
      </c>
      <c r="O766" s="1">
        <v>2469717</v>
      </c>
      <c r="P766" s="1">
        <v>348477</v>
      </c>
      <c r="Q766" s="1">
        <v>638004</v>
      </c>
      <c r="R766" s="1">
        <v>31134364</v>
      </c>
      <c r="S766" s="1">
        <v>41051</v>
      </c>
      <c r="T766" s="1">
        <v>41051</v>
      </c>
      <c r="U766" s="1">
        <v>53063</v>
      </c>
      <c r="V766" s="1">
        <v>1</v>
      </c>
      <c r="W766" s="1">
        <v>0</v>
      </c>
    </row>
    <row r="767">
      <c r="A767" s="1">
        <v>2020</v>
      </c>
      <c r="B767" s="1">
        <v>41</v>
      </c>
      <c r="C767" t="s">
        <v>3</v>
      </c>
      <c r="D767" s="1">
        <v>51</v>
      </c>
      <c r="E767" t="s">
        <v>6</v>
      </c>
      <c r="F767" s="1">
        <v>53</v>
      </c>
      <c r="G767" t="s">
        <v>40</v>
      </c>
      <c r="H767" s="1">
        <v>65</v>
      </c>
      <c r="I767" t="s">
        <v>239</v>
      </c>
      <c r="J767" s="1">
        <v>21</v>
      </c>
      <c r="K767" s="1">
        <v>32</v>
      </c>
      <c r="L767" s="1">
        <v>1232</v>
      </c>
      <c r="M767" s="1">
        <v>32214</v>
      </c>
      <c r="N767" s="1">
        <v>51593</v>
      </c>
      <c r="O767" s="1">
        <v>2469717</v>
      </c>
      <c r="P767" s="1">
        <v>348477</v>
      </c>
      <c r="Q767" s="1">
        <v>638004</v>
      </c>
      <c r="R767" s="1">
        <v>31134364</v>
      </c>
      <c r="S767" s="1">
        <v>41051</v>
      </c>
      <c r="T767" s="1">
        <v>41051</v>
      </c>
      <c r="U767" s="1">
        <v>53065</v>
      </c>
      <c r="V767" s="1">
        <v>1</v>
      </c>
      <c r="W767" s="1">
        <v>0</v>
      </c>
    </row>
    <row r="768">
      <c r="A768" s="1">
        <v>2020</v>
      </c>
      <c r="B768" s="1">
        <v>41</v>
      </c>
      <c r="C768" t="s">
        <v>3</v>
      </c>
      <c r="D768" s="1">
        <v>51</v>
      </c>
      <c r="E768" t="s">
        <v>6</v>
      </c>
      <c r="F768" s="1">
        <v>53</v>
      </c>
      <c r="G768" t="s">
        <v>40</v>
      </c>
      <c r="H768" s="1">
        <v>67</v>
      </c>
      <c r="I768" t="s">
        <v>169</v>
      </c>
      <c r="J768" s="1">
        <v>97</v>
      </c>
      <c r="K768" s="1">
        <v>145</v>
      </c>
      <c r="L768" s="1">
        <v>6245</v>
      </c>
      <c r="M768" s="1">
        <v>32214</v>
      </c>
      <c r="N768" s="1">
        <v>51593</v>
      </c>
      <c r="O768" s="1">
        <v>2469717</v>
      </c>
      <c r="P768" s="1">
        <v>348477</v>
      </c>
      <c r="Q768" s="1">
        <v>638004</v>
      </c>
      <c r="R768" s="1">
        <v>31134364</v>
      </c>
      <c r="S768" s="1">
        <v>41051</v>
      </c>
      <c r="T768" s="1">
        <v>41051</v>
      </c>
      <c r="U768" s="1">
        <v>53067</v>
      </c>
      <c r="V768" s="1">
        <v>1</v>
      </c>
      <c r="W768" s="1">
        <v>0</v>
      </c>
    </row>
    <row r="769">
      <c r="A769" s="1">
        <v>2020</v>
      </c>
      <c r="B769" s="1">
        <v>41</v>
      </c>
      <c r="C769" t="s">
        <v>3</v>
      </c>
      <c r="D769" s="1">
        <v>51</v>
      </c>
      <c r="E769" t="s">
        <v>6</v>
      </c>
      <c r="F769" s="1">
        <v>53</v>
      </c>
      <c r="G769" t="s">
        <v>40</v>
      </c>
      <c r="H769" s="1">
        <v>71</v>
      </c>
      <c r="I769" t="s">
        <v>170</v>
      </c>
      <c r="J769" s="1">
        <v>29</v>
      </c>
      <c r="K769" s="1">
        <v>42</v>
      </c>
      <c r="L769" s="1">
        <v>1769</v>
      </c>
      <c r="M769" s="1">
        <v>32214</v>
      </c>
      <c r="N769" s="1">
        <v>51593</v>
      </c>
      <c r="O769" s="1">
        <v>2469717</v>
      </c>
      <c r="P769" s="1">
        <v>348477</v>
      </c>
      <c r="Q769" s="1">
        <v>638004</v>
      </c>
      <c r="R769" s="1">
        <v>31134364</v>
      </c>
      <c r="S769" s="1">
        <v>41051</v>
      </c>
      <c r="T769" s="1">
        <v>41051</v>
      </c>
      <c r="U769" s="1">
        <v>53071</v>
      </c>
      <c r="V769" s="1">
        <v>1</v>
      </c>
      <c r="W769" s="1">
        <v>0</v>
      </c>
    </row>
    <row r="770">
      <c r="A770" s="1">
        <v>2020</v>
      </c>
      <c r="B770" s="1">
        <v>41</v>
      </c>
      <c r="C770" t="s">
        <v>3</v>
      </c>
      <c r="D770" s="1">
        <v>51</v>
      </c>
      <c r="E770" t="s">
        <v>6</v>
      </c>
      <c r="F770" s="1">
        <v>53</v>
      </c>
      <c r="G770" t="s">
        <v>40</v>
      </c>
      <c r="H770" s="1">
        <v>73</v>
      </c>
      <c r="I770" t="s">
        <v>171</v>
      </c>
      <c r="J770" s="1">
        <v>100</v>
      </c>
      <c r="K770" s="1">
        <v>155</v>
      </c>
      <c r="L770" s="1">
        <v>6970</v>
      </c>
      <c r="M770" s="1">
        <v>32214</v>
      </c>
      <c r="N770" s="1">
        <v>51593</v>
      </c>
      <c r="O770" s="1">
        <v>2469717</v>
      </c>
      <c r="P770" s="1">
        <v>348477</v>
      </c>
      <c r="Q770" s="1">
        <v>638004</v>
      </c>
      <c r="R770" s="1">
        <v>31134364</v>
      </c>
      <c r="S770" s="1">
        <v>41051</v>
      </c>
      <c r="T770" s="1">
        <v>41051</v>
      </c>
      <c r="U770" s="1">
        <v>53073</v>
      </c>
      <c r="V770" s="1">
        <v>1</v>
      </c>
      <c r="W770" s="1">
        <v>0</v>
      </c>
    </row>
    <row r="771">
      <c r="A771" s="1">
        <v>2020</v>
      </c>
      <c r="B771" s="1">
        <v>41</v>
      </c>
      <c r="C771" t="s">
        <v>3</v>
      </c>
      <c r="D771" s="1">
        <v>51</v>
      </c>
      <c r="E771" t="s">
        <v>6</v>
      </c>
      <c r="F771" s="1">
        <v>53</v>
      </c>
      <c r="G771" t="s">
        <v>40</v>
      </c>
      <c r="H771" s="1">
        <v>77</v>
      </c>
      <c r="I771" t="s">
        <v>172</v>
      </c>
      <c r="J771" s="1">
        <v>39</v>
      </c>
      <c r="K771" s="1">
        <v>59</v>
      </c>
      <c r="L771" s="1">
        <v>1626</v>
      </c>
      <c r="M771" s="1">
        <v>32214</v>
      </c>
      <c r="N771" s="1">
        <v>51593</v>
      </c>
      <c r="O771" s="1">
        <v>2469717</v>
      </c>
      <c r="P771" s="1">
        <v>348477</v>
      </c>
      <c r="Q771" s="1">
        <v>638004</v>
      </c>
      <c r="R771" s="1">
        <v>31134364</v>
      </c>
      <c r="S771" s="1">
        <v>41051</v>
      </c>
      <c r="T771" s="1">
        <v>41051</v>
      </c>
      <c r="U771" s="1">
        <v>53077</v>
      </c>
      <c r="V771" s="1">
        <v>1</v>
      </c>
      <c r="W771" s="1">
        <v>0</v>
      </c>
    </row>
    <row r="772">
      <c r="A772" s="1">
        <v>2020</v>
      </c>
      <c r="B772" s="1">
        <v>41</v>
      </c>
      <c r="C772" t="s">
        <v>3</v>
      </c>
      <c r="D772" s="1">
        <v>51</v>
      </c>
      <c r="E772" t="s">
        <v>6</v>
      </c>
      <c r="F772" s="1">
        <v>55</v>
      </c>
      <c r="G772" t="s">
        <v>41</v>
      </c>
      <c r="H772" s="1">
        <v>25</v>
      </c>
      <c r="I772" t="s">
        <v>173</v>
      </c>
      <c r="J772" s="1">
        <v>32</v>
      </c>
      <c r="K772" s="1">
        <v>48</v>
      </c>
      <c r="L772" s="1">
        <v>2225</v>
      </c>
      <c r="M772" s="1">
        <v>32214</v>
      </c>
      <c r="N772" s="1">
        <v>51593</v>
      </c>
      <c r="O772" s="1">
        <v>2469717</v>
      </c>
      <c r="P772" s="1">
        <v>348477</v>
      </c>
      <c r="Q772" s="1">
        <v>638004</v>
      </c>
      <c r="R772" s="1">
        <v>31134364</v>
      </c>
      <c r="S772" s="1">
        <v>41051</v>
      </c>
      <c r="T772" s="1">
        <v>41051</v>
      </c>
      <c r="U772" s="1">
        <v>55025</v>
      </c>
      <c r="V772" s="1">
        <v>1</v>
      </c>
      <c r="W772" s="1">
        <v>0</v>
      </c>
    </row>
    <row r="773">
      <c r="A773" s="1">
        <v>2020</v>
      </c>
      <c r="B773" s="1">
        <v>41</v>
      </c>
      <c r="C773" t="s">
        <v>3</v>
      </c>
      <c r="D773" s="1">
        <v>51</v>
      </c>
      <c r="E773" t="s">
        <v>6</v>
      </c>
      <c r="F773" s="1">
        <v>55</v>
      </c>
      <c r="G773" t="s">
        <v>41</v>
      </c>
      <c r="H773" s="1">
        <v>79</v>
      </c>
      <c r="I773" t="s">
        <v>174</v>
      </c>
      <c r="J773" s="1">
        <v>35</v>
      </c>
      <c r="K773" s="1">
        <v>62</v>
      </c>
      <c r="L773" s="1">
        <v>1975</v>
      </c>
      <c r="M773" s="1">
        <v>32214</v>
      </c>
      <c r="N773" s="1">
        <v>51593</v>
      </c>
      <c r="O773" s="1">
        <v>2469717</v>
      </c>
      <c r="P773" s="1">
        <v>348477</v>
      </c>
      <c r="Q773" s="1">
        <v>638004</v>
      </c>
      <c r="R773" s="1">
        <v>31134364</v>
      </c>
      <c r="S773" s="1">
        <v>41051</v>
      </c>
      <c r="T773" s="1">
        <v>41051</v>
      </c>
      <c r="U773" s="1">
        <v>55079</v>
      </c>
      <c r="V773" s="1">
        <v>1</v>
      </c>
      <c r="W773" s="1">
        <v>0</v>
      </c>
    </row>
    <row r="774">
      <c r="A774" s="1">
        <v>2021</v>
      </c>
      <c r="B774" s="1">
        <v>41</v>
      </c>
      <c r="C774" t="s">
        <v>3</v>
      </c>
      <c r="D774" s="1">
        <v>51</v>
      </c>
      <c r="E774" t="s">
        <v>6</v>
      </c>
      <c r="F774" s="1">
        <v>2</v>
      </c>
      <c r="G774" t="s">
        <v>9</v>
      </c>
      <c r="H774" s="1">
        <v>20</v>
      </c>
      <c r="I774" t="s">
        <v>52</v>
      </c>
      <c r="J774" s="1">
        <v>60</v>
      </c>
      <c r="K774" s="1">
        <v>93</v>
      </c>
      <c r="L774" s="1">
        <v>3870</v>
      </c>
      <c r="M774" s="1">
        <v>35329</v>
      </c>
      <c r="N774" s="1">
        <v>55311</v>
      </c>
      <c r="O774" s="1">
        <v>3098215</v>
      </c>
      <c r="P774" s="1">
        <v>351693</v>
      </c>
      <c r="Q774" s="1">
        <v>611447</v>
      </c>
      <c r="R774" s="1">
        <v>31328148</v>
      </c>
      <c r="S774" s="1">
        <v>41051</v>
      </c>
      <c r="T774" s="1">
        <v>41051</v>
      </c>
      <c r="U774" s="1">
        <v>2020</v>
      </c>
      <c r="V774" s="1">
        <v>1</v>
      </c>
      <c r="W774" s="1">
        <v>0</v>
      </c>
    </row>
    <row r="775">
      <c r="A775" s="1">
        <v>2021</v>
      </c>
      <c r="B775" s="1">
        <v>41</v>
      </c>
      <c r="C775" t="s">
        <v>3</v>
      </c>
      <c r="D775" s="1">
        <v>51</v>
      </c>
      <c r="E775" t="s">
        <v>6</v>
      </c>
      <c r="F775" s="1">
        <v>4</v>
      </c>
      <c r="G775" t="s">
        <v>10</v>
      </c>
      <c r="H775" s="1">
        <v>5</v>
      </c>
      <c r="I775" t="s">
        <v>175</v>
      </c>
      <c r="J775" s="1">
        <v>21</v>
      </c>
      <c r="K775" s="1">
        <v>28</v>
      </c>
      <c r="L775" s="1">
        <v>1061</v>
      </c>
      <c r="M775" s="1">
        <v>35329</v>
      </c>
      <c r="N775" s="1">
        <v>55311</v>
      </c>
      <c r="O775" s="1">
        <v>3098215</v>
      </c>
      <c r="P775" s="1">
        <v>351693</v>
      </c>
      <c r="Q775" s="1">
        <v>611447</v>
      </c>
      <c r="R775" s="1">
        <v>31328148</v>
      </c>
      <c r="S775" s="1">
        <v>41051</v>
      </c>
      <c r="T775" s="1">
        <v>41051</v>
      </c>
      <c r="U775" s="1">
        <v>4005</v>
      </c>
      <c r="V775" s="1">
        <v>1</v>
      </c>
      <c r="W775" s="1">
        <v>0</v>
      </c>
    </row>
    <row r="776">
      <c r="A776" s="1">
        <v>2021</v>
      </c>
      <c r="B776" s="1">
        <v>41</v>
      </c>
      <c r="C776" t="s">
        <v>3</v>
      </c>
      <c r="D776" s="1">
        <v>51</v>
      </c>
      <c r="E776" t="s">
        <v>6</v>
      </c>
      <c r="F776" s="1">
        <v>4</v>
      </c>
      <c r="G776" t="s">
        <v>10</v>
      </c>
      <c r="H776" s="1">
        <v>13</v>
      </c>
      <c r="I776" t="s">
        <v>53</v>
      </c>
      <c r="J776" s="1">
        <v>500</v>
      </c>
      <c r="K776" s="1">
        <v>798</v>
      </c>
      <c r="L776" s="1">
        <v>52506</v>
      </c>
      <c r="M776" s="1">
        <v>35329</v>
      </c>
      <c r="N776" s="1">
        <v>55311</v>
      </c>
      <c r="O776" s="1">
        <v>3098215</v>
      </c>
      <c r="P776" s="1">
        <v>351693</v>
      </c>
      <c r="Q776" s="1">
        <v>611447</v>
      </c>
      <c r="R776" s="1">
        <v>31328148</v>
      </c>
      <c r="S776" s="1">
        <v>41051</v>
      </c>
      <c r="T776" s="1">
        <v>41051</v>
      </c>
      <c r="U776" s="1">
        <v>4013</v>
      </c>
      <c r="V776" s="1">
        <v>1</v>
      </c>
      <c r="W776" s="1">
        <v>0</v>
      </c>
    </row>
    <row r="777">
      <c r="A777" s="1">
        <v>2021</v>
      </c>
      <c r="B777" s="1">
        <v>41</v>
      </c>
      <c r="C777" t="s">
        <v>3</v>
      </c>
      <c r="D777" s="1">
        <v>51</v>
      </c>
      <c r="E777" t="s">
        <v>6</v>
      </c>
      <c r="F777" s="1">
        <v>4</v>
      </c>
      <c r="G777" t="s">
        <v>10</v>
      </c>
      <c r="H777" s="1">
        <v>15</v>
      </c>
      <c r="I777" t="s">
        <v>224</v>
      </c>
      <c r="J777" s="1">
        <v>31</v>
      </c>
      <c r="K777" s="1">
        <v>48</v>
      </c>
      <c r="L777" s="1">
        <v>1350</v>
      </c>
      <c r="M777" s="1">
        <v>35329</v>
      </c>
      <c r="N777" s="1">
        <v>55311</v>
      </c>
      <c r="O777" s="1">
        <v>3098215</v>
      </c>
      <c r="P777" s="1">
        <v>351693</v>
      </c>
      <c r="Q777" s="1">
        <v>611447</v>
      </c>
      <c r="R777" s="1">
        <v>31328148</v>
      </c>
      <c r="S777" s="1">
        <v>41051</v>
      </c>
      <c r="T777" s="1">
        <v>41051</v>
      </c>
      <c r="U777" s="1">
        <v>4015</v>
      </c>
      <c r="V777" s="1">
        <v>1</v>
      </c>
      <c r="W777" s="1">
        <v>0</v>
      </c>
    </row>
    <row r="778">
      <c r="A778" s="1">
        <v>2021</v>
      </c>
      <c r="B778" s="1">
        <v>41</v>
      </c>
      <c r="C778" t="s">
        <v>3</v>
      </c>
      <c r="D778" s="1">
        <v>51</v>
      </c>
      <c r="E778" t="s">
        <v>6</v>
      </c>
      <c r="F778" s="1">
        <v>4</v>
      </c>
      <c r="G778" t="s">
        <v>10</v>
      </c>
      <c r="H778" s="1">
        <v>19</v>
      </c>
      <c r="I778" t="s">
        <v>54</v>
      </c>
      <c r="J778" s="1">
        <v>150</v>
      </c>
      <c r="K778" s="1">
        <v>212</v>
      </c>
      <c r="L778" s="1">
        <v>12121</v>
      </c>
      <c r="M778" s="1">
        <v>35329</v>
      </c>
      <c r="N778" s="1">
        <v>55311</v>
      </c>
      <c r="O778" s="1">
        <v>3098215</v>
      </c>
      <c r="P778" s="1">
        <v>351693</v>
      </c>
      <c r="Q778" s="1">
        <v>611447</v>
      </c>
      <c r="R778" s="1">
        <v>31328148</v>
      </c>
      <c r="S778" s="1">
        <v>41051</v>
      </c>
      <c r="T778" s="1">
        <v>41051</v>
      </c>
      <c r="U778" s="1">
        <v>4019</v>
      </c>
      <c r="V778" s="1">
        <v>1</v>
      </c>
      <c r="W778" s="1">
        <v>0</v>
      </c>
    </row>
    <row r="779">
      <c r="A779" s="1">
        <v>2021</v>
      </c>
      <c r="B779" s="1">
        <v>41</v>
      </c>
      <c r="C779" t="s">
        <v>3</v>
      </c>
      <c r="D779" s="1">
        <v>51</v>
      </c>
      <c r="E779" t="s">
        <v>6</v>
      </c>
      <c r="F779" s="1">
        <v>4</v>
      </c>
      <c r="G779" t="s">
        <v>10</v>
      </c>
      <c r="H779" s="1">
        <v>21</v>
      </c>
      <c r="I779" t="s">
        <v>55</v>
      </c>
      <c r="J779" s="1">
        <v>48</v>
      </c>
      <c r="K779" s="1">
        <v>86</v>
      </c>
      <c r="L779" s="1">
        <v>3203</v>
      </c>
      <c r="M779" s="1">
        <v>35329</v>
      </c>
      <c r="N779" s="1">
        <v>55311</v>
      </c>
      <c r="O779" s="1">
        <v>3098215</v>
      </c>
      <c r="P779" s="1">
        <v>351693</v>
      </c>
      <c r="Q779" s="1">
        <v>611447</v>
      </c>
      <c r="R779" s="1">
        <v>31328148</v>
      </c>
      <c r="S779" s="1">
        <v>41051</v>
      </c>
      <c r="T779" s="1">
        <v>41051</v>
      </c>
      <c r="U779" s="1">
        <v>4021</v>
      </c>
      <c r="V779" s="1">
        <v>1</v>
      </c>
      <c r="W779" s="1">
        <v>0</v>
      </c>
    </row>
    <row r="780">
      <c r="A780" s="1">
        <v>2021</v>
      </c>
      <c r="B780" s="1">
        <v>41</v>
      </c>
      <c r="C780" t="s">
        <v>3</v>
      </c>
      <c r="D780" s="1">
        <v>51</v>
      </c>
      <c r="E780" t="s">
        <v>6</v>
      </c>
      <c r="F780" s="1">
        <v>4</v>
      </c>
      <c r="G780" t="s">
        <v>10</v>
      </c>
      <c r="H780" s="1">
        <v>27</v>
      </c>
      <c r="I780" t="s">
        <v>240</v>
      </c>
      <c r="J780" s="1">
        <v>23</v>
      </c>
      <c r="K780" s="1">
        <v>35</v>
      </c>
      <c r="L780" s="1">
        <v>827</v>
      </c>
      <c r="M780" s="1">
        <v>35329</v>
      </c>
      <c r="N780" s="1">
        <v>55311</v>
      </c>
      <c r="O780" s="1">
        <v>3098215</v>
      </c>
      <c r="P780" s="1">
        <v>351693</v>
      </c>
      <c r="Q780" s="1">
        <v>611447</v>
      </c>
      <c r="R780" s="1">
        <v>31328148</v>
      </c>
      <c r="S780" s="1">
        <v>41051</v>
      </c>
      <c r="T780" s="1">
        <v>41051</v>
      </c>
      <c r="U780" s="1">
        <v>4027</v>
      </c>
      <c r="V780" s="1">
        <v>1</v>
      </c>
      <c r="W780" s="1">
        <v>0</v>
      </c>
    </row>
    <row r="781">
      <c r="A781" s="1">
        <v>2021</v>
      </c>
      <c r="B781" s="1">
        <v>41</v>
      </c>
      <c r="C781" t="s">
        <v>3</v>
      </c>
      <c r="D781" s="1">
        <v>51</v>
      </c>
      <c r="E781" t="s">
        <v>6</v>
      </c>
      <c r="F781" s="1">
        <v>6</v>
      </c>
      <c r="G781" t="s">
        <v>11</v>
      </c>
      <c r="H781" s="1">
        <v>1</v>
      </c>
      <c r="I781" t="s">
        <v>56</v>
      </c>
      <c r="J781" s="1">
        <v>165</v>
      </c>
      <c r="K781" s="1">
        <v>198</v>
      </c>
      <c r="L781" s="1">
        <v>12681</v>
      </c>
      <c r="M781" s="1">
        <v>35329</v>
      </c>
      <c r="N781" s="1">
        <v>55311</v>
      </c>
      <c r="O781" s="1">
        <v>3098215</v>
      </c>
      <c r="P781" s="1">
        <v>351693</v>
      </c>
      <c r="Q781" s="1">
        <v>611447</v>
      </c>
      <c r="R781" s="1">
        <v>31328148</v>
      </c>
      <c r="S781" s="1">
        <v>41051</v>
      </c>
      <c r="T781" s="1">
        <v>41051</v>
      </c>
      <c r="U781" s="1">
        <v>6001</v>
      </c>
      <c r="V781" s="1">
        <v>1</v>
      </c>
      <c r="W781" s="1">
        <v>0</v>
      </c>
    </row>
    <row r="782">
      <c r="A782" s="1">
        <v>2021</v>
      </c>
      <c r="B782" s="1">
        <v>41</v>
      </c>
      <c r="C782" t="s">
        <v>3</v>
      </c>
      <c r="D782" s="1">
        <v>51</v>
      </c>
      <c r="E782" t="s">
        <v>6</v>
      </c>
      <c r="F782" s="1">
        <v>6</v>
      </c>
      <c r="G782" t="s">
        <v>11</v>
      </c>
      <c r="H782" s="1">
        <v>13</v>
      </c>
      <c r="I782" t="s">
        <v>57</v>
      </c>
      <c r="J782" s="1">
        <v>72</v>
      </c>
      <c r="K782" s="1">
        <v>91</v>
      </c>
      <c r="L782" s="1">
        <v>5758</v>
      </c>
      <c r="M782" s="1">
        <v>35329</v>
      </c>
      <c r="N782" s="1">
        <v>55311</v>
      </c>
      <c r="O782" s="1">
        <v>3098215</v>
      </c>
      <c r="P782" s="1">
        <v>351693</v>
      </c>
      <c r="Q782" s="1">
        <v>611447</v>
      </c>
      <c r="R782" s="1">
        <v>31328148</v>
      </c>
      <c r="S782" s="1">
        <v>41051</v>
      </c>
      <c r="T782" s="1">
        <v>41051</v>
      </c>
      <c r="U782" s="1">
        <v>6013</v>
      </c>
      <c r="V782" s="1">
        <v>1</v>
      </c>
      <c r="W782" s="1">
        <v>0</v>
      </c>
    </row>
    <row r="783">
      <c r="A783" s="1">
        <v>2021</v>
      </c>
      <c r="B783" s="1">
        <v>41</v>
      </c>
      <c r="C783" t="s">
        <v>3</v>
      </c>
      <c r="D783" s="1">
        <v>51</v>
      </c>
      <c r="E783" t="s">
        <v>6</v>
      </c>
      <c r="F783" s="1">
        <v>6</v>
      </c>
      <c r="G783" t="s">
        <v>11</v>
      </c>
      <c r="H783" s="1">
        <v>17</v>
      </c>
      <c r="I783" t="s">
        <v>229</v>
      </c>
      <c r="J783" s="1">
        <v>21</v>
      </c>
      <c r="K783" s="1">
        <v>31</v>
      </c>
      <c r="L783" s="1">
        <v>1836</v>
      </c>
      <c r="M783" s="1">
        <v>35329</v>
      </c>
      <c r="N783" s="1">
        <v>55311</v>
      </c>
      <c r="O783" s="1">
        <v>3098215</v>
      </c>
      <c r="P783" s="1">
        <v>351693</v>
      </c>
      <c r="Q783" s="1">
        <v>611447</v>
      </c>
      <c r="R783" s="1">
        <v>31328148</v>
      </c>
      <c r="S783" s="1">
        <v>41051</v>
      </c>
      <c r="T783" s="1">
        <v>41051</v>
      </c>
      <c r="U783" s="1">
        <v>6017</v>
      </c>
      <c r="V783" s="1">
        <v>1</v>
      </c>
      <c r="W783" s="1">
        <v>0</v>
      </c>
    </row>
    <row r="784">
      <c r="A784" s="1">
        <v>2021</v>
      </c>
      <c r="B784" s="1">
        <v>41</v>
      </c>
      <c r="C784" t="s">
        <v>3</v>
      </c>
      <c r="D784" s="1">
        <v>51</v>
      </c>
      <c r="E784" t="s">
        <v>6</v>
      </c>
      <c r="F784" s="1">
        <v>6</v>
      </c>
      <c r="G784" t="s">
        <v>11</v>
      </c>
      <c r="H784" s="1">
        <v>19</v>
      </c>
      <c r="I784" t="s">
        <v>58</v>
      </c>
      <c r="J784" s="1">
        <v>26</v>
      </c>
      <c r="K784" s="1">
        <v>47</v>
      </c>
      <c r="L784" s="1">
        <v>1395</v>
      </c>
      <c r="M784" s="1">
        <v>35329</v>
      </c>
      <c r="N784" s="1">
        <v>55311</v>
      </c>
      <c r="O784" s="1">
        <v>3098215</v>
      </c>
      <c r="P784" s="1">
        <v>351693</v>
      </c>
      <c r="Q784" s="1">
        <v>611447</v>
      </c>
      <c r="R784" s="1">
        <v>31328148</v>
      </c>
      <c r="S784" s="1">
        <v>41051</v>
      </c>
      <c r="T784" s="1">
        <v>41051</v>
      </c>
      <c r="U784" s="1">
        <v>6019</v>
      </c>
      <c r="V784" s="1">
        <v>1</v>
      </c>
      <c r="W784" s="1">
        <v>0</v>
      </c>
    </row>
    <row r="785">
      <c r="A785" s="1">
        <v>2021</v>
      </c>
      <c r="B785" s="1">
        <v>41</v>
      </c>
      <c r="C785" t="s">
        <v>3</v>
      </c>
      <c r="D785" s="1">
        <v>51</v>
      </c>
      <c r="E785" t="s">
        <v>6</v>
      </c>
      <c r="F785" s="1">
        <v>6</v>
      </c>
      <c r="G785" t="s">
        <v>11</v>
      </c>
      <c r="H785" s="1">
        <v>23</v>
      </c>
      <c r="I785" t="s">
        <v>59</v>
      </c>
      <c r="J785" s="1">
        <v>29</v>
      </c>
      <c r="K785" s="1">
        <v>39</v>
      </c>
      <c r="L785" s="1">
        <v>1262</v>
      </c>
      <c r="M785" s="1">
        <v>35329</v>
      </c>
      <c r="N785" s="1">
        <v>55311</v>
      </c>
      <c r="O785" s="1">
        <v>3098215</v>
      </c>
      <c r="P785" s="1">
        <v>351693</v>
      </c>
      <c r="Q785" s="1">
        <v>611447</v>
      </c>
      <c r="R785" s="1">
        <v>31328148</v>
      </c>
      <c r="S785" s="1">
        <v>41051</v>
      </c>
      <c r="T785" s="1">
        <v>41051</v>
      </c>
      <c r="U785" s="1">
        <v>6023</v>
      </c>
      <c r="V785" s="1">
        <v>1</v>
      </c>
      <c r="W785" s="1">
        <v>0</v>
      </c>
    </row>
    <row r="786">
      <c r="A786" s="1">
        <v>2021</v>
      </c>
      <c r="B786" s="1">
        <v>41</v>
      </c>
      <c r="C786" t="s">
        <v>3</v>
      </c>
      <c r="D786" s="1">
        <v>51</v>
      </c>
      <c r="E786" t="s">
        <v>6</v>
      </c>
      <c r="F786" s="1">
        <v>6</v>
      </c>
      <c r="G786" t="s">
        <v>11</v>
      </c>
      <c r="H786" s="1">
        <v>29</v>
      </c>
      <c r="I786" t="s">
        <v>60</v>
      </c>
      <c r="J786" s="1">
        <v>20</v>
      </c>
      <c r="K786" s="1">
        <v>36</v>
      </c>
      <c r="L786" s="1">
        <v>813</v>
      </c>
      <c r="M786" s="1">
        <v>35329</v>
      </c>
      <c r="N786" s="1">
        <v>55311</v>
      </c>
      <c r="O786" s="1">
        <v>3098215</v>
      </c>
      <c r="P786" s="1">
        <v>351693</v>
      </c>
      <c r="Q786" s="1">
        <v>611447</v>
      </c>
      <c r="R786" s="1">
        <v>31328148</v>
      </c>
      <c r="S786" s="1">
        <v>41051</v>
      </c>
      <c r="T786" s="1">
        <v>41051</v>
      </c>
      <c r="U786" s="1">
        <v>6029</v>
      </c>
      <c r="V786" s="1">
        <v>1</v>
      </c>
      <c r="W786" s="1">
        <v>0</v>
      </c>
    </row>
    <row r="787">
      <c r="A787" s="1">
        <v>2021</v>
      </c>
      <c r="B787" s="1">
        <v>41</v>
      </c>
      <c r="C787" t="s">
        <v>3</v>
      </c>
      <c r="D787" s="1">
        <v>51</v>
      </c>
      <c r="E787" t="s">
        <v>6</v>
      </c>
      <c r="F787" s="1">
        <v>6</v>
      </c>
      <c r="G787" t="s">
        <v>11</v>
      </c>
      <c r="H787" s="1">
        <v>37</v>
      </c>
      <c r="I787" t="s">
        <v>61</v>
      </c>
      <c r="J787" s="1">
        <v>620</v>
      </c>
      <c r="K787" s="1">
        <v>764</v>
      </c>
      <c r="L787" s="1">
        <v>45570</v>
      </c>
      <c r="M787" s="1">
        <v>35329</v>
      </c>
      <c r="N787" s="1">
        <v>55311</v>
      </c>
      <c r="O787" s="1">
        <v>3098215</v>
      </c>
      <c r="P787" s="1">
        <v>351693</v>
      </c>
      <c r="Q787" s="1">
        <v>611447</v>
      </c>
      <c r="R787" s="1">
        <v>31328148</v>
      </c>
      <c r="S787" s="1">
        <v>41051</v>
      </c>
      <c r="T787" s="1">
        <v>41051</v>
      </c>
      <c r="U787" s="1">
        <v>6037</v>
      </c>
      <c r="V787" s="1">
        <v>1</v>
      </c>
      <c r="W787" s="1">
        <v>0</v>
      </c>
    </row>
    <row r="788">
      <c r="A788" s="1">
        <v>2021</v>
      </c>
      <c r="B788" s="1">
        <v>41</v>
      </c>
      <c r="C788" t="s">
        <v>3</v>
      </c>
      <c r="D788" s="1">
        <v>51</v>
      </c>
      <c r="E788" t="s">
        <v>6</v>
      </c>
      <c r="F788" s="1">
        <v>6</v>
      </c>
      <c r="G788" t="s">
        <v>11</v>
      </c>
      <c r="H788" s="1">
        <v>41</v>
      </c>
      <c r="I788" t="s">
        <v>62</v>
      </c>
      <c r="J788" s="1">
        <v>28</v>
      </c>
      <c r="K788" s="1">
        <v>34</v>
      </c>
      <c r="L788" s="1">
        <v>1968</v>
      </c>
      <c r="M788" s="1">
        <v>35329</v>
      </c>
      <c r="N788" s="1">
        <v>55311</v>
      </c>
      <c r="O788" s="1">
        <v>3098215</v>
      </c>
      <c r="P788" s="1">
        <v>351693</v>
      </c>
      <c r="Q788" s="1">
        <v>611447</v>
      </c>
      <c r="R788" s="1">
        <v>31328148</v>
      </c>
      <c r="S788" s="1">
        <v>41051</v>
      </c>
      <c r="T788" s="1">
        <v>41051</v>
      </c>
      <c r="U788" s="1">
        <v>6041</v>
      </c>
      <c r="V788" s="1">
        <v>1</v>
      </c>
      <c r="W788" s="1">
        <v>0</v>
      </c>
    </row>
    <row r="789">
      <c r="A789" s="1">
        <v>2021</v>
      </c>
      <c r="B789" s="1">
        <v>41</v>
      </c>
      <c r="C789" t="s">
        <v>3</v>
      </c>
      <c r="D789" s="1">
        <v>51</v>
      </c>
      <c r="E789" t="s">
        <v>6</v>
      </c>
      <c r="F789" s="1">
        <v>6</v>
      </c>
      <c r="G789" t="s">
        <v>11</v>
      </c>
      <c r="H789" s="1">
        <v>53</v>
      </c>
      <c r="I789" t="s">
        <v>63</v>
      </c>
      <c r="J789" s="1">
        <v>20</v>
      </c>
      <c r="K789" s="1">
        <v>24</v>
      </c>
      <c r="L789" s="1">
        <v>1046</v>
      </c>
      <c r="M789" s="1">
        <v>35329</v>
      </c>
      <c r="N789" s="1">
        <v>55311</v>
      </c>
      <c r="O789" s="1">
        <v>3098215</v>
      </c>
      <c r="P789" s="1">
        <v>351693</v>
      </c>
      <c r="Q789" s="1">
        <v>611447</v>
      </c>
      <c r="R789" s="1">
        <v>31328148</v>
      </c>
      <c r="S789" s="1">
        <v>41051</v>
      </c>
      <c r="T789" s="1">
        <v>41051</v>
      </c>
      <c r="U789" s="1">
        <v>6053</v>
      </c>
      <c r="V789" s="1">
        <v>1</v>
      </c>
      <c r="W789" s="1">
        <v>0</v>
      </c>
    </row>
    <row r="790">
      <c r="A790" s="1">
        <v>2021</v>
      </c>
      <c r="B790" s="1">
        <v>41</v>
      </c>
      <c r="C790" t="s">
        <v>3</v>
      </c>
      <c r="D790" s="1">
        <v>51</v>
      </c>
      <c r="E790" t="s">
        <v>6</v>
      </c>
      <c r="F790" s="1">
        <v>6</v>
      </c>
      <c r="G790" t="s">
        <v>11</v>
      </c>
      <c r="H790" s="1">
        <v>57</v>
      </c>
      <c r="I790" t="s">
        <v>230</v>
      </c>
      <c r="J790" s="1">
        <v>26</v>
      </c>
      <c r="K790" s="1">
        <v>35</v>
      </c>
      <c r="L790" s="1">
        <v>1558</v>
      </c>
      <c r="M790" s="1">
        <v>35329</v>
      </c>
      <c r="N790" s="1">
        <v>55311</v>
      </c>
      <c r="O790" s="1">
        <v>3098215</v>
      </c>
      <c r="P790" s="1">
        <v>351693</v>
      </c>
      <c r="Q790" s="1">
        <v>611447</v>
      </c>
      <c r="R790" s="1">
        <v>31328148</v>
      </c>
      <c r="S790" s="1">
        <v>41051</v>
      </c>
      <c r="T790" s="1">
        <v>41051</v>
      </c>
      <c r="U790" s="1">
        <v>6057</v>
      </c>
      <c r="V790" s="1">
        <v>1</v>
      </c>
      <c r="W790" s="1">
        <v>0</v>
      </c>
    </row>
    <row r="791">
      <c r="A791" s="1">
        <v>2021</v>
      </c>
      <c r="B791" s="1">
        <v>41</v>
      </c>
      <c r="C791" t="s">
        <v>3</v>
      </c>
      <c r="D791" s="1">
        <v>51</v>
      </c>
      <c r="E791" t="s">
        <v>6</v>
      </c>
      <c r="F791" s="1">
        <v>6</v>
      </c>
      <c r="G791" t="s">
        <v>11</v>
      </c>
      <c r="H791" s="1">
        <v>59</v>
      </c>
      <c r="I791" t="s">
        <v>64</v>
      </c>
      <c r="J791" s="1">
        <v>192</v>
      </c>
      <c r="K791" s="1">
        <v>267</v>
      </c>
      <c r="L791" s="1">
        <v>15460</v>
      </c>
      <c r="M791" s="1">
        <v>35329</v>
      </c>
      <c r="N791" s="1">
        <v>55311</v>
      </c>
      <c r="O791" s="1">
        <v>3098215</v>
      </c>
      <c r="P791" s="1">
        <v>351693</v>
      </c>
      <c r="Q791" s="1">
        <v>611447</v>
      </c>
      <c r="R791" s="1">
        <v>31328148</v>
      </c>
      <c r="S791" s="1">
        <v>41051</v>
      </c>
      <c r="T791" s="1">
        <v>41051</v>
      </c>
      <c r="U791" s="1">
        <v>6059</v>
      </c>
      <c r="V791" s="1">
        <v>1</v>
      </c>
      <c r="W791" s="1">
        <v>0</v>
      </c>
    </row>
    <row r="792">
      <c r="A792" s="1">
        <v>2021</v>
      </c>
      <c r="B792" s="1">
        <v>41</v>
      </c>
      <c r="C792" t="s">
        <v>3</v>
      </c>
      <c r="D792" s="1">
        <v>51</v>
      </c>
      <c r="E792" t="s">
        <v>6</v>
      </c>
      <c r="F792" s="1">
        <v>6</v>
      </c>
      <c r="G792" t="s">
        <v>11</v>
      </c>
      <c r="H792" s="1">
        <v>61</v>
      </c>
      <c r="I792" t="s">
        <v>65</v>
      </c>
      <c r="J792" s="1">
        <v>46</v>
      </c>
      <c r="K792" s="1">
        <v>63</v>
      </c>
      <c r="L792" s="1">
        <v>2615</v>
      </c>
      <c r="M792" s="1">
        <v>35329</v>
      </c>
      <c r="N792" s="1">
        <v>55311</v>
      </c>
      <c r="O792" s="1">
        <v>3098215</v>
      </c>
      <c r="P792" s="1">
        <v>351693</v>
      </c>
      <c r="Q792" s="1">
        <v>611447</v>
      </c>
      <c r="R792" s="1">
        <v>31328148</v>
      </c>
      <c r="S792" s="1">
        <v>41051</v>
      </c>
      <c r="T792" s="1">
        <v>41051</v>
      </c>
      <c r="U792" s="1">
        <v>6061</v>
      </c>
      <c r="V792" s="1">
        <v>1</v>
      </c>
      <c r="W792" s="1">
        <v>0</v>
      </c>
    </row>
    <row r="793">
      <c r="A793" s="1">
        <v>2021</v>
      </c>
      <c r="B793" s="1">
        <v>41</v>
      </c>
      <c r="C793" t="s">
        <v>3</v>
      </c>
      <c r="D793" s="1">
        <v>51</v>
      </c>
      <c r="E793" t="s">
        <v>6</v>
      </c>
      <c r="F793" s="1">
        <v>6</v>
      </c>
      <c r="G793" t="s">
        <v>11</v>
      </c>
      <c r="H793" s="1">
        <v>65</v>
      </c>
      <c r="I793" t="s">
        <v>66</v>
      </c>
      <c r="J793" s="1">
        <v>150</v>
      </c>
      <c r="K793" s="1">
        <v>215</v>
      </c>
      <c r="L793" s="1">
        <v>22181</v>
      </c>
      <c r="M793" s="1">
        <v>35329</v>
      </c>
      <c r="N793" s="1">
        <v>55311</v>
      </c>
      <c r="O793" s="1">
        <v>3098215</v>
      </c>
      <c r="P793" s="1">
        <v>351693</v>
      </c>
      <c r="Q793" s="1">
        <v>611447</v>
      </c>
      <c r="R793" s="1">
        <v>31328148</v>
      </c>
      <c r="S793" s="1">
        <v>41051</v>
      </c>
      <c r="T793" s="1">
        <v>41051</v>
      </c>
      <c r="U793" s="1">
        <v>6065</v>
      </c>
      <c r="V793" s="1">
        <v>1</v>
      </c>
      <c r="W793" s="1">
        <v>0</v>
      </c>
    </row>
    <row r="794">
      <c r="A794" s="1">
        <v>2021</v>
      </c>
      <c r="B794" s="1">
        <v>41</v>
      </c>
      <c r="C794" t="s">
        <v>3</v>
      </c>
      <c r="D794" s="1">
        <v>51</v>
      </c>
      <c r="E794" t="s">
        <v>6</v>
      </c>
      <c r="F794" s="1">
        <v>6</v>
      </c>
      <c r="G794" t="s">
        <v>11</v>
      </c>
      <c r="H794" s="1">
        <v>67</v>
      </c>
      <c r="I794" t="s">
        <v>67</v>
      </c>
      <c r="J794" s="1">
        <v>122</v>
      </c>
      <c r="K794" s="1">
        <v>193</v>
      </c>
      <c r="L794" s="1">
        <v>8407</v>
      </c>
      <c r="M794" s="1">
        <v>35329</v>
      </c>
      <c r="N794" s="1">
        <v>55311</v>
      </c>
      <c r="O794" s="1">
        <v>3098215</v>
      </c>
      <c r="P794" s="1">
        <v>351693</v>
      </c>
      <c r="Q794" s="1">
        <v>611447</v>
      </c>
      <c r="R794" s="1">
        <v>31328148</v>
      </c>
      <c r="S794" s="1">
        <v>41051</v>
      </c>
      <c r="T794" s="1">
        <v>41051</v>
      </c>
      <c r="U794" s="1">
        <v>6067</v>
      </c>
      <c r="V794" s="1">
        <v>1</v>
      </c>
      <c r="W794" s="1">
        <v>0</v>
      </c>
    </row>
    <row r="795">
      <c r="A795" s="1">
        <v>2021</v>
      </c>
      <c r="B795" s="1">
        <v>41</v>
      </c>
      <c r="C795" t="s">
        <v>3</v>
      </c>
      <c r="D795" s="1">
        <v>51</v>
      </c>
      <c r="E795" t="s">
        <v>6</v>
      </c>
      <c r="F795" s="1">
        <v>6</v>
      </c>
      <c r="G795" t="s">
        <v>11</v>
      </c>
      <c r="H795" s="1">
        <v>71</v>
      </c>
      <c r="I795" t="s">
        <v>68</v>
      </c>
      <c r="J795" s="1">
        <v>68</v>
      </c>
      <c r="K795" s="1">
        <v>86</v>
      </c>
      <c r="L795" s="1">
        <v>3427</v>
      </c>
      <c r="M795" s="1">
        <v>35329</v>
      </c>
      <c r="N795" s="1">
        <v>55311</v>
      </c>
      <c r="O795" s="1">
        <v>3098215</v>
      </c>
      <c r="P795" s="1">
        <v>351693</v>
      </c>
      <c r="Q795" s="1">
        <v>611447</v>
      </c>
      <c r="R795" s="1">
        <v>31328148</v>
      </c>
      <c r="S795" s="1">
        <v>41051</v>
      </c>
      <c r="T795" s="1">
        <v>41051</v>
      </c>
      <c r="U795" s="1">
        <v>6071</v>
      </c>
      <c r="V795" s="1">
        <v>1</v>
      </c>
      <c r="W795" s="1">
        <v>0</v>
      </c>
    </row>
    <row r="796">
      <c r="A796" s="1">
        <v>2021</v>
      </c>
      <c r="B796" s="1">
        <v>41</v>
      </c>
      <c r="C796" t="s">
        <v>3</v>
      </c>
      <c r="D796" s="1">
        <v>51</v>
      </c>
      <c r="E796" t="s">
        <v>6</v>
      </c>
      <c r="F796" s="1">
        <v>6</v>
      </c>
      <c r="G796" t="s">
        <v>11</v>
      </c>
      <c r="H796" s="1">
        <v>73</v>
      </c>
      <c r="I796" t="s">
        <v>69</v>
      </c>
      <c r="J796" s="1">
        <v>364</v>
      </c>
      <c r="K796" s="1">
        <v>479</v>
      </c>
      <c r="L796" s="1">
        <v>24109</v>
      </c>
      <c r="M796" s="1">
        <v>35329</v>
      </c>
      <c r="N796" s="1">
        <v>55311</v>
      </c>
      <c r="O796" s="1">
        <v>3098215</v>
      </c>
      <c r="P796" s="1">
        <v>351693</v>
      </c>
      <c r="Q796" s="1">
        <v>611447</v>
      </c>
      <c r="R796" s="1">
        <v>31328148</v>
      </c>
      <c r="S796" s="1">
        <v>41051</v>
      </c>
      <c r="T796" s="1">
        <v>41051</v>
      </c>
      <c r="U796" s="1">
        <v>6073</v>
      </c>
      <c r="V796" s="1">
        <v>1</v>
      </c>
      <c r="W796" s="1">
        <v>0</v>
      </c>
    </row>
    <row r="797">
      <c r="A797" s="1">
        <v>2021</v>
      </c>
      <c r="B797" s="1">
        <v>41</v>
      </c>
      <c r="C797" t="s">
        <v>3</v>
      </c>
      <c r="D797" s="1">
        <v>51</v>
      </c>
      <c r="E797" t="s">
        <v>6</v>
      </c>
      <c r="F797" s="1">
        <v>6</v>
      </c>
      <c r="G797" t="s">
        <v>11</v>
      </c>
      <c r="H797" s="1">
        <v>75</v>
      </c>
      <c r="I797" t="s">
        <v>70</v>
      </c>
      <c r="J797" s="1">
        <v>184</v>
      </c>
      <c r="K797" s="1">
        <v>222</v>
      </c>
      <c r="L797" s="1">
        <v>21421</v>
      </c>
      <c r="M797" s="1">
        <v>35329</v>
      </c>
      <c r="N797" s="1">
        <v>55311</v>
      </c>
      <c r="O797" s="1">
        <v>3098215</v>
      </c>
      <c r="P797" s="1">
        <v>351693</v>
      </c>
      <c r="Q797" s="1">
        <v>611447</v>
      </c>
      <c r="R797" s="1">
        <v>31328148</v>
      </c>
      <c r="S797" s="1">
        <v>41051</v>
      </c>
      <c r="T797" s="1">
        <v>41051</v>
      </c>
      <c r="U797" s="1">
        <v>6075</v>
      </c>
      <c r="V797" s="1">
        <v>1</v>
      </c>
      <c r="W797" s="1">
        <v>0</v>
      </c>
    </row>
    <row r="798">
      <c r="A798" s="1">
        <v>2021</v>
      </c>
      <c r="B798" s="1">
        <v>41</v>
      </c>
      <c r="C798" t="s">
        <v>3</v>
      </c>
      <c r="D798" s="1">
        <v>51</v>
      </c>
      <c r="E798" t="s">
        <v>6</v>
      </c>
      <c r="F798" s="1">
        <v>6</v>
      </c>
      <c r="G798" t="s">
        <v>11</v>
      </c>
      <c r="H798" s="1">
        <v>77</v>
      </c>
      <c r="I798" t="s">
        <v>179</v>
      </c>
      <c r="J798" s="1">
        <v>21</v>
      </c>
      <c r="K798" s="1">
        <v>28</v>
      </c>
      <c r="L798" s="1">
        <v>1144</v>
      </c>
      <c r="M798" s="1">
        <v>35329</v>
      </c>
      <c r="N798" s="1">
        <v>55311</v>
      </c>
      <c r="O798" s="1">
        <v>3098215</v>
      </c>
      <c r="P798" s="1">
        <v>351693</v>
      </c>
      <c r="Q798" s="1">
        <v>611447</v>
      </c>
      <c r="R798" s="1">
        <v>31328148</v>
      </c>
      <c r="S798" s="1">
        <v>41051</v>
      </c>
      <c r="T798" s="1">
        <v>41051</v>
      </c>
      <c r="U798" s="1">
        <v>6077</v>
      </c>
      <c r="V798" s="1">
        <v>1</v>
      </c>
      <c r="W798" s="1">
        <v>0</v>
      </c>
    </row>
    <row r="799">
      <c r="A799" s="1">
        <v>2021</v>
      </c>
      <c r="B799" s="1">
        <v>41</v>
      </c>
      <c r="C799" t="s">
        <v>3</v>
      </c>
      <c r="D799" s="1">
        <v>51</v>
      </c>
      <c r="E799" t="s">
        <v>6</v>
      </c>
      <c r="F799" s="1">
        <v>6</v>
      </c>
      <c r="G799" t="s">
        <v>11</v>
      </c>
      <c r="H799" s="1">
        <v>79</v>
      </c>
      <c r="I799" t="s">
        <v>71</v>
      </c>
      <c r="J799" s="1">
        <v>48</v>
      </c>
      <c r="K799" s="1">
        <v>78</v>
      </c>
      <c r="L799" s="1">
        <v>3929</v>
      </c>
      <c r="M799" s="1">
        <v>35329</v>
      </c>
      <c r="N799" s="1">
        <v>55311</v>
      </c>
      <c r="O799" s="1">
        <v>3098215</v>
      </c>
      <c r="P799" s="1">
        <v>351693</v>
      </c>
      <c r="Q799" s="1">
        <v>611447</v>
      </c>
      <c r="R799" s="1">
        <v>31328148</v>
      </c>
      <c r="S799" s="1">
        <v>41051</v>
      </c>
      <c r="T799" s="1">
        <v>41051</v>
      </c>
      <c r="U799" s="1">
        <v>6079</v>
      </c>
      <c r="V799" s="1">
        <v>1</v>
      </c>
      <c r="W799" s="1">
        <v>0</v>
      </c>
    </row>
    <row r="800">
      <c r="A800" s="1">
        <v>2021</v>
      </c>
      <c r="B800" s="1">
        <v>41</v>
      </c>
      <c r="C800" t="s">
        <v>3</v>
      </c>
      <c r="D800" s="1">
        <v>51</v>
      </c>
      <c r="E800" t="s">
        <v>6</v>
      </c>
      <c r="F800" s="1">
        <v>6</v>
      </c>
      <c r="G800" t="s">
        <v>11</v>
      </c>
      <c r="H800" s="1">
        <v>81</v>
      </c>
      <c r="I800" t="s">
        <v>72</v>
      </c>
      <c r="J800" s="1">
        <v>55</v>
      </c>
      <c r="K800" s="1">
        <v>68</v>
      </c>
      <c r="L800" s="1">
        <v>5481</v>
      </c>
      <c r="M800" s="1">
        <v>35329</v>
      </c>
      <c r="N800" s="1">
        <v>55311</v>
      </c>
      <c r="O800" s="1">
        <v>3098215</v>
      </c>
      <c r="P800" s="1">
        <v>351693</v>
      </c>
      <c r="Q800" s="1">
        <v>611447</v>
      </c>
      <c r="R800" s="1">
        <v>31328148</v>
      </c>
      <c r="S800" s="1">
        <v>41051</v>
      </c>
      <c r="T800" s="1">
        <v>41051</v>
      </c>
      <c r="U800" s="1">
        <v>6081</v>
      </c>
      <c r="V800" s="1">
        <v>1</v>
      </c>
      <c r="W800" s="1">
        <v>0</v>
      </c>
    </row>
    <row r="801">
      <c r="A801" s="1">
        <v>2021</v>
      </c>
      <c r="B801" s="1">
        <v>41</v>
      </c>
      <c r="C801" t="s">
        <v>3</v>
      </c>
      <c r="D801" s="1">
        <v>51</v>
      </c>
      <c r="E801" t="s">
        <v>6</v>
      </c>
      <c r="F801" s="1">
        <v>6</v>
      </c>
      <c r="G801" t="s">
        <v>11</v>
      </c>
      <c r="H801" s="1">
        <v>83</v>
      </c>
      <c r="I801" t="s">
        <v>73</v>
      </c>
      <c r="J801" s="1">
        <v>53</v>
      </c>
      <c r="K801" s="1">
        <v>71</v>
      </c>
      <c r="L801" s="1">
        <v>4340</v>
      </c>
      <c r="M801" s="1">
        <v>35329</v>
      </c>
      <c r="N801" s="1">
        <v>55311</v>
      </c>
      <c r="O801" s="1">
        <v>3098215</v>
      </c>
      <c r="P801" s="1">
        <v>351693</v>
      </c>
      <c r="Q801" s="1">
        <v>611447</v>
      </c>
      <c r="R801" s="1">
        <v>31328148</v>
      </c>
      <c r="S801" s="1">
        <v>41051</v>
      </c>
      <c r="T801" s="1">
        <v>41051</v>
      </c>
      <c r="U801" s="1">
        <v>6083</v>
      </c>
      <c r="V801" s="1">
        <v>1</v>
      </c>
      <c r="W801" s="1">
        <v>0</v>
      </c>
    </row>
    <row r="802">
      <c r="A802" s="1">
        <v>2021</v>
      </c>
      <c r="B802" s="1">
        <v>41</v>
      </c>
      <c r="C802" t="s">
        <v>3</v>
      </c>
      <c r="D802" s="1">
        <v>51</v>
      </c>
      <c r="E802" t="s">
        <v>6</v>
      </c>
      <c r="F802" s="1">
        <v>6</v>
      </c>
      <c r="G802" t="s">
        <v>11</v>
      </c>
      <c r="H802" s="1">
        <v>85</v>
      </c>
      <c r="I802" t="s">
        <v>74</v>
      </c>
      <c r="J802" s="1">
        <v>161</v>
      </c>
      <c r="K802" s="1">
        <v>205</v>
      </c>
      <c r="L802" s="1">
        <v>16844</v>
      </c>
      <c r="M802" s="1">
        <v>35329</v>
      </c>
      <c r="N802" s="1">
        <v>55311</v>
      </c>
      <c r="O802" s="1">
        <v>3098215</v>
      </c>
      <c r="P802" s="1">
        <v>351693</v>
      </c>
      <c r="Q802" s="1">
        <v>611447</v>
      </c>
      <c r="R802" s="1">
        <v>31328148</v>
      </c>
      <c r="S802" s="1">
        <v>41051</v>
      </c>
      <c r="T802" s="1">
        <v>41051</v>
      </c>
      <c r="U802" s="1">
        <v>6085</v>
      </c>
      <c r="V802" s="1">
        <v>1</v>
      </c>
      <c r="W802" s="1">
        <v>0</v>
      </c>
    </row>
    <row r="803">
      <c r="A803" s="1">
        <v>2021</v>
      </c>
      <c r="B803" s="1">
        <v>41</v>
      </c>
      <c r="C803" t="s">
        <v>3</v>
      </c>
      <c r="D803" s="1">
        <v>51</v>
      </c>
      <c r="E803" t="s">
        <v>6</v>
      </c>
      <c r="F803" s="1">
        <v>6</v>
      </c>
      <c r="G803" t="s">
        <v>11</v>
      </c>
      <c r="H803" s="1">
        <v>87</v>
      </c>
      <c r="I803" t="s">
        <v>75</v>
      </c>
      <c r="J803" s="1">
        <v>36</v>
      </c>
      <c r="K803" s="1">
        <v>48</v>
      </c>
      <c r="L803" s="1">
        <v>2437</v>
      </c>
      <c r="M803" s="1">
        <v>35329</v>
      </c>
      <c r="N803" s="1">
        <v>55311</v>
      </c>
      <c r="O803" s="1">
        <v>3098215</v>
      </c>
      <c r="P803" s="1">
        <v>351693</v>
      </c>
      <c r="Q803" s="1">
        <v>611447</v>
      </c>
      <c r="R803" s="1">
        <v>31328148</v>
      </c>
      <c r="S803" s="1">
        <v>41051</v>
      </c>
      <c r="T803" s="1">
        <v>41051</v>
      </c>
      <c r="U803" s="1">
        <v>6087</v>
      </c>
      <c r="V803" s="1">
        <v>1</v>
      </c>
      <c r="W803" s="1">
        <v>0</v>
      </c>
    </row>
    <row r="804">
      <c r="A804" s="1">
        <v>2021</v>
      </c>
      <c r="B804" s="1">
        <v>41</v>
      </c>
      <c r="C804" t="s">
        <v>3</v>
      </c>
      <c r="D804" s="1">
        <v>51</v>
      </c>
      <c r="E804" t="s">
        <v>6</v>
      </c>
      <c r="F804" s="1">
        <v>6</v>
      </c>
      <c r="G804" t="s">
        <v>11</v>
      </c>
      <c r="H804" s="1">
        <v>89</v>
      </c>
      <c r="I804" t="s">
        <v>76</v>
      </c>
      <c r="J804" s="1">
        <v>32</v>
      </c>
      <c r="K804" s="1">
        <v>38</v>
      </c>
      <c r="L804" s="1">
        <v>1703</v>
      </c>
      <c r="M804" s="1">
        <v>35329</v>
      </c>
      <c r="N804" s="1">
        <v>55311</v>
      </c>
      <c r="O804" s="1">
        <v>3098215</v>
      </c>
      <c r="P804" s="1">
        <v>351693</v>
      </c>
      <c r="Q804" s="1">
        <v>611447</v>
      </c>
      <c r="R804" s="1">
        <v>31328148</v>
      </c>
      <c r="S804" s="1">
        <v>41051</v>
      </c>
      <c r="T804" s="1">
        <v>41051</v>
      </c>
      <c r="U804" s="1">
        <v>6089</v>
      </c>
      <c r="V804" s="1">
        <v>1</v>
      </c>
      <c r="W804" s="1">
        <v>0</v>
      </c>
    </row>
    <row r="805">
      <c r="A805" s="1">
        <v>2021</v>
      </c>
      <c r="B805" s="1">
        <v>41</v>
      </c>
      <c r="C805" t="s">
        <v>3</v>
      </c>
      <c r="D805" s="1">
        <v>51</v>
      </c>
      <c r="E805" t="s">
        <v>6</v>
      </c>
      <c r="F805" s="1">
        <v>6</v>
      </c>
      <c r="G805" t="s">
        <v>11</v>
      </c>
      <c r="H805" s="1">
        <v>95</v>
      </c>
      <c r="I805" t="s">
        <v>180</v>
      </c>
      <c r="J805" s="1">
        <v>24</v>
      </c>
      <c r="K805" s="1">
        <v>40</v>
      </c>
      <c r="L805" s="1">
        <v>1317</v>
      </c>
      <c r="M805" s="1">
        <v>35329</v>
      </c>
      <c r="N805" s="1">
        <v>55311</v>
      </c>
      <c r="O805" s="1">
        <v>3098215</v>
      </c>
      <c r="P805" s="1">
        <v>351693</v>
      </c>
      <c r="Q805" s="1">
        <v>611447</v>
      </c>
      <c r="R805" s="1">
        <v>31328148</v>
      </c>
      <c r="S805" s="1">
        <v>41051</v>
      </c>
      <c r="T805" s="1">
        <v>41051</v>
      </c>
      <c r="U805" s="1">
        <v>6095</v>
      </c>
      <c r="V805" s="1">
        <v>1</v>
      </c>
      <c r="W805" s="1">
        <v>0</v>
      </c>
    </row>
    <row r="806">
      <c r="A806" s="1">
        <v>2021</v>
      </c>
      <c r="B806" s="1">
        <v>41</v>
      </c>
      <c r="C806" t="s">
        <v>3</v>
      </c>
      <c r="D806" s="1">
        <v>51</v>
      </c>
      <c r="E806" t="s">
        <v>6</v>
      </c>
      <c r="F806" s="1">
        <v>6</v>
      </c>
      <c r="G806" t="s">
        <v>11</v>
      </c>
      <c r="H806" s="1">
        <v>97</v>
      </c>
      <c r="I806" t="s">
        <v>77</v>
      </c>
      <c r="J806" s="1">
        <v>58</v>
      </c>
      <c r="K806" s="1">
        <v>84</v>
      </c>
      <c r="L806" s="1">
        <v>4646</v>
      </c>
      <c r="M806" s="1">
        <v>35329</v>
      </c>
      <c r="N806" s="1">
        <v>55311</v>
      </c>
      <c r="O806" s="1">
        <v>3098215</v>
      </c>
      <c r="P806" s="1">
        <v>351693</v>
      </c>
      <c r="Q806" s="1">
        <v>611447</v>
      </c>
      <c r="R806" s="1">
        <v>31328148</v>
      </c>
      <c r="S806" s="1">
        <v>41051</v>
      </c>
      <c r="T806" s="1">
        <v>41051</v>
      </c>
      <c r="U806" s="1">
        <v>6097</v>
      </c>
      <c r="V806" s="1">
        <v>1</v>
      </c>
      <c r="W806" s="1">
        <v>0</v>
      </c>
    </row>
    <row r="807">
      <c r="A807" s="1">
        <v>2021</v>
      </c>
      <c r="B807" s="1">
        <v>41</v>
      </c>
      <c r="C807" t="s">
        <v>3</v>
      </c>
      <c r="D807" s="1">
        <v>51</v>
      </c>
      <c r="E807" t="s">
        <v>6</v>
      </c>
      <c r="F807" s="1">
        <v>6</v>
      </c>
      <c r="G807" t="s">
        <v>11</v>
      </c>
      <c r="H807" s="1">
        <v>111</v>
      </c>
      <c r="I807" t="s">
        <v>78</v>
      </c>
      <c r="J807" s="1">
        <v>57</v>
      </c>
      <c r="K807" s="1">
        <v>72</v>
      </c>
      <c r="L807" s="1">
        <v>4293</v>
      </c>
      <c r="M807" s="1">
        <v>35329</v>
      </c>
      <c r="N807" s="1">
        <v>55311</v>
      </c>
      <c r="O807" s="1">
        <v>3098215</v>
      </c>
      <c r="P807" s="1">
        <v>351693</v>
      </c>
      <c r="Q807" s="1">
        <v>611447</v>
      </c>
      <c r="R807" s="1">
        <v>31328148</v>
      </c>
      <c r="S807" s="1">
        <v>41051</v>
      </c>
      <c r="T807" s="1">
        <v>41051</v>
      </c>
      <c r="U807" s="1">
        <v>6111</v>
      </c>
      <c r="V807" s="1">
        <v>1</v>
      </c>
      <c r="W807" s="1">
        <v>0</v>
      </c>
    </row>
    <row r="808">
      <c r="A808" s="1">
        <v>2021</v>
      </c>
      <c r="B808" s="1">
        <v>41</v>
      </c>
      <c r="C808" t="s">
        <v>3</v>
      </c>
      <c r="D808" s="1">
        <v>51</v>
      </c>
      <c r="E808" t="s">
        <v>6</v>
      </c>
      <c r="F808" s="1">
        <v>6</v>
      </c>
      <c r="G808" t="s">
        <v>11</v>
      </c>
      <c r="H808" s="1">
        <v>113</v>
      </c>
      <c r="I808" t="s">
        <v>181</v>
      </c>
      <c r="J808" s="1">
        <v>22</v>
      </c>
      <c r="K808" s="1">
        <v>29</v>
      </c>
      <c r="L808" s="1">
        <v>1520</v>
      </c>
      <c r="M808" s="1">
        <v>35329</v>
      </c>
      <c r="N808" s="1">
        <v>55311</v>
      </c>
      <c r="O808" s="1">
        <v>3098215</v>
      </c>
      <c r="P808" s="1">
        <v>351693</v>
      </c>
      <c r="Q808" s="1">
        <v>611447</v>
      </c>
      <c r="R808" s="1">
        <v>31328148</v>
      </c>
      <c r="S808" s="1">
        <v>41051</v>
      </c>
      <c r="T808" s="1">
        <v>41051</v>
      </c>
      <c r="U808" s="1">
        <v>6113</v>
      </c>
      <c r="V808" s="1">
        <v>1</v>
      </c>
      <c r="W808" s="1">
        <v>0</v>
      </c>
    </row>
    <row r="809">
      <c r="A809" s="1">
        <v>2021</v>
      </c>
      <c r="B809" s="1">
        <v>41</v>
      </c>
      <c r="C809" t="s">
        <v>3</v>
      </c>
      <c r="D809" s="1">
        <v>51</v>
      </c>
      <c r="E809" t="s">
        <v>6</v>
      </c>
      <c r="F809" s="1">
        <v>8</v>
      </c>
      <c r="G809" t="s">
        <v>12</v>
      </c>
      <c r="H809" s="1">
        <v>5</v>
      </c>
      <c r="I809" t="s">
        <v>79</v>
      </c>
      <c r="J809" s="1">
        <v>58</v>
      </c>
      <c r="K809" s="1">
        <v>87</v>
      </c>
      <c r="L809" s="1">
        <v>4114</v>
      </c>
      <c r="M809" s="1">
        <v>35329</v>
      </c>
      <c r="N809" s="1">
        <v>55311</v>
      </c>
      <c r="O809" s="1">
        <v>3098215</v>
      </c>
      <c r="P809" s="1">
        <v>351693</v>
      </c>
      <c r="Q809" s="1">
        <v>611447</v>
      </c>
      <c r="R809" s="1">
        <v>31328148</v>
      </c>
      <c r="S809" s="1">
        <v>41051</v>
      </c>
      <c r="T809" s="1">
        <v>41051</v>
      </c>
      <c r="U809" s="1">
        <v>8005</v>
      </c>
      <c r="V809" s="1">
        <v>1</v>
      </c>
      <c r="W809" s="1">
        <v>0</v>
      </c>
    </row>
    <row r="810">
      <c r="A810" s="1">
        <v>2021</v>
      </c>
      <c r="B810" s="1">
        <v>41</v>
      </c>
      <c r="C810" t="s">
        <v>3</v>
      </c>
      <c r="D810" s="1">
        <v>51</v>
      </c>
      <c r="E810" t="s">
        <v>6</v>
      </c>
      <c r="F810" s="1">
        <v>8</v>
      </c>
      <c r="G810" t="s">
        <v>12</v>
      </c>
      <c r="H810" s="1">
        <v>13</v>
      </c>
      <c r="I810" t="s">
        <v>80</v>
      </c>
      <c r="J810" s="1">
        <v>100</v>
      </c>
      <c r="K810" s="1">
        <v>128</v>
      </c>
      <c r="L810" s="1">
        <v>6915</v>
      </c>
      <c r="M810" s="1">
        <v>35329</v>
      </c>
      <c r="N810" s="1">
        <v>55311</v>
      </c>
      <c r="O810" s="1">
        <v>3098215</v>
      </c>
      <c r="P810" s="1">
        <v>351693</v>
      </c>
      <c r="Q810" s="1">
        <v>611447</v>
      </c>
      <c r="R810" s="1">
        <v>31328148</v>
      </c>
      <c r="S810" s="1">
        <v>41051</v>
      </c>
      <c r="T810" s="1">
        <v>41051</v>
      </c>
      <c r="U810" s="1">
        <v>8013</v>
      </c>
      <c r="V810" s="1">
        <v>1</v>
      </c>
      <c r="W810" s="1">
        <v>0</v>
      </c>
    </row>
    <row r="811">
      <c r="A811" s="1">
        <v>2021</v>
      </c>
      <c r="B811" s="1">
        <v>41</v>
      </c>
      <c r="C811" t="s">
        <v>3</v>
      </c>
      <c r="D811" s="1">
        <v>51</v>
      </c>
      <c r="E811" t="s">
        <v>6</v>
      </c>
      <c r="F811" s="1">
        <v>8</v>
      </c>
      <c r="G811" t="s">
        <v>12</v>
      </c>
      <c r="H811" s="1">
        <v>31</v>
      </c>
      <c r="I811" t="s">
        <v>81</v>
      </c>
      <c r="J811" s="1">
        <v>175</v>
      </c>
      <c r="K811" s="1">
        <v>217</v>
      </c>
      <c r="L811" s="1">
        <v>11372</v>
      </c>
      <c r="M811" s="1">
        <v>35329</v>
      </c>
      <c r="N811" s="1">
        <v>55311</v>
      </c>
      <c r="O811" s="1">
        <v>3098215</v>
      </c>
      <c r="P811" s="1">
        <v>351693</v>
      </c>
      <c r="Q811" s="1">
        <v>611447</v>
      </c>
      <c r="R811" s="1">
        <v>31328148</v>
      </c>
      <c r="S811" s="1">
        <v>41051</v>
      </c>
      <c r="T811" s="1">
        <v>41051</v>
      </c>
      <c r="U811" s="1">
        <v>8031</v>
      </c>
      <c r="V811" s="1">
        <v>1</v>
      </c>
      <c r="W811" s="1">
        <v>0</v>
      </c>
    </row>
    <row r="812">
      <c r="A812" s="1">
        <v>2021</v>
      </c>
      <c r="B812" s="1">
        <v>41</v>
      </c>
      <c r="C812" t="s">
        <v>3</v>
      </c>
      <c r="D812" s="1">
        <v>51</v>
      </c>
      <c r="E812" t="s">
        <v>6</v>
      </c>
      <c r="F812" s="1">
        <v>8</v>
      </c>
      <c r="G812" t="s">
        <v>12</v>
      </c>
      <c r="H812" s="1">
        <v>41</v>
      </c>
      <c r="I812" t="s">
        <v>82</v>
      </c>
      <c r="J812" s="1">
        <v>49</v>
      </c>
      <c r="K812" s="1">
        <v>71</v>
      </c>
      <c r="L812" s="1">
        <v>2278</v>
      </c>
      <c r="M812" s="1">
        <v>35329</v>
      </c>
      <c r="N812" s="1">
        <v>55311</v>
      </c>
      <c r="O812" s="1">
        <v>3098215</v>
      </c>
      <c r="P812" s="1">
        <v>351693</v>
      </c>
      <c r="Q812" s="1">
        <v>611447</v>
      </c>
      <c r="R812" s="1">
        <v>31328148</v>
      </c>
      <c r="S812" s="1">
        <v>41051</v>
      </c>
      <c r="T812" s="1">
        <v>41051</v>
      </c>
      <c r="U812" s="1">
        <v>8041</v>
      </c>
      <c r="V812" s="1">
        <v>1</v>
      </c>
      <c r="W812" s="1">
        <v>0</v>
      </c>
    </row>
    <row r="813">
      <c r="A813" s="1">
        <v>2021</v>
      </c>
      <c r="B813" s="1">
        <v>41</v>
      </c>
      <c r="C813" t="s">
        <v>3</v>
      </c>
      <c r="D813" s="1">
        <v>51</v>
      </c>
      <c r="E813" t="s">
        <v>6</v>
      </c>
      <c r="F813" s="1">
        <v>8</v>
      </c>
      <c r="G813" t="s">
        <v>12</v>
      </c>
      <c r="H813" s="1">
        <v>59</v>
      </c>
      <c r="I813" t="s">
        <v>83</v>
      </c>
      <c r="J813" s="1">
        <v>50</v>
      </c>
      <c r="K813" s="1">
        <v>68</v>
      </c>
      <c r="L813" s="1">
        <v>4470</v>
      </c>
      <c r="M813" s="1">
        <v>35329</v>
      </c>
      <c r="N813" s="1">
        <v>55311</v>
      </c>
      <c r="O813" s="1">
        <v>3098215</v>
      </c>
      <c r="P813" s="1">
        <v>351693</v>
      </c>
      <c r="Q813" s="1">
        <v>611447</v>
      </c>
      <c r="R813" s="1">
        <v>31328148</v>
      </c>
      <c r="S813" s="1">
        <v>41051</v>
      </c>
      <c r="T813" s="1">
        <v>41051</v>
      </c>
      <c r="U813" s="1">
        <v>8059</v>
      </c>
      <c r="V813" s="1">
        <v>1</v>
      </c>
      <c r="W813" s="1">
        <v>0</v>
      </c>
    </row>
    <row r="814">
      <c r="A814" s="1">
        <v>2021</v>
      </c>
      <c r="B814" s="1">
        <v>41</v>
      </c>
      <c r="C814" t="s">
        <v>3</v>
      </c>
      <c r="D814" s="1">
        <v>51</v>
      </c>
      <c r="E814" t="s">
        <v>6</v>
      </c>
      <c r="F814" s="1">
        <v>8</v>
      </c>
      <c r="G814" t="s">
        <v>12</v>
      </c>
      <c r="H814" s="1">
        <v>69</v>
      </c>
      <c r="I814" t="s">
        <v>84</v>
      </c>
      <c r="J814" s="1">
        <v>35</v>
      </c>
      <c r="K814" s="1">
        <v>47</v>
      </c>
      <c r="L814" s="1">
        <v>1521</v>
      </c>
      <c r="M814" s="1">
        <v>35329</v>
      </c>
      <c r="N814" s="1">
        <v>55311</v>
      </c>
      <c r="O814" s="1">
        <v>3098215</v>
      </c>
      <c r="P814" s="1">
        <v>351693</v>
      </c>
      <c r="Q814" s="1">
        <v>611447</v>
      </c>
      <c r="R814" s="1">
        <v>31328148</v>
      </c>
      <c r="S814" s="1">
        <v>41051</v>
      </c>
      <c r="T814" s="1">
        <v>41051</v>
      </c>
      <c r="U814" s="1">
        <v>8069</v>
      </c>
      <c r="V814" s="1">
        <v>1</v>
      </c>
      <c r="W814" s="1">
        <v>0</v>
      </c>
    </row>
    <row r="815">
      <c r="A815" s="1">
        <v>2021</v>
      </c>
      <c r="B815" s="1">
        <v>41</v>
      </c>
      <c r="C815" t="s">
        <v>3</v>
      </c>
      <c r="D815" s="1">
        <v>51</v>
      </c>
      <c r="E815" t="s">
        <v>6</v>
      </c>
      <c r="F815" s="1">
        <v>9</v>
      </c>
      <c r="G815" t="s">
        <v>13</v>
      </c>
      <c r="H815" s="1">
        <v>1</v>
      </c>
      <c r="I815" t="s">
        <v>241</v>
      </c>
      <c r="J815" s="1">
        <v>25</v>
      </c>
      <c r="K815" s="1">
        <v>46</v>
      </c>
      <c r="L815" s="1">
        <v>3454</v>
      </c>
      <c r="M815" s="1">
        <v>35329</v>
      </c>
      <c r="N815" s="1">
        <v>55311</v>
      </c>
      <c r="O815" s="1">
        <v>3098215</v>
      </c>
      <c r="P815" s="1">
        <v>351693</v>
      </c>
      <c r="Q815" s="1">
        <v>611447</v>
      </c>
      <c r="R815" s="1">
        <v>31328148</v>
      </c>
      <c r="S815" s="1">
        <v>41051</v>
      </c>
      <c r="T815" s="1">
        <v>41051</v>
      </c>
      <c r="U815" s="1">
        <v>9001</v>
      </c>
      <c r="V815" s="1">
        <v>1</v>
      </c>
      <c r="W815" s="1">
        <v>0</v>
      </c>
    </row>
    <row r="816">
      <c r="A816" s="1">
        <v>2021</v>
      </c>
      <c r="B816" s="1">
        <v>41</v>
      </c>
      <c r="C816" t="s">
        <v>3</v>
      </c>
      <c r="D816" s="1">
        <v>51</v>
      </c>
      <c r="E816" t="s">
        <v>6</v>
      </c>
      <c r="F816" s="1">
        <v>9</v>
      </c>
      <c r="G816" t="s">
        <v>13</v>
      </c>
      <c r="H816" s="1">
        <v>9</v>
      </c>
      <c r="I816" t="s">
        <v>85</v>
      </c>
      <c r="J816" s="1">
        <v>30</v>
      </c>
      <c r="K816" s="1">
        <v>42</v>
      </c>
      <c r="L816" s="1">
        <v>1859</v>
      </c>
      <c r="M816" s="1">
        <v>35329</v>
      </c>
      <c r="N816" s="1">
        <v>55311</v>
      </c>
      <c r="O816" s="1">
        <v>3098215</v>
      </c>
      <c r="P816" s="1">
        <v>351693</v>
      </c>
      <c r="Q816" s="1">
        <v>611447</v>
      </c>
      <c r="R816" s="1">
        <v>31328148</v>
      </c>
      <c r="S816" s="1">
        <v>41051</v>
      </c>
      <c r="T816" s="1">
        <v>41051</v>
      </c>
      <c r="U816" s="1">
        <v>9009</v>
      </c>
      <c r="V816" s="1">
        <v>1</v>
      </c>
      <c r="W816" s="1">
        <v>0</v>
      </c>
    </row>
    <row r="817">
      <c r="A817" s="1">
        <v>2021</v>
      </c>
      <c r="B817" s="1">
        <v>41</v>
      </c>
      <c r="C817" t="s">
        <v>3</v>
      </c>
      <c r="D817" s="1">
        <v>51</v>
      </c>
      <c r="E817" t="s">
        <v>6</v>
      </c>
      <c r="F817" s="1">
        <v>11</v>
      </c>
      <c r="G817" t="s">
        <v>14</v>
      </c>
      <c r="H817" s="1">
        <v>1</v>
      </c>
      <c r="I817" t="s">
        <v>14</v>
      </c>
      <c r="J817" s="1">
        <v>83</v>
      </c>
      <c r="K817" s="1">
        <v>108</v>
      </c>
      <c r="L817" s="1">
        <v>6966</v>
      </c>
      <c r="M817" s="1">
        <v>35329</v>
      </c>
      <c r="N817" s="1">
        <v>55311</v>
      </c>
      <c r="O817" s="1">
        <v>3098215</v>
      </c>
      <c r="P817" s="1">
        <v>351693</v>
      </c>
      <c r="Q817" s="1">
        <v>611447</v>
      </c>
      <c r="R817" s="1">
        <v>31328148</v>
      </c>
      <c r="S817" s="1">
        <v>41051</v>
      </c>
      <c r="T817" s="1">
        <v>41051</v>
      </c>
      <c r="U817" s="1">
        <v>11001</v>
      </c>
      <c r="V817" s="1">
        <v>1</v>
      </c>
      <c r="W817" s="1">
        <v>0</v>
      </c>
    </row>
    <row r="818">
      <c r="A818" s="1">
        <v>2021</v>
      </c>
      <c r="B818" s="1">
        <v>41</v>
      </c>
      <c r="C818" t="s">
        <v>3</v>
      </c>
      <c r="D818" s="1">
        <v>51</v>
      </c>
      <c r="E818" t="s">
        <v>6</v>
      </c>
      <c r="F818" s="1">
        <v>12</v>
      </c>
      <c r="G818" t="s">
        <v>15</v>
      </c>
      <c r="H818" s="1">
        <v>11</v>
      </c>
      <c r="I818" t="s">
        <v>183</v>
      </c>
      <c r="J818" s="1">
        <v>41</v>
      </c>
      <c r="K818" s="1">
        <v>56</v>
      </c>
      <c r="L818" s="1">
        <v>2997</v>
      </c>
      <c r="M818" s="1">
        <v>35329</v>
      </c>
      <c r="N818" s="1">
        <v>55311</v>
      </c>
      <c r="O818" s="1">
        <v>3098215</v>
      </c>
      <c r="P818" s="1">
        <v>351693</v>
      </c>
      <c r="Q818" s="1">
        <v>611447</v>
      </c>
      <c r="R818" s="1">
        <v>31328148</v>
      </c>
      <c r="S818" s="1">
        <v>41051</v>
      </c>
      <c r="T818" s="1">
        <v>41051</v>
      </c>
      <c r="U818" s="1">
        <v>12011</v>
      </c>
      <c r="V818" s="1">
        <v>1</v>
      </c>
      <c r="W818" s="1">
        <v>0</v>
      </c>
    </row>
    <row r="819">
      <c r="A819" s="1">
        <v>2021</v>
      </c>
      <c r="B819" s="1">
        <v>41</v>
      </c>
      <c r="C819" t="s">
        <v>3</v>
      </c>
      <c r="D819" s="1">
        <v>51</v>
      </c>
      <c r="E819" t="s">
        <v>6</v>
      </c>
      <c r="F819" s="1">
        <v>12</v>
      </c>
      <c r="G819" t="s">
        <v>15</v>
      </c>
      <c r="H819" s="1">
        <v>31</v>
      </c>
      <c r="I819" t="s">
        <v>184</v>
      </c>
      <c r="J819" s="1">
        <v>42</v>
      </c>
      <c r="K819" s="1">
        <v>104</v>
      </c>
      <c r="L819" s="1">
        <v>3082</v>
      </c>
      <c r="M819" s="1">
        <v>35329</v>
      </c>
      <c r="N819" s="1">
        <v>55311</v>
      </c>
      <c r="O819" s="1">
        <v>3098215</v>
      </c>
      <c r="P819" s="1">
        <v>351693</v>
      </c>
      <c r="Q819" s="1">
        <v>611447</v>
      </c>
      <c r="R819" s="1">
        <v>31328148</v>
      </c>
      <c r="S819" s="1">
        <v>41051</v>
      </c>
      <c r="T819" s="1">
        <v>41051</v>
      </c>
      <c r="U819" s="1">
        <v>12031</v>
      </c>
      <c r="V819" s="1">
        <v>1</v>
      </c>
      <c r="W819" s="1">
        <v>0</v>
      </c>
    </row>
    <row r="820">
      <c r="A820" s="1">
        <v>2021</v>
      </c>
      <c r="B820" s="1">
        <v>41</v>
      </c>
      <c r="C820" t="s">
        <v>3</v>
      </c>
      <c r="D820" s="1">
        <v>51</v>
      </c>
      <c r="E820" t="s">
        <v>6</v>
      </c>
      <c r="F820" s="1">
        <v>12</v>
      </c>
      <c r="G820" t="s">
        <v>15</v>
      </c>
      <c r="H820" s="1">
        <v>57</v>
      </c>
      <c r="I820" t="s">
        <v>86</v>
      </c>
      <c r="J820" s="1">
        <v>63</v>
      </c>
      <c r="K820" s="1">
        <v>106</v>
      </c>
      <c r="L820" s="1">
        <v>4686</v>
      </c>
      <c r="M820" s="1">
        <v>35329</v>
      </c>
      <c r="N820" s="1">
        <v>55311</v>
      </c>
      <c r="O820" s="1">
        <v>3098215</v>
      </c>
      <c r="P820" s="1">
        <v>351693</v>
      </c>
      <c r="Q820" s="1">
        <v>611447</v>
      </c>
      <c r="R820" s="1">
        <v>31328148</v>
      </c>
      <c r="S820" s="1">
        <v>41051</v>
      </c>
      <c r="T820" s="1">
        <v>41051</v>
      </c>
      <c r="U820" s="1">
        <v>12057</v>
      </c>
      <c r="V820" s="1">
        <v>1</v>
      </c>
      <c r="W820" s="1">
        <v>0</v>
      </c>
    </row>
    <row r="821">
      <c r="A821" s="1">
        <v>2021</v>
      </c>
      <c r="B821" s="1">
        <v>41</v>
      </c>
      <c r="C821" t="s">
        <v>3</v>
      </c>
      <c r="D821" s="1">
        <v>51</v>
      </c>
      <c r="E821" t="s">
        <v>6</v>
      </c>
      <c r="F821" s="1">
        <v>12</v>
      </c>
      <c r="G821" t="s">
        <v>15</v>
      </c>
      <c r="H821" s="1">
        <v>71</v>
      </c>
      <c r="I821" t="s">
        <v>226</v>
      </c>
      <c r="J821" s="1">
        <v>26</v>
      </c>
      <c r="K821" s="1">
        <v>54</v>
      </c>
      <c r="L821" s="1">
        <v>1852</v>
      </c>
      <c r="M821" s="1">
        <v>35329</v>
      </c>
      <c r="N821" s="1">
        <v>55311</v>
      </c>
      <c r="O821" s="1">
        <v>3098215</v>
      </c>
      <c r="P821" s="1">
        <v>351693</v>
      </c>
      <c r="Q821" s="1">
        <v>611447</v>
      </c>
      <c r="R821" s="1">
        <v>31328148</v>
      </c>
      <c r="S821" s="1">
        <v>41051</v>
      </c>
      <c r="T821" s="1">
        <v>41051</v>
      </c>
      <c r="U821" s="1">
        <v>12071</v>
      </c>
      <c r="V821" s="1">
        <v>1</v>
      </c>
      <c r="W821" s="1">
        <v>0</v>
      </c>
    </row>
    <row r="822">
      <c r="A822" s="1">
        <v>2021</v>
      </c>
      <c r="B822" s="1">
        <v>41</v>
      </c>
      <c r="C822" t="s">
        <v>3</v>
      </c>
      <c r="D822" s="1">
        <v>51</v>
      </c>
      <c r="E822" t="s">
        <v>6</v>
      </c>
      <c r="F822" s="1">
        <v>12</v>
      </c>
      <c r="G822" t="s">
        <v>15</v>
      </c>
      <c r="H822" s="1">
        <v>81</v>
      </c>
      <c r="I822" t="s">
        <v>242</v>
      </c>
      <c r="J822" s="1">
        <v>21</v>
      </c>
      <c r="K822" s="1">
        <v>43</v>
      </c>
      <c r="L822" s="1">
        <v>2187</v>
      </c>
      <c r="M822" s="1">
        <v>35329</v>
      </c>
      <c r="N822" s="1">
        <v>55311</v>
      </c>
      <c r="O822" s="1">
        <v>3098215</v>
      </c>
      <c r="P822" s="1">
        <v>351693</v>
      </c>
      <c r="Q822" s="1">
        <v>611447</v>
      </c>
      <c r="R822" s="1">
        <v>31328148</v>
      </c>
      <c r="S822" s="1">
        <v>41051</v>
      </c>
      <c r="T822" s="1">
        <v>41051</v>
      </c>
      <c r="U822" s="1">
        <v>12081</v>
      </c>
      <c r="V822" s="1">
        <v>1</v>
      </c>
      <c r="W822" s="1">
        <v>0</v>
      </c>
    </row>
    <row r="823">
      <c r="A823" s="1">
        <v>2021</v>
      </c>
      <c r="B823" s="1">
        <v>41</v>
      </c>
      <c r="C823" t="s">
        <v>3</v>
      </c>
      <c r="D823" s="1">
        <v>51</v>
      </c>
      <c r="E823" t="s">
        <v>6</v>
      </c>
      <c r="F823" s="1">
        <v>12</v>
      </c>
      <c r="G823" t="s">
        <v>15</v>
      </c>
      <c r="H823" s="1">
        <v>86</v>
      </c>
      <c r="I823" t="s">
        <v>87</v>
      </c>
      <c r="J823" s="1">
        <v>51</v>
      </c>
      <c r="K823" s="1">
        <v>81</v>
      </c>
      <c r="L823" s="1">
        <v>4134</v>
      </c>
      <c r="M823" s="1">
        <v>35329</v>
      </c>
      <c r="N823" s="1">
        <v>55311</v>
      </c>
      <c r="O823" s="1">
        <v>3098215</v>
      </c>
      <c r="P823" s="1">
        <v>351693</v>
      </c>
      <c r="Q823" s="1">
        <v>611447</v>
      </c>
      <c r="R823" s="1">
        <v>31328148</v>
      </c>
      <c r="S823" s="1">
        <v>41051</v>
      </c>
      <c r="T823" s="1">
        <v>41051</v>
      </c>
      <c r="U823" s="1">
        <v>12086</v>
      </c>
      <c r="V823" s="1">
        <v>1</v>
      </c>
      <c r="W823" s="1">
        <v>0</v>
      </c>
    </row>
    <row r="824">
      <c r="A824" s="1">
        <v>2021</v>
      </c>
      <c r="B824" s="1">
        <v>41</v>
      </c>
      <c r="C824" t="s">
        <v>3</v>
      </c>
      <c r="D824" s="1">
        <v>51</v>
      </c>
      <c r="E824" t="s">
        <v>6</v>
      </c>
      <c r="F824" s="1">
        <v>12</v>
      </c>
      <c r="G824" t="s">
        <v>15</v>
      </c>
      <c r="H824" s="1">
        <v>95</v>
      </c>
      <c r="I824" t="s">
        <v>64</v>
      </c>
      <c r="J824" s="1">
        <v>45</v>
      </c>
      <c r="K824" s="1">
        <v>81</v>
      </c>
      <c r="L824" s="1">
        <v>3520</v>
      </c>
      <c r="M824" s="1">
        <v>35329</v>
      </c>
      <c r="N824" s="1">
        <v>55311</v>
      </c>
      <c r="O824" s="1">
        <v>3098215</v>
      </c>
      <c r="P824" s="1">
        <v>351693</v>
      </c>
      <c r="Q824" s="1">
        <v>611447</v>
      </c>
      <c r="R824" s="1">
        <v>31328148</v>
      </c>
      <c r="S824" s="1">
        <v>41051</v>
      </c>
      <c r="T824" s="1">
        <v>41051</v>
      </c>
      <c r="U824" s="1">
        <v>12095</v>
      </c>
      <c r="V824" s="1">
        <v>1</v>
      </c>
      <c r="W824" s="1">
        <v>0</v>
      </c>
    </row>
    <row r="825">
      <c r="A825" s="1">
        <v>2021</v>
      </c>
      <c r="B825" s="1">
        <v>41</v>
      </c>
      <c r="C825" t="s">
        <v>3</v>
      </c>
      <c r="D825" s="1">
        <v>51</v>
      </c>
      <c r="E825" t="s">
        <v>6</v>
      </c>
      <c r="F825" s="1">
        <v>12</v>
      </c>
      <c r="G825" t="s">
        <v>15</v>
      </c>
      <c r="H825" s="1">
        <v>99</v>
      </c>
      <c r="I825" t="s">
        <v>88</v>
      </c>
      <c r="J825" s="1">
        <v>45</v>
      </c>
      <c r="K825" s="1">
        <v>76</v>
      </c>
      <c r="L825" s="1">
        <v>3899</v>
      </c>
      <c r="M825" s="1">
        <v>35329</v>
      </c>
      <c r="N825" s="1">
        <v>55311</v>
      </c>
      <c r="O825" s="1">
        <v>3098215</v>
      </c>
      <c r="P825" s="1">
        <v>351693</v>
      </c>
      <c r="Q825" s="1">
        <v>611447</v>
      </c>
      <c r="R825" s="1">
        <v>31328148</v>
      </c>
      <c r="S825" s="1">
        <v>41051</v>
      </c>
      <c r="T825" s="1">
        <v>41051</v>
      </c>
      <c r="U825" s="1">
        <v>12099</v>
      </c>
      <c r="V825" s="1">
        <v>1</v>
      </c>
      <c r="W825" s="1">
        <v>0</v>
      </c>
    </row>
    <row r="826">
      <c r="A826" s="1">
        <v>2021</v>
      </c>
      <c r="B826" s="1">
        <v>41</v>
      </c>
      <c r="C826" t="s">
        <v>3</v>
      </c>
      <c r="D826" s="1">
        <v>51</v>
      </c>
      <c r="E826" t="s">
        <v>6</v>
      </c>
      <c r="F826" s="1">
        <v>12</v>
      </c>
      <c r="G826" t="s">
        <v>15</v>
      </c>
      <c r="H826" s="1">
        <v>103</v>
      </c>
      <c r="I826" t="s">
        <v>89</v>
      </c>
      <c r="J826" s="1">
        <v>47</v>
      </c>
      <c r="K826" s="1">
        <v>65</v>
      </c>
      <c r="L826" s="1">
        <v>3430</v>
      </c>
      <c r="M826" s="1">
        <v>35329</v>
      </c>
      <c r="N826" s="1">
        <v>55311</v>
      </c>
      <c r="O826" s="1">
        <v>3098215</v>
      </c>
      <c r="P826" s="1">
        <v>351693</v>
      </c>
      <c r="Q826" s="1">
        <v>611447</v>
      </c>
      <c r="R826" s="1">
        <v>31328148</v>
      </c>
      <c r="S826" s="1">
        <v>41051</v>
      </c>
      <c r="T826" s="1">
        <v>41051</v>
      </c>
      <c r="U826" s="1">
        <v>12103</v>
      </c>
      <c r="V826" s="1">
        <v>1</v>
      </c>
      <c r="W826" s="1">
        <v>0</v>
      </c>
    </row>
    <row r="827">
      <c r="A827" s="1">
        <v>2021</v>
      </c>
      <c r="B827" s="1">
        <v>41</v>
      </c>
      <c r="C827" t="s">
        <v>3</v>
      </c>
      <c r="D827" s="1">
        <v>51</v>
      </c>
      <c r="E827" t="s">
        <v>6</v>
      </c>
      <c r="F827" s="1">
        <v>12</v>
      </c>
      <c r="G827" t="s">
        <v>15</v>
      </c>
      <c r="H827" s="1">
        <v>115</v>
      </c>
      <c r="I827" t="s">
        <v>231</v>
      </c>
      <c r="J827" s="1">
        <v>42</v>
      </c>
      <c r="K827" s="1">
        <v>78</v>
      </c>
      <c r="L827" s="1">
        <v>3765</v>
      </c>
      <c r="M827" s="1">
        <v>35329</v>
      </c>
      <c r="N827" s="1">
        <v>55311</v>
      </c>
      <c r="O827" s="1">
        <v>3098215</v>
      </c>
      <c r="P827" s="1">
        <v>351693</v>
      </c>
      <c r="Q827" s="1">
        <v>611447</v>
      </c>
      <c r="R827" s="1">
        <v>31328148</v>
      </c>
      <c r="S827" s="1">
        <v>41051</v>
      </c>
      <c r="T827" s="1">
        <v>41051</v>
      </c>
      <c r="U827" s="1">
        <v>12115</v>
      </c>
      <c r="V827" s="1">
        <v>1</v>
      </c>
      <c r="W827" s="1">
        <v>0</v>
      </c>
    </row>
    <row r="828">
      <c r="A828" s="1">
        <v>2021</v>
      </c>
      <c r="B828" s="1">
        <v>41</v>
      </c>
      <c r="C828" t="s">
        <v>3</v>
      </c>
      <c r="D828" s="1">
        <v>51</v>
      </c>
      <c r="E828" t="s">
        <v>6</v>
      </c>
      <c r="F828" s="1">
        <v>13</v>
      </c>
      <c r="G828" t="s">
        <v>16</v>
      </c>
      <c r="H828" s="1">
        <v>67</v>
      </c>
      <c r="I828" t="s">
        <v>243</v>
      </c>
      <c r="J828" s="1">
        <v>22</v>
      </c>
      <c r="K828" s="1">
        <v>37</v>
      </c>
      <c r="L828" s="1">
        <v>2119</v>
      </c>
      <c r="M828" s="1">
        <v>35329</v>
      </c>
      <c r="N828" s="1">
        <v>55311</v>
      </c>
      <c r="O828" s="1">
        <v>3098215</v>
      </c>
      <c r="P828" s="1">
        <v>351693</v>
      </c>
      <c r="Q828" s="1">
        <v>611447</v>
      </c>
      <c r="R828" s="1">
        <v>31328148</v>
      </c>
      <c r="S828" s="1">
        <v>41051</v>
      </c>
      <c r="T828" s="1">
        <v>41051</v>
      </c>
      <c r="U828" s="1">
        <v>13067</v>
      </c>
      <c r="V828" s="1">
        <v>1</v>
      </c>
      <c r="W828" s="1">
        <v>0</v>
      </c>
    </row>
    <row r="829">
      <c r="A829" s="1">
        <v>2021</v>
      </c>
      <c r="B829" s="1">
        <v>41</v>
      </c>
      <c r="C829" t="s">
        <v>3</v>
      </c>
      <c r="D829" s="1">
        <v>51</v>
      </c>
      <c r="E829" t="s">
        <v>6</v>
      </c>
      <c r="F829" s="1">
        <v>13</v>
      </c>
      <c r="G829" t="s">
        <v>16</v>
      </c>
      <c r="H829" s="1">
        <v>89</v>
      </c>
      <c r="I829" t="s">
        <v>90</v>
      </c>
      <c r="J829" s="1">
        <v>27</v>
      </c>
      <c r="K829" s="1">
        <v>40</v>
      </c>
      <c r="L829" s="1">
        <v>2615</v>
      </c>
      <c r="M829" s="1">
        <v>35329</v>
      </c>
      <c r="N829" s="1">
        <v>55311</v>
      </c>
      <c r="O829" s="1">
        <v>3098215</v>
      </c>
      <c r="P829" s="1">
        <v>351693</v>
      </c>
      <c r="Q829" s="1">
        <v>611447</v>
      </c>
      <c r="R829" s="1">
        <v>31328148</v>
      </c>
      <c r="S829" s="1">
        <v>41051</v>
      </c>
      <c r="T829" s="1">
        <v>41051</v>
      </c>
      <c r="U829" s="1">
        <v>13089</v>
      </c>
      <c r="V829" s="1">
        <v>1</v>
      </c>
      <c r="W829" s="1">
        <v>0</v>
      </c>
    </row>
    <row r="830">
      <c r="A830" s="1">
        <v>2021</v>
      </c>
      <c r="B830" s="1">
        <v>41</v>
      </c>
      <c r="C830" t="s">
        <v>3</v>
      </c>
      <c r="D830" s="1">
        <v>51</v>
      </c>
      <c r="E830" t="s">
        <v>6</v>
      </c>
      <c r="F830" s="1">
        <v>13</v>
      </c>
      <c r="G830" t="s">
        <v>16</v>
      </c>
      <c r="H830" s="1">
        <v>121</v>
      </c>
      <c r="I830" t="s">
        <v>91</v>
      </c>
      <c r="J830" s="1">
        <v>58</v>
      </c>
      <c r="K830" s="1">
        <v>71</v>
      </c>
      <c r="L830" s="1">
        <v>3520</v>
      </c>
      <c r="M830" s="1">
        <v>35329</v>
      </c>
      <c r="N830" s="1">
        <v>55311</v>
      </c>
      <c r="O830" s="1">
        <v>3098215</v>
      </c>
      <c r="P830" s="1">
        <v>351693</v>
      </c>
      <c r="Q830" s="1">
        <v>611447</v>
      </c>
      <c r="R830" s="1">
        <v>31328148</v>
      </c>
      <c r="S830" s="1">
        <v>41051</v>
      </c>
      <c r="T830" s="1">
        <v>41051</v>
      </c>
      <c r="U830" s="1">
        <v>13121</v>
      </c>
      <c r="V830" s="1">
        <v>1</v>
      </c>
      <c r="W830" s="1">
        <v>0</v>
      </c>
    </row>
    <row r="831">
      <c r="A831" s="1">
        <v>2021</v>
      </c>
      <c r="B831" s="1">
        <v>41</v>
      </c>
      <c r="C831" t="s">
        <v>3</v>
      </c>
      <c r="D831" s="1">
        <v>51</v>
      </c>
      <c r="E831" t="s">
        <v>6</v>
      </c>
      <c r="F831" s="1">
        <v>15</v>
      </c>
      <c r="G831" t="s">
        <v>17</v>
      </c>
      <c r="H831" s="1">
        <v>1</v>
      </c>
      <c r="I831" t="s">
        <v>92</v>
      </c>
      <c r="J831" s="1">
        <v>71</v>
      </c>
      <c r="K831" s="1">
        <v>110</v>
      </c>
      <c r="L831" s="1">
        <v>3604</v>
      </c>
      <c r="M831" s="1">
        <v>35329</v>
      </c>
      <c r="N831" s="1">
        <v>55311</v>
      </c>
      <c r="O831" s="1">
        <v>3098215</v>
      </c>
      <c r="P831" s="1">
        <v>351693</v>
      </c>
      <c r="Q831" s="1">
        <v>611447</v>
      </c>
      <c r="R831" s="1">
        <v>31328148</v>
      </c>
      <c r="S831" s="1">
        <v>41051</v>
      </c>
      <c r="T831" s="1">
        <v>41051</v>
      </c>
      <c r="U831" s="1">
        <v>15001</v>
      </c>
      <c r="V831" s="1">
        <v>1</v>
      </c>
      <c r="W831" s="1">
        <v>0</v>
      </c>
    </row>
    <row r="832">
      <c r="A832" s="1">
        <v>2021</v>
      </c>
      <c r="B832" s="1">
        <v>41</v>
      </c>
      <c r="C832" t="s">
        <v>3</v>
      </c>
      <c r="D832" s="1">
        <v>51</v>
      </c>
      <c r="E832" t="s">
        <v>6</v>
      </c>
      <c r="F832" s="1">
        <v>15</v>
      </c>
      <c r="G832" t="s">
        <v>17</v>
      </c>
      <c r="H832" s="1">
        <v>3</v>
      </c>
      <c r="I832" t="s">
        <v>93</v>
      </c>
      <c r="J832" s="1">
        <v>106</v>
      </c>
      <c r="K832" s="1">
        <v>150</v>
      </c>
      <c r="L832" s="1">
        <v>5749</v>
      </c>
      <c r="M832" s="1">
        <v>35329</v>
      </c>
      <c r="N832" s="1">
        <v>55311</v>
      </c>
      <c r="O832" s="1">
        <v>3098215</v>
      </c>
      <c r="P832" s="1">
        <v>351693</v>
      </c>
      <c r="Q832" s="1">
        <v>611447</v>
      </c>
      <c r="R832" s="1">
        <v>31328148</v>
      </c>
      <c r="S832" s="1">
        <v>41051</v>
      </c>
      <c r="T832" s="1">
        <v>41051</v>
      </c>
      <c r="U832" s="1">
        <v>15003</v>
      </c>
      <c r="V832" s="1">
        <v>1</v>
      </c>
      <c r="W832" s="1">
        <v>0</v>
      </c>
    </row>
    <row r="833">
      <c r="A833" s="1">
        <v>2021</v>
      </c>
      <c r="B833" s="1">
        <v>41</v>
      </c>
      <c r="C833" t="s">
        <v>3</v>
      </c>
      <c r="D833" s="1">
        <v>51</v>
      </c>
      <c r="E833" t="s">
        <v>6</v>
      </c>
      <c r="F833" s="1">
        <v>15</v>
      </c>
      <c r="G833" t="s">
        <v>17</v>
      </c>
      <c r="H833" s="1">
        <v>9</v>
      </c>
      <c r="I833" t="s">
        <v>94</v>
      </c>
      <c r="J833" s="1">
        <v>44</v>
      </c>
      <c r="K833" s="1">
        <v>67</v>
      </c>
      <c r="L833" s="1">
        <v>3027</v>
      </c>
      <c r="M833" s="1">
        <v>35329</v>
      </c>
      <c r="N833" s="1">
        <v>55311</v>
      </c>
      <c r="O833" s="1">
        <v>3098215</v>
      </c>
      <c r="P833" s="1">
        <v>351693</v>
      </c>
      <c r="Q833" s="1">
        <v>611447</v>
      </c>
      <c r="R833" s="1">
        <v>31328148</v>
      </c>
      <c r="S833" s="1">
        <v>41051</v>
      </c>
      <c r="T833" s="1">
        <v>41051</v>
      </c>
      <c r="U833" s="1">
        <v>15009</v>
      </c>
      <c r="V833" s="1">
        <v>1</v>
      </c>
      <c r="W833" s="1">
        <v>0</v>
      </c>
    </row>
    <row r="834">
      <c r="A834" s="1">
        <v>2021</v>
      </c>
      <c r="B834" s="1">
        <v>41</v>
      </c>
      <c r="C834" t="s">
        <v>3</v>
      </c>
      <c r="D834" s="1">
        <v>51</v>
      </c>
      <c r="E834" t="s">
        <v>6</v>
      </c>
      <c r="F834" s="1">
        <v>16</v>
      </c>
      <c r="G834" t="s">
        <v>18</v>
      </c>
      <c r="H834" s="1">
        <v>1</v>
      </c>
      <c r="I834" t="s">
        <v>95</v>
      </c>
      <c r="J834" s="1">
        <v>185</v>
      </c>
      <c r="K834" s="1">
        <v>311</v>
      </c>
      <c r="L834" s="1">
        <v>15122</v>
      </c>
      <c r="M834" s="1">
        <v>35329</v>
      </c>
      <c r="N834" s="1">
        <v>55311</v>
      </c>
      <c r="O834" s="1">
        <v>3098215</v>
      </c>
      <c r="P834" s="1">
        <v>351693</v>
      </c>
      <c r="Q834" s="1">
        <v>611447</v>
      </c>
      <c r="R834" s="1">
        <v>31328148</v>
      </c>
      <c r="S834" s="1">
        <v>41051</v>
      </c>
      <c r="T834" s="1">
        <v>41051</v>
      </c>
      <c r="U834" s="1">
        <v>16001</v>
      </c>
      <c r="V834" s="1">
        <v>1</v>
      </c>
      <c r="W834" s="1">
        <v>0</v>
      </c>
    </row>
    <row r="835">
      <c r="A835" s="1">
        <v>2021</v>
      </c>
      <c r="B835" s="1">
        <v>41</v>
      </c>
      <c r="C835" t="s">
        <v>3</v>
      </c>
      <c r="D835" s="1">
        <v>51</v>
      </c>
      <c r="E835" t="s">
        <v>6</v>
      </c>
      <c r="F835" s="1">
        <v>16</v>
      </c>
      <c r="G835" t="s">
        <v>18</v>
      </c>
      <c r="H835" s="1">
        <v>17</v>
      </c>
      <c r="I835" t="s">
        <v>244</v>
      </c>
      <c r="J835" s="1">
        <v>24</v>
      </c>
      <c r="K835" s="1">
        <v>41</v>
      </c>
      <c r="L835" s="1">
        <v>1594</v>
      </c>
      <c r="M835" s="1">
        <v>35329</v>
      </c>
      <c r="N835" s="1">
        <v>55311</v>
      </c>
      <c r="O835" s="1">
        <v>3098215</v>
      </c>
      <c r="P835" s="1">
        <v>351693</v>
      </c>
      <c r="Q835" s="1">
        <v>611447</v>
      </c>
      <c r="R835" s="1">
        <v>31328148</v>
      </c>
      <c r="S835" s="1">
        <v>41051</v>
      </c>
      <c r="T835" s="1">
        <v>41051</v>
      </c>
      <c r="U835" s="1">
        <v>16017</v>
      </c>
      <c r="V835" s="1">
        <v>1</v>
      </c>
      <c r="W835" s="1">
        <v>0</v>
      </c>
    </row>
    <row r="836">
      <c r="A836" s="1">
        <v>2021</v>
      </c>
      <c r="B836" s="1">
        <v>41</v>
      </c>
      <c r="C836" t="s">
        <v>3</v>
      </c>
      <c r="D836" s="1">
        <v>51</v>
      </c>
      <c r="E836" t="s">
        <v>6</v>
      </c>
      <c r="F836" s="1">
        <v>16</v>
      </c>
      <c r="G836" t="s">
        <v>18</v>
      </c>
      <c r="H836" s="1">
        <v>19</v>
      </c>
      <c r="I836" t="s">
        <v>245</v>
      </c>
      <c r="J836" s="1">
        <v>20</v>
      </c>
      <c r="K836" s="1">
        <v>35</v>
      </c>
      <c r="L836" s="1">
        <v>1195</v>
      </c>
      <c r="M836" s="1">
        <v>35329</v>
      </c>
      <c r="N836" s="1">
        <v>55311</v>
      </c>
      <c r="O836" s="1">
        <v>3098215</v>
      </c>
      <c r="P836" s="1">
        <v>351693</v>
      </c>
      <c r="Q836" s="1">
        <v>611447</v>
      </c>
      <c r="R836" s="1">
        <v>31328148</v>
      </c>
      <c r="S836" s="1">
        <v>41051</v>
      </c>
      <c r="T836" s="1">
        <v>41051</v>
      </c>
      <c r="U836" s="1">
        <v>16019</v>
      </c>
      <c r="V836" s="1">
        <v>1</v>
      </c>
      <c r="W836" s="1">
        <v>0</v>
      </c>
    </row>
    <row r="837">
      <c r="A837" s="1">
        <v>2021</v>
      </c>
      <c r="B837" s="1">
        <v>41</v>
      </c>
      <c r="C837" t="s">
        <v>3</v>
      </c>
      <c r="D837" s="1">
        <v>51</v>
      </c>
      <c r="E837" t="s">
        <v>6</v>
      </c>
      <c r="F837" s="1">
        <v>16</v>
      </c>
      <c r="G837" t="s">
        <v>18</v>
      </c>
      <c r="H837" s="1">
        <v>27</v>
      </c>
      <c r="I837" t="s">
        <v>96</v>
      </c>
      <c r="J837" s="1">
        <v>57</v>
      </c>
      <c r="K837" s="1">
        <v>101</v>
      </c>
      <c r="L837" s="1">
        <v>3591</v>
      </c>
      <c r="M837" s="1">
        <v>35329</v>
      </c>
      <c r="N837" s="1">
        <v>55311</v>
      </c>
      <c r="O837" s="1">
        <v>3098215</v>
      </c>
      <c r="P837" s="1">
        <v>351693</v>
      </c>
      <c r="Q837" s="1">
        <v>611447</v>
      </c>
      <c r="R837" s="1">
        <v>31328148</v>
      </c>
      <c r="S837" s="1">
        <v>41051</v>
      </c>
      <c r="T837" s="1">
        <v>41051</v>
      </c>
      <c r="U837" s="1">
        <v>16027</v>
      </c>
      <c r="V837" s="1">
        <v>1</v>
      </c>
      <c r="W837" s="1">
        <v>0</v>
      </c>
    </row>
    <row r="838">
      <c r="A838" s="1">
        <v>2021</v>
      </c>
      <c r="B838" s="1">
        <v>41</v>
      </c>
      <c r="C838" t="s">
        <v>3</v>
      </c>
      <c r="D838" s="1">
        <v>51</v>
      </c>
      <c r="E838" t="s">
        <v>6</v>
      </c>
      <c r="F838" s="1">
        <v>16</v>
      </c>
      <c r="G838" t="s">
        <v>18</v>
      </c>
      <c r="H838" s="1">
        <v>55</v>
      </c>
      <c r="I838" t="s">
        <v>97</v>
      </c>
      <c r="J838" s="1">
        <v>45</v>
      </c>
      <c r="K838" s="1">
        <v>72</v>
      </c>
      <c r="L838" s="1">
        <v>2856</v>
      </c>
      <c r="M838" s="1">
        <v>35329</v>
      </c>
      <c r="N838" s="1">
        <v>55311</v>
      </c>
      <c r="O838" s="1">
        <v>3098215</v>
      </c>
      <c r="P838" s="1">
        <v>351693</v>
      </c>
      <c r="Q838" s="1">
        <v>611447</v>
      </c>
      <c r="R838" s="1">
        <v>31328148</v>
      </c>
      <c r="S838" s="1">
        <v>41051</v>
      </c>
      <c r="T838" s="1">
        <v>41051</v>
      </c>
      <c r="U838" s="1">
        <v>16055</v>
      </c>
      <c r="V838" s="1">
        <v>1</v>
      </c>
      <c r="W838" s="1">
        <v>0</v>
      </c>
    </row>
    <row r="839">
      <c r="A839" s="1">
        <v>2021</v>
      </c>
      <c r="B839" s="1">
        <v>41</v>
      </c>
      <c r="C839" t="s">
        <v>3</v>
      </c>
      <c r="D839" s="1">
        <v>51</v>
      </c>
      <c r="E839" t="s">
        <v>6</v>
      </c>
      <c r="F839" s="1">
        <v>17</v>
      </c>
      <c r="G839" t="s">
        <v>19</v>
      </c>
      <c r="H839" s="1">
        <v>31</v>
      </c>
      <c r="I839" t="s">
        <v>98</v>
      </c>
      <c r="J839" s="1">
        <v>193</v>
      </c>
      <c r="K839" s="1">
        <v>233</v>
      </c>
      <c r="L839" s="1">
        <v>14068</v>
      </c>
      <c r="M839" s="1">
        <v>35329</v>
      </c>
      <c r="N839" s="1">
        <v>55311</v>
      </c>
      <c r="O839" s="1">
        <v>3098215</v>
      </c>
      <c r="P839" s="1">
        <v>351693</v>
      </c>
      <c r="Q839" s="1">
        <v>611447</v>
      </c>
      <c r="R839" s="1">
        <v>31328148</v>
      </c>
      <c r="S839" s="1">
        <v>41051</v>
      </c>
      <c r="T839" s="1">
        <v>41051</v>
      </c>
      <c r="U839" s="1">
        <v>17031</v>
      </c>
      <c r="V839" s="1">
        <v>1</v>
      </c>
      <c r="W839" s="1">
        <v>0</v>
      </c>
    </row>
    <row r="840">
      <c r="A840" s="1">
        <v>2021</v>
      </c>
      <c r="B840" s="1">
        <v>41</v>
      </c>
      <c r="C840" t="s">
        <v>3</v>
      </c>
      <c r="D840" s="1">
        <v>51</v>
      </c>
      <c r="E840" t="s">
        <v>6</v>
      </c>
      <c r="F840" s="1">
        <v>17</v>
      </c>
      <c r="G840" t="s">
        <v>19</v>
      </c>
      <c r="H840" s="1">
        <v>43</v>
      </c>
      <c r="I840" t="s">
        <v>187</v>
      </c>
      <c r="J840" s="1">
        <v>22</v>
      </c>
      <c r="K840" s="1">
        <v>27</v>
      </c>
      <c r="L840" s="1">
        <v>1105</v>
      </c>
      <c r="M840" s="1">
        <v>35329</v>
      </c>
      <c r="N840" s="1">
        <v>55311</v>
      </c>
      <c r="O840" s="1">
        <v>3098215</v>
      </c>
      <c r="P840" s="1">
        <v>351693</v>
      </c>
      <c r="Q840" s="1">
        <v>611447</v>
      </c>
      <c r="R840" s="1">
        <v>31328148</v>
      </c>
      <c r="S840" s="1">
        <v>41051</v>
      </c>
      <c r="T840" s="1">
        <v>41051</v>
      </c>
      <c r="U840" s="1">
        <v>17043</v>
      </c>
      <c r="V840" s="1">
        <v>1</v>
      </c>
      <c r="W840" s="1">
        <v>0</v>
      </c>
    </row>
    <row r="841">
      <c r="A841" s="1">
        <v>2021</v>
      </c>
      <c r="B841" s="1">
        <v>41</v>
      </c>
      <c r="C841" t="s">
        <v>3</v>
      </c>
      <c r="D841" s="1">
        <v>51</v>
      </c>
      <c r="E841" t="s">
        <v>6</v>
      </c>
      <c r="F841" s="1">
        <v>18</v>
      </c>
      <c r="G841" t="s">
        <v>20</v>
      </c>
      <c r="H841" s="1">
        <v>3</v>
      </c>
      <c r="I841" t="s">
        <v>246</v>
      </c>
      <c r="J841" s="1">
        <v>20</v>
      </c>
      <c r="K841" s="1">
        <v>37</v>
      </c>
      <c r="L841" s="1">
        <v>801</v>
      </c>
      <c r="M841" s="1">
        <v>35329</v>
      </c>
      <c r="N841" s="1">
        <v>55311</v>
      </c>
      <c r="O841" s="1">
        <v>3098215</v>
      </c>
      <c r="P841" s="1">
        <v>351693</v>
      </c>
      <c r="Q841" s="1">
        <v>611447</v>
      </c>
      <c r="R841" s="1">
        <v>31328148</v>
      </c>
      <c r="S841" s="1">
        <v>41051</v>
      </c>
      <c r="T841" s="1">
        <v>41051</v>
      </c>
      <c r="U841" s="1">
        <v>18003</v>
      </c>
      <c r="V841" s="1">
        <v>1</v>
      </c>
      <c r="W841" s="1">
        <v>0</v>
      </c>
    </row>
    <row r="842">
      <c r="A842" s="1">
        <v>2021</v>
      </c>
      <c r="B842" s="1">
        <v>41</v>
      </c>
      <c r="C842" t="s">
        <v>3</v>
      </c>
      <c r="D842" s="1">
        <v>51</v>
      </c>
      <c r="E842" t="s">
        <v>6</v>
      </c>
      <c r="F842" s="1">
        <v>18</v>
      </c>
      <c r="G842" t="s">
        <v>20</v>
      </c>
      <c r="H842" s="1">
        <v>97</v>
      </c>
      <c r="I842" t="s">
        <v>99</v>
      </c>
      <c r="J842" s="1">
        <v>34</v>
      </c>
      <c r="K842" s="1">
        <v>47</v>
      </c>
      <c r="L842" s="1">
        <v>1346</v>
      </c>
      <c r="M842" s="1">
        <v>35329</v>
      </c>
      <c r="N842" s="1">
        <v>55311</v>
      </c>
      <c r="O842" s="1">
        <v>3098215</v>
      </c>
      <c r="P842" s="1">
        <v>351693</v>
      </c>
      <c r="Q842" s="1">
        <v>611447</v>
      </c>
      <c r="R842" s="1">
        <v>31328148</v>
      </c>
      <c r="S842" s="1">
        <v>41051</v>
      </c>
      <c r="T842" s="1">
        <v>41051</v>
      </c>
      <c r="U842" s="1">
        <v>18097</v>
      </c>
      <c r="V842" s="1">
        <v>1</v>
      </c>
      <c r="W842" s="1">
        <v>0</v>
      </c>
    </row>
    <row r="843">
      <c r="A843" s="1">
        <v>2021</v>
      </c>
      <c r="B843" s="1">
        <v>41</v>
      </c>
      <c r="C843" t="s">
        <v>3</v>
      </c>
      <c r="D843" s="1">
        <v>51</v>
      </c>
      <c r="E843" t="s">
        <v>6</v>
      </c>
      <c r="F843" s="1">
        <v>19</v>
      </c>
      <c r="G843" t="s">
        <v>21</v>
      </c>
      <c r="H843" s="1">
        <v>153</v>
      </c>
      <c r="I843" t="s">
        <v>100</v>
      </c>
      <c r="J843" s="1">
        <v>30</v>
      </c>
      <c r="K843" s="1">
        <v>46</v>
      </c>
      <c r="L843" s="1">
        <v>2307</v>
      </c>
      <c r="M843" s="1">
        <v>35329</v>
      </c>
      <c r="N843" s="1">
        <v>55311</v>
      </c>
      <c r="O843" s="1">
        <v>3098215</v>
      </c>
      <c r="P843" s="1">
        <v>351693</v>
      </c>
      <c r="Q843" s="1">
        <v>611447</v>
      </c>
      <c r="R843" s="1">
        <v>31328148</v>
      </c>
      <c r="S843" s="1">
        <v>41051</v>
      </c>
      <c r="T843" s="1">
        <v>41051</v>
      </c>
      <c r="U843" s="1">
        <v>19153</v>
      </c>
      <c r="V843" s="1">
        <v>1</v>
      </c>
      <c r="W843" s="1">
        <v>0</v>
      </c>
    </row>
    <row r="844">
      <c r="A844" s="1">
        <v>2021</v>
      </c>
      <c r="B844" s="1">
        <v>41</v>
      </c>
      <c r="C844" t="s">
        <v>3</v>
      </c>
      <c r="D844" s="1">
        <v>51</v>
      </c>
      <c r="E844" t="s">
        <v>6</v>
      </c>
      <c r="F844" s="1">
        <v>20</v>
      </c>
      <c r="G844" t="s">
        <v>42</v>
      </c>
      <c r="H844" s="1">
        <v>91</v>
      </c>
      <c r="I844" t="s">
        <v>188</v>
      </c>
      <c r="J844" s="1">
        <v>20</v>
      </c>
      <c r="K844" s="1">
        <v>34</v>
      </c>
      <c r="L844" s="1">
        <v>1402</v>
      </c>
      <c r="M844" s="1">
        <v>35329</v>
      </c>
      <c r="N844" s="1">
        <v>55311</v>
      </c>
      <c r="O844" s="1">
        <v>3098215</v>
      </c>
      <c r="P844" s="1">
        <v>351693</v>
      </c>
      <c r="Q844" s="1">
        <v>611447</v>
      </c>
      <c r="R844" s="1">
        <v>31328148</v>
      </c>
      <c r="S844" s="1">
        <v>41051</v>
      </c>
      <c r="T844" s="1">
        <v>41051</v>
      </c>
      <c r="U844" s="1">
        <v>20091</v>
      </c>
      <c r="V844" s="1">
        <v>1</v>
      </c>
      <c r="W844" s="1">
        <v>0</v>
      </c>
    </row>
    <row r="845">
      <c r="A845" s="1">
        <v>2021</v>
      </c>
      <c r="B845" s="1">
        <v>41</v>
      </c>
      <c r="C845" t="s">
        <v>3</v>
      </c>
      <c r="D845" s="1">
        <v>51</v>
      </c>
      <c r="E845" t="s">
        <v>6</v>
      </c>
      <c r="F845" s="1">
        <v>22</v>
      </c>
      <c r="G845" t="s">
        <v>22</v>
      </c>
      <c r="H845" s="1">
        <v>71</v>
      </c>
      <c r="I845" t="s">
        <v>101</v>
      </c>
      <c r="J845" s="1">
        <v>31</v>
      </c>
      <c r="K845" s="1">
        <v>37</v>
      </c>
      <c r="L845" s="1">
        <v>2014</v>
      </c>
      <c r="M845" s="1">
        <v>35329</v>
      </c>
      <c r="N845" s="1">
        <v>55311</v>
      </c>
      <c r="O845" s="1">
        <v>3098215</v>
      </c>
      <c r="P845" s="1">
        <v>351693</v>
      </c>
      <c r="Q845" s="1">
        <v>611447</v>
      </c>
      <c r="R845" s="1">
        <v>31328148</v>
      </c>
      <c r="S845" s="1">
        <v>41051</v>
      </c>
      <c r="T845" s="1">
        <v>41051</v>
      </c>
      <c r="U845" s="1">
        <v>22071</v>
      </c>
      <c r="V845" s="1">
        <v>1</v>
      </c>
      <c r="W845" s="1">
        <v>0</v>
      </c>
    </row>
    <row r="846">
      <c r="A846" s="1">
        <v>2021</v>
      </c>
      <c r="B846" s="1">
        <v>41</v>
      </c>
      <c r="C846" t="s">
        <v>3</v>
      </c>
      <c r="D846" s="1">
        <v>51</v>
      </c>
      <c r="E846" t="s">
        <v>6</v>
      </c>
      <c r="F846" s="1">
        <v>23</v>
      </c>
      <c r="G846" t="s">
        <v>23</v>
      </c>
      <c r="H846" s="1">
        <v>5</v>
      </c>
      <c r="I846" t="s">
        <v>102</v>
      </c>
      <c r="J846" s="1">
        <v>41</v>
      </c>
      <c r="K846" s="1">
        <v>50</v>
      </c>
      <c r="L846" s="1">
        <v>2986</v>
      </c>
      <c r="M846" s="1">
        <v>35329</v>
      </c>
      <c r="N846" s="1">
        <v>55311</v>
      </c>
      <c r="O846" s="1">
        <v>3098215</v>
      </c>
      <c r="P846" s="1">
        <v>351693</v>
      </c>
      <c r="Q846" s="1">
        <v>611447</v>
      </c>
      <c r="R846" s="1">
        <v>31328148</v>
      </c>
      <c r="S846" s="1">
        <v>41051</v>
      </c>
      <c r="T846" s="1">
        <v>41051</v>
      </c>
      <c r="U846" s="1">
        <v>23005</v>
      </c>
      <c r="V846" s="1">
        <v>1</v>
      </c>
      <c r="W846" s="1">
        <v>0</v>
      </c>
    </row>
    <row r="847">
      <c r="A847" s="1">
        <v>2021</v>
      </c>
      <c r="B847" s="1">
        <v>41</v>
      </c>
      <c r="C847" t="s">
        <v>3</v>
      </c>
      <c r="D847" s="1">
        <v>51</v>
      </c>
      <c r="E847" t="s">
        <v>6</v>
      </c>
      <c r="F847" s="1">
        <v>24</v>
      </c>
      <c r="G847" t="s">
        <v>24</v>
      </c>
      <c r="H847" s="1">
        <v>31</v>
      </c>
      <c r="I847" t="s">
        <v>103</v>
      </c>
      <c r="J847" s="1">
        <v>31</v>
      </c>
      <c r="K847" s="1">
        <v>44</v>
      </c>
      <c r="L847" s="1">
        <v>2557</v>
      </c>
      <c r="M847" s="1">
        <v>35329</v>
      </c>
      <c r="N847" s="1">
        <v>55311</v>
      </c>
      <c r="O847" s="1">
        <v>3098215</v>
      </c>
      <c r="P847" s="1">
        <v>351693</v>
      </c>
      <c r="Q847" s="1">
        <v>611447</v>
      </c>
      <c r="R847" s="1">
        <v>31328148</v>
      </c>
      <c r="S847" s="1">
        <v>41051</v>
      </c>
      <c r="T847" s="1">
        <v>41051</v>
      </c>
      <c r="U847" s="1">
        <v>24031</v>
      </c>
      <c r="V847" s="1">
        <v>1</v>
      </c>
      <c r="W847" s="1">
        <v>0</v>
      </c>
    </row>
    <row r="848">
      <c r="A848" s="1">
        <v>2021</v>
      </c>
      <c r="B848" s="1">
        <v>41</v>
      </c>
      <c r="C848" t="s">
        <v>3</v>
      </c>
      <c r="D848" s="1">
        <v>51</v>
      </c>
      <c r="E848" t="s">
        <v>6</v>
      </c>
      <c r="F848" s="1">
        <v>24</v>
      </c>
      <c r="G848" t="s">
        <v>24</v>
      </c>
      <c r="H848" s="1">
        <v>510</v>
      </c>
      <c r="I848" t="s">
        <v>190</v>
      </c>
      <c r="J848" s="1">
        <v>32</v>
      </c>
      <c r="K848" s="1">
        <v>51</v>
      </c>
      <c r="L848" s="1">
        <v>3361</v>
      </c>
      <c r="M848" s="1">
        <v>35329</v>
      </c>
      <c r="N848" s="1">
        <v>55311</v>
      </c>
      <c r="O848" s="1">
        <v>3098215</v>
      </c>
      <c r="P848" s="1">
        <v>351693</v>
      </c>
      <c r="Q848" s="1">
        <v>611447</v>
      </c>
      <c r="R848" s="1">
        <v>31328148</v>
      </c>
      <c r="S848" s="1">
        <v>41051</v>
      </c>
      <c r="T848" s="1">
        <v>41051</v>
      </c>
      <c r="U848" s="1">
        <v>24510</v>
      </c>
      <c r="V848" s="1">
        <v>1</v>
      </c>
      <c r="W848" s="1">
        <v>0</v>
      </c>
    </row>
    <row r="849">
      <c r="A849" s="1">
        <v>2021</v>
      </c>
      <c r="B849" s="1">
        <v>41</v>
      </c>
      <c r="C849" t="s">
        <v>3</v>
      </c>
      <c r="D849" s="1">
        <v>51</v>
      </c>
      <c r="E849" t="s">
        <v>6</v>
      </c>
      <c r="F849" s="1">
        <v>25</v>
      </c>
      <c r="G849" t="s">
        <v>25</v>
      </c>
      <c r="H849" s="1">
        <v>17</v>
      </c>
      <c r="I849" t="s">
        <v>104</v>
      </c>
      <c r="J849" s="1">
        <v>94</v>
      </c>
      <c r="K849" s="1">
        <v>125</v>
      </c>
      <c r="L849" s="1">
        <v>6950</v>
      </c>
      <c r="M849" s="1">
        <v>35329</v>
      </c>
      <c r="N849" s="1">
        <v>55311</v>
      </c>
      <c r="O849" s="1">
        <v>3098215</v>
      </c>
      <c r="P849" s="1">
        <v>351693</v>
      </c>
      <c r="Q849" s="1">
        <v>611447</v>
      </c>
      <c r="R849" s="1">
        <v>31328148</v>
      </c>
      <c r="S849" s="1">
        <v>41051</v>
      </c>
      <c r="T849" s="1">
        <v>41051</v>
      </c>
      <c r="U849" s="1">
        <v>25017</v>
      </c>
      <c r="V849" s="1">
        <v>1</v>
      </c>
      <c r="W849" s="1">
        <v>0</v>
      </c>
    </row>
    <row r="850">
      <c r="A850" s="1">
        <v>2021</v>
      </c>
      <c r="B850" s="1">
        <v>41</v>
      </c>
      <c r="C850" t="s">
        <v>3</v>
      </c>
      <c r="D850" s="1">
        <v>51</v>
      </c>
      <c r="E850" t="s">
        <v>6</v>
      </c>
      <c r="F850" s="1">
        <v>25</v>
      </c>
      <c r="G850" t="s">
        <v>25</v>
      </c>
      <c r="H850" s="1">
        <v>21</v>
      </c>
      <c r="I850" t="s">
        <v>192</v>
      </c>
      <c r="J850" s="1">
        <v>26</v>
      </c>
      <c r="K850" s="1">
        <v>34</v>
      </c>
      <c r="L850" s="1">
        <v>1971</v>
      </c>
      <c r="M850" s="1">
        <v>35329</v>
      </c>
      <c r="N850" s="1">
        <v>55311</v>
      </c>
      <c r="O850" s="1">
        <v>3098215</v>
      </c>
      <c r="P850" s="1">
        <v>351693</v>
      </c>
      <c r="Q850" s="1">
        <v>611447</v>
      </c>
      <c r="R850" s="1">
        <v>31328148</v>
      </c>
      <c r="S850" s="1">
        <v>41051</v>
      </c>
      <c r="T850" s="1">
        <v>41051</v>
      </c>
      <c r="U850" s="1">
        <v>25021</v>
      </c>
      <c r="V850" s="1">
        <v>1</v>
      </c>
      <c r="W850" s="1">
        <v>0</v>
      </c>
    </row>
    <row r="851">
      <c r="A851" s="1">
        <v>2021</v>
      </c>
      <c r="B851" s="1">
        <v>41</v>
      </c>
      <c r="C851" t="s">
        <v>3</v>
      </c>
      <c r="D851" s="1">
        <v>51</v>
      </c>
      <c r="E851" t="s">
        <v>6</v>
      </c>
      <c r="F851" s="1">
        <v>25</v>
      </c>
      <c r="G851" t="s">
        <v>25</v>
      </c>
      <c r="H851" s="1">
        <v>25</v>
      </c>
      <c r="I851" t="s">
        <v>105</v>
      </c>
      <c r="J851" s="1">
        <v>65</v>
      </c>
      <c r="K851" s="1">
        <v>89</v>
      </c>
      <c r="L851" s="1">
        <v>4842</v>
      </c>
      <c r="M851" s="1">
        <v>35329</v>
      </c>
      <c r="N851" s="1">
        <v>55311</v>
      </c>
      <c r="O851" s="1">
        <v>3098215</v>
      </c>
      <c r="P851" s="1">
        <v>351693</v>
      </c>
      <c r="Q851" s="1">
        <v>611447</v>
      </c>
      <c r="R851" s="1">
        <v>31328148</v>
      </c>
      <c r="S851" s="1">
        <v>41051</v>
      </c>
      <c r="T851" s="1">
        <v>41051</v>
      </c>
      <c r="U851" s="1">
        <v>25025</v>
      </c>
      <c r="V851" s="1">
        <v>1</v>
      </c>
      <c r="W851" s="1">
        <v>0</v>
      </c>
    </row>
    <row r="852">
      <c r="A852" s="1">
        <v>2021</v>
      </c>
      <c r="B852" s="1">
        <v>41</v>
      </c>
      <c r="C852" t="s">
        <v>3</v>
      </c>
      <c r="D852" s="1">
        <v>51</v>
      </c>
      <c r="E852" t="s">
        <v>6</v>
      </c>
      <c r="F852" s="1">
        <v>26</v>
      </c>
      <c r="G852" t="s">
        <v>26</v>
      </c>
      <c r="H852" s="1">
        <v>81</v>
      </c>
      <c r="I852" t="s">
        <v>193</v>
      </c>
      <c r="J852" s="1">
        <v>26</v>
      </c>
      <c r="K852" s="1">
        <v>40</v>
      </c>
      <c r="L852" s="1">
        <v>1818</v>
      </c>
      <c r="M852" s="1">
        <v>35329</v>
      </c>
      <c r="N852" s="1">
        <v>55311</v>
      </c>
      <c r="O852" s="1">
        <v>3098215</v>
      </c>
      <c r="P852" s="1">
        <v>351693</v>
      </c>
      <c r="Q852" s="1">
        <v>611447</v>
      </c>
      <c r="R852" s="1">
        <v>31328148</v>
      </c>
      <c r="S852" s="1">
        <v>41051</v>
      </c>
      <c r="T852" s="1">
        <v>41051</v>
      </c>
      <c r="U852" s="1">
        <v>26081</v>
      </c>
      <c r="V852" s="1">
        <v>1</v>
      </c>
      <c r="W852" s="1">
        <v>0</v>
      </c>
    </row>
    <row r="853">
      <c r="A853" s="1">
        <v>2021</v>
      </c>
      <c r="B853" s="1">
        <v>41</v>
      </c>
      <c r="C853" t="s">
        <v>3</v>
      </c>
      <c r="D853" s="1">
        <v>51</v>
      </c>
      <c r="E853" t="s">
        <v>6</v>
      </c>
      <c r="F853" s="1">
        <v>26</v>
      </c>
      <c r="G853" t="s">
        <v>26</v>
      </c>
      <c r="H853" s="1">
        <v>125</v>
      </c>
      <c r="I853" t="s">
        <v>194</v>
      </c>
      <c r="J853" s="1">
        <v>42</v>
      </c>
      <c r="K853" s="1">
        <v>69</v>
      </c>
      <c r="L853" s="1">
        <v>4492</v>
      </c>
      <c r="M853" s="1">
        <v>35329</v>
      </c>
      <c r="N853" s="1">
        <v>55311</v>
      </c>
      <c r="O853" s="1">
        <v>3098215</v>
      </c>
      <c r="P853" s="1">
        <v>351693</v>
      </c>
      <c r="Q853" s="1">
        <v>611447</v>
      </c>
      <c r="R853" s="1">
        <v>31328148</v>
      </c>
      <c r="S853" s="1">
        <v>41051</v>
      </c>
      <c r="T853" s="1">
        <v>41051</v>
      </c>
      <c r="U853" s="1">
        <v>26125</v>
      </c>
      <c r="V853" s="1">
        <v>1</v>
      </c>
      <c r="W853" s="1">
        <v>0</v>
      </c>
    </row>
    <row r="854">
      <c r="A854" s="1">
        <v>2021</v>
      </c>
      <c r="B854" s="1">
        <v>41</v>
      </c>
      <c r="C854" t="s">
        <v>3</v>
      </c>
      <c r="D854" s="1">
        <v>51</v>
      </c>
      <c r="E854" t="s">
        <v>6</v>
      </c>
      <c r="F854" s="1">
        <v>26</v>
      </c>
      <c r="G854" t="s">
        <v>26</v>
      </c>
      <c r="H854" s="1">
        <v>161</v>
      </c>
      <c r="I854" t="s">
        <v>106</v>
      </c>
      <c r="J854" s="1">
        <v>32</v>
      </c>
      <c r="K854" s="1">
        <v>52</v>
      </c>
      <c r="L854" s="1">
        <v>3591</v>
      </c>
      <c r="M854" s="1">
        <v>35329</v>
      </c>
      <c r="N854" s="1">
        <v>55311</v>
      </c>
      <c r="O854" s="1">
        <v>3098215</v>
      </c>
      <c r="P854" s="1">
        <v>351693</v>
      </c>
      <c r="Q854" s="1">
        <v>611447</v>
      </c>
      <c r="R854" s="1">
        <v>31328148</v>
      </c>
      <c r="S854" s="1">
        <v>41051</v>
      </c>
      <c r="T854" s="1">
        <v>41051</v>
      </c>
      <c r="U854" s="1">
        <v>26161</v>
      </c>
      <c r="V854" s="1">
        <v>1</v>
      </c>
      <c r="W854" s="1">
        <v>0</v>
      </c>
    </row>
    <row r="855">
      <c r="A855" s="1">
        <v>2021</v>
      </c>
      <c r="B855" s="1">
        <v>41</v>
      </c>
      <c r="C855" t="s">
        <v>3</v>
      </c>
      <c r="D855" s="1">
        <v>51</v>
      </c>
      <c r="E855" t="s">
        <v>6</v>
      </c>
      <c r="F855" s="1">
        <v>26</v>
      </c>
      <c r="G855" t="s">
        <v>26</v>
      </c>
      <c r="H855" s="1">
        <v>163</v>
      </c>
      <c r="I855" t="s">
        <v>195</v>
      </c>
      <c r="J855" s="1">
        <v>24</v>
      </c>
      <c r="K855" s="1">
        <v>41</v>
      </c>
      <c r="L855" s="1">
        <v>1362</v>
      </c>
      <c r="M855" s="1">
        <v>35329</v>
      </c>
      <c r="N855" s="1">
        <v>55311</v>
      </c>
      <c r="O855" s="1">
        <v>3098215</v>
      </c>
      <c r="P855" s="1">
        <v>351693</v>
      </c>
      <c r="Q855" s="1">
        <v>611447</v>
      </c>
      <c r="R855" s="1">
        <v>31328148</v>
      </c>
      <c r="S855" s="1">
        <v>41051</v>
      </c>
      <c r="T855" s="1">
        <v>41051</v>
      </c>
      <c r="U855" s="1">
        <v>26163</v>
      </c>
      <c r="V855" s="1">
        <v>1</v>
      </c>
      <c r="W855" s="1">
        <v>0</v>
      </c>
    </row>
    <row r="856">
      <c r="A856" s="1">
        <v>2021</v>
      </c>
      <c r="B856" s="1">
        <v>41</v>
      </c>
      <c r="C856" t="s">
        <v>3</v>
      </c>
      <c r="D856" s="1">
        <v>51</v>
      </c>
      <c r="E856" t="s">
        <v>6</v>
      </c>
      <c r="F856" s="1">
        <v>27</v>
      </c>
      <c r="G856" t="s">
        <v>27</v>
      </c>
      <c r="H856" s="1">
        <v>53</v>
      </c>
      <c r="I856" t="s">
        <v>107</v>
      </c>
      <c r="J856" s="1">
        <v>123</v>
      </c>
      <c r="K856" s="1">
        <v>164</v>
      </c>
      <c r="L856" s="1">
        <v>9120</v>
      </c>
      <c r="M856" s="1">
        <v>35329</v>
      </c>
      <c r="N856" s="1">
        <v>55311</v>
      </c>
      <c r="O856" s="1">
        <v>3098215</v>
      </c>
      <c r="P856" s="1">
        <v>351693</v>
      </c>
      <c r="Q856" s="1">
        <v>611447</v>
      </c>
      <c r="R856" s="1">
        <v>31328148</v>
      </c>
      <c r="S856" s="1">
        <v>41051</v>
      </c>
      <c r="T856" s="1">
        <v>41051</v>
      </c>
      <c r="U856" s="1">
        <v>27053</v>
      </c>
      <c r="V856" s="1">
        <v>1</v>
      </c>
      <c r="W856" s="1">
        <v>0</v>
      </c>
    </row>
    <row r="857">
      <c r="A857" s="1">
        <v>2021</v>
      </c>
      <c r="B857" s="1">
        <v>41</v>
      </c>
      <c r="C857" t="s">
        <v>3</v>
      </c>
      <c r="D857" s="1">
        <v>51</v>
      </c>
      <c r="E857" t="s">
        <v>6</v>
      </c>
      <c r="F857" s="1">
        <v>27</v>
      </c>
      <c r="G857" t="s">
        <v>27</v>
      </c>
      <c r="H857" s="1">
        <v>123</v>
      </c>
      <c r="I857" t="s">
        <v>108</v>
      </c>
      <c r="J857" s="1">
        <v>26</v>
      </c>
      <c r="K857" s="1">
        <v>46</v>
      </c>
      <c r="L857" s="1">
        <v>1236</v>
      </c>
      <c r="M857" s="1">
        <v>35329</v>
      </c>
      <c r="N857" s="1">
        <v>55311</v>
      </c>
      <c r="O857" s="1">
        <v>3098215</v>
      </c>
      <c r="P857" s="1">
        <v>351693</v>
      </c>
      <c r="Q857" s="1">
        <v>611447</v>
      </c>
      <c r="R857" s="1">
        <v>31328148</v>
      </c>
      <c r="S857" s="1">
        <v>41051</v>
      </c>
      <c r="T857" s="1">
        <v>41051</v>
      </c>
      <c r="U857" s="1">
        <v>27123</v>
      </c>
      <c r="V857" s="1">
        <v>1</v>
      </c>
      <c r="W857" s="1">
        <v>0</v>
      </c>
    </row>
    <row r="858">
      <c r="A858" s="1">
        <v>2021</v>
      </c>
      <c r="B858" s="1">
        <v>41</v>
      </c>
      <c r="C858" t="s">
        <v>3</v>
      </c>
      <c r="D858" s="1">
        <v>51</v>
      </c>
      <c r="E858" t="s">
        <v>6</v>
      </c>
      <c r="F858" s="1">
        <v>29</v>
      </c>
      <c r="G858" t="s">
        <v>44</v>
      </c>
      <c r="H858" s="1">
        <v>43</v>
      </c>
      <c r="I858" t="s">
        <v>247</v>
      </c>
      <c r="J858" s="1">
        <v>24</v>
      </c>
      <c r="K858" s="1">
        <v>80</v>
      </c>
      <c r="L858" s="1">
        <v>1276</v>
      </c>
      <c r="M858" s="1">
        <v>35329</v>
      </c>
      <c r="N858" s="1">
        <v>55311</v>
      </c>
      <c r="O858" s="1">
        <v>3098215</v>
      </c>
      <c r="P858" s="1">
        <v>351693</v>
      </c>
      <c r="Q858" s="1">
        <v>611447</v>
      </c>
      <c r="R858" s="1">
        <v>31328148</v>
      </c>
      <c r="S858" s="1">
        <v>41051</v>
      </c>
      <c r="T858" s="1">
        <v>41051</v>
      </c>
      <c r="U858" s="1">
        <v>29043</v>
      </c>
      <c r="V858" s="1">
        <v>1</v>
      </c>
      <c r="W858" s="1">
        <v>0</v>
      </c>
    </row>
    <row r="859">
      <c r="A859" s="1">
        <v>2021</v>
      </c>
      <c r="B859" s="1">
        <v>41</v>
      </c>
      <c r="C859" t="s">
        <v>3</v>
      </c>
      <c r="D859" s="1">
        <v>51</v>
      </c>
      <c r="E859" t="s">
        <v>6</v>
      </c>
      <c r="F859" s="1">
        <v>29</v>
      </c>
      <c r="G859" t="s">
        <v>44</v>
      </c>
      <c r="H859" s="1">
        <v>77</v>
      </c>
      <c r="I859" t="s">
        <v>196</v>
      </c>
      <c r="J859" s="1">
        <v>35</v>
      </c>
      <c r="K859" s="1">
        <v>79</v>
      </c>
      <c r="L859" s="1">
        <v>1420</v>
      </c>
      <c r="M859" s="1">
        <v>35329</v>
      </c>
      <c r="N859" s="1">
        <v>55311</v>
      </c>
      <c r="O859" s="1">
        <v>3098215</v>
      </c>
      <c r="P859" s="1">
        <v>351693</v>
      </c>
      <c r="Q859" s="1">
        <v>611447</v>
      </c>
      <c r="R859" s="1">
        <v>31328148</v>
      </c>
      <c r="S859" s="1">
        <v>41051</v>
      </c>
      <c r="T859" s="1">
        <v>41051</v>
      </c>
      <c r="U859" s="1">
        <v>29077</v>
      </c>
      <c r="V859" s="1">
        <v>1</v>
      </c>
      <c r="W859" s="1">
        <v>0</v>
      </c>
    </row>
    <row r="860">
      <c r="A860" s="1">
        <v>2021</v>
      </c>
      <c r="B860" s="1">
        <v>41</v>
      </c>
      <c r="C860" t="s">
        <v>3</v>
      </c>
      <c r="D860" s="1">
        <v>51</v>
      </c>
      <c r="E860" t="s">
        <v>6</v>
      </c>
      <c r="F860" s="1">
        <v>29</v>
      </c>
      <c r="G860" t="s">
        <v>44</v>
      </c>
      <c r="H860" s="1">
        <v>95</v>
      </c>
      <c r="I860" t="s">
        <v>133</v>
      </c>
      <c r="J860" s="1">
        <v>38</v>
      </c>
      <c r="K860" s="1">
        <v>51</v>
      </c>
      <c r="L860" s="1">
        <v>1880</v>
      </c>
      <c r="M860" s="1">
        <v>35329</v>
      </c>
      <c r="N860" s="1">
        <v>55311</v>
      </c>
      <c r="O860" s="1">
        <v>3098215</v>
      </c>
      <c r="P860" s="1">
        <v>351693</v>
      </c>
      <c r="Q860" s="1">
        <v>611447</v>
      </c>
      <c r="R860" s="1">
        <v>31328148</v>
      </c>
      <c r="S860" s="1">
        <v>41051</v>
      </c>
      <c r="T860" s="1">
        <v>41051</v>
      </c>
      <c r="U860" s="1">
        <v>29095</v>
      </c>
      <c r="V860" s="1">
        <v>1</v>
      </c>
      <c r="W860" s="1">
        <v>0</v>
      </c>
    </row>
    <row r="861">
      <c r="A861" s="1">
        <v>2021</v>
      </c>
      <c r="B861" s="1">
        <v>41</v>
      </c>
      <c r="C861" t="s">
        <v>3</v>
      </c>
      <c r="D861" s="1">
        <v>51</v>
      </c>
      <c r="E861" t="s">
        <v>6</v>
      </c>
      <c r="F861" s="1">
        <v>29</v>
      </c>
      <c r="G861" t="s">
        <v>44</v>
      </c>
      <c r="H861" s="1">
        <v>189</v>
      </c>
      <c r="I861" t="s">
        <v>197</v>
      </c>
      <c r="J861" s="1">
        <v>29</v>
      </c>
      <c r="K861" s="1">
        <v>45</v>
      </c>
      <c r="L861" s="1">
        <v>2249</v>
      </c>
      <c r="M861" s="1">
        <v>35329</v>
      </c>
      <c r="N861" s="1">
        <v>55311</v>
      </c>
      <c r="O861" s="1">
        <v>3098215</v>
      </c>
      <c r="P861" s="1">
        <v>351693</v>
      </c>
      <c r="Q861" s="1">
        <v>611447</v>
      </c>
      <c r="R861" s="1">
        <v>31328148</v>
      </c>
      <c r="S861" s="1">
        <v>41051</v>
      </c>
      <c r="T861" s="1">
        <v>41051</v>
      </c>
      <c r="U861" s="1">
        <v>29189</v>
      </c>
      <c r="V861" s="1">
        <v>1</v>
      </c>
      <c r="W861" s="1">
        <v>0</v>
      </c>
    </row>
    <row r="862">
      <c r="A862" s="1">
        <v>2021</v>
      </c>
      <c r="B862" s="1">
        <v>41</v>
      </c>
      <c r="C862" t="s">
        <v>3</v>
      </c>
      <c r="D862" s="1">
        <v>51</v>
      </c>
      <c r="E862" t="s">
        <v>6</v>
      </c>
      <c r="F862" s="1">
        <v>29</v>
      </c>
      <c r="G862" t="s">
        <v>44</v>
      </c>
      <c r="H862" s="1">
        <v>510</v>
      </c>
      <c r="I862" t="s">
        <v>198</v>
      </c>
      <c r="J862" s="1">
        <v>20</v>
      </c>
      <c r="K862" s="1">
        <v>25</v>
      </c>
      <c r="L862" s="1">
        <v>1031</v>
      </c>
      <c r="M862" s="1">
        <v>35329</v>
      </c>
      <c r="N862" s="1">
        <v>55311</v>
      </c>
      <c r="O862" s="1">
        <v>3098215</v>
      </c>
      <c r="P862" s="1">
        <v>351693</v>
      </c>
      <c r="Q862" s="1">
        <v>611447</v>
      </c>
      <c r="R862" s="1">
        <v>31328148</v>
      </c>
      <c r="S862" s="1">
        <v>41051</v>
      </c>
      <c r="T862" s="1">
        <v>41051</v>
      </c>
      <c r="U862" s="1">
        <v>29510</v>
      </c>
      <c r="V862" s="1">
        <v>1</v>
      </c>
      <c r="W862" s="1">
        <v>0</v>
      </c>
    </row>
    <row r="863">
      <c r="A863" s="1">
        <v>2021</v>
      </c>
      <c r="B863" s="1">
        <v>41</v>
      </c>
      <c r="C863" t="s">
        <v>3</v>
      </c>
      <c r="D863" s="1">
        <v>51</v>
      </c>
      <c r="E863" t="s">
        <v>6</v>
      </c>
      <c r="F863" s="1">
        <v>30</v>
      </c>
      <c r="G863" t="s">
        <v>28</v>
      </c>
      <c r="H863" s="1">
        <v>29</v>
      </c>
      <c r="I863" t="s">
        <v>199</v>
      </c>
      <c r="J863" s="1">
        <v>48</v>
      </c>
      <c r="K863" s="1">
        <v>87</v>
      </c>
      <c r="L863" s="1">
        <v>3567</v>
      </c>
      <c r="M863" s="1">
        <v>35329</v>
      </c>
      <c r="N863" s="1">
        <v>55311</v>
      </c>
      <c r="O863" s="1">
        <v>3098215</v>
      </c>
      <c r="P863" s="1">
        <v>351693</v>
      </c>
      <c r="Q863" s="1">
        <v>611447</v>
      </c>
      <c r="R863" s="1">
        <v>31328148</v>
      </c>
      <c r="S863" s="1">
        <v>41051</v>
      </c>
      <c r="T863" s="1">
        <v>41051</v>
      </c>
      <c r="U863" s="1">
        <v>30029</v>
      </c>
      <c r="V863" s="1">
        <v>1</v>
      </c>
      <c r="W863" s="1">
        <v>0</v>
      </c>
    </row>
    <row r="864">
      <c r="A864" s="1">
        <v>2021</v>
      </c>
      <c r="B864" s="1">
        <v>41</v>
      </c>
      <c r="C864" t="s">
        <v>3</v>
      </c>
      <c r="D864" s="1">
        <v>51</v>
      </c>
      <c r="E864" t="s">
        <v>6</v>
      </c>
      <c r="F864" s="1">
        <v>30</v>
      </c>
      <c r="G864" t="s">
        <v>28</v>
      </c>
      <c r="H864" s="1">
        <v>31</v>
      </c>
      <c r="I864" t="s">
        <v>109</v>
      </c>
      <c r="J864" s="1">
        <v>56</v>
      </c>
      <c r="K864" s="1">
        <v>78</v>
      </c>
      <c r="L864" s="1">
        <v>3119</v>
      </c>
      <c r="M864" s="1">
        <v>35329</v>
      </c>
      <c r="N864" s="1">
        <v>55311</v>
      </c>
      <c r="O864" s="1">
        <v>3098215</v>
      </c>
      <c r="P864" s="1">
        <v>351693</v>
      </c>
      <c r="Q864" s="1">
        <v>611447</v>
      </c>
      <c r="R864" s="1">
        <v>31328148</v>
      </c>
      <c r="S864" s="1">
        <v>41051</v>
      </c>
      <c r="T864" s="1">
        <v>41051</v>
      </c>
      <c r="U864" s="1">
        <v>30031</v>
      </c>
      <c r="V864" s="1">
        <v>1</v>
      </c>
      <c r="W864" s="1">
        <v>0</v>
      </c>
    </row>
    <row r="865">
      <c r="A865" s="1">
        <v>2021</v>
      </c>
      <c r="B865" s="1">
        <v>41</v>
      </c>
      <c r="C865" t="s">
        <v>3</v>
      </c>
      <c r="D865" s="1">
        <v>51</v>
      </c>
      <c r="E865" t="s">
        <v>6</v>
      </c>
      <c r="F865" s="1">
        <v>30</v>
      </c>
      <c r="G865" t="s">
        <v>28</v>
      </c>
      <c r="H865" s="1">
        <v>63</v>
      </c>
      <c r="I865" t="s">
        <v>110</v>
      </c>
      <c r="J865" s="1">
        <v>54</v>
      </c>
      <c r="K865" s="1">
        <v>86</v>
      </c>
      <c r="L865" s="1">
        <v>3819</v>
      </c>
      <c r="M865" s="1">
        <v>35329</v>
      </c>
      <c r="N865" s="1">
        <v>55311</v>
      </c>
      <c r="O865" s="1">
        <v>3098215</v>
      </c>
      <c r="P865" s="1">
        <v>351693</v>
      </c>
      <c r="Q865" s="1">
        <v>611447</v>
      </c>
      <c r="R865" s="1">
        <v>31328148</v>
      </c>
      <c r="S865" s="1">
        <v>41051</v>
      </c>
      <c r="T865" s="1">
        <v>41051</v>
      </c>
      <c r="U865" s="1">
        <v>30063</v>
      </c>
      <c r="V865" s="1">
        <v>1</v>
      </c>
      <c r="W865" s="1">
        <v>0</v>
      </c>
    </row>
    <row r="866">
      <c r="A866" s="1">
        <v>2021</v>
      </c>
      <c r="B866" s="1">
        <v>41</v>
      </c>
      <c r="C866" t="s">
        <v>3</v>
      </c>
      <c r="D866" s="1">
        <v>51</v>
      </c>
      <c r="E866" t="s">
        <v>6</v>
      </c>
      <c r="F866" s="1">
        <v>30</v>
      </c>
      <c r="G866" t="s">
        <v>28</v>
      </c>
      <c r="H866" s="1">
        <v>111</v>
      </c>
      <c r="I866" t="s">
        <v>111</v>
      </c>
      <c r="J866" s="1">
        <v>20</v>
      </c>
      <c r="K866" s="1">
        <v>26</v>
      </c>
      <c r="L866" s="1">
        <v>788</v>
      </c>
      <c r="M866" s="1">
        <v>35329</v>
      </c>
      <c r="N866" s="1">
        <v>55311</v>
      </c>
      <c r="O866" s="1">
        <v>3098215</v>
      </c>
      <c r="P866" s="1">
        <v>351693</v>
      </c>
      <c r="Q866" s="1">
        <v>611447</v>
      </c>
      <c r="R866" s="1">
        <v>31328148</v>
      </c>
      <c r="S866" s="1">
        <v>41051</v>
      </c>
      <c r="T866" s="1">
        <v>41051</v>
      </c>
      <c r="U866" s="1">
        <v>30111</v>
      </c>
      <c r="V866" s="1">
        <v>1</v>
      </c>
      <c r="W866" s="1">
        <v>0</v>
      </c>
    </row>
    <row r="867">
      <c r="A867" s="1">
        <v>2021</v>
      </c>
      <c r="B867" s="1">
        <v>41</v>
      </c>
      <c r="C867" t="s">
        <v>3</v>
      </c>
      <c r="D867" s="1">
        <v>51</v>
      </c>
      <c r="E867" t="s">
        <v>6</v>
      </c>
      <c r="F867" s="1">
        <v>31</v>
      </c>
      <c r="G867" t="s">
        <v>45</v>
      </c>
      <c r="H867" s="1">
        <v>55</v>
      </c>
      <c r="I867" t="s">
        <v>131</v>
      </c>
      <c r="J867" s="1">
        <v>26</v>
      </c>
      <c r="K867" s="1">
        <v>41</v>
      </c>
      <c r="L867" s="1">
        <v>2326</v>
      </c>
      <c r="M867" s="1">
        <v>35329</v>
      </c>
      <c r="N867" s="1">
        <v>55311</v>
      </c>
      <c r="O867" s="1">
        <v>3098215</v>
      </c>
      <c r="P867" s="1">
        <v>351693</v>
      </c>
      <c r="Q867" s="1">
        <v>611447</v>
      </c>
      <c r="R867" s="1">
        <v>31328148</v>
      </c>
      <c r="S867" s="1">
        <v>41051</v>
      </c>
      <c r="T867" s="1">
        <v>41051</v>
      </c>
      <c r="U867" s="1">
        <v>31055</v>
      </c>
      <c r="V867" s="1">
        <v>1</v>
      </c>
      <c r="W867" s="1">
        <v>0</v>
      </c>
    </row>
    <row r="868">
      <c r="A868" s="1">
        <v>2021</v>
      </c>
      <c r="B868" s="1">
        <v>41</v>
      </c>
      <c r="C868" t="s">
        <v>3</v>
      </c>
      <c r="D868" s="1">
        <v>51</v>
      </c>
      <c r="E868" t="s">
        <v>6</v>
      </c>
      <c r="F868" s="1">
        <v>32</v>
      </c>
      <c r="G868" t="s">
        <v>29</v>
      </c>
      <c r="H868" s="1">
        <v>3</v>
      </c>
      <c r="I868" t="s">
        <v>112</v>
      </c>
      <c r="J868" s="1">
        <v>263</v>
      </c>
      <c r="K868" s="1">
        <v>409</v>
      </c>
      <c r="L868" s="1">
        <v>24623</v>
      </c>
      <c r="M868" s="1">
        <v>35329</v>
      </c>
      <c r="N868" s="1">
        <v>55311</v>
      </c>
      <c r="O868" s="1">
        <v>3098215</v>
      </c>
      <c r="P868" s="1">
        <v>351693</v>
      </c>
      <c r="Q868" s="1">
        <v>611447</v>
      </c>
      <c r="R868" s="1">
        <v>31328148</v>
      </c>
      <c r="S868" s="1">
        <v>41051</v>
      </c>
      <c r="T868" s="1">
        <v>41051</v>
      </c>
      <c r="U868" s="1">
        <v>32003</v>
      </c>
      <c r="V868" s="1">
        <v>1</v>
      </c>
      <c r="W868" s="1">
        <v>0</v>
      </c>
    </row>
    <row r="869">
      <c r="A869" s="1">
        <v>2021</v>
      </c>
      <c r="B869" s="1">
        <v>41</v>
      </c>
      <c r="C869" t="s">
        <v>3</v>
      </c>
      <c r="D869" s="1">
        <v>51</v>
      </c>
      <c r="E869" t="s">
        <v>6</v>
      </c>
      <c r="F869" s="1">
        <v>32</v>
      </c>
      <c r="G869" t="s">
        <v>29</v>
      </c>
      <c r="H869" s="1">
        <v>31</v>
      </c>
      <c r="I869" t="s">
        <v>113</v>
      </c>
      <c r="J869" s="1">
        <v>88</v>
      </c>
      <c r="K869" s="1">
        <v>118</v>
      </c>
      <c r="L869" s="1">
        <v>7952</v>
      </c>
      <c r="M869" s="1">
        <v>35329</v>
      </c>
      <c r="N869" s="1">
        <v>55311</v>
      </c>
      <c r="O869" s="1">
        <v>3098215</v>
      </c>
      <c r="P869" s="1">
        <v>351693</v>
      </c>
      <c r="Q869" s="1">
        <v>611447</v>
      </c>
      <c r="R869" s="1">
        <v>31328148</v>
      </c>
      <c r="S869" s="1">
        <v>41051</v>
      </c>
      <c r="T869" s="1">
        <v>41051</v>
      </c>
      <c r="U869" s="1">
        <v>32031</v>
      </c>
      <c r="V869" s="1">
        <v>1</v>
      </c>
      <c r="W869" s="1">
        <v>0</v>
      </c>
    </row>
    <row r="870">
      <c r="A870" s="1">
        <v>2021</v>
      </c>
      <c r="B870" s="1">
        <v>41</v>
      </c>
      <c r="C870" t="s">
        <v>3</v>
      </c>
      <c r="D870" s="1">
        <v>51</v>
      </c>
      <c r="E870" t="s">
        <v>6</v>
      </c>
      <c r="F870" s="1">
        <v>34</v>
      </c>
      <c r="G870" t="s">
        <v>46</v>
      </c>
      <c r="H870" s="1">
        <v>17</v>
      </c>
      <c r="I870" t="s">
        <v>201</v>
      </c>
      <c r="J870" s="1">
        <v>22</v>
      </c>
      <c r="K870" s="1">
        <v>26</v>
      </c>
      <c r="L870" s="1">
        <v>2009</v>
      </c>
      <c r="M870" s="1">
        <v>35329</v>
      </c>
      <c r="N870" s="1">
        <v>55311</v>
      </c>
      <c r="O870" s="1">
        <v>3098215</v>
      </c>
      <c r="P870" s="1">
        <v>351693</v>
      </c>
      <c r="Q870" s="1">
        <v>611447</v>
      </c>
      <c r="R870" s="1">
        <v>31328148</v>
      </c>
      <c r="S870" s="1">
        <v>41051</v>
      </c>
      <c r="T870" s="1">
        <v>41051</v>
      </c>
      <c r="U870" s="1">
        <v>34017</v>
      </c>
      <c r="V870" s="1">
        <v>1</v>
      </c>
      <c r="W870" s="1">
        <v>0</v>
      </c>
    </row>
    <row r="871">
      <c r="A871" s="1">
        <v>2021</v>
      </c>
      <c r="B871" s="1">
        <v>41</v>
      </c>
      <c r="C871" t="s">
        <v>3</v>
      </c>
      <c r="D871" s="1">
        <v>51</v>
      </c>
      <c r="E871" t="s">
        <v>6</v>
      </c>
      <c r="F871" s="1">
        <v>35</v>
      </c>
      <c r="G871" t="s">
        <v>30</v>
      </c>
      <c r="H871" s="1">
        <v>1</v>
      </c>
      <c r="I871" t="s">
        <v>114</v>
      </c>
      <c r="J871" s="1">
        <v>64</v>
      </c>
      <c r="K871" s="1">
        <v>103</v>
      </c>
      <c r="L871" s="1">
        <v>4282</v>
      </c>
      <c r="M871" s="1">
        <v>35329</v>
      </c>
      <c r="N871" s="1">
        <v>55311</v>
      </c>
      <c r="O871" s="1">
        <v>3098215</v>
      </c>
      <c r="P871" s="1">
        <v>351693</v>
      </c>
      <c r="Q871" s="1">
        <v>611447</v>
      </c>
      <c r="R871" s="1">
        <v>31328148</v>
      </c>
      <c r="S871" s="1">
        <v>41051</v>
      </c>
      <c r="T871" s="1">
        <v>41051</v>
      </c>
      <c r="U871" s="1">
        <v>35001</v>
      </c>
      <c r="V871" s="1">
        <v>1</v>
      </c>
      <c r="W871" s="1">
        <v>0</v>
      </c>
    </row>
    <row r="872">
      <c r="A872" s="1">
        <v>2021</v>
      </c>
      <c r="B872" s="1">
        <v>41</v>
      </c>
      <c r="C872" t="s">
        <v>3</v>
      </c>
      <c r="D872" s="1">
        <v>51</v>
      </c>
      <c r="E872" t="s">
        <v>6</v>
      </c>
      <c r="F872" s="1">
        <v>35</v>
      </c>
      <c r="G872" t="s">
        <v>30</v>
      </c>
      <c r="H872" s="1">
        <v>49</v>
      </c>
      <c r="I872" t="s">
        <v>115</v>
      </c>
      <c r="J872" s="1">
        <v>36</v>
      </c>
      <c r="K872" s="1">
        <v>42</v>
      </c>
      <c r="L872" s="1">
        <v>2353</v>
      </c>
      <c r="M872" s="1">
        <v>35329</v>
      </c>
      <c r="N872" s="1">
        <v>55311</v>
      </c>
      <c r="O872" s="1">
        <v>3098215</v>
      </c>
      <c r="P872" s="1">
        <v>351693</v>
      </c>
      <c r="Q872" s="1">
        <v>611447</v>
      </c>
      <c r="R872" s="1">
        <v>31328148</v>
      </c>
      <c r="S872" s="1">
        <v>41051</v>
      </c>
      <c r="T872" s="1">
        <v>41051</v>
      </c>
      <c r="U872" s="1">
        <v>35049</v>
      </c>
      <c r="V872" s="1">
        <v>1</v>
      </c>
      <c r="W872" s="1">
        <v>0</v>
      </c>
    </row>
    <row r="873">
      <c r="A873" s="1">
        <v>2021</v>
      </c>
      <c r="B873" s="1">
        <v>41</v>
      </c>
      <c r="C873" t="s">
        <v>3</v>
      </c>
      <c r="D873" s="1">
        <v>51</v>
      </c>
      <c r="E873" t="s">
        <v>6</v>
      </c>
      <c r="F873" s="1">
        <v>36</v>
      </c>
      <c r="G873" t="s">
        <v>31</v>
      </c>
      <c r="H873" s="1">
        <v>29</v>
      </c>
      <c r="I873" t="s">
        <v>202</v>
      </c>
      <c r="J873" s="1">
        <v>21</v>
      </c>
      <c r="K873" s="1">
        <v>35</v>
      </c>
      <c r="L873" s="1">
        <v>973</v>
      </c>
      <c r="M873" s="1">
        <v>35329</v>
      </c>
      <c r="N873" s="1">
        <v>55311</v>
      </c>
      <c r="O873" s="1">
        <v>3098215</v>
      </c>
      <c r="P873" s="1">
        <v>351693</v>
      </c>
      <c r="Q873" s="1">
        <v>611447</v>
      </c>
      <c r="R873" s="1">
        <v>31328148</v>
      </c>
      <c r="S873" s="1">
        <v>41051</v>
      </c>
      <c r="T873" s="1">
        <v>41051</v>
      </c>
      <c r="U873" s="1">
        <v>36029</v>
      </c>
      <c r="V873" s="1">
        <v>1</v>
      </c>
      <c r="W873" s="1">
        <v>0</v>
      </c>
    </row>
    <row r="874">
      <c r="A874" s="1">
        <v>2021</v>
      </c>
      <c r="B874" s="1">
        <v>41</v>
      </c>
      <c r="C874" t="s">
        <v>3</v>
      </c>
      <c r="D874" s="1">
        <v>51</v>
      </c>
      <c r="E874" t="s">
        <v>6</v>
      </c>
      <c r="F874" s="1">
        <v>36</v>
      </c>
      <c r="G874" t="s">
        <v>31</v>
      </c>
      <c r="H874" s="1">
        <v>47</v>
      </c>
      <c r="I874" t="s">
        <v>116</v>
      </c>
      <c r="J874" s="1">
        <v>161</v>
      </c>
      <c r="K874" s="1">
        <v>188</v>
      </c>
      <c r="L874" s="1">
        <v>11876</v>
      </c>
      <c r="M874" s="1">
        <v>35329</v>
      </c>
      <c r="N874" s="1">
        <v>55311</v>
      </c>
      <c r="O874" s="1">
        <v>3098215</v>
      </c>
      <c r="P874" s="1">
        <v>351693</v>
      </c>
      <c r="Q874" s="1">
        <v>611447</v>
      </c>
      <c r="R874" s="1">
        <v>31328148</v>
      </c>
      <c r="S874" s="1">
        <v>41051</v>
      </c>
      <c r="T874" s="1">
        <v>41051</v>
      </c>
      <c r="U874" s="1">
        <v>36047</v>
      </c>
      <c r="V874" s="1">
        <v>1</v>
      </c>
      <c r="W874" s="1">
        <v>0</v>
      </c>
    </row>
    <row r="875">
      <c r="A875" s="1">
        <v>2021</v>
      </c>
      <c r="B875" s="1">
        <v>41</v>
      </c>
      <c r="C875" t="s">
        <v>3</v>
      </c>
      <c r="D875" s="1">
        <v>51</v>
      </c>
      <c r="E875" t="s">
        <v>6</v>
      </c>
      <c r="F875" s="1">
        <v>36</v>
      </c>
      <c r="G875" t="s">
        <v>31</v>
      </c>
      <c r="H875" s="1">
        <v>55</v>
      </c>
      <c r="I875" t="s">
        <v>203</v>
      </c>
      <c r="J875" s="1">
        <v>27</v>
      </c>
      <c r="K875" s="1">
        <v>41</v>
      </c>
      <c r="L875" s="1">
        <v>1714</v>
      </c>
      <c r="M875" s="1">
        <v>35329</v>
      </c>
      <c r="N875" s="1">
        <v>55311</v>
      </c>
      <c r="O875" s="1">
        <v>3098215</v>
      </c>
      <c r="P875" s="1">
        <v>351693</v>
      </c>
      <c r="Q875" s="1">
        <v>611447</v>
      </c>
      <c r="R875" s="1">
        <v>31328148</v>
      </c>
      <c r="S875" s="1">
        <v>41051</v>
      </c>
      <c r="T875" s="1">
        <v>41051</v>
      </c>
      <c r="U875" s="1">
        <v>36055</v>
      </c>
      <c r="V875" s="1">
        <v>1</v>
      </c>
      <c r="W875" s="1">
        <v>0</v>
      </c>
    </row>
    <row r="876">
      <c r="A876" s="1">
        <v>2021</v>
      </c>
      <c r="B876" s="1">
        <v>41</v>
      </c>
      <c r="C876" t="s">
        <v>3</v>
      </c>
      <c r="D876" s="1">
        <v>51</v>
      </c>
      <c r="E876" t="s">
        <v>6</v>
      </c>
      <c r="F876" s="1">
        <v>36</v>
      </c>
      <c r="G876" t="s">
        <v>31</v>
      </c>
      <c r="H876" s="1">
        <v>61</v>
      </c>
      <c r="I876" t="s">
        <v>117</v>
      </c>
      <c r="J876" s="1">
        <v>147</v>
      </c>
      <c r="K876" s="1">
        <v>168</v>
      </c>
      <c r="L876" s="1">
        <v>15687</v>
      </c>
      <c r="M876" s="1">
        <v>35329</v>
      </c>
      <c r="N876" s="1">
        <v>55311</v>
      </c>
      <c r="O876" s="1">
        <v>3098215</v>
      </c>
      <c r="P876" s="1">
        <v>351693</v>
      </c>
      <c r="Q876" s="1">
        <v>611447</v>
      </c>
      <c r="R876" s="1">
        <v>31328148</v>
      </c>
      <c r="S876" s="1">
        <v>41051</v>
      </c>
      <c r="T876" s="1">
        <v>41051</v>
      </c>
      <c r="U876" s="1">
        <v>36061</v>
      </c>
      <c r="V876" s="1">
        <v>1</v>
      </c>
      <c r="W876" s="1">
        <v>0</v>
      </c>
    </row>
    <row r="877">
      <c r="A877" s="1">
        <v>2021</v>
      </c>
      <c r="B877" s="1">
        <v>41</v>
      </c>
      <c r="C877" t="s">
        <v>3</v>
      </c>
      <c r="D877" s="1">
        <v>51</v>
      </c>
      <c r="E877" t="s">
        <v>6</v>
      </c>
      <c r="F877" s="1">
        <v>36</v>
      </c>
      <c r="G877" t="s">
        <v>31</v>
      </c>
      <c r="H877" s="1">
        <v>81</v>
      </c>
      <c r="I877" t="s">
        <v>118</v>
      </c>
      <c r="J877" s="1">
        <v>41</v>
      </c>
      <c r="K877" s="1">
        <v>48</v>
      </c>
      <c r="L877" s="1">
        <v>2755</v>
      </c>
      <c r="M877" s="1">
        <v>35329</v>
      </c>
      <c r="N877" s="1">
        <v>55311</v>
      </c>
      <c r="O877" s="1">
        <v>3098215</v>
      </c>
      <c r="P877" s="1">
        <v>351693</v>
      </c>
      <c r="Q877" s="1">
        <v>611447</v>
      </c>
      <c r="R877" s="1">
        <v>31328148</v>
      </c>
      <c r="S877" s="1">
        <v>41051</v>
      </c>
      <c r="T877" s="1">
        <v>41051</v>
      </c>
      <c r="U877" s="1">
        <v>36081</v>
      </c>
      <c r="V877" s="1">
        <v>1</v>
      </c>
      <c r="W877" s="1">
        <v>0</v>
      </c>
    </row>
    <row r="878">
      <c r="A878" s="1">
        <v>2021</v>
      </c>
      <c r="B878" s="1">
        <v>41</v>
      </c>
      <c r="C878" t="s">
        <v>3</v>
      </c>
      <c r="D878" s="1">
        <v>51</v>
      </c>
      <c r="E878" t="s">
        <v>6</v>
      </c>
      <c r="F878" s="1">
        <v>37</v>
      </c>
      <c r="G878" t="s">
        <v>32</v>
      </c>
      <c r="H878" s="1">
        <v>21</v>
      </c>
      <c r="I878" t="s">
        <v>120</v>
      </c>
      <c r="J878" s="1">
        <v>42</v>
      </c>
      <c r="K878" s="1">
        <v>61</v>
      </c>
      <c r="L878" s="1">
        <v>3205</v>
      </c>
      <c r="M878" s="1">
        <v>35329</v>
      </c>
      <c r="N878" s="1">
        <v>55311</v>
      </c>
      <c r="O878" s="1">
        <v>3098215</v>
      </c>
      <c r="P878" s="1">
        <v>351693</v>
      </c>
      <c r="Q878" s="1">
        <v>611447</v>
      </c>
      <c r="R878" s="1">
        <v>31328148</v>
      </c>
      <c r="S878" s="1">
        <v>41051</v>
      </c>
      <c r="T878" s="1">
        <v>41051</v>
      </c>
      <c r="U878" s="1">
        <v>37021</v>
      </c>
      <c r="V878" s="1">
        <v>1</v>
      </c>
      <c r="W878" s="1">
        <v>0</v>
      </c>
    </row>
    <row r="879">
      <c r="A879" s="1">
        <v>2021</v>
      </c>
      <c r="B879" s="1">
        <v>41</v>
      </c>
      <c r="C879" t="s">
        <v>3</v>
      </c>
      <c r="D879" s="1">
        <v>51</v>
      </c>
      <c r="E879" t="s">
        <v>6</v>
      </c>
      <c r="F879" s="1">
        <v>37</v>
      </c>
      <c r="G879" t="s">
        <v>32</v>
      </c>
      <c r="H879" s="1">
        <v>63</v>
      </c>
      <c r="I879" t="s">
        <v>205</v>
      </c>
      <c r="J879" s="1">
        <v>27</v>
      </c>
      <c r="K879" s="1">
        <v>40</v>
      </c>
      <c r="L879" s="1">
        <v>1896</v>
      </c>
      <c r="M879" s="1">
        <v>35329</v>
      </c>
      <c r="N879" s="1">
        <v>55311</v>
      </c>
      <c r="O879" s="1">
        <v>3098215</v>
      </c>
      <c r="P879" s="1">
        <v>351693</v>
      </c>
      <c r="Q879" s="1">
        <v>611447</v>
      </c>
      <c r="R879" s="1">
        <v>31328148</v>
      </c>
      <c r="S879" s="1">
        <v>41051</v>
      </c>
      <c r="T879" s="1">
        <v>41051</v>
      </c>
      <c r="U879" s="1">
        <v>37063</v>
      </c>
      <c r="V879" s="1">
        <v>1</v>
      </c>
      <c r="W879" s="1">
        <v>0</v>
      </c>
    </row>
    <row r="880">
      <c r="A880" s="1">
        <v>2021</v>
      </c>
      <c r="B880" s="1">
        <v>41</v>
      </c>
      <c r="C880" t="s">
        <v>3</v>
      </c>
      <c r="D880" s="1">
        <v>51</v>
      </c>
      <c r="E880" t="s">
        <v>6</v>
      </c>
      <c r="F880" s="1">
        <v>37</v>
      </c>
      <c r="G880" t="s">
        <v>32</v>
      </c>
      <c r="H880" s="1">
        <v>119</v>
      </c>
      <c r="I880" t="s">
        <v>121</v>
      </c>
      <c r="J880" s="1">
        <v>46</v>
      </c>
      <c r="K880" s="1">
        <v>71</v>
      </c>
      <c r="L880" s="1">
        <v>4867</v>
      </c>
      <c r="M880" s="1">
        <v>35329</v>
      </c>
      <c r="N880" s="1">
        <v>55311</v>
      </c>
      <c r="O880" s="1">
        <v>3098215</v>
      </c>
      <c r="P880" s="1">
        <v>351693</v>
      </c>
      <c r="Q880" s="1">
        <v>611447</v>
      </c>
      <c r="R880" s="1">
        <v>31328148</v>
      </c>
      <c r="S880" s="1">
        <v>41051</v>
      </c>
      <c r="T880" s="1">
        <v>41051</v>
      </c>
      <c r="U880" s="1">
        <v>37119</v>
      </c>
      <c r="V880" s="1">
        <v>1</v>
      </c>
      <c r="W880" s="1">
        <v>0</v>
      </c>
    </row>
    <row r="881">
      <c r="A881" s="1">
        <v>2021</v>
      </c>
      <c r="B881" s="1">
        <v>41</v>
      </c>
      <c r="C881" t="s">
        <v>3</v>
      </c>
      <c r="D881" s="1">
        <v>51</v>
      </c>
      <c r="E881" t="s">
        <v>6</v>
      </c>
      <c r="F881" s="1">
        <v>37</v>
      </c>
      <c r="G881" t="s">
        <v>32</v>
      </c>
      <c r="H881" s="1">
        <v>183</v>
      </c>
      <c r="I881" t="s">
        <v>206</v>
      </c>
      <c r="J881" s="1">
        <v>43</v>
      </c>
      <c r="K881" s="1">
        <v>59</v>
      </c>
      <c r="L881" s="1">
        <v>2522</v>
      </c>
      <c r="M881" s="1">
        <v>35329</v>
      </c>
      <c r="N881" s="1">
        <v>55311</v>
      </c>
      <c r="O881" s="1">
        <v>3098215</v>
      </c>
      <c r="P881" s="1">
        <v>351693</v>
      </c>
      <c r="Q881" s="1">
        <v>611447</v>
      </c>
      <c r="R881" s="1">
        <v>31328148</v>
      </c>
      <c r="S881" s="1">
        <v>41051</v>
      </c>
      <c r="T881" s="1">
        <v>41051</v>
      </c>
      <c r="U881" s="1">
        <v>37183</v>
      </c>
      <c r="V881" s="1">
        <v>1</v>
      </c>
      <c r="W881" s="1">
        <v>0</v>
      </c>
    </row>
    <row r="882">
      <c r="A882" s="1">
        <v>2021</v>
      </c>
      <c r="B882" s="1">
        <v>41</v>
      </c>
      <c r="C882" t="s">
        <v>3</v>
      </c>
      <c r="D882" s="1">
        <v>51</v>
      </c>
      <c r="E882" t="s">
        <v>6</v>
      </c>
      <c r="F882" s="1">
        <v>39</v>
      </c>
      <c r="G882" t="s">
        <v>33</v>
      </c>
      <c r="H882" s="1">
        <v>35</v>
      </c>
      <c r="I882" t="s">
        <v>207</v>
      </c>
      <c r="J882" s="1">
        <v>34</v>
      </c>
      <c r="K882" s="1">
        <v>50</v>
      </c>
      <c r="L882" s="1">
        <v>2002</v>
      </c>
      <c r="M882" s="1">
        <v>35329</v>
      </c>
      <c r="N882" s="1">
        <v>55311</v>
      </c>
      <c r="O882" s="1">
        <v>3098215</v>
      </c>
      <c r="P882" s="1">
        <v>351693</v>
      </c>
      <c r="Q882" s="1">
        <v>611447</v>
      </c>
      <c r="R882" s="1">
        <v>31328148</v>
      </c>
      <c r="S882" s="1">
        <v>41051</v>
      </c>
      <c r="T882" s="1">
        <v>41051</v>
      </c>
      <c r="U882" s="1">
        <v>39035</v>
      </c>
      <c r="V882" s="1">
        <v>1</v>
      </c>
      <c r="W882" s="1">
        <v>0</v>
      </c>
    </row>
    <row r="883">
      <c r="A883" s="1">
        <v>2021</v>
      </c>
      <c r="B883" s="1">
        <v>41</v>
      </c>
      <c r="C883" t="s">
        <v>3</v>
      </c>
      <c r="D883" s="1">
        <v>51</v>
      </c>
      <c r="E883" t="s">
        <v>6</v>
      </c>
      <c r="F883" s="1">
        <v>39</v>
      </c>
      <c r="G883" t="s">
        <v>33</v>
      </c>
      <c r="H883" s="1">
        <v>49</v>
      </c>
      <c r="I883" t="s">
        <v>122</v>
      </c>
      <c r="J883" s="1">
        <v>60</v>
      </c>
      <c r="K883" s="1">
        <v>105</v>
      </c>
      <c r="L883" s="1">
        <v>4182</v>
      </c>
      <c r="M883" s="1">
        <v>35329</v>
      </c>
      <c r="N883" s="1">
        <v>55311</v>
      </c>
      <c r="O883" s="1">
        <v>3098215</v>
      </c>
      <c r="P883" s="1">
        <v>351693</v>
      </c>
      <c r="Q883" s="1">
        <v>611447</v>
      </c>
      <c r="R883" s="1">
        <v>31328148</v>
      </c>
      <c r="S883" s="1">
        <v>41051</v>
      </c>
      <c r="T883" s="1">
        <v>41051</v>
      </c>
      <c r="U883" s="1">
        <v>39049</v>
      </c>
      <c r="V883" s="1">
        <v>1</v>
      </c>
      <c r="W883" s="1">
        <v>0</v>
      </c>
    </row>
    <row r="884">
      <c r="A884" s="1">
        <v>2021</v>
      </c>
      <c r="B884" s="1">
        <v>41</v>
      </c>
      <c r="C884" t="s">
        <v>3</v>
      </c>
      <c r="D884" s="1">
        <v>51</v>
      </c>
      <c r="E884" t="s">
        <v>6</v>
      </c>
      <c r="F884" s="1">
        <v>39</v>
      </c>
      <c r="G884" t="s">
        <v>33</v>
      </c>
      <c r="H884" s="1">
        <v>61</v>
      </c>
      <c r="I884" t="s">
        <v>208</v>
      </c>
      <c r="J884" s="1">
        <v>26</v>
      </c>
      <c r="K884" s="1">
        <v>29</v>
      </c>
      <c r="L884" s="1">
        <v>1265</v>
      </c>
      <c r="M884" s="1">
        <v>35329</v>
      </c>
      <c r="N884" s="1">
        <v>55311</v>
      </c>
      <c r="O884" s="1">
        <v>3098215</v>
      </c>
      <c r="P884" s="1">
        <v>351693</v>
      </c>
      <c r="Q884" s="1">
        <v>611447</v>
      </c>
      <c r="R884" s="1">
        <v>31328148</v>
      </c>
      <c r="S884" s="1">
        <v>41051</v>
      </c>
      <c r="T884" s="1">
        <v>41051</v>
      </c>
      <c r="U884" s="1">
        <v>39061</v>
      </c>
      <c r="V884" s="1">
        <v>1</v>
      </c>
      <c r="W884" s="1">
        <v>0</v>
      </c>
    </row>
    <row r="885">
      <c r="A885" s="1">
        <v>2021</v>
      </c>
      <c r="B885" s="1">
        <v>41</v>
      </c>
      <c r="C885" t="s">
        <v>3</v>
      </c>
      <c r="D885" s="1">
        <v>51</v>
      </c>
      <c r="E885" t="s">
        <v>6</v>
      </c>
      <c r="F885" s="1">
        <v>40</v>
      </c>
      <c r="G885" t="s">
        <v>47</v>
      </c>
      <c r="H885" s="1">
        <v>109</v>
      </c>
      <c r="I885" t="s">
        <v>209</v>
      </c>
      <c r="J885" s="1">
        <v>24</v>
      </c>
      <c r="K885" s="1">
        <v>42</v>
      </c>
      <c r="L885" s="1">
        <v>1044</v>
      </c>
      <c r="M885" s="1">
        <v>35329</v>
      </c>
      <c r="N885" s="1">
        <v>55311</v>
      </c>
      <c r="O885" s="1">
        <v>3098215</v>
      </c>
      <c r="P885" s="1">
        <v>351693</v>
      </c>
      <c r="Q885" s="1">
        <v>611447</v>
      </c>
      <c r="R885" s="1">
        <v>31328148</v>
      </c>
      <c r="S885" s="1">
        <v>41051</v>
      </c>
      <c r="T885" s="1">
        <v>41051</v>
      </c>
      <c r="U885" s="1">
        <v>40109</v>
      </c>
      <c r="V885" s="1">
        <v>1</v>
      </c>
      <c r="W885" s="1">
        <v>0</v>
      </c>
    </row>
    <row r="886">
      <c r="A886" s="1">
        <v>2021</v>
      </c>
      <c r="B886" s="1">
        <v>41</v>
      </c>
      <c r="C886" t="s">
        <v>3</v>
      </c>
      <c r="D886" s="1">
        <v>51</v>
      </c>
      <c r="E886" t="s">
        <v>6</v>
      </c>
      <c r="F886" s="1">
        <v>41</v>
      </c>
      <c r="G886" t="s">
        <v>3</v>
      </c>
      <c r="H886" s="1">
        <v>1</v>
      </c>
      <c r="I886" t="s">
        <v>123</v>
      </c>
      <c r="J886" s="1">
        <v>21</v>
      </c>
      <c r="K886" s="1">
        <v>45</v>
      </c>
      <c r="L886" s="1">
        <v>1439</v>
      </c>
      <c r="M886" s="1">
        <v>35329</v>
      </c>
      <c r="N886" s="1">
        <v>55311</v>
      </c>
      <c r="O886" s="1">
        <v>3098215</v>
      </c>
      <c r="P886" s="1">
        <v>351693</v>
      </c>
      <c r="Q886" s="1">
        <v>611447</v>
      </c>
      <c r="R886" s="1">
        <v>31328148</v>
      </c>
      <c r="S886" s="1">
        <v>41051</v>
      </c>
      <c r="T886" s="1">
        <v>41051</v>
      </c>
      <c r="U886" s="1">
        <v>41001</v>
      </c>
      <c r="V886" s="1">
        <v>1</v>
      </c>
      <c r="W886" s="1">
        <v>0</v>
      </c>
    </row>
    <row r="887">
      <c r="A887" s="1">
        <v>2021</v>
      </c>
      <c r="B887" s="1">
        <v>41</v>
      </c>
      <c r="C887" t="s">
        <v>3</v>
      </c>
      <c r="D887" s="1">
        <v>51</v>
      </c>
      <c r="E887" t="s">
        <v>6</v>
      </c>
      <c r="F887" s="1">
        <v>41</v>
      </c>
      <c r="G887" t="s">
        <v>3</v>
      </c>
      <c r="H887" s="1">
        <v>3</v>
      </c>
      <c r="I887" t="s">
        <v>124</v>
      </c>
      <c r="J887" s="1">
        <v>202</v>
      </c>
      <c r="K887" s="1">
        <v>276</v>
      </c>
      <c r="L887" s="1">
        <v>12716</v>
      </c>
      <c r="M887" s="1">
        <v>35329</v>
      </c>
      <c r="N887" s="1">
        <v>55311</v>
      </c>
      <c r="O887" s="1">
        <v>3098215</v>
      </c>
      <c r="P887" s="1">
        <v>351693</v>
      </c>
      <c r="Q887" s="1">
        <v>611447</v>
      </c>
      <c r="R887" s="1">
        <v>31328148</v>
      </c>
      <c r="S887" s="1">
        <v>41051</v>
      </c>
      <c r="T887" s="1">
        <v>41051</v>
      </c>
      <c r="U887" s="1">
        <v>41003</v>
      </c>
      <c r="V887" s="1">
        <v>1</v>
      </c>
      <c r="W887" s="1">
        <v>0</v>
      </c>
    </row>
    <row r="888">
      <c r="A888" s="1">
        <v>2021</v>
      </c>
      <c r="B888" s="1">
        <v>41</v>
      </c>
      <c r="C888" t="s">
        <v>3</v>
      </c>
      <c r="D888" s="1">
        <v>51</v>
      </c>
      <c r="E888" t="s">
        <v>6</v>
      </c>
      <c r="F888" s="1">
        <v>41</v>
      </c>
      <c r="G888" t="s">
        <v>3</v>
      </c>
      <c r="H888" s="1">
        <v>5</v>
      </c>
      <c r="I888" t="s">
        <v>125</v>
      </c>
      <c r="J888" s="1">
        <v>6166</v>
      </c>
      <c r="K888" s="1">
        <v>10819</v>
      </c>
      <c r="L888" s="1">
        <v>583414</v>
      </c>
      <c r="M888" s="1">
        <v>35329</v>
      </c>
      <c r="N888" s="1">
        <v>55311</v>
      </c>
      <c r="O888" s="1">
        <v>3098215</v>
      </c>
      <c r="P888" s="1">
        <v>351693</v>
      </c>
      <c r="Q888" s="1">
        <v>611447</v>
      </c>
      <c r="R888" s="1">
        <v>31328148</v>
      </c>
      <c r="S888" s="1">
        <v>41051</v>
      </c>
      <c r="T888" s="1">
        <v>41051</v>
      </c>
      <c r="U888" s="1">
        <v>41005</v>
      </c>
      <c r="V888" s="1">
        <v>1</v>
      </c>
      <c r="W888" s="1">
        <v>0</v>
      </c>
    </row>
    <row r="889">
      <c r="A889" s="1">
        <v>2021</v>
      </c>
      <c r="B889" s="1">
        <v>41</v>
      </c>
      <c r="C889" t="s">
        <v>3</v>
      </c>
      <c r="D889" s="1">
        <v>51</v>
      </c>
      <c r="E889" t="s">
        <v>6</v>
      </c>
      <c r="F889" s="1">
        <v>41</v>
      </c>
      <c r="G889" t="s">
        <v>3</v>
      </c>
      <c r="H889" s="1">
        <v>7</v>
      </c>
      <c r="I889" t="s">
        <v>126</v>
      </c>
      <c r="J889" s="1">
        <v>197</v>
      </c>
      <c r="K889" s="1">
        <v>292</v>
      </c>
      <c r="L889" s="1">
        <v>49171</v>
      </c>
      <c r="M889" s="1">
        <v>35329</v>
      </c>
      <c r="N889" s="1">
        <v>55311</v>
      </c>
      <c r="O889" s="1">
        <v>3098215</v>
      </c>
      <c r="P889" s="1">
        <v>351693</v>
      </c>
      <c r="Q889" s="1">
        <v>611447</v>
      </c>
      <c r="R889" s="1">
        <v>31328148</v>
      </c>
      <c r="S889" s="1">
        <v>41051</v>
      </c>
      <c r="T889" s="1">
        <v>41051</v>
      </c>
      <c r="U889" s="1">
        <v>41007</v>
      </c>
      <c r="V889" s="1">
        <v>1</v>
      </c>
      <c r="W889" s="1">
        <v>0</v>
      </c>
    </row>
    <row r="890">
      <c r="A890" s="1">
        <v>2021</v>
      </c>
      <c r="B890" s="1">
        <v>41</v>
      </c>
      <c r="C890" t="s">
        <v>3</v>
      </c>
      <c r="D890" s="1">
        <v>51</v>
      </c>
      <c r="E890" t="s">
        <v>6</v>
      </c>
      <c r="F890" s="1">
        <v>41</v>
      </c>
      <c r="G890" t="s">
        <v>3</v>
      </c>
      <c r="H890" s="1">
        <v>9</v>
      </c>
      <c r="I890" t="s">
        <v>127</v>
      </c>
      <c r="J890" s="1">
        <v>355</v>
      </c>
      <c r="K890" s="1">
        <v>579</v>
      </c>
      <c r="L890" s="1">
        <v>20931</v>
      </c>
      <c r="M890" s="1">
        <v>35329</v>
      </c>
      <c r="N890" s="1">
        <v>55311</v>
      </c>
      <c r="O890" s="1">
        <v>3098215</v>
      </c>
      <c r="P890" s="1">
        <v>351693</v>
      </c>
      <c r="Q890" s="1">
        <v>611447</v>
      </c>
      <c r="R890" s="1">
        <v>31328148</v>
      </c>
      <c r="S890" s="1">
        <v>41051</v>
      </c>
      <c r="T890" s="1">
        <v>41051</v>
      </c>
      <c r="U890" s="1">
        <v>41009</v>
      </c>
      <c r="V890" s="1">
        <v>1</v>
      </c>
      <c r="W890" s="1">
        <v>0</v>
      </c>
    </row>
    <row r="891">
      <c r="A891" s="1">
        <v>2021</v>
      </c>
      <c r="B891" s="1">
        <v>41</v>
      </c>
      <c r="C891" t="s">
        <v>3</v>
      </c>
      <c r="D891" s="1">
        <v>51</v>
      </c>
      <c r="E891" t="s">
        <v>6</v>
      </c>
      <c r="F891" s="1">
        <v>41</v>
      </c>
      <c r="G891" t="s">
        <v>3</v>
      </c>
      <c r="H891" s="1">
        <v>11</v>
      </c>
      <c r="I891" t="s">
        <v>128</v>
      </c>
      <c r="J891" s="1">
        <v>54</v>
      </c>
      <c r="K891" s="1">
        <v>77</v>
      </c>
      <c r="L891" s="1">
        <v>3997</v>
      </c>
      <c r="M891" s="1">
        <v>35329</v>
      </c>
      <c r="N891" s="1">
        <v>55311</v>
      </c>
      <c r="O891" s="1">
        <v>3098215</v>
      </c>
      <c r="P891" s="1">
        <v>351693</v>
      </c>
      <c r="Q891" s="1">
        <v>611447</v>
      </c>
      <c r="R891" s="1">
        <v>31328148</v>
      </c>
      <c r="S891" s="1">
        <v>41051</v>
      </c>
      <c r="T891" s="1">
        <v>41051</v>
      </c>
      <c r="U891" s="1">
        <v>41011</v>
      </c>
      <c r="V891" s="1">
        <v>1</v>
      </c>
      <c r="W891" s="1">
        <v>0</v>
      </c>
    </row>
    <row r="892">
      <c r="A892" s="1">
        <v>2021</v>
      </c>
      <c r="B892" s="1">
        <v>41</v>
      </c>
      <c r="C892" t="s">
        <v>3</v>
      </c>
      <c r="D892" s="1">
        <v>51</v>
      </c>
      <c r="E892" t="s">
        <v>6</v>
      </c>
      <c r="F892" s="1">
        <v>41</v>
      </c>
      <c r="G892" t="s">
        <v>3</v>
      </c>
      <c r="H892" s="1">
        <v>13</v>
      </c>
      <c r="I892" t="s">
        <v>129</v>
      </c>
      <c r="J892" s="1">
        <v>56</v>
      </c>
      <c r="K892" s="1">
        <v>101</v>
      </c>
      <c r="L892" s="1">
        <v>5901</v>
      </c>
      <c r="M892" s="1">
        <v>35329</v>
      </c>
      <c r="N892" s="1">
        <v>55311</v>
      </c>
      <c r="O892" s="1">
        <v>3098215</v>
      </c>
      <c r="P892" s="1">
        <v>351693</v>
      </c>
      <c r="Q892" s="1">
        <v>611447</v>
      </c>
      <c r="R892" s="1">
        <v>31328148</v>
      </c>
      <c r="S892" s="1">
        <v>41051</v>
      </c>
      <c r="T892" s="1">
        <v>41051</v>
      </c>
      <c r="U892" s="1">
        <v>41013</v>
      </c>
      <c r="V892" s="1">
        <v>1</v>
      </c>
      <c r="W892" s="1">
        <v>0</v>
      </c>
    </row>
    <row r="893">
      <c r="A893" s="1">
        <v>2021</v>
      </c>
      <c r="B893" s="1">
        <v>41</v>
      </c>
      <c r="C893" t="s">
        <v>3</v>
      </c>
      <c r="D893" s="1">
        <v>51</v>
      </c>
      <c r="E893" t="s">
        <v>6</v>
      </c>
      <c r="F893" s="1">
        <v>41</v>
      </c>
      <c r="G893" t="s">
        <v>3</v>
      </c>
      <c r="H893" s="1">
        <v>15</v>
      </c>
      <c r="I893" t="s">
        <v>210</v>
      </c>
      <c r="J893" s="1">
        <v>28</v>
      </c>
      <c r="K893" s="1">
        <v>33</v>
      </c>
      <c r="L893" s="1">
        <v>1581</v>
      </c>
      <c r="M893" s="1">
        <v>35329</v>
      </c>
      <c r="N893" s="1">
        <v>55311</v>
      </c>
      <c r="O893" s="1">
        <v>3098215</v>
      </c>
      <c r="P893" s="1">
        <v>351693</v>
      </c>
      <c r="Q893" s="1">
        <v>611447</v>
      </c>
      <c r="R893" s="1">
        <v>31328148</v>
      </c>
      <c r="S893" s="1">
        <v>41051</v>
      </c>
      <c r="T893" s="1">
        <v>41051</v>
      </c>
      <c r="U893" s="1">
        <v>41015</v>
      </c>
      <c r="V893" s="1">
        <v>1</v>
      </c>
      <c r="W893" s="1">
        <v>0</v>
      </c>
    </row>
    <row r="894">
      <c r="A894" s="1">
        <v>2021</v>
      </c>
      <c r="B894" s="1">
        <v>41</v>
      </c>
      <c r="C894" t="s">
        <v>3</v>
      </c>
      <c r="D894" s="1">
        <v>51</v>
      </c>
      <c r="E894" t="s">
        <v>6</v>
      </c>
      <c r="F894" s="1">
        <v>41</v>
      </c>
      <c r="G894" t="s">
        <v>3</v>
      </c>
      <c r="H894" s="1">
        <v>17</v>
      </c>
      <c r="I894" t="s">
        <v>130</v>
      </c>
      <c r="J894" s="1">
        <v>753</v>
      </c>
      <c r="K894" s="1">
        <v>1217</v>
      </c>
      <c r="L894" s="1">
        <v>151745</v>
      </c>
      <c r="M894" s="1">
        <v>35329</v>
      </c>
      <c r="N894" s="1">
        <v>55311</v>
      </c>
      <c r="O894" s="1">
        <v>3098215</v>
      </c>
      <c r="P894" s="1">
        <v>351693</v>
      </c>
      <c r="Q894" s="1">
        <v>611447</v>
      </c>
      <c r="R894" s="1">
        <v>31328148</v>
      </c>
      <c r="S894" s="1">
        <v>41051</v>
      </c>
      <c r="T894" s="1">
        <v>41051</v>
      </c>
      <c r="U894" s="1">
        <v>41017</v>
      </c>
      <c r="V894" s="1">
        <v>1</v>
      </c>
      <c r="W894" s="1">
        <v>0</v>
      </c>
    </row>
    <row r="895">
      <c r="A895" s="1">
        <v>2021</v>
      </c>
      <c r="B895" s="1">
        <v>41</v>
      </c>
      <c r="C895" t="s">
        <v>3</v>
      </c>
      <c r="D895" s="1">
        <v>51</v>
      </c>
      <c r="E895" t="s">
        <v>6</v>
      </c>
      <c r="F895" s="1">
        <v>41</v>
      </c>
      <c r="G895" t="s">
        <v>3</v>
      </c>
      <c r="H895" s="1">
        <v>19</v>
      </c>
      <c r="I895" t="s">
        <v>131</v>
      </c>
      <c r="J895" s="1">
        <v>80</v>
      </c>
      <c r="K895" s="1">
        <v>116</v>
      </c>
      <c r="L895" s="1">
        <v>3969</v>
      </c>
      <c r="M895" s="1">
        <v>35329</v>
      </c>
      <c r="N895" s="1">
        <v>55311</v>
      </c>
      <c r="O895" s="1">
        <v>3098215</v>
      </c>
      <c r="P895" s="1">
        <v>351693</v>
      </c>
      <c r="Q895" s="1">
        <v>611447</v>
      </c>
      <c r="R895" s="1">
        <v>31328148</v>
      </c>
      <c r="S895" s="1">
        <v>41051</v>
      </c>
      <c r="T895" s="1">
        <v>41051</v>
      </c>
      <c r="U895" s="1">
        <v>41019</v>
      </c>
      <c r="V895" s="1">
        <v>1</v>
      </c>
      <c r="W895" s="1">
        <v>0</v>
      </c>
    </row>
    <row r="896">
      <c r="A896" s="1">
        <v>2021</v>
      </c>
      <c r="B896" s="1">
        <v>41</v>
      </c>
      <c r="C896" t="s">
        <v>3</v>
      </c>
      <c r="D896" s="1">
        <v>51</v>
      </c>
      <c r="E896" t="s">
        <v>6</v>
      </c>
      <c r="F896" s="1">
        <v>41</v>
      </c>
      <c r="G896" t="s">
        <v>3</v>
      </c>
      <c r="H896" s="1">
        <v>27</v>
      </c>
      <c r="I896" t="s">
        <v>132</v>
      </c>
      <c r="J896" s="1">
        <v>182</v>
      </c>
      <c r="K896" s="1">
        <v>328</v>
      </c>
      <c r="L896" s="1">
        <v>34914</v>
      </c>
      <c r="M896" s="1">
        <v>35329</v>
      </c>
      <c r="N896" s="1">
        <v>55311</v>
      </c>
      <c r="O896" s="1">
        <v>3098215</v>
      </c>
      <c r="P896" s="1">
        <v>351693</v>
      </c>
      <c r="Q896" s="1">
        <v>611447</v>
      </c>
      <c r="R896" s="1">
        <v>31328148</v>
      </c>
      <c r="S896" s="1">
        <v>41051</v>
      </c>
      <c r="T896" s="1">
        <v>41051</v>
      </c>
      <c r="U896" s="1">
        <v>41027</v>
      </c>
      <c r="V896" s="1">
        <v>1</v>
      </c>
      <c r="W896" s="1">
        <v>0</v>
      </c>
    </row>
    <row r="897">
      <c r="A897" s="1">
        <v>2021</v>
      </c>
      <c r="B897" s="1">
        <v>41</v>
      </c>
      <c r="C897" t="s">
        <v>3</v>
      </c>
      <c r="D897" s="1">
        <v>51</v>
      </c>
      <c r="E897" t="s">
        <v>6</v>
      </c>
      <c r="F897" s="1">
        <v>41</v>
      </c>
      <c r="G897" t="s">
        <v>3</v>
      </c>
      <c r="H897" s="1">
        <v>29</v>
      </c>
      <c r="I897" t="s">
        <v>133</v>
      </c>
      <c r="J897" s="1">
        <v>200</v>
      </c>
      <c r="K897" s="1">
        <v>264</v>
      </c>
      <c r="L897" s="1">
        <v>11345</v>
      </c>
      <c r="M897" s="1">
        <v>35329</v>
      </c>
      <c r="N897" s="1">
        <v>55311</v>
      </c>
      <c r="O897" s="1">
        <v>3098215</v>
      </c>
      <c r="P897" s="1">
        <v>351693</v>
      </c>
      <c r="Q897" s="1">
        <v>611447</v>
      </c>
      <c r="R897" s="1">
        <v>31328148</v>
      </c>
      <c r="S897" s="1">
        <v>41051</v>
      </c>
      <c r="T897" s="1">
        <v>41051</v>
      </c>
      <c r="U897" s="1">
        <v>41029</v>
      </c>
      <c r="V897" s="1">
        <v>1</v>
      </c>
      <c r="W897" s="1">
        <v>0</v>
      </c>
    </row>
    <row r="898">
      <c r="A898" s="1">
        <v>2021</v>
      </c>
      <c r="B898" s="1">
        <v>41</v>
      </c>
      <c r="C898" t="s">
        <v>3</v>
      </c>
      <c r="D898" s="1">
        <v>51</v>
      </c>
      <c r="E898" t="s">
        <v>6</v>
      </c>
      <c r="F898" s="1">
        <v>41</v>
      </c>
      <c r="G898" t="s">
        <v>3</v>
      </c>
      <c r="H898" s="1">
        <v>31</v>
      </c>
      <c r="I898" t="s">
        <v>83</v>
      </c>
      <c r="J898" s="1">
        <v>54</v>
      </c>
      <c r="K898" s="1">
        <v>83</v>
      </c>
      <c r="L898" s="1">
        <v>2991</v>
      </c>
      <c r="M898" s="1">
        <v>35329</v>
      </c>
      <c r="N898" s="1">
        <v>55311</v>
      </c>
      <c r="O898" s="1">
        <v>3098215</v>
      </c>
      <c r="P898" s="1">
        <v>351693</v>
      </c>
      <c r="Q898" s="1">
        <v>611447</v>
      </c>
      <c r="R898" s="1">
        <v>31328148</v>
      </c>
      <c r="S898" s="1">
        <v>41051</v>
      </c>
      <c r="T898" s="1">
        <v>41051</v>
      </c>
      <c r="U898" s="1">
        <v>41031</v>
      </c>
      <c r="V898" s="1">
        <v>1</v>
      </c>
      <c r="W898" s="1">
        <v>0</v>
      </c>
    </row>
    <row r="899">
      <c r="A899" s="1">
        <v>2021</v>
      </c>
      <c r="B899" s="1">
        <v>41</v>
      </c>
      <c r="C899" t="s">
        <v>3</v>
      </c>
      <c r="D899" s="1">
        <v>51</v>
      </c>
      <c r="E899" t="s">
        <v>6</v>
      </c>
      <c r="F899" s="1">
        <v>41</v>
      </c>
      <c r="G899" t="s">
        <v>3</v>
      </c>
      <c r="H899" s="1">
        <v>33</v>
      </c>
      <c r="I899" t="s">
        <v>134</v>
      </c>
      <c r="J899" s="1">
        <v>83</v>
      </c>
      <c r="K899" s="1">
        <v>112</v>
      </c>
      <c r="L899" s="1">
        <v>4066</v>
      </c>
      <c r="M899" s="1">
        <v>35329</v>
      </c>
      <c r="N899" s="1">
        <v>55311</v>
      </c>
      <c r="O899" s="1">
        <v>3098215</v>
      </c>
      <c r="P899" s="1">
        <v>351693</v>
      </c>
      <c r="Q899" s="1">
        <v>611447</v>
      </c>
      <c r="R899" s="1">
        <v>31328148</v>
      </c>
      <c r="S899" s="1">
        <v>41051</v>
      </c>
      <c r="T899" s="1">
        <v>41051</v>
      </c>
      <c r="U899" s="1">
        <v>41033</v>
      </c>
      <c r="V899" s="1">
        <v>1</v>
      </c>
      <c r="W899" s="1">
        <v>0</v>
      </c>
    </row>
    <row r="900">
      <c r="A900" s="1">
        <v>2021</v>
      </c>
      <c r="B900" s="1">
        <v>41</v>
      </c>
      <c r="C900" t="s">
        <v>3</v>
      </c>
      <c r="D900" s="1">
        <v>51</v>
      </c>
      <c r="E900" t="s">
        <v>6</v>
      </c>
      <c r="F900" s="1">
        <v>41</v>
      </c>
      <c r="G900" t="s">
        <v>3</v>
      </c>
      <c r="H900" s="1">
        <v>35</v>
      </c>
      <c r="I900" t="s">
        <v>135</v>
      </c>
      <c r="J900" s="1">
        <v>61</v>
      </c>
      <c r="K900" s="1">
        <v>97</v>
      </c>
      <c r="L900" s="1">
        <v>3168</v>
      </c>
      <c r="M900" s="1">
        <v>35329</v>
      </c>
      <c r="N900" s="1">
        <v>55311</v>
      </c>
      <c r="O900" s="1">
        <v>3098215</v>
      </c>
      <c r="P900" s="1">
        <v>351693</v>
      </c>
      <c r="Q900" s="1">
        <v>611447</v>
      </c>
      <c r="R900" s="1">
        <v>31328148</v>
      </c>
      <c r="S900" s="1">
        <v>41051</v>
      </c>
      <c r="T900" s="1">
        <v>41051</v>
      </c>
      <c r="U900" s="1">
        <v>41035</v>
      </c>
      <c r="V900" s="1">
        <v>1</v>
      </c>
      <c r="W900" s="1">
        <v>0</v>
      </c>
    </row>
    <row r="901">
      <c r="A901" s="1">
        <v>2021</v>
      </c>
      <c r="B901" s="1">
        <v>41</v>
      </c>
      <c r="C901" t="s">
        <v>3</v>
      </c>
      <c r="D901" s="1">
        <v>51</v>
      </c>
      <c r="E901" t="s">
        <v>6</v>
      </c>
      <c r="F901" s="1">
        <v>41</v>
      </c>
      <c r="G901" t="s">
        <v>3</v>
      </c>
      <c r="H901" s="1">
        <v>39</v>
      </c>
      <c r="I901" t="s">
        <v>136</v>
      </c>
      <c r="J901" s="1">
        <v>493</v>
      </c>
      <c r="K901" s="1">
        <v>675</v>
      </c>
      <c r="L901" s="1">
        <v>26128</v>
      </c>
      <c r="M901" s="1">
        <v>35329</v>
      </c>
      <c r="N901" s="1">
        <v>55311</v>
      </c>
      <c r="O901" s="1">
        <v>3098215</v>
      </c>
      <c r="P901" s="1">
        <v>351693</v>
      </c>
      <c r="Q901" s="1">
        <v>611447</v>
      </c>
      <c r="R901" s="1">
        <v>31328148</v>
      </c>
      <c r="S901" s="1">
        <v>41051</v>
      </c>
      <c r="T901" s="1">
        <v>41051</v>
      </c>
      <c r="U901" s="1">
        <v>41039</v>
      </c>
      <c r="V901" s="1">
        <v>1</v>
      </c>
      <c r="W901" s="1">
        <v>0</v>
      </c>
    </row>
    <row r="902">
      <c r="A902" s="1">
        <v>2021</v>
      </c>
      <c r="B902" s="1">
        <v>41</v>
      </c>
      <c r="C902" t="s">
        <v>3</v>
      </c>
      <c r="D902" s="1">
        <v>51</v>
      </c>
      <c r="E902" t="s">
        <v>6</v>
      </c>
      <c r="F902" s="1">
        <v>41</v>
      </c>
      <c r="G902" t="s">
        <v>3</v>
      </c>
      <c r="H902" s="1">
        <v>41</v>
      </c>
      <c r="I902" t="s">
        <v>137</v>
      </c>
      <c r="J902" s="1">
        <v>163</v>
      </c>
      <c r="K902" s="1">
        <v>251</v>
      </c>
      <c r="L902" s="1">
        <v>14258</v>
      </c>
      <c r="M902" s="1">
        <v>35329</v>
      </c>
      <c r="N902" s="1">
        <v>55311</v>
      </c>
      <c r="O902" s="1">
        <v>3098215</v>
      </c>
      <c r="P902" s="1">
        <v>351693</v>
      </c>
      <c r="Q902" s="1">
        <v>611447</v>
      </c>
      <c r="R902" s="1">
        <v>31328148</v>
      </c>
      <c r="S902" s="1">
        <v>41051</v>
      </c>
      <c r="T902" s="1">
        <v>41051</v>
      </c>
      <c r="U902" s="1">
        <v>41041</v>
      </c>
      <c r="V902" s="1">
        <v>1</v>
      </c>
      <c r="W902" s="1">
        <v>0</v>
      </c>
    </row>
    <row r="903">
      <c r="A903" s="1">
        <v>2021</v>
      </c>
      <c r="B903" s="1">
        <v>41</v>
      </c>
      <c r="C903" t="s">
        <v>3</v>
      </c>
      <c r="D903" s="1">
        <v>51</v>
      </c>
      <c r="E903" t="s">
        <v>6</v>
      </c>
      <c r="F903" s="1">
        <v>41</v>
      </c>
      <c r="G903" t="s">
        <v>3</v>
      </c>
      <c r="H903" s="1">
        <v>43</v>
      </c>
      <c r="I903" t="s">
        <v>138</v>
      </c>
      <c r="J903" s="1">
        <v>126</v>
      </c>
      <c r="K903" s="1">
        <v>176</v>
      </c>
      <c r="L903" s="1">
        <v>5959</v>
      </c>
      <c r="M903" s="1">
        <v>35329</v>
      </c>
      <c r="N903" s="1">
        <v>55311</v>
      </c>
      <c r="O903" s="1">
        <v>3098215</v>
      </c>
      <c r="P903" s="1">
        <v>351693</v>
      </c>
      <c r="Q903" s="1">
        <v>611447</v>
      </c>
      <c r="R903" s="1">
        <v>31328148</v>
      </c>
      <c r="S903" s="1">
        <v>41051</v>
      </c>
      <c r="T903" s="1">
        <v>41051</v>
      </c>
      <c r="U903" s="1">
        <v>41043</v>
      </c>
      <c r="V903" s="1">
        <v>1</v>
      </c>
      <c r="W903" s="1">
        <v>0</v>
      </c>
    </row>
    <row r="904">
      <c r="A904" s="1">
        <v>2021</v>
      </c>
      <c r="B904" s="1">
        <v>41</v>
      </c>
      <c r="C904" t="s">
        <v>3</v>
      </c>
      <c r="D904" s="1">
        <v>51</v>
      </c>
      <c r="E904" t="s">
        <v>6</v>
      </c>
      <c r="F904" s="1">
        <v>41</v>
      </c>
      <c r="G904" t="s">
        <v>3</v>
      </c>
      <c r="H904" s="1">
        <v>45</v>
      </c>
      <c r="I904" t="s">
        <v>248</v>
      </c>
      <c r="J904" s="1">
        <v>22</v>
      </c>
      <c r="K904" s="1">
        <v>34</v>
      </c>
      <c r="L904" s="1">
        <v>570</v>
      </c>
      <c r="M904" s="1">
        <v>35329</v>
      </c>
      <c r="N904" s="1">
        <v>55311</v>
      </c>
      <c r="O904" s="1">
        <v>3098215</v>
      </c>
      <c r="P904" s="1">
        <v>351693</v>
      </c>
      <c r="Q904" s="1">
        <v>611447</v>
      </c>
      <c r="R904" s="1">
        <v>31328148</v>
      </c>
      <c r="S904" s="1">
        <v>41051</v>
      </c>
      <c r="T904" s="1">
        <v>41051</v>
      </c>
      <c r="U904" s="1">
        <v>41045</v>
      </c>
      <c r="V904" s="1">
        <v>1</v>
      </c>
      <c r="W904" s="1">
        <v>0</v>
      </c>
    </row>
    <row r="905">
      <c r="A905" s="1">
        <v>2021</v>
      </c>
      <c r="B905" s="1">
        <v>41</v>
      </c>
      <c r="C905" t="s">
        <v>3</v>
      </c>
      <c r="D905" s="1">
        <v>51</v>
      </c>
      <c r="E905" t="s">
        <v>6</v>
      </c>
      <c r="F905" s="1">
        <v>41</v>
      </c>
      <c r="G905" t="s">
        <v>3</v>
      </c>
      <c r="H905" s="1">
        <v>47</v>
      </c>
      <c r="I905" t="s">
        <v>99</v>
      </c>
      <c r="J905" s="1">
        <v>728</v>
      </c>
      <c r="K905" s="1">
        <v>1140</v>
      </c>
      <c r="L905" s="1">
        <v>39266</v>
      </c>
      <c r="M905" s="1">
        <v>35329</v>
      </c>
      <c r="N905" s="1">
        <v>55311</v>
      </c>
      <c r="O905" s="1">
        <v>3098215</v>
      </c>
      <c r="P905" s="1">
        <v>351693</v>
      </c>
      <c r="Q905" s="1">
        <v>611447</v>
      </c>
      <c r="R905" s="1">
        <v>31328148</v>
      </c>
      <c r="S905" s="1">
        <v>41051</v>
      </c>
      <c r="T905" s="1">
        <v>41051</v>
      </c>
      <c r="U905" s="1">
        <v>41047</v>
      </c>
      <c r="V905" s="1">
        <v>1</v>
      </c>
      <c r="W905" s="1">
        <v>0</v>
      </c>
    </row>
    <row r="906">
      <c r="A906" s="1">
        <v>2021</v>
      </c>
      <c r="B906" s="1">
        <v>41</v>
      </c>
      <c r="C906" t="s">
        <v>3</v>
      </c>
      <c r="D906" s="1">
        <v>51</v>
      </c>
      <c r="E906" t="s">
        <v>6</v>
      </c>
      <c r="F906" s="1">
        <v>41</v>
      </c>
      <c r="G906" t="s">
        <v>3</v>
      </c>
      <c r="H906" s="1">
        <v>53</v>
      </c>
      <c r="I906" t="s">
        <v>100</v>
      </c>
      <c r="J906" s="1">
        <v>142</v>
      </c>
      <c r="K906" s="1">
        <v>212</v>
      </c>
      <c r="L906" s="1">
        <v>7310</v>
      </c>
      <c r="M906" s="1">
        <v>35329</v>
      </c>
      <c r="N906" s="1">
        <v>55311</v>
      </c>
      <c r="O906" s="1">
        <v>3098215</v>
      </c>
      <c r="P906" s="1">
        <v>351693</v>
      </c>
      <c r="Q906" s="1">
        <v>611447</v>
      </c>
      <c r="R906" s="1">
        <v>31328148</v>
      </c>
      <c r="S906" s="1">
        <v>41051</v>
      </c>
      <c r="T906" s="1">
        <v>41051</v>
      </c>
      <c r="U906" s="1">
        <v>41053</v>
      </c>
      <c r="V906" s="1">
        <v>1</v>
      </c>
      <c r="W906" s="1">
        <v>0</v>
      </c>
    </row>
    <row r="907">
      <c r="A907" s="1">
        <v>2021</v>
      </c>
      <c r="B907" s="1">
        <v>41</v>
      </c>
      <c r="C907" t="s">
        <v>3</v>
      </c>
      <c r="D907" s="1">
        <v>51</v>
      </c>
      <c r="E907" t="s">
        <v>6</v>
      </c>
      <c r="F907" s="1">
        <v>41</v>
      </c>
      <c r="G907" t="s">
        <v>3</v>
      </c>
      <c r="H907" s="1">
        <v>57</v>
      </c>
      <c r="I907" t="s">
        <v>139</v>
      </c>
      <c r="J907" s="1">
        <v>163</v>
      </c>
      <c r="K907" s="1">
        <v>285</v>
      </c>
      <c r="L907" s="1">
        <v>38605</v>
      </c>
      <c r="M907" s="1">
        <v>35329</v>
      </c>
      <c r="N907" s="1">
        <v>55311</v>
      </c>
      <c r="O907" s="1">
        <v>3098215</v>
      </c>
      <c r="P907" s="1">
        <v>351693</v>
      </c>
      <c r="Q907" s="1">
        <v>611447</v>
      </c>
      <c r="R907" s="1">
        <v>31328148</v>
      </c>
      <c r="S907" s="1">
        <v>41051</v>
      </c>
      <c r="T907" s="1">
        <v>41051</v>
      </c>
      <c r="U907" s="1">
        <v>41057</v>
      </c>
      <c r="V907" s="1">
        <v>1</v>
      </c>
      <c r="W907" s="1">
        <v>0</v>
      </c>
    </row>
    <row r="908">
      <c r="A908" s="1">
        <v>2021</v>
      </c>
      <c r="B908" s="1">
        <v>41</v>
      </c>
      <c r="C908" t="s">
        <v>3</v>
      </c>
      <c r="D908" s="1">
        <v>51</v>
      </c>
      <c r="E908" t="s">
        <v>6</v>
      </c>
      <c r="F908" s="1">
        <v>41</v>
      </c>
      <c r="G908" t="s">
        <v>3</v>
      </c>
      <c r="H908" s="1">
        <v>59</v>
      </c>
      <c r="I908" t="s">
        <v>140</v>
      </c>
      <c r="J908" s="1">
        <v>76</v>
      </c>
      <c r="K908" s="1">
        <v>114</v>
      </c>
      <c r="L908" s="1">
        <v>2689</v>
      </c>
      <c r="M908" s="1">
        <v>35329</v>
      </c>
      <c r="N908" s="1">
        <v>55311</v>
      </c>
      <c r="O908" s="1">
        <v>3098215</v>
      </c>
      <c r="P908" s="1">
        <v>351693</v>
      </c>
      <c r="Q908" s="1">
        <v>611447</v>
      </c>
      <c r="R908" s="1">
        <v>31328148</v>
      </c>
      <c r="S908" s="1">
        <v>41051</v>
      </c>
      <c r="T908" s="1">
        <v>41051</v>
      </c>
      <c r="U908" s="1">
        <v>41059</v>
      </c>
      <c r="V908" s="1">
        <v>1</v>
      </c>
      <c r="W908" s="1">
        <v>0</v>
      </c>
    </row>
    <row r="909">
      <c r="A909" s="1">
        <v>2021</v>
      </c>
      <c r="B909" s="1">
        <v>41</v>
      </c>
      <c r="C909" t="s">
        <v>3</v>
      </c>
      <c r="D909" s="1">
        <v>51</v>
      </c>
      <c r="E909" t="s">
        <v>6</v>
      </c>
      <c r="F909" s="1">
        <v>41</v>
      </c>
      <c r="G909" t="s">
        <v>3</v>
      </c>
      <c r="H909" s="1">
        <v>61</v>
      </c>
      <c r="I909" t="s">
        <v>141</v>
      </c>
      <c r="J909" s="1">
        <v>21</v>
      </c>
      <c r="K909" s="1">
        <v>37</v>
      </c>
      <c r="L909" s="1">
        <v>886</v>
      </c>
      <c r="M909" s="1">
        <v>35329</v>
      </c>
      <c r="N909" s="1">
        <v>55311</v>
      </c>
      <c r="O909" s="1">
        <v>3098215</v>
      </c>
      <c r="P909" s="1">
        <v>351693</v>
      </c>
      <c r="Q909" s="1">
        <v>611447</v>
      </c>
      <c r="R909" s="1">
        <v>31328148</v>
      </c>
      <c r="S909" s="1">
        <v>41051</v>
      </c>
      <c r="T909" s="1">
        <v>41051</v>
      </c>
      <c r="U909" s="1">
        <v>41061</v>
      </c>
      <c r="V909" s="1">
        <v>1</v>
      </c>
      <c r="W909" s="1">
        <v>0</v>
      </c>
    </row>
    <row r="910">
      <c r="A910" s="1">
        <v>2021</v>
      </c>
      <c r="B910" s="1">
        <v>41</v>
      </c>
      <c r="C910" t="s">
        <v>3</v>
      </c>
      <c r="D910" s="1">
        <v>51</v>
      </c>
      <c r="E910" t="s">
        <v>6</v>
      </c>
      <c r="F910" s="1">
        <v>41</v>
      </c>
      <c r="G910" t="s">
        <v>3</v>
      </c>
      <c r="H910" s="1">
        <v>63</v>
      </c>
      <c r="I910" t="s">
        <v>211</v>
      </c>
      <c r="J910" s="1">
        <v>23</v>
      </c>
      <c r="K910" s="1">
        <v>40</v>
      </c>
      <c r="L910" s="1">
        <v>2049</v>
      </c>
      <c r="M910" s="1">
        <v>35329</v>
      </c>
      <c r="N910" s="1">
        <v>55311</v>
      </c>
      <c r="O910" s="1">
        <v>3098215</v>
      </c>
      <c r="P910" s="1">
        <v>351693</v>
      </c>
      <c r="Q910" s="1">
        <v>611447</v>
      </c>
      <c r="R910" s="1">
        <v>31328148</v>
      </c>
      <c r="S910" s="1">
        <v>41051</v>
      </c>
      <c r="T910" s="1">
        <v>41051</v>
      </c>
      <c r="U910" s="1">
        <v>41063</v>
      </c>
      <c r="V910" s="1">
        <v>1</v>
      </c>
      <c r="W910" s="1">
        <v>0</v>
      </c>
    </row>
    <row r="911">
      <c r="A911" s="1">
        <v>2021</v>
      </c>
      <c r="B911" s="1">
        <v>41</v>
      </c>
      <c r="C911" t="s">
        <v>3</v>
      </c>
      <c r="D911" s="1">
        <v>51</v>
      </c>
      <c r="E911" t="s">
        <v>6</v>
      </c>
      <c r="F911" s="1">
        <v>41</v>
      </c>
      <c r="G911" t="s">
        <v>3</v>
      </c>
      <c r="H911" s="1">
        <v>65</v>
      </c>
      <c r="I911" t="s">
        <v>142</v>
      </c>
      <c r="J911" s="1">
        <v>87</v>
      </c>
      <c r="K911" s="1">
        <v>126</v>
      </c>
      <c r="L911" s="1">
        <v>6181</v>
      </c>
      <c r="M911" s="1">
        <v>35329</v>
      </c>
      <c r="N911" s="1">
        <v>55311</v>
      </c>
      <c r="O911" s="1">
        <v>3098215</v>
      </c>
      <c r="P911" s="1">
        <v>351693</v>
      </c>
      <c r="Q911" s="1">
        <v>611447</v>
      </c>
      <c r="R911" s="1">
        <v>31328148</v>
      </c>
      <c r="S911" s="1">
        <v>41051</v>
      </c>
      <c r="T911" s="1">
        <v>41051</v>
      </c>
      <c r="U911" s="1">
        <v>41065</v>
      </c>
      <c r="V911" s="1">
        <v>1</v>
      </c>
      <c r="W911" s="1">
        <v>0</v>
      </c>
    </row>
    <row r="912">
      <c r="A912" s="1">
        <v>2021</v>
      </c>
      <c r="B912" s="1">
        <v>41</v>
      </c>
      <c r="C912" t="s">
        <v>3</v>
      </c>
      <c r="D912" s="1">
        <v>51</v>
      </c>
      <c r="E912" t="s">
        <v>6</v>
      </c>
      <c r="F912" s="1">
        <v>41</v>
      </c>
      <c r="G912" t="s">
        <v>3</v>
      </c>
      <c r="H912" s="1">
        <v>67</v>
      </c>
      <c r="I912" t="s">
        <v>143</v>
      </c>
      <c r="J912" s="1">
        <v>5329</v>
      </c>
      <c r="K912" s="1">
        <v>8058</v>
      </c>
      <c r="L912" s="1">
        <v>449518</v>
      </c>
      <c r="M912" s="1">
        <v>35329</v>
      </c>
      <c r="N912" s="1">
        <v>55311</v>
      </c>
      <c r="O912" s="1">
        <v>3098215</v>
      </c>
      <c r="P912" s="1">
        <v>351693</v>
      </c>
      <c r="Q912" s="1">
        <v>611447</v>
      </c>
      <c r="R912" s="1">
        <v>31328148</v>
      </c>
      <c r="S912" s="1">
        <v>41051</v>
      </c>
      <c r="T912" s="1">
        <v>41051</v>
      </c>
      <c r="U912" s="1">
        <v>41067</v>
      </c>
      <c r="V912" s="1">
        <v>1</v>
      </c>
      <c r="W912" s="1">
        <v>0</v>
      </c>
    </row>
    <row r="913">
      <c r="A913" s="1">
        <v>2021</v>
      </c>
      <c r="B913" s="1">
        <v>41</v>
      </c>
      <c r="C913" t="s">
        <v>3</v>
      </c>
      <c r="D913" s="1">
        <v>51</v>
      </c>
      <c r="E913" t="s">
        <v>6</v>
      </c>
      <c r="F913" s="1">
        <v>41</v>
      </c>
      <c r="G913" t="s">
        <v>3</v>
      </c>
      <c r="H913" s="1">
        <v>71</v>
      </c>
      <c r="I913" t="s">
        <v>144</v>
      </c>
      <c r="J913" s="1">
        <v>295</v>
      </c>
      <c r="K913" s="1">
        <v>503</v>
      </c>
      <c r="L913" s="1">
        <v>23330</v>
      </c>
      <c r="M913" s="1">
        <v>35329</v>
      </c>
      <c r="N913" s="1">
        <v>55311</v>
      </c>
      <c r="O913" s="1">
        <v>3098215</v>
      </c>
      <c r="P913" s="1">
        <v>351693</v>
      </c>
      <c r="Q913" s="1">
        <v>611447</v>
      </c>
      <c r="R913" s="1">
        <v>31328148</v>
      </c>
      <c r="S913" s="1">
        <v>41051</v>
      </c>
      <c r="T913" s="1">
        <v>41051</v>
      </c>
      <c r="U913" s="1">
        <v>41071</v>
      </c>
      <c r="V913" s="1">
        <v>1</v>
      </c>
      <c r="W913" s="1">
        <v>0</v>
      </c>
    </row>
    <row r="914">
      <c r="A914" s="1">
        <v>2021</v>
      </c>
      <c r="B914" s="1">
        <v>41</v>
      </c>
      <c r="C914" t="s">
        <v>3</v>
      </c>
      <c r="D914" s="1">
        <v>51</v>
      </c>
      <c r="E914" t="s">
        <v>6</v>
      </c>
      <c r="F914" s="1">
        <v>42</v>
      </c>
      <c r="G914" t="s">
        <v>34</v>
      </c>
      <c r="H914" s="1">
        <v>3</v>
      </c>
      <c r="I914" t="s">
        <v>145</v>
      </c>
      <c r="J914" s="1">
        <v>62</v>
      </c>
      <c r="K914" s="1">
        <v>96</v>
      </c>
      <c r="L914" s="1">
        <v>6710</v>
      </c>
      <c r="M914" s="1">
        <v>35329</v>
      </c>
      <c r="N914" s="1">
        <v>55311</v>
      </c>
      <c r="O914" s="1">
        <v>3098215</v>
      </c>
      <c r="P914" s="1">
        <v>351693</v>
      </c>
      <c r="Q914" s="1">
        <v>611447</v>
      </c>
      <c r="R914" s="1">
        <v>31328148</v>
      </c>
      <c r="S914" s="1">
        <v>41051</v>
      </c>
      <c r="T914" s="1">
        <v>41051</v>
      </c>
      <c r="U914" s="1">
        <v>42003</v>
      </c>
      <c r="V914" s="1">
        <v>1</v>
      </c>
      <c r="W914" s="1">
        <v>0</v>
      </c>
    </row>
    <row r="915">
      <c r="A915" s="1">
        <v>2021</v>
      </c>
      <c r="B915" s="1">
        <v>41</v>
      </c>
      <c r="C915" t="s">
        <v>3</v>
      </c>
      <c r="D915" s="1">
        <v>51</v>
      </c>
      <c r="E915" t="s">
        <v>6</v>
      </c>
      <c r="F915" s="1">
        <v>42</v>
      </c>
      <c r="G915" t="s">
        <v>34</v>
      </c>
      <c r="H915" s="1">
        <v>101</v>
      </c>
      <c r="I915" t="s">
        <v>146</v>
      </c>
      <c r="J915" s="1">
        <v>75</v>
      </c>
      <c r="K915" s="1">
        <v>86</v>
      </c>
      <c r="L915" s="1">
        <v>4368</v>
      </c>
      <c r="M915" s="1">
        <v>35329</v>
      </c>
      <c r="N915" s="1">
        <v>55311</v>
      </c>
      <c r="O915" s="1">
        <v>3098215</v>
      </c>
      <c r="P915" s="1">
        <v>351693</v>
      </c>
      <c r="Q915" s="1">
        <v>611447</v>
      </c>
      <c r="R915" s="1">
        <v>31328148</v>
      </c>
      <c r="S915" s="1">
        <v>41051</v>
      </c>
      <c r="T915" s="1">
        <v>41051</v>
      </c>
      <c r="U915" s="1">
        <v>42101</v>
      </c>
      <c r="V915" s="1">
        <v>1</v>
      </c>
      <c r="W915" s="1">
        <v>0</v>
      </c>
    </row>
    <row r="916">
      <c r="A916" s="1">
        <v>2021</v>
      </c>
      <c r="B916" s="1">
        <v>41</v>
      </c>
      <c r="C916" t="s">
        <v>3</v>
      </c>
      <c r="D916" s="1">
        <v>51</v>
      </c>
      <c r="E916" t="s">
        <v>6</v>
      </c>
      <c r="F916" s="1">
        <v>44</v>
      </c>
      <c r="G916" t="s">
        <v>48</v>
      </c>
      <c r="H916" s="1">
        <v>7</v>
      </c>
      <c r="I916" t="s">
        <v>212</v>
      </c>
      <c r="J916" s="1">
        <v>22</v>
      </c>
      <c r="K916" s="1">
        <v>26</v>
      </c>
      <c r="L916" s="1">
        <v>1270</v>
      </c>
      <c r="M916" s="1">
        <v>35329</v>
      </c>
      <c r="N916" s="1">
        <v>55311</v>
      </c>
      <c r="O916" s="1">
        <v>3098215</v>
      </c>
      <c r="P916" s="1">
        <v>351693</v>
      </c>
      <c r="Q916" s="1">
        <v>611447</v>
      </c>
      <c r="R916" s="1">
        <v>31328148</v>
      </c>
      <c r="S916" s="1">
        <v>41051</v>
      </c>
      <c r="T916" s="1">
        <v>41051</v>
      </c>
      <c r="U916" s="1">
        <v>44007</v>
      </c>
      <c r="V916" s="1">
        <v>1</v>
      </c>
      <c r="W916" s="1">
        <v>0</v>
      </c>
    </row>
    <row r="917">
      <c r="A917" s="1">
        <v>2021</v>
      </c>
      <c r="B917" s="1">
        <v>41</v>
      </c>
      <c r="C917" t="s">
        <v>3</v>
      </c>
      <c r="D917" s="1">
        <v>51</v>
      </c>
      <c r="E917" t="s">
        <v>6</v>
      </c>
      <c r="F917" s="1">
        <v>45</v>
      </c>
      <c r="G917" t="s">
        <v>49</v>
      </c>
      <c r="H917" s="1">
        <v>83</v>
      </c>
      <c r="I917" t="s">
        <v>214</v>
      </c>
      <c r="J917" s="1">
        <v>62</v>
      </c>
      <c r="K917" s="1">
        <v>216</v>
      </c>
      <c r="L917" s="1">
        <v>3753</v>
      </c>
      <c r="M917" s="1">
        <v>35329</v>
      </c>
      <c r="N917" s="1">
        <v>55311</v>
      </c>
      <c r="O917" s="1">
        <v>3098215</v>
      </c>
      <c r="P917" s="1">
        <v>351693</v>
      </c>
      <c r="Q917" s="1">
        <v>611447</v>
      </c>
      <c r="R917" s="1">
        <v>31328148</v>
      </c>
      <c r="S917" s="1">
        <v>41051</v>
      </c>
      <c r="T917" s="1">
        <v>41051</v>
      </c>
      <c r="U917" s="1">
        <v>45083</v>
      </c>
      <c r="V917" s="1">
        <v>1</v>
      </c>
      <c r="W917" s="1">
        <v>0</v>
      </c>
    </row>
    <row r="918">
      <c r="A918" s="1">
        <v>2021</v>
      </c>
      <c r="B918" s="1">
        <v>41</v>
      </c>
      <c r="C918" t="s">
        <v>3</v>
      </c>
      <c r="D918" s="1">
        <v>51</v>
      </c>
      <c r="E918" t="s">
        <v>6</v>
      </c>
      <c r="F918" s="1">
        <v>47</v>
      </c>
      <c r="G918" t="s">
        <v>35</v>
      </c>
      <c r="H918" s="1">
        <v>37</v>
      </c>
      <c r="I918" t="s">
        <v>147</v>
      </c>
      <c r="J918" s="1">
        <v>66</v>
      </c>
      <c r="K918" s="1">
        <v>82</v>
      </c>
      <c r="L918" s="1">
        <v>4407</v>
      </c>
      <c r="M918" s="1">
        <v>35329</v>
      </c>
      <c r="N918" s="1">
        <v>55311</v>
      </c>
      <c r="O918" s="1">
        <v>3098215</v>
      </c>
      <c r="P918" s="1">
        <v>351693</v>
      </c>
      <c r="Q918" s="1">
        <v>611447</v>
      </c>
      <c r="R918" s="1">
        <v>31328148</v>
      </c>
      <c r="S918" s="1">
        <v>41051</v>
      </c>
      <c r="T918" s="1">
        <v>41051</v>
      </c>
      <c r="U918" s="1">
        <v>47037</v>
      </c>
      <c r="V918" s="1">
        <v>1</v>
      </c>
      <c r="W918" s="1">
        <v>0</v>
      </c>
    </row>
    <row r="919">
      <c r="A919" s="1">
        <v>2021</v>
      </c>
      <c r="B919" s="1">
        <v>41</v>
      </c>
      <c r="C919" t="s">
        <v>3</v>
      </c>
      <c r="D919" s="1">
        <v>51</v>
      </c>
      <c r="E919" t="s">
        <v>6</v>
      </c>
      <c r="F919" s="1">
        <v>47</v>
      </c>
      <c r="G919" t="s">
        <v>35</v>
      </c>
      <c r="H919" s="1">
        <v>65</v>
      </c>
      <c r="I919" t="s">
        <v>208</v>
      </c>
      <c r="J919" s="1">
        <v>26</v>
      </c>
      <c r="K919" s="1">
        <v>43</v>
      </c>
      <c r="L919" s="1">
        <v>1691</v>
      </c>
      <c r="M919" s="1">
        <v>35329</v>
      </c>
      <c r="N919" s="1">
        <v>55311</v>
      </c>
      <c r="O919" s="1">
        <v>3098215</v>
      </c>
      <c r="P919" s="1">
        <v>351693</v>
      </c>
      <c r="Q919" s="1">
        <v>611447</v>
      </c>
      <c r="R919" s="1">
        <v>31328148</v>
      </c>
      <c r="S919" s="1">
        <v>41051</v>
      </c>
      <c r="T919" s="1">
        <v>41051</v>
      </c>
      <c r="U919" s="1">
        <v>47065</v>
      </c>
      <c r="V919" s="1">
        <v>1</v>
      </c>
      <c r="W919" s="1">
        <v>0</v>
      </c>
    </row>
    <row r="920">
      <c r="A920" s="1">
        <v>2021</v>
      </c>
      <c r="B920" s="1">
        <v>41</v>
      </c>
      <c r="C920" t="s">
        <v>3</v>
      </c>
      <c r="D920" s="1">
        <v>51</v>
      </c>
      <c r="E920" t="s">
        <v>6</v>
      </c>
      <c r="F920" s="1">
        <v>47</v>
      </c>
      <c r="G920" t="s">
        <v>35</v>
      </c>
      <c r="H920" s="1">
        <v>93</v>
      </c>
      <c r="I920" t="s">
        <v>148</v>
      </c>
      <c r="J920" s="1">
        <v>25</v>
      </c>
      <c r="K920" s="1">
        <v>42</v>
      </c>
      <c r="L920" s="1">
        <v>1982</v>
      </c>
      <c r="M920" s="1">
        <v>35329</v>
      </c>
      <c r="N920" s="1">
        <v>55311</v>
      </c>
      <c r="O920" s="1">
        <v>3098215</v>
      </c>
      <c r="P920" s="1">
        <v>351693</v>
      </c>
      <c r="Q920" s="1">
        <v>611447</v>
      </c>
      <c r="R920" s="1">
        <v>31328148</v>
      </c>
      <c r="S920" s="1">
        <v>41051</v>
      </c>
      <c r="T920" s="1">
        <v>41051</v>
      </c>
      <c r="U920" s="1">
        <v>47093</v>
      </c>
      <c r="V920" s="1">
        <v>1</v>
      </c>
      <c r="W920" s="1">
        <v>0</v>
      </c>
    </row>
    <row r="921">
      <c r="A921" s="1">
        <v>2021</v>
      </c>
      <c r="B921" s="1">
        <v>41</v>
      </c>
      <c r="C921" t="s">
        <v>3</v>
      </c>
      <c r="D921" s="1">
        <v>51</v>
      </c>
      <c r="E921" t="s">
        <v>6</v>
      </c>
      <c r="F921" s="1">
        <v>48</v>
      </c>
      <c r="G921" t="s">
        <v>36</v>
      </c>
      <c r="H921" s="1">
        <v>29</v>
      </c>
      <c r="I921" t="s">
        <v>149</v>
      </c>
      <c r="J921" s="1">
        <v>82</v>
      </c>
      <c r="K921" s="1">
        <v>134</v>
      </c>
      <c r="L921" s="1">
        <v>5577</v>
      </c>
      <c r="M921" s="1">
        <v>35329</v>
      </c>
      <c r="N921" s="1">
        <v>55311</v>
      </c>
      <c r="O921" s="1">
        <v>3098215</v>
      </c>
      <c r="P921" s="1">
        <v>351693</v>
      </c>
      <c r="Q921" s="1">
        <v>611447</v>
      </c>
      <c r="R921" s="1">
        <v>31328148</v>
      </c>
      <c r="S921" s="1">
        <v>41051</v>
      </c>
      <c r="T921" s="1">
        <v>41051</v>
      </c>
      <c r="U921" s="1">
        <v>48029</v>
      </c>
      <c r="V921" s="1">
        <v>1</v>
      </c>
      <c r="W921" s="1">
        <v>0</v>
      </c>
    </row>
    <row r="922">
      <c r="A922" s="1">
        <v>2021</v>
      </c>
      <c r="B922" s="1">
        <v>41</v>
      </c>
      <c r="C922" t="s">
        <v>3</v>
      </c>
      <c r="D922" s="1">
        <v>51</v>
      </c>
      <c r="E922" t="s">
        <v>6</v>
      </c>
      <c r="F922" s="1">
        <v>48</v>
      </c>
      <c r="G922" t="s">
        <v>36</v>
      </c>
      <c r="H922" s="1">
        <v>85</v>
      </c>
      <c r="I922" t="s">
        <v>216</v>
      </c>
      <c r="J922" s="1">
        <v>35</v>
      </c>
      <c r="K922" s="1">
        <v>69</v>
      </c>
      <c r="L922" s="1">
        <v>2984</v>
      </c>
      <c r="M922" s="1">
        <v>35329</v>
      </c>
      <c r="N922" s="1">
        <v>55311</v>
      </c>
      <c r="O922" s="1">
        <v>3098215</v>
      </c>
      <c r="P922" s="1">
        <v>351693</v>
      </c>
      <c r="Q922" s="1">
        <v>611447</v>
      </c>
      <c r="R922" s="1">
        <v>31328148</v>
      </c>
      <c r="S922" s="1">
        <v>41051</v>
      </c>
      <c r="T922" s="1">
        <v>41051</v>
      </c>
      <c r="U922" s="1">
        <v>48085</v>
      </c>
      <c r="V922" s="1">
        <v>1</v>
      </c>
      <c r="W922" s="1">
        <v>0</v>
      </c>
    </row>
    <row r="923">
      <c r="A923" s="1">
        <v>2021</v>
      </c>
      <c r="B923" s="1">
        <v>41</v>
      </c>
      <c r="C923" t="s">
        <v>3</v>
      </c>
      <c r="D923" s="1">
        <v>51</v>
      </c>
      <c r="E923" t="s">
        <v>6</v>
      </c>
      <c r="F923" s="1">
        <v>48</v>
      </c>
      <c r="G923" t="s">
        <v>36</v>
      </c>
      <c r="H923" s="1">
        <v>113</v>
      </c>
      <c r="I923" t="s">
        <v>150</v>
      </c>
      <c r="J923" s="1">
        <v>111</v>
      </c>
      <c r="K923" s="1">
        <v>157</v>
      </c>
      <c r="L923" s="1">
        <v>9591</v>
      </c>
      <c r="M923" s="1">
        <v>35329</v>
      </c>
      <c r="N923" s="1">
        <v>55311</v>
      </c>
      <c r="O923" s="1">
        <v>3098215</v>
      </c>
      <c r="P923" s="1">
        <v>351693</v>
      </c>
      <c r="Q923" s="1">
        <v>611447</v>
      </c>
      <c r="R923" s="1">
        <v>31328148</v>
      </c>
      <c r="S923" s="1">
        <v>41051</v>
      </c>
      <c r="T923" s="1">
        <v>41051</v>
      </c>
      <c r="U923" s="1">
        <v>48113</v>
      </c>
      <c r="V923" s="1">
        <v>1</v>
      </c>
      <c r="W923" s="1">
        <v>0</v>
      </c>
    </row>
    <row r="924">
      <c r="A924" s="1">
        <v>2021</v>
      </c>
      <c r="B924" s="1">
        <v>41</v>
      </c>
      <c r="C924" t="s">
        <v>3</v>
      </c>
      <c r="D924" s="1">
        <v>51</v>
      </c>
      <c r="E924" t="s">
        <v>6</v>
      </c>
      <c r="F924" s="1">
        <v>48</v>
      </c>
      <c r="G924" t="s">
        <v>36</v>
      </c>
      <c r="H924" s="1">
        <v>121</v>
      </c>
      <c r="I924" t="s">
        <v>234</v>
      </c>
      <c r="J924" s="1">
        <v>39</v>
      </c>
      <c r="K924" s="1">
        <v>75</v>
      </c>
      <c r="L924" s="1">
        <v>2469</v>
      </c>
      <c r="M924" s="1">
        <v>35329</v>
      </c>
      <c r="N924" s="1">
        <v>55311</v>
      </c>
      <c r="O924" s="1">
        <v>3098215</v>
      </c>
      <c r="P924" s="1">
        <v>351693</v>
      </c>
      <c r="Q924" s="1">
        <v>611447</v>
      </c>
      <c r="R924" s="1">
        <v>31328148</v>
      </c>
      <c r="S924" s="1">
        <v>41051</v>
      </c>
      <c r="T924" s="1">
        <v>41051</v>
      </c>
      <c r="U924" s="1">
        <v>48121</v>
      </c>
      <c r="V924" s="1">
        <v>1</v>
      </c>
      <c r="W924" s="1">
        <v>0</v>
      </c>
    </row>
    <row r="925">
      <c r="A925" s="1">
        <v>2021</v>
      </c>
      <c r="B925" s="1">
        <v>41</v>
      </c>
      <c r="C925" t="s">
        <v>3</v>
      </c>
      <c r="D925" s="1">
        <v>51</v>
      </c>
      <c r="E925" t="s">
        <v>6</v>
      </c>
      <c r="F925" s="1">
        <v>48</v>
      </c>
      <c r="G925" t="s">
        <v>36</v>
      </c>
      <c r="H925" s="1">
        <v>141</v>
      </c>
      <c r="I925" t="s">
        <v>82</v>
      </c>
      <c r="J925" s="1">
        <v>20</v>
      </c>
      <c r="K925" s="1">
        <v>32</v>
      </c>
      <c r="L925" s="1">
        <v>1033</v>
      </c>
      <c r="M925" s="1">
        <v>35329</v>
      </c>
      <c r="N925" s="1">
        <v>55311</v>
      </c>
      <c r="O925" s="1">
        <v>3098215</v>
      </c>
      <c r="P925" s="1">
        <v>351693</v>
      </c>
      <c r="Q925" s="1">
        <v>611447</v>
      </c>
      <c r="R925" s="1">
        <v>31328148</v>
      </c>
      <c r="S925" s="1">
        <v>41051</v>
      </c>
      <c r="T925" s="1">
        <v>41051</v>
      </c>
      <c r="U925" s="1">
        <v>48141</v>
      </c>
      <c r="V925" s="1">
        <v>1</v>
      </c>
      <c r="W925" s="1">
        <v>0</v>
      </c>
    </row>
    <row r="926">
      <c r="A926" s="1">
        <v>2021</v>
      </c>
      <c r="B926" s="1">
        <v>41</v>
      </c>
      <c r="C926" t="s">
        <v>3</v>
      </c>
      <c r="D926" s="1">
        <v>51</v>
      </c>
      <c r="E926" t="s">
        <v>6</v>
      </c>
      <c r="F926" s="1">
        <v>48</v>
      </c>
      <c r="G926" t="s">
        <v>36</v>
      </c>
      <c r="H926" s="1">
        <v>201</v>
      </c>
      <c r="I926" t="s">
        <v>151</v>
      </c>
      <c r="J926" s="1">
        <v>97</v>
      </c>
      <c r="K926" s="1">
        <v>160</v>
      </c>
      <c r="L926" s="1">
        <v>9851</v>
      </c>
      <c r="M926" s="1">
        <v>35329</v>
      </c>
      <c r="N926" s="1">
        <v>55311</v>
      </c>
      <c r="O926" s="1">
        <v>3098215</v>
      </c>
      <c r="P926" s="1">
        <v>351693</v>
      </c>
      <c r="Q926" s="1">
        <v>611447</v>
      </c>
      <c r="R926" s="1">
        <v>31328148</v>
      </c>
      <c r="S926" s="1">
        <v>41051</v>
      </c>
      <c r="T926" s="1">
        <v>41051</v>
      </c>
      <c r="U926" s="1">
        <v>48201</v>
      </c>
      <c r="V926" s="1">
        <v>1</v>
      </c>
      <c r="W926" s="1">
        <v>0</v>
      </c>
    </row>
    <row r="927">
      <c r="A927" s="1">
        <v>2021</v>
      </c>
      <c r="B927" s="1">
        <v>41</v>
      </c>
      <c r="C927" t="s">
        <v>3</v>
      </c>
      <c r="D927" s="1">
        <v>51</v>
      </c>
      <c r="E927" t="s">
        <v>6</v>
      </c>
      <c r="F927" s="1">
        <v>48</v>
      </c>
      <c r="G927" t="s">
        <v>36</v>
      </c>
      <c r="H927" s="1">
        <v>209</v>
      </c>
      <c r="I927" t="s">
        <v>235</v>
      </c>
      <c r="J927" s="1">
        <v>20</v>
      </c>
      <c r="K927" s="1">
        <v>44</v>
      </c>
      <c r="L927" s="1">
        <v>1471</v>
      </c>
      <c r="M927" s="1">
        <v>35329</v>
      </c>
      <c r="N927" s="1">
        <v>55311</v>
      </c>
      <c r="O927" s="1">
        <v>3098215</v>
      </c>
      <c r="P927" s="1">
        <v>351693</v>
      </c>
      <c r="Q927" s="1">
        <v>611447</v>
      </c>
      <c r="R927" s="1">
        <v>31328148</v>
      </c>
      <c r="S927" s="1">
        <v>41051</v>
      </c>
      <c r="T927" s="1">
        <v>41051</v>
      </c>
      <c r="U927" s="1">
        <v>48209</v>
      </c>
      <c r="V927" s="1">
        <v>1</v>
      </c>
      <c r="W927" s="1">
        <v>0</v>
      </c>
    </row>
    <row r="928">
      <c r="A928" s="1">
        <v>2021</v>
      </c>
      <c r="B928" s="1">
        <v>41</v>
      </c>
      <c r="C928" t="s">
        <v>3</v>
      </c>
      <c r="D928" s="1">
        <v>51</v>
      </c>
      <c r="E928" t="s">
        <v>6</v>
      </c>
      <c r="F928" s="1">
        <v>48</v>
      </c>
      <c r="G928" t="s">
        <v>36</v>
      </c>
      <c r="H928" s="1">
        <v>339</v>
      </c>
      <c r="I928" t="s">
        <v>103</v>
      </c>
      <c r="J928" s="1">
        <v>23</v>
      </c>
      <c r="K928" s="1">
        <v>42</v>
      </c>
      <c r="L928" s="1">
        <v>1395</v>
      </c>
      <c r="M928" s="1">
        <v>35329</v>
      </c>
      <c r="N928" s="1">
        <v>55311</v>
      </c>
      <c r="O928" s="1">
        <v>3098215</v>
      </c>
      <c r="P928" s="1">
        <v>351693</v>
      </c>
      <c r="Q928" s="1">
        <v>611447</v>
      </c>
      <c r="R928" s="1">
        <v>31328148</v>
      </c>
      <c r="S928" s="1">
        <v>41051</v>
      </c>
      <c r="T928" s="1">
        <v>41051</v>
      </c>
      <c r="U928" s="1">
        <v>48339</v>
      </c>
      <c r="V928" s="1">
        <v>1</v>
      </c>
      <c r="W928" s="1">
        <v>0</v>
      </c>
    </row>
    <row r="929">
      <c r="A929" s="1">
        <v>2021</v>
      </c>
      <c r="B929" s="1">
        <v>41</v>
      </c>
      <c r="C929" t="s">
        <v>3</v>
      </c>
      <c r="D929" s="1">
        <v>51</v>
      </c>
      <c r="E929" t="s">
        <v>6</v>
      </c>
      <c r="F929" s="1">
        <v>48</v>
      </c>
      <c r="G929" t="s">
        <v>36</v>
      </c>
      <c r="H929" s="1">
        <v>439</v>
      </c>
      <c r="I929" t="s">
        <v>152</v>
      </c>
      <c r="J929" s="1">
        <v>53</v>
      </c>
      <c r="K929" s="1">
        <v>83</v>
      </c>
      <c r="L929" s="1">
        <v>3757</v>
      </c>
      <c r="M929" s="1">
        <v>35329</v>
      </c>
      <c r="N929" s="1">
        <v>55311</v>
      </c>
      <c r="O929" s="1">
        <v>3098215</v>
      </c>
      <c r="P929" s="1">
        <v>351693</v>
      </c>
      <c r="Q929" s="1">
        <v>611447</v>
      </c>
      <c r="R929" s="1">
        <v>31328148</v>
      </c>
      <c r="S929" s="1">
        <v>41051</v>
      </c>
      <c r="T929" s="1">
        <v>41051</v>
      </c>
      <c r="U929" s="1">
        <v>48439</v>
      </c>
      <c r="V929" s="1">
        <v>1</v>
      </c>
      <c r="W929" s="1">
        <v>0</v>
      </c>
    </row>
    <row r="930">
      <c r="A930" s="1">
        <v>2021</v>
      </c>
      <c r="B930" s="1">
        <v>41</v>
      </c>
      <c r="C930" t="s">
        <v>3</v>
      </c>
      <c r="D930" s="1">
        <v>51</v>
      </c>
      <c r="E930" t="s">
        <v>6</v>
      </c>
      <c r="F930" s="1">
        <v>48</v>
      </c>
      <c r="G930" t="s">
        <v>36</v>
      </c>
      <c r="H930" s="1">
        <v>453</v>
      </c>
      <c r="I930" t="s">
        <v>153</v>
      </c>
      <c r="J930" s="1">
        <v>191</v>
      </c>
      <c r="K930" s="1">
        <v>248</v>
      </c>
      <c r="L930" s="1">
        <v>24297</v>
      </c>
      <c r="M930" s="1">
        <v>35329</v>
      </c>
      <c r="N930" s="1">
        <v>55311</v>
      </c>
      <c r="O930" s="1">
        <v>3098215</v>
      </c>
      <c r="P930" s="1">
        <v>351693</v>
      </c>
      <c r="Q930" s="1">
        <v>611447</v>
      </c>
      <c r="R930" s="1">
        <v>31328148</v>
      </c>
      <c r="S930" s="1">
        <v>41051</v>
      </c>
      <c r="T930" s="1">
        <v>41051</v>
      </c>
      <c r="U930" s="1">
        <v>48453</v>
      </c>
      <c r="V930" s="1">
        <v>1</v>
      </c>
      <c r="W930" s="1">
        <v>0</v>
      </c>
    </row>
    <row r="931">
      <c r="A931" s="1">
        <v>2021</v>
      </c>
      <c r="B931" s="1">
        <v>41</v>
      </c>
      <c r="C931" t="s">
        <v>3</v>
      </c>
      <c r="D931" s="1">
        <v>51</v>
      </c>
      <c r="E931" t="s">
        <v>6</v>
      </c>
      <c r="F931" s="1">
        <v>48</v>
      </c>
      <c r="G931" t="s">
        <v>36</v>
      </c>
      <c r="H931" s="1">
        <v>491</v>
      </c>
      <c r="I931" t="s">
        <v>217</v>
      </c>
      <c r="J931" s="1">
        <v>37</v>
      </c>
      <c r="K931" s="1">
        <v>47</v>
      </c>
      <c r="L931" s="1">
        <v>3030</v>
      </c>
      <c r="M931" s="1">
        <v>35329</v>
      </c>
      <c r="N931" s="1">
        <v>55311</v>
      </c>
      <c r="O931" s="1">
        <v>3098215</v>
      </c>
      <c r="P931" s="1">
        <v>351693</v>
      </c>
      <c r="Q931" s="1">
        <v>611447</v>
      </c>
      <c r="R931" s="1">
        <v>31328148</v>
      </c>
      <c r="S931" s="1">
        <v>41051</v>
      </c>
      <c r="T931" s="1">
        <v>41051</v>
      </c>
      <c r="U931" s="1">
        <v>48491</v>
      </c>
      <c r="V931" s="1">
        <v>1</v>
      </c>
      <c r="W931" s="1">
        <v>0</v>
      </c>
    </row>
    <row r="932">
      <c r="A932" s="1">
        <v>2021</v>
      </c>
      <c r="B932" s="1">
        <v>41</v>
      </c>
      <c r="C932" t="s">
        <v>3</v>
      </c>
      <c r="D932" s="1">
        <v>51</v>
      </c>
      <c r="E932" t="s">
        <v>6</v>
      </c>
      <c r="F932" s="1">
        <v>49</v>
      </c>
      <c r="G932" t="s">
        <v>37</v>
      </c>
      <c r="H932" s="1">
        <v>35</v>
      </c>
      <c r="I932" t="s">
        <v>154</v>
      </c>
      <c r="J932" s="1">
        <v>155</v>
      </c>
      <c r="K932" s="1">
        <v>231</v>
      </c>
      <c r="L932" s="1">
        <v>9175</v>
      </c>
      <c r="M932" s="1">
        <v>35329</v>
      </c>
      <c r="N932" s="1">
        <v>55311</v>
      </c>
      <c r="O932" s="1">
        <v>3098215</v>
      </c>
      <c r="P932" s="1">
        <v>351693</v>
      </c>
      <c r="Q932" s="1">
        <v>611447</v>
      </c>
      <c r="R932" s="1">
        <v>31328148</v>
      </c>
      <c r="S932" s="1">
        <v>41051</v>
      </c>
      <c r="T932" s="1">
        <v>41051</v>
      </c>
      <c r="U932" s="1">
        <v>49035</v>
      </c>
      <c r="V932" s="1">
        <v>1</v>
      </c>
      <c r="W932" s="1">
        <v>0</v>
      </c>
    </row>
    <row r="933">
      <c r="A933" s="1">
        <v>2021</v>
      </c>
      <c r="B933" s="1">
        <v>41</v>
      </c>
      <c r="C933" t="s">
        <v>3</v>
      </c>
      <c r="D933" s="1">
        <v>51</v>
      </c>
      <c r="E933" t="s">
        <v>6</v>
      </c>
      <c r="F933" s="1">
        <v>49</v>
      </c>
      <c r="G933" t="s">
        <v>37</v>
      </c>
      <c r="H933" s="1">
        <v>49</v>
      </c>
      <c r="I933" t="s">
        <v>219</v>
      </c>
      <c r="J933" s="1">
        <v>42</v>
      </c>
      <c r="K933" s="1">
        <v>72</v>
      </c>
      <c r="L933" s="1">
        <v>2591</v>
      </c>
      <c r="M933" s="1">
        <v>35329</v>
      </c>
      <c r="N933" s="1">
        <v>55311</v>
      </c>
      <c r="O933" s="1">
        <v>3098215</v>
      </c>
      <c r="P933" s="1">
        <v>351693</v>
      </c>
      <c r="Q933" s="1">
        <v>611447</v>
      </c>
      <c r="R933" s="1">
        <v>31328148</v>
      </c>
      <c r="S933" s="1">
        <v>41051</v>
      </c>
      <c r="T933" s="1">
        <v>41051</v>
      </c>
      <c r="U933" s="1">
        <v>49049</v>
      </c>
      <c r="V933" s="1">
        <v>1</v>
      </c>
      <c r="W933" s="1">
        <v>0</v>
      </c>
    </row>
    <row r="934">
      <c r="A934" s="1">
        <v>2021</v>
      </c>
      <c r="B934" s="1">
        <v>41</v>
      </c>
      <c r="C934" t="s">
        <v>3</v>
      </c>
      <c r="D934" s="1">
        <v>51</v>
      </c>
      <c r="E934" t="s">
        <v>6</v>
      </c>
      <c r="F934" s="1">
        <v>50</v>
      </c>
      <c r="G934" t="s">
        <v>38</v>
      </c>
      <c r="H934" s="1">
        <v>7</v>
      </c>
      <c r="I934" t="s">
        <v>155</v>
      </c>
      <c r="J934" s="1">
        <v>32</v>
      </c>
      <c r="K934" s="1">
        <v>48</v>
      </c>
      <c r="L934" s="1">
        <v>2197</v>
      </c>
      <c r="M934" s="1">
        <v>35329</v>
      </c>
      <c r="N934" s="1">
        <v>55311</v>
      </c>
      <c r="O934" s="1">
        <v>3098215</v>
      </c>
      <c r="P934" s="1">
        <v>351693</v>
      </c>
      <c r="Q934" s="1">
        <v>611447</v>
      </c>
      <c r="R934" s="1">
        <v>31328148</v>
      </c>
      <c r="S934" s="1">
        <v>41051</v>
      </c>
      <c r="T934" s="1">
        <v>41051</v>
      </c>
      <c r="U934" s="1">
        <v>50007</v>
      </c>
      <c r="V934" s="1">
        <v>1</v>
      </c>
      <c r="W934" s="1">
        <v>0</v>
      </c>
    </row>
    <row r="935">
      <c r="A935" s="1">
        <v>2021</v>
      </c>
      <c r="B935" s="1">
        <v>41</v>
      </c>
      <c r="C935" t="s">
        <v>3</v>
      </c>
      <c r="D935" s="1">
        <v>51</v>
      </c>
      <c r="E935" t="s">
        <v>6</v>
      </c>
      <c r="F935" s="1">
        <v>51</v>
      </c>
      <c r="G935" t="s">
        <v>39</v>
      </c>
      <c r="H935" s="1">
        <v>59</v>
      </c>
      <c r="I935" t="s">
        <v>156</v>
      </c>
      <c r="J935" s="1">
        <v>25</v>
      </c>
      <c r="K935" s="1">
        <v>38</v>
      </c>
      <c r="L935" s="1">
        <v>1786</v>
      </c>
      <c r="M935" s="1">
        <v>35329</v>
      </c>
      <c r="N935" s="1">
        <v>55311</v>
      </c>
      <c r="O935" s="1">
        <v>3098215</v>
      </c>
      <c r="P935" s="1">
        <v>351693</v>
      </c>
      <c r="Q935" s="1">
        <v>611447</v>
      </c>
      <c r="R935" s="1">
        <v>31328148</v>
      </c>
      <c r="S935" s="1">
        <v>41051</v>
      </c>
      <c r="T935" s="1">
        <v>41051</v>
      </c>
      <c r="U935" s="1">
        <v>51059</v>
      </c>
      <c r="V935" s="1">
        <v>1</v>
      </c>
      <c r="W935" s="1">
        <v>0</v>
      </c>
    </row>
    <row r="936">
      <c r="A936" s="1">
        <v>2021</v>
      </c>
      <c r="B936" s="1">
        <v>41</v>
      </c>
      <c r="C936" t="s">
        <v>3</v>
      </c>
      <c r="D936" s="1">
        <v>51</v>
      </c>
      <c r="E936" t="s">
        <v>6</v>
      </c>
      <c r="F936" s="1">
        <v>51</v>
      </c>
      <c r="G936" t="s">
        <v>39</v>
      </c>
      <c r="H936" s="1">
        <v>760</v>
      </c>
      <c r="I936" t="s">
        <v>227</v>
      </c>
      <c r="J936" s="1">
        <v>25</v>
      </c>
      <c r="K936" s="1">
        <v>30</v>
      </c>
      <c r="L936" s="1">
        <v>1137</v>
      </c>
      <c r="M936" s="1">
        <v>35329</v>
      </c>
      <c r="N936" s="1">
        <v>55311</v>
      </c>
      <c r="O936" s="1">
        <v>3098215</v>
      </c>
      <c r="P936" s="1">
        <v>351693</v>
      </c>
      <c r="Q936" s="1">
        <v>611447</v>
      </c>
      <c r="R936" s="1">
        <v>31328148</v>
      </c>
      <c r="S936" s="1">
        <v>41051</v>
      </c>
      <c r="T936" s="1">
        <v>41051</v>
      </c>
      <c r="U936" s="1">
        <v>51760</v>
      </c>
      <c r="V936" s="1">
        <v>1</v>
      </c>
      <c r="W936" s="1">
        <v>0</v>
      </c>
    </row>
    <row r="937">
      <c r="A937" s="1">
        <v>2021</v>
      </c>
      <c r="B937" s="1">
        <v>41</v>
      </c>
      <c r="C937" t="s">
        <v>3</v>
      </c>
      <c r="D937" s="1">
        <v>51</v>
      </c>
      <c r="E937" t="s">
        <v>6</v>
      </c>
      <c r="F937" s="1">
        <v>53</v>
      </c>
      <c r="G937" t="s">
        <v>40</v>
      </c>
      <c r="H937" s="1">
        <v>5</v>
      </c>
      <c r="I937" t="s">
        <v>124</v>
      </c>
      <c r="J937" s="1">
        <v>51</v>
      </c>
      <c r="K937" s="1">
        <v>93</v>
      </c>
      <c r="L937" s="1">
        <v>3105</v>
      </c>
      <c r="M937" s="1">
        <v>35329</v>
      </c>
      <c r="N937" s="1">
        <v>55311</v>
      </c>
      <c r="O937" s="1">
        <v>3098215</v>
      </c>
      <c r="P937" s="1">
        <v>351693</v>
      </c>
      <c r="Q937" s="1">
        <v>611447</v>
      </c>
      <c r="R937" s="1">
        <v>31328148</v>
      </c>
      <c r="S937" s="1">
        <v>41051</v>
      </c>
      <c r="T937" s="1">
        <v>41051</v>
      </c>
      <c r="U937" s="1">
        <v>53005</v>
      </c>
      <c r="V937" s="1">
        <v>1</v>
      </c>
      <c r="W937" s="1">
        <v>0</v>
      </c>
    </row>
    <row r="938">
      <c r="A938" s="1">
        <v>2021</v>
      </c>
      <c r="B938" s="1">
        <v>41</v>
      </c>
      <c r="C938" t="s">
        <v>3</v>
      </c>
      <c r="D938" s="1">
        <v>51</v>
      </c>
      <c r="E938" t="s">
        <v>6</v>
      </c>
      <c r="F938" s="1">
        <v>53</v>
      </c>
      <c r="G938" t="s">
        <v>40</v>
      </c>
      <c r="H938" s="1">
        <v>7</v>
      </c>
      <c r="I938" t="s">
        <v>236</v>
      </c>
      <c r="J938" s="1">
        <v>28</v>
      </c>
      <c r="K938" s="1">
        <v>43</v>
      </c>
      <c r="L938" s="1">
        <v>2502</v>
      </c>
      <c r="M938" s="1">
        <v>35329</v>
      </c>
      <c r="N938" s="1">
        <v>55311</v>
      </c>
      <c r="O938" s="1">
        <v>3098215</v>
      </c>
      <c r="P938" s="1">
        <v>351693</v>
      </c>
      <c r="Q938" s="1">
        <v>611447</v>
      </c>
      <c r="R938" s="1">
        <v>31328148</v>
      </c>
      <c r="S938" s="1">
        <v>41051</v>
      </c>
      <c r="T938" s="1">
        <v>41051</v>
      </c>
      <c r="U938" s="1">
        <v>53007</v>
      </c>
      <c r="V938" s="1">
        <v>1</v>
      </c>
      <c r="W938" s="1">
        <v>0</v>
      </c>
    </row>
    <row r="939">
      <c r="A939" s="1">
        <v>2021</v>
      </c>
      <c r="B939" s="1">
        <v>41</v>
      </c>
      <c r="C939" t="s">
        <v>3</v>
      </c>
      <c r="D939" s="1">
        <v>51</v>
      </c>
      <c r="E939" t="s">
        <v>6</v>
      </c>
      <c r="F939" s="1">
        <v>53</v>
      </c>
      <c r="G939" t="s">
        <v>40</v>
      </c>
      <c r="H939" s="1">
        <v>9</v>
      </c>
      <c r="I939" t="s">
        <v>222</v>
      </c>
      <c r="J939" s="1">
        <v>31</v>
      </c>
      <c r="K939" s="1">
        <v>50</v>
      </c>
      <c r="L939" s="1">
        <v>3562</v>
      </c>
      <c r="M939" s="1">
        <v>35329</v>
      </c>
      <c r="N939" s="1">
        <v>55311</v>
      </c>
      <c r="O939" s="1">
        <v>3098215</v>
      </c>
      <c r="P939" s="1">
        <v>351693</v>
      </c>
      <c r="Q939" s="1">
        <v>611447</v>
      </c>
      <c r="R939" s="1">
        <v>31328148</v>
      </c>
      <c r="S939" s="1">
        <v>41051</v>
      </c>
      <c r="T939" s="1">
        <v>41051</v>
      </c>
      <c r="U939" s="1">
        <v>53009</v>
      </c>
      <c r="V939" s="1">
        <v>1</v>
      </c>
      <c r="W939" s="1">
        <v>0</v>
      </c>
    </row>
    <row r="940">
      <c r="A940" s="1">
        <v>2021</v>
      </c>
      <c r="B940" s="1">
        <v>41</v>
      </c>
      <c r="C940" t="s">
        <v>3</v>
      </c>
      <c r="D940" s="1">
        <v>51</v>
      </c>
      <c r="E940" t="s">
        <v>6</v>
      </c>
      <c r="F940" s="1">
        <v>53</v>
      </c>
      <c r="G940" t="s">
        <v>40</v>
      </c>
      <c r="H940" s="1">
        <v>11</v>
      </c>
      <c r="I940" t="s">
        <v>112</v>
      </c>
      <c r="J940" s="1">
        <v>3400</v>
      </c>
      <c r="K940" s="1">
        <v>5725</v>
      </c>
      <c r="L940" s="1">
        <v>328345</v>
      </c>
      <c r="M940" s="1">
        <v>35329</v>
      </c>
      <c r="N940" s="1">
        <v>55311</v>
      </c>
      <c r="O940" s="1">
        <v>3098215</v>
      </c>
      <c r="P940" s="1">
        <v>351693</v>
      </c>
      <c r="Q940" s="1">
        <v>611447</v>
      </c>
      <c r="R940" s="1">
        <v>31328148</v>
      </c>
      <c r="S940" s="1">
        <v>41051</v>
      </c>
      <c r="T940" s="1">
        <v>41051</v>
      </c>
      <c r="U940" s="1">
        <v>53011</v>
      </c>
      <c r="V940" s="1">
        <v>1</v>
      </c>
      <c r="W940" s="1">
        <v>0</v>
      </c>
    </row>
    <row r="941">
      <c r="A941" s="1">
        <v>2021</v>
      </c>
      <c r="B941" s="1">
        <v>41</v>
      </c>
      <c r="C941" t="s">
        <v>3</v>
      </c>
      <c r="D941" s="1">
        <v>51</v>
      </c>
      <c r="E941" t="s">
        <v>6</v>
      </c>
      <c r="F941" s="1">
        <v>53</v>
      </c>
      <c r="G941" t="s">
        <v>40</v>
      </c>
      <c r="H941" s="1">
        <v>15</v>
      </c>
      <c r="I941" t="s">
        <v>157</v>
      </c>
      <c r="J941" s="1">
        <v>199</v>
      </c>
      <c r="K941" s="1">
        <v>322</v>
      </c>
      <c r="L941" s="1">
        <v>16155</v>
      </c>
      <c r="M941" s="1">
        <v>35329</v>
      </c>
      <c r="N941" s="1">
        <v>55311</v>
      </c>
      <c r="O941" s="1">
        <v>3098215</v>
      </c>
      <c r="P941" s="1">
        <v>351693</v>
      </c>
      <c r="Q941" s="1">
        <v>611447</v>
      </c>
      <c r="R941" s="1">
        <v>31328148</v>
      </c>
      <c r="S941" s="1">
        <v>41051</v>
      </c>
      <c r="T941" s="1">
        <v>41051</v>
      </c>
      <c r="U941" s="1">
        <v>53015</v>
      </c>
      <c r="V941" s="1">
        <v>1</v>
      </c>
      <c r="W941" s="1">
        <v>0</v>
      </c>
    </row>
    <row r="942">
      <c r="A942" s="1">
        <v>2021</v>
      </c>
      <c r="B942" s="1">
        <v>41</v>
      </c>
      <c r="C942" t="s">
        <v>3</v>
      </c>
      <c r="D942" s="1">
        <v>51</v>
      </c>
      <c r="E942" t="s">
        <v>6</v>
      </c>
      <c r="F942" s="1">
        <v>53</v>
      </c>
      <c r="G942" t="s">
        <v>40</v>
      </c>
      <c r="H942" s="1">
        <v>27</v>
      </c>
      <c r="I942" t="s">
        <v>158</v>
      </c>
      <c r="J942" s="1">
        <v>23</v>
      </c>
      <c r="K942" s="1">
        <v>32</v>
      </c>
      <c r="L942" s="1">
        <v>1614</v>
      </c>
      <c r="M942" s="1">
        <v>35329</v>
      </c>
      <c r="N942" s="1">
        <v>55311</v>
      </c>
      <c r="O942" s="1">
        <v>3098215</v>
      </c>
      <c r="P942" s="1">
        <v>351693</v>
      </c>
      <c r="Q942" s="1">
        <v>611447</v>
      </c>
      <c r="R942" s="1">
        <v>31328148</v>
      </c>
      <c r="S942" s="1">
        <v>41051</v>
      </c>
      <c r="T942" s="1">
        <v>41051</v>
      </c>
      <c r="U942" s="1">
        <v>53027</v>
      </c>
      <c r="V942" s="1">
        <v>1</v>
      </c>
      <c r="W942" s="1">
        <v>0</v>
      </c>
    </row>
    <row r="943">
      <c r="A943" s="1">
        <v>2021</v>
      </c>
      <c r="B943" s="1">
        <v>41</v>
      </c>
      <c r="C943" t="s">
        <v>3</v>
      </c>
      <c r="D943" s="1">
        <v>51</v>
      </c>
      <c r="E943" t="s">
        <v>6</v>
      </c>
      <c r="F943" s="1">
        <v>53</v>
      </c>
      <c r="G943" t="s">
        <v>40</v>
      </c>
      <c r="H943" s="1">
        <v>29</v>
      </c>
      <c r="I943" t="s">
        <v>159</v>
      </c>
      <c r="J943" s="1">
        <v>35</v>
      </c>
      <c r="K943" s="1">
        <v>58</v>
      </c>
      <c r="L943" s="1">
        <v>2089</v>
      </c>
      <c r="M943" s="1">
        <v>35329</v>
      </c>
      <c r="N943" s="1">
        <v>55311</v>
      </c>
      <c r="O943" s="1">
        <v>3098215</v>
      </c>
      <c r="P943" s="1">
        <v>351693</v>
      </c>
      <c r="Q943" s="1">
        <v>611447</v>
      </c>
      <c r="R943" s="1">
        <v>31328148</v>
      </c>
      <c r="S943" s="1">
        <v>41051</v>
      </c>
      <c r="T943" s="1">
        <v>41051</v>
      </c>
      <c r="U943" s="1">
        <v>53029</v>
      </c>
      <c r="V943" s="1">
        <v>1</v>
      </c>
      <c r="W943" s="1">
        <v>0</v>
      </c>
    </row>
    <row r="944">
      <c r="A944" s="1">
        <v>2021</v>
      </c>
      <c r="B944" s="1">
        <v>41</v>
      </c>
      <c r="C944" t="s">
        <v>3</v>
      </c>
      <c r="D944" s="1">
        <v>51</v>
      </c>
      <c r="E944" t="s">
        <v>6</v>
      </c>
      <c r="F944" s="1">
        <v>53</v>
      </c>
      <c r="G944" t="s">
        <v>40</v>
      </c>
      <c r="H944" s="1">
        <v>31</v>
      </c>
      <c r="I944" t="s">
        <v>83</v>
      </c>
      <c r="J944" s="1">
        <v>32</v>
      </c>
      <c r="K944" s="1">
        <v>57</v>
      </c>
      <c r="L944" s="1">
        <v>2574</v>
      </c>
      <c r="M944" s="1">
        <v>35329</v>
      </c>
      <c r="N944" s="1">
        <v>55311</v>
      </c>
      <c r="O944" s="1">
        <v>3098215</v>
      </c>
      <c r="P944" s="1">
        <v>351693</v>
      </c>
      <c r="Q944" s="1">
        <v>611447</v>
      </c>
      <c r="R944" s="1">
        <v>31328148</v>
      </c>
      <c r="S944" s="1">
        <v>41051</v>
      </c>
      <c r="T944" s="1">
        <v>41051</v>
      </c>
      <c r="U944" s="1">
        <v>53031</v>
      </c>
      <c r="V944" s="1">
        <v>1</v>
      </c>
      <c r="W944" s="1">
        <v>0</v>
      </c>
    </row>
    <row r="945">
      <c r="A945" s="1">
        <v>2021</v>
      </c>
      <c r="B945" s="1">
        <v>41</v>
      </c>
      <c r="C945" t="s">
        <v>3</v>
      </c>
      <c r="D945" s="1">
        <v>51</v>
      </c>
      <c r="E945" t="s">
        <v>6</v>
      </c>
      <c r="F945" s="1">
        <v>53</v>
      </c>
      <c r="G945" t="s">
        <v>40</v>
      </c>
      <c r="H945" s="1">
        <v>33</v>
      </c>
      <c r="I945" t="s">
        <v>160</v>
      </c>
      <c r="J945" s="1">
        <v>876</v>
      </c>
      <c r="K945" s="1">
        <v>1116</v>
      </c>
      <c r="L945" s="1">
        <v>89010</v>
      </c>
      <c r="M945" s="1">
        <v>35329</v>
      </c>
      <c r="N945" s="1">
        <v>55311</v>
      </c>
      <c r="O945" s="1">
        <v>3098215</v>
      </c>
      <c r="P945" s="1">
        <v>351693</v>
      </c>
      <c r="Q945" s="1">
        <v>611447</v>
      </c>
      <c r="R945" s="1">
        <v>31328148</v>
      </c>
      <c r="S945" s="1">
        <v>41051</v>
      </c>
      <c r="T945" s="1">
        <v>41051</v>
      </c>
      <c r="U945" s="1">
        <v>53033</v>
      </c>
      <c r="V945" s="1">
        <v>1</v>
      </c>
      <c r="W945" s="1">
        <v>0</v>
      </c>
    </row>
    <row r="946">
      <c r="A946" s="1">
        <v>2021</v>
      </c>
      <c r="B946" s="1">
        <v>41</v>
      </c>
      <c r="C946" t="s">
        <v>3</v>
      </c>
      <c r="D946" s="1">
        <v>51</v>
      </c>
      <c r="E946" t="s">
        <v>6</v>
      </c>
      <c r="F946" s="1">
        <v>53</v>
      </c>
      <c r="G946" t="s">
        <v>40</v>
      </c>
      <c r="H946" s="1">
        <v>35</v>
      </c>
      <c r="I946" t="s">
        <v>161</v>
      </c>
      <c r="J946" s="1">
        <v>67</v>
      </c>
      <c r="K946" s="1">
        <v>115</v>
      </c>
      <c r="L946" s="1">
        <v>10573</v>
      </c>
      <c r="M946" s="1">
        <v>35329</v>
      </c>
      <c r="N946" s="1">
        <v>55311</v>
      </c>
      <c r="O946" s="1">
        <v>3098215</v>
      </c>
      <c r="P946" s="1">
        <v>351693</v>
      </c>
      <c r="Q946" s="1">
        <v>611447</v>
      </c>
      <c r="R946" s="1">
        <v>31328148</v>
      </c>
      <c r="S946" s="1">
        <v>41051</v>
      </c>
      <c r="T946" s="1">
        <v>41051</v>
      </c>
      <c r="U946" s="1">
        <v>53035</v>
      </c>
      <c r="V946" s="1">
        <v>1</v>
      </c>
      <c r="W946" s="1">
        <v>0</v>
      </c>
    </row>
    <row r="947">
      <c r="A947" s="1">
        <v>2021</v>
      </c>
      <c r="B947" s="1">
        <v>41</v>
      </c>
      <c r="C947" t="s">
        <v>3</v>
      </c>
      <c r="D947" s="1">
        <v>51</v>
      </c>
      <c r="E947" t="s">
        <v>6</v>
      </c>
      <c r="F947" s="1">
        <v>53</v>
      </c>
      <c r="G947" t="s">
        <v>40</v>
      </c>
      <c r="H947" s="1">
        <v>39</v>
      </c>
      <c r="I947" t="s">
        <v>162</v>
      </c>
      <c r="J947" s="1">
        <v>77</v>
      </c>
      <c r="K947" s="1">
        <v>122</v>
      </c>
      <c r="L947" s="1">
        <v>9717</v>
      </c>
      <c r="M947" s="1">
        <v>35329</v>
      </c>
      <c r="N947" s="1">
        <v>55311</v>
      </c>
      <c r="O947" s="1">
        <v>3098215</v>
      </c>
      <c r="P947" s="1">
        <v>351693</v>
      </c>
      <c r="Q947" s="1">
        <v>611447</v>
      </c>
      <c r="R947" s="1">
        <v>31328148</v>
      </c>
      <c r="S947" s="1">
        <v>41051</v>
      </c>
      <c r="T947" s="1">
        <v>41051</v>
      </c>
      <c r="U947" s="1">
        <v>53039</v>
      </c>
      <c r="V947" s="1">
        <v>1</v>
      </c>
      <c r="W947" s="1">
        <v>0</v>
      </c>
    </row>
    <row r="948">
      <c r="A948" s="1">
        <v>2021</v>
      </c>
      <c r="B948" s="1">
        <v>41</v>
      </c>
      <c r="C948" t="s">
        <v>3</v>
      </c>
      <c r="D948" s="1">
        <v>51</v>
      </c>
      <c r="E948" t="s">
        <v>6</v>
      </c>
      <c r="F948" s="1">
        <v>53</v>
      </c>
      <c r="G948" t="s">
        <v>40</v>
      </c>
      <c r="H948" s="1">
        <v>41</v>
      </c>
      <c r="I948" t="s">
        <v>163</v>
      </c>
      <c r="J948" s="1">
        <v>51</v>
      </c>
      <c r="K948" s="1">
        <v>85</v>
      </c>
      <c r="L948" s="1">
        <v>3067</v>
      </c>
      <c r="M948" s="1">
        <v>35329</v>
      </c>
      <c r="N948" s="1">
        <v>55311</v>
      </c>
      <c r="O948" s="1">
        <v>3098215</v>
      </c>
      <c r="P948" s="1">
        <v>351693</v>
      </c>
      <c r="Q948" s="1">
        <v>611447</v>
      </c>
      <c r="R948" s="1">
        <v>31328148</v>
      </c>
      <c r="S948" s="1">
        <v>41051</v>
      </c>
      <c r="T948" s="1">
        <v>41051</v>
      </c>
      <c r="U948" s="1">
        <v>53041</v>
      </c>
      <c r="V948" s="1">
        <v>1</v>
      </c>
      <c r="W948" s="1">
        <v>0</v>
      </c>
    </row>
    <row r="949">
      <c r="A949" s="1">
        <v>2021</v>
      </c>
      <c r="B949" s="1">
        <v>41</v>
      </c>
      <c r="C949" t="s">
        <v>3</v>
      </c>
      <c r="D949" s="1">
        <v>51</v>
      </c>
      <c r="E949" t="s">
        <v>6</v>
      </c>
      <c r="F949" s="1">
        <v>53</v>
      </c>
      <c r="G949" t="s">
        <v>40</v>
      </c>
      <c r="H949" s="1">
        <v>45</v>
      </c>
      <c r="I949" t="s">
        <v>237</v>
      </c>
      <c r="J949" s="1">
        <v>23</v>
      </c>
      <c r="K949" s="1">
        <v>40</v>
      </c>
      <c r="L949" s="1">
        <v>2995</v>
      </c>
      <c r="M949" s="1">
        <v>35329</v>
      </c>
      <c r="N949" s="1">
        <v>55311</v>
      </c>
      <c r="O949" s="1">
        <v>3098215</v>
      </c>
      <c r="P949" s="1">
        <v>351693</v>
      </c>
      <c r="Q949" s="1">
        <v>611447</v>
      </c>
      <c r="R949" s="1">
        <v>31328148</v>
      </c>
      <c r="S949" s="1">
        <v>41051</v>
      </c>
      <c r="T949" s="1">
        <v>41051</v>
      </c>
      <c r="U949" s="1">
        <v>53045</v>
      </c>
      <c r="V949" s="1">
        <v>1</v>
      </c>
      <c r="W949" s="1">
        <v>0</v>
      </c>
    </row>
    <row r="950">
      <c r="A950" s="1">
        <v>2021</v>
      </c>
      <c r="B950" s="1">
        <v>41</v>
      </c>
      <c r="C950" t="s">
        <v>3</v>
      </c>
      <c r="D950" s="1">
        <v>51</v>
      </c>
      <c r="E950" t="s">
        <v>6</v>
      </c>
      <c r="F950" s="1">
        <v>53</v>
      </c>
      <c r="G950" t="s">
        <v>40</v>
      </c>
      <c r="H950" s="1">
        <v>49</v>
      </c>
      <c r="I950" t="s">
        <v>164</v>
      </c>
      <c r="J950" s="1">
        <v>41</v>
      </c>
      <c r="K950" s="1">
        <v>77</v>
      </c>
      <c r="L950" s="1">
        <v>2746</v>
      </c>
      <c r="M950" s="1">
        <v>35329</v>
      </c>
      <c r="N950" s="1">
        <v>55311</v>
      </c>
      <c r="O950" s="1">
        <v>3098215</v>
      </c>
      <c r="P950" s="1">
        <v>351693</v>
      </c>
      <c r="Q950" s="1">
        <v>611447</v>
      </c>
      <c r="R950" s="1">
        <v>31328148</v>
      </c>
      <c r="S950" s="1">
        <v>41051</v>
      </c>
      <c r="T950" s="1">
        <v>41051</v>
      </c>
      <c r="U950" s="1">
        <v>53049</v>
      </c>
      <c r="V950" s="1">
        <v>1</v>
      </c>
      <c r="W950" s="1">
        <v>0</v>
      </c>
    </row>
    <row r="951">
      <c r="A951" s="1">
        <v>2021</v>
      </c>
      <c r="B951" s="1">
        <v>41</v>
      </c>
      <c r="C951" t="s">
        <v>3</v>
      </c>
      <c r="D951" s="1">
        <v>51</v>
      </c>
      <c r="E951" t="s">
        <v>6</v>
      </c>
      <c r="F951" s="1">
        <v>53</v>
      </c>
      <c r="G951" t="s">
        <v>40</v>
      </c>
      <c r="H951" s="1">
        <v>53</v>
      </c>
      <c r="I951" t="s">
        <v>165</v>
      </c>
      <c r="J951" s="1">
        <v>195</v>
      </c>
      <c r="K951" s="1">
        <v>279</v>
      </c>
      <c r="L951" s="1">
        <v>14588</v>
      </c>
      <c r="M951" s="1">
        <v>35329</v>
      </c>
      <c r="N951" s="1">
        <v>55311</v>
      </c>
      <c r="O951" s="1">
        <v>3098215</v>
      </c>
      <c r="P951" s="1">
        <v>351693</v>
      </c>
      <c r="Q951" s="1">
        <v>611447</v>
      </c>
      <c r="R951" s="1">
        <v>31328148</v>
      </c>
      <c r="S951" s="1">
        <v>41051</v>
      </c>
      <c r="T951" s="1">
        <v>41051</v>
      </c>
      <c r="U951" s="1">
        <v>53053</v>
      </c>
      <c r="V951" s="1">
        <v>1</v>
      </c>
      <c r="W951" s="1">
        <v>0</v>
      </c>
    </row>
    <row r="952">
      <c r="A952" s="1">
        <v>2021</v>
      </c>
      <c r="B952" s="1">
        <v>41</v>
      </c>
      <c r="C952" t="s">
        <v>3</v>
      </c>
      <c r="D952" s="1">
        <v>51</v>
      </c>
      <c r="E952" t="s">
        <v>6</v>
      </c>
      <c r="F952" s="1">
        <v>53</v>
      </c>
      <c r="G952" t="s">
        <v>40</v>
      </c>
      <c r="H952" s="1">
        <v>55</v>
      </c>
      <c r="I952" t="s">
        <v>238</v>
      </c>
      <c r="J952" s="1">
        <v>28</v>
      </c>
      <c r="K952" s="1">
        <v>40</v>
      </c>
      <c r="L952" s="1">
        <v>2150</v>
      </c>
      <c r="M952" s="1">
        <v>35329</v>
      </c>
      <c r="N952" s="1">
        <v>55311</v>
      </c>
      <c r="O952" s="1">
        <v>3098215</v>
      </c>
      <c r="P952" s="1">
        <v>351693</v>
      </c>
      <c r="Q952" s="1">
        <v>611447</v>
      </c>
      <c r="R952" s="1">
        <v>31328148</v>
      </c>
      <c r="S952" s="1">
        <v>41051</v>
      </c>
      <c r="T952" s="1">
        <v>41051</v>
      </c>
      <c r="U952" s="1">
        <v>53055</v>
      </c>
      <c r="V952" s="1">
        <v>1</v>
      </c>
      <c r="W952" s="1">
        <v>0</v>
      </c>
    </row>
    <row r="953">
      <c r="A953" s="1">
        <v>2021</v>
      </c>
      <c r="B953" s="1">
        <v>41</v>
      </c>
      <c r="C953" t="s">
        <v>3</v>
      </c>
      <c r="D953" s="1">
        <v>51</v>
      </c>
      <c r="E953" t="s">
        <v>6</v>
      </c>
      <c r="F953" s="1">
        <v>53</v>
      </c>
      <c r="G953" t="s">
        <v>40</v>
      </c>
      <c r="H953" s="1">
        <v>57</v>
      </c>
      <c r="I953" t="s">
        <v>223</v>
      </c>
      <c r="J953" s="1">
        <v>38</v>
      </c>
      <c r="K953" s="1">
        <v>58</v>
      </c>
      <c r="L953" s="1">
        <v>2821</v>
      </c>
      <c r="M953" s="1">
        <v>35329</v>
      </c>
      <c r="N953" s="1">
        <v>55311</v>
      </c>
      <c r="O953" s="1">
        <v>3098215</v>
      </c>
      <c r="P953" s="1">
        <v>351693</v>
      </c>
      <c r="Q953" s="1">
        <v>611447</v>
      </c>
      <c r="R953" s="1">
        <v>31328148</v>
      </c>
      <c r="S953" s="1">
        <v>41051</v>
      </c>
      <c r="T953" s="1">
        <v>41051</v>
      </c>
      <c r="U953" s="1">
        <v>53057</v>
      </c>
      <c r="V953" s="1">
        <v>1</v>
      </c>
      <c r="W953" s="1">
        <v>0</v>
      </c>
    </row>
    <row r="954">
      <c r="A954" s="1">
        <v>2021</v>
      </c>
      <c r="B954" s="1">
        <v>41</v>
      </c>
      <c r="C954" t="s">
        <v>3</v>
      </c>
      <c r="D954" s="1">
        <v>51</v>
      </c>
      <c r="E954" t="s">
        <v>6</v>
      </c>
      <c r="F954" s="1">
        <v>53</v>
      </c>
      <c r="G954" t="s">
        <v>40</v>
      </c>
      <c r="H954" s="1">
        <v>59</v>
      </c>
      <c r="I954" t="s">
        <v>166</v>
      </c>
      <c r="J954" s="1">
        <v>63</v>
      </c>
      <c r="K954" s="1">
        <v>104</v>
      </c>
      <c r="L954" s="1">
        <v>5476</v>
      </c>
      <c r="M954" s="1">
        <v>35329</v>
      </c>
      <c r="N954" s="1">
        <v>55311</v>
      </c>
      <c r="O954" s="1">
        <v>3098215</v>
      </c>
      <c r="P954" s="1">
        <v>351693</v>
      </c>
      <c r="Q954" s="1">
        <v>611447</v>
      </c>
      <c r="R954" s="1">
        <v>31328148</v>
      </c>
      <c r="S954" s="1">
        <v>41051</v>
      </c>
      <c r="T954" s="1">
        <v>41051</v>
      </c>
      <c r="U954" s="1">
        <v>53059</v>
      </c>
      <c r="V954" s="1">
        <v>1</v>
      </c>
      <c r="W954" s="1">
        <v>0</v>
      </c>
    </row>
    <row r="955">
      <c r="A955" s="1">
        <v>2021</v>
      </c>
      <c r="B955" s="1">
        <v>41</v>
      </c>
      <c r="C955" t="s">
        <v>3</v>
      </c>
      <c r="D955" s="1">
        <v>51</v>
      </c>
      <c r="E955" t="s">
        <v>6</v>
      </c>
      <c r="F955" s="1">
        <v>53</v>
      </c>
      <c r="G955" t="s">
        <v>40</v>
      </c>
      <c r="H955" s="1">
        <v>61</v>
      </c>
      <c r="I955" t="s">
        <v>167</v>
      </c>
      <c r="J955" s="1">
        <v>132</v>
      </c>
      <c r="K955" s="1">
        <v>191</v>
      </c>
      <c r="L955" s="1">
        <v>8944</v>
      </c>
      <c r="M955" s="1">
        <v>35329</v>
      </c>
      <c r="N955" s="1">
        <v>55311</v>
      </c>
      <c r="O955" s="1">
        <v>3098215</v>
      </c>
      <c r="P955" s="1">
        <v>351693</v>
      </c>
      <c r="Q955" s="1">
        <v>611447</v>
      </c>
      <c r="R955" s="1">
        <v>31328148</v>
      </c>
      <c r="S955" s="1">
        <v>41051</v>
      </c>
      <c r="T955" s="1">
        <v>41051</v>
      </c>
      <c r="U955" s="1">
        <v>53061</v>
      </c>
      <c r="V955" s="1">
        <v>1</v>
      </c>
      <c r="W955" s="1">
        <v>0</v>
      </c>
    </row>
    <row r="956">
      <c r="A956" s="1">
        <v>2021</v>
      </c>
      <c r="B956" s="1">
        <v>41</v>
      </c>
      <c r="C956" t="s">
        <v>3</v>
      </c>
      <c r="D956" s="1">
        <v>51</v>
      </c>
      <c r="E956" t="s">
        <v>6</v>
      </c>
      <c r="F956" s="1">
        <v>53</v>
      </c>
      <c r="G956" t="s">
        <v>40</v>
      </c>
      <c r="H956" s="1">
        <v>63</v>
      </c>
      <c r="I956" t="s">
        <v>168</v>
      </c>
      <c r="J956" s="1">
        <v>166</v>
      </c>
      <c r="K956" s="1">
        <v>261</v>
      </c>
      <c r="L956" s="1">
        <v>11004</v>
      </c>
      <c r="M956" s="1">
        <v>35329</v>
      </c>
      <c r="N956" s="1">
        <v>55311</v>
      </c>
      <c r="O956" s="1">
        <v>3098215</v>
      </c>
      <c r="P956" s="1">
        <v>351693</v>
      </c>
      <c r="Q956" s="1">
        <v>611447</v>
      </c>
      <c r="R956" s="1">
        <v>31328148</v>
      </c>
      <c r="S956" s="1">
        <v>41051</v>
      </c>
      <c r="T956" s="1">
        <v>41051</v>
      </c>
      <c r="U956" s="1">
        <v>53063</v>
      </c>
      <c r="V956" s="1">
        <v>1</v>
      </c>
      <c r="W956" s="1">
        <v>0</v>
      </c>
    </row>
    <row r="957">
      <c r="A957" s="1">
        <v>2021</v>
      </c>
      <c r="B957" s="1">
        <v>41</v>
      </c>
      <c r="C957" t="s">
        <v>3</v>
      </c>
      <c r="D957" s="1">
        <v>51</v>
      </c>
      <c r="E957" t="s">
        <v>6</v>
      </c>
      <c r="F957" s="1">
        <v>53</v>
      </c>
      <c r="G957" t="s">
        <v>40</v>
      </c>
      <c r="H957" s="1">
        <v>67</v>
      </c>
      <c r="I957" t="s">
        <v>169</v>
      </c>
      <c r="J957" s="1">
        <v>102</v>
      </c>
      <c r="K957" s="1">
        <v>150</v>
      </c>
      <c r="L957" s="1">
        <v>5564</v>
      </c>
      <c r="M957" s="1">
        <v>35329</v>
      </c>
      <c r="N957" s="1">
        <v>55311</v>
      </c>
      <c r="O957" s="1">
        <v>3098215</v>
      </c>
      <c r="P957" s="1">
        <v>351693</v>
      </c>
      <c r="Q957" s="1">
        <v>611447</v>
      </c>
      <c r="R957" s="1">
        <v>31328148</v>
      </c>
      <c r="S957" s="1">
        <v>41051</v>
      </c>
      <c r="T957" s="1">
        <v>41051</v>
      </c>
      <c r="U957" s="1">
        <v>53067</v>
      </c>
      <c r="V957" s="1">
        <v>1</v>
      </c>
      <c r="W957" s="1">
        <v>0</v>
      </c>
    </row>
    <row r="958">
      <c r="A958" s="1">
        <v>2021</v>
      </c>
      <c r="B958" s="1">
        <v>41</v>
      </c>
      <c r="C958" t="s">
        <v>3</v>
      </c>
      <c r="D958" s="1">
        <v>51</v>
      </c>
      <c r="E958" t="s">
        <v>6</v>
      </c>
      <c r="F958" s="1">
        <v>53</v>
      </c>
      <c r="G958" t="s">
        <v>40</v>
      </c>
      <c r="H958" s="1">
        <v>71</v>
      </c>
      <c r="I958" t="s">
        <v>170</v>
      </c>
      <c r="J958" s="1">
        <v>36</v>
      </c>
      <c r="K958" s="1">
        <v>51</v>
      </c>
      <c r="L958" s="1">
        <v>2184</v>
      </c>
      <c r="M958" s="1">
        <v>35329</v>
      </c>
      <c r="N958" s="1">
        <v>55311</v>
      </c>
      <c r="O958" s="1">
        <v>3098215</v>
      </c>
      <c r="P958" s="1">
        <v>351693</v>
      </c>
      <c r="Q958" s="1">
        <v>611447</v>
      </c>
      <c r="R958" s="1">
        <v>31328148</v>
      </c>
      <c r="S958" s="1">
        <v>41051</v>
      </c>
      <c r="T958" s="1">
        <v>41051</v>
      </c>
      <c r="U958" s="1">
        <v>53071</v>
      </c>
      <c r="V958" s="1">
        <v>1</v>
      </c>
      <c r="W958" s="1">
        <v>0</v>
      </c>
    </row>
    <row r="959">
      <c r="A959" s="1">
        <v>2021</v>
      </c>
      <c r="B959" s="1">
        <v>41</v>
      </c>
      <c r="C959" t="s">
        <v>3</v>
      </c>
      <c r="D959" s="1">
        <v>51</v>
      </c>
      <c r="E959" t="s">
        <v>6</v>
      </c>
      <c r="F959" s="1">
        <v>53</v>
      </c>
      <c r="G959" t="s">
        <v>40</v>
      </c>
      <c r="H959" s="1">
        <v>73</v>
      </c>
      <c r="I959" t="s">
        <v>171</v>
      </c>
      <c r="J959" s="1">
        <v>111</v>
      </c>
      <c r="K959" s="1">
        <v>158</v>
      </c>
      <c r="L959" s="1">
        <v>8918</v>
      </c>
      <c r="M959" s="1">
        <v>35329</v>
      </c>
      <c r="N959" s="1">
        <v>55311</v>
      </c>
      <c r="O959" s="1">
        <v>3098215</v>
      </c>
      <c r="P959" s="1">
        <v>351693</v>
      </c>
      <c r="Q959" s="1">
        <v>611447</v>
      </c>
      <c r="R959" s="1">
        <v>31328148</v>
      </c>
      <c r="S959" s="1">
        <v>41051</v>
      </c>
      <c r="T959" s="1">
        <v>41051</v>
      </c>
      <c r="U959" s="1">
        <v>53073</v>
      </c>
      <c r="V959" s="1">
        <v>1</v>
      </c>
      <c r="W959" s="1">
        <v>0</v>
      </c>
    </row>
    <row r="960">
      <c r="A960" s="1">
        <v>2021</v>
      </c>
      <c r="B960" s="1">
        <v>41</v>
      </c>
      <c r="C960" t="s">
        <v>3</v>
      </c>
      <c r="D960" s="1">
        <v>51</v>
      </c>
      <c r="E960" t="s">
        <v>6</v>
      </c>
      <c r="F960" s="1">
        <v>53</v>
      </c>
      <c r="G960" t="s">
        <v>40</v>
      </c>
      <c r="H960" s="1">
        <v>77</v>
      </c>
      <c r="I960" t="s">
        <v>172</v>
      </c>
      <c r="J960" s="1">
        <v>36</v>
      </c>
      <c r="K960" s="1">
        <v>60</v>
      </c>
      <c r="L960" s="1">
        <v>1554</v>
      </c>
      <c r="M960" s="1">
        <v>35329</v>
      </c>
      <c r="N960" s="1">
        <v>55311</v>
      </c>
      <c r="O960" s="1">
        <v>3098215</v>
      </c>
      <c r="P960" s="1">
        <v>351693</v>
      </c>
      <c r="Q960" s="1">
        <v>611447</v>
      </c>
      <c r="R960" s="1">
        <v>31328148</v>
      </c>
      <c r="S960" s="1">
        <v>41051</v>
      </c>
      <c r="T960" s="1">
        <v>41051</v>
      </c>
      <c r="U960" s="1">
        <v>53077</v>
      </c>
      <c r="V960" s="1">
        <v>1</v>
      </c>
      <c r="W960" s="1">
        <v>0</v>
      </c>
    </row>
    <row r="961">
      <c r="A961" s="1">
        <v>2021</v>
      </c>
      <c r="B961" s="1">
        <v>41</v>
      </c>
      <c r="C961" t="s">
        <v>3</v>
      </c>
      <c r="D961" s="1">
        <v>51</v>
      </c>
      <c r="E961" t="s">
        <v>6</v>
      </c>
      <c r="F961" s="1">
        <v>55</v>
      </c>
      <c r="G961" t="s">
        <v>41</v>
      </c>
      <c r="H961" s="1">
        <v>25</v>
      </c>
      <c r="I961" t="s">
        <v>173</v>
      </c>
      <c r="J961" s="1">
        <v>40</v>
      </c>
      <c r="K961" s="1">
        <v>60</v>
      </c>
      <c r="L961" s="1">
        <v>2230</v>
      </c>
      <c r="M961" s="1">
        <v>35329</v>
      </c>
      <c r="N961" s="1">
        <v>55311</v>
      </c>
      <c r="O961" s="1">
        <v>3098215</v>
      </c>
      <c r="P961" s="1">
        <v>351693</v>
      </c>
      <c r="Q961" s="1">
        <v>611447</v>
      </c>
      <c r="R961" s="1">
        <v>31328148</v>
      </c>
      <c r="S961" s="1">
        <v>41051</v>
      </c>
      <c r="T961" s="1">
        <v>41051</v>
      </c>
      <c r="U961" s="1">
        <v>55025</v>
      </c>
      <c r="V961" s="1">
        <v>1</v>
      </c>
      <c r="W961" s="1">
        <v>0</v>
      </c>
    </row>
    <row r="962">
      <c r="A962" s="1">
        <v>2021</v>
      </c>
      <c r="B962" s="1">
        <v>41</v>
      </c>
      <c r="C962" t="s">
        <v>3</v>
      </c>
      <c r="D962" s="1">
        <v>51</v>
      </c>
      <c r="E962" t="s">
        <v>6</v>
      </c>
      <c r="F962" s="1">
        <v>55</v>
      </c>
      <c r="G962" t="s">
        <v>41</v>
      </c>
      <c r="H962" s="1">
        <v>79</v>
      </c>
      <c r="I962" t="s">
        <v>174</v>
      </c>
      <c r="J962" s="1">
        <v>41</v>
      </c>
      <c r="K962" s="1">
        <v>69</v>
      </c>
      <c r="L962" s="1">
        <v>2505</v>
      </c>
      <c r="M962" s="1">
        <v>35329</v>
      </c>
      <c r="N962" s="1">
        <v>55311</v>
      </c>
      <c r="O962" s="1">
        <v>3098215</v>
      </c>
      <c r="P962" s="1">
        <v>351693</v>
      </c>
      <c r="Q962" s="1">
        <v>611447</v>
      </c>
      <c r="R962" s="1">
        <v>31328148</v>
      </c>
      <c r="S962" s="1">
        <v>41051</v>
      </c>
      <c r="T962" s="1">
        <v>41051</v>
      </c>
      <c r="U962" s="1">
        <v>55079</v>
      </c>
      <c r="V962" s="1">
        <v>1</v>
      </c>
      <c r="W962" s="1">
        <v>0</v>
      </c>
    </row>
    <row r="963">
      <c r="A963" s="1">
        <v>2022</v>
      </c>
      <c r="B963" s="1">
        <v>41</v>
      </c>
      <c r="C963" t="s">
        <v>3</v>
      </c>
      <c r="D963" s="1">
        <v>51</v>
      </c>
      <c r="E963" t="s">
        <v>6</v>
      </c>
      <c r="F963" s="1">
        <v>2</v>
      </c>
      <c r="G963" t="s">
        <v>9</v>
      </c>
      <c r="H963" s="1">
        <v>20</v>
      </c>
      <c r="I963" t="s">
        <v>52</v>
      </c>
      <c r="J963" s="1">
        <v>40</v>
      </c>
      <c r="K963" s="1">
        <v>54</v>
      </c>
      <c r="L963" s="1">
        <v>2310</v>
      </c>
      <c r="M963" s="1">
        <v>32873</v>
      </c>
      <c r="N963" s="1">
        <v>50114</v>
      </c>
      <c r="O963" s="1">
        <v>3438234</v>
      </c>
      <c r="P963" s="1">
        <v>353386</v>
      </c>
      <c r="Q963" s="1">
        <v>611005</v>
      </c>
      <c r="R963" s="1">
        <v>36220220</v>
      </c>
      <c r="S963" s="1">
        <v>41051</v>
      </c>
      <c r="T963" s="1">
        <v>41051</v>
      </c>
      <c r="U963" s="1">
        <v>2020</v>
      </c>
      <c r="V963" s="1">
        <v>1</v>
      </c>
      <c r="W963" s="1">
        <v>0</v>
      </c>
    </row>
    <row r="964">
      <c r="A964" s="1">
        <v>2022</v>
      </c>
      <c r="B964" s="1">
        <v>41</v>
      </c>
      <c r="C964" t="s">
        <v>3</v>
      </c>
      <c r="D964" s="1">
        <v>51</v>
      </c>
      <c r="E964" t="s">
        <v>6</v>
      </c>
      <c r="F964" s="1">
        <v>4</v>
      </c>
      <c r="G964" t="s">
        <v>10</v>
      </c>
      <c r="H964" s="1">
        <v>13</v>
      </c>
      <c r="I964" t="s">
        <v>53</v>
      </c>
      <c r="J964" s="1">
        <v>506</v>
      </c>
      <c r="K964" s="1">
        <v>718</v>
      </c>
      <c r="L964" s="1">
        <v>50894</v>
      </c>
      <c r="M964" s="1">
        <v>32873</v>
      </c>
      <c r="N964" s="1">
        <v>50114</v>
      </c>
      <c r="O964" s="1">
        <v>3438234</v>
      </c>
      <c r="P964" s="1">
        <v>353386</v>
      </c>
      <c r="Q964" s="1">
        <v>611005</v>
      </c>
      <c r="R964" s="1">
        <v>36220220</v>
      </c>
      <c r="S964" s="1">
        <v>41051</v>
      </c>
      <c r="T964" s="1">
        <v>41051</v>
      </c>
      <c r="U964" s="1">
        <v>4013</v>
      </c>
      <c r="V964" s="1">
        <v>1</v>
      </c>
      <c r="W964" s="1">
        <v>0</v>
      </c>
    </row>
    <row r="965">
      <c r="A965" s="1">
        <v>2022</v>
      </c>
      <c r="B965" s="1">
        <v>41</v>
      </c>
      <c r="C965" t="s">
        <v>3</v>
      </c>
      <c r="D965" s="1">
        <v>51</v>
      </c>
      <c r="E965" t="s">
        <v>6</v>
      </c>
      <c r="F965" s="1">
        <v>4</v>
      </c>
      <c r="G965" t="s">
        <v>10</v>
      </c>
      <c r="H965" s="1">
        <v>15</v>
      </c>
      <c r="I965" t="s">
        <v>224</v>
      </c>
      <c r="J965" s="1">
        <v>26</v>
      </c>
      <c r="K965" s="1">
        <v>47</v>
      </c>
      <c r="L965" s="1">
        <v>2698</v>
      </c>
      <c r="M965" s="1">
        <v>32873</v>
      </c>
      <c r="N965" s="1">
        <v>50114</v>
      </c>
      <c r="O965" s="1">
        <v>3438234</v>
      </c>
      <c r="P965" s="1">
        <v>353386</v>
      </c>
      <c r="Q965" s="1">
        <v>611005</v>
      </c>
      <c r="R965" s="1">
        <v>36220220</v>
      </c>
      <c r="S965" s="1">
        <v>41051</v>
      </c>
      <c r="T965" s="1">
        <v>41051</v>
      </c>
      <c r="U965" s="1">
        <v>4015</v>
      </c>
      <c r="V965" s="1">
        <v>1</v>
      </c>
      <c r="W965" s="1">
        <v>0</v>
      </c>
    </row>
    <row r="966">
      <c r="A966" s="1">
        <v>2022</v>
      </c>
      <c r="B966" s="1">
        <v>41</v>
      </c>
      <c r="C966" t="s">
        <v>3</v>
      </c>
      <c r="D966" s="1">
        <v>51</v>
      </c>
      <c r="E966" t="s">
        <v>6</v>
      </c>
      <c r="F966" s="1">
        <v>4</v>
      </c>
      <c r="G966" t="s">
        <v>10</v>
      </c>
      <c r="H966" s="1">
        <v>19</v>
      </c>
      <c r="I966" t="s">
        <v>54</v>
      </c>
      <c r="J966" s="1">
        <v>121</v>
      </c>
      <c r="K966" s="1">
        <v>164</v>
      </c>
      <c r="L966" s="1">
        <v>10699</v>
      </c>
      <c r="M966" s="1">
        <v>32873</v>
      </c>
      <c r="N966" s="1">
        <v>50114</v>
      </c>
      <c r="O966" s="1">
        <v>3438234</v>
      </c>
      <c r="P966" s="1">
        <v>353386</v>
      </c>
      <c r="Q966" s="1">
        <v>611005</v>
      </c>
      <c r="R966" s="1">
        <v>36220220</v>
      </c>
      <c r="S966" s="1">
        <v>41051</v>
      </c>
      <c r="T966" s="1">
        <v>41051</v>
      </c>
      <c r="U966" s="1">
        <v>4019</v>
      </c>
      <c r="V966" s="1">
        <v>1</v>
      </c>
      <c r="W966" s="1">
        <v>0</v>
      </c>
    </row>
    <row r="967">
      <c r="A967" s="1">
        <v>2022</v>
      </c>
      <c r="B967" s="1">
        <v>41</v>
      </c>
      <c r="C967" t="s">
        <v>3</v>
      </c>
      <c r="D967" s="1">
        <v>51</v>
      </c>
      <c r="E967" t="s">
        <v>6</v>
      </c>
      <c r="F967" s="1">
        <v>4</v>
      </c>
      <c r="G967" t="s">
        <v>10</v>
      </c>
      <c r="H967" s="1">
        <v>21</v>
      </c>
      <c r="I967" t="s">
        <v>55</v>
      </c>
      <c r="J967" s="1">
        <v>49</v>
      </c>
      <c r="K967" s="1">
        <v>80</v>
      </c>
      <c r="L967" s="1">
        <v>3164</v>
      </c>
      <c r="M967" s="1">
        <v>32873</v>
      </c>
      <c r="N967" s="1">
        <v>50114</v>
      </c>
      <c r="O967" s="1">
        <v>3438234</v>
      </c>
      <c r="P967" s="1">
        <v>353386</v>
      </c>
      <c r="Q967" s="1">
        <v>611005</v>
      </c>
      <c r="R967" s="1">
        <v>36220220</v>
      </c>
      <c r="S967" s="1">
        <v>41051</v>
      </c>
      <c r="T967" s="1">
        <v>41051</v>
      </c>
      <c r="U967" s="1">
        <v>4021</v>
      </c>
      <c r="V967" s="1">
        <v>1</v>
      </c>
      <c r="W967" s="1">
        <v>0</v>
      </c>
    </row>
    <row r="968">
      <c r="A968" s="1">
        <v>2022</v>
      </c>
      <c r="B968" s="1">
        <v>41</v>
      </c>
      <c r="C968" t="s">
        <v>3</v>
      </c>
      <c r="D968" s="1">
        <v>51</v>
      </c>
      <c r="E968" t="s">
        <v>6</v>
      </c>
      <c r="F968" s="1">
        <v>4</v>
      </c>
      <c r="G968" t="s">
        <v>10</v>
      </c>
      <c r="H968" s="1">
        <v>25</v>
      </c>
      <c r="I968" t="s">
        <v>176</v>
      </c>
      <c r="J968" s="1">
        <v>27</v>
      </c>
      <c r="K968" s="1">
        <v>41</v>
      </c>
      <c r="L968" s="1">
        <v>2208</v>
      </c>
      <c r="M968" s="1">
        <v>32873</v>
      </c>
      <c r="N968" s="1">
        <v>50114</v>
      </c>
      <c r="O968" s="1">
        <v>3438234</v>
      </c>
      <c r="P968" s="1">
        <v>353386</v>
      </c>
      <c r="Q968" s="1">
        <v>611005</v>
      </c>
      <c r="R968" s="1">
        <v>36220220</v>
      </c>
      <c r="S968" s="1">
        <v>41051</v>
      </c>
      <c r="T968" s="1">
        <v>41051</v>
      </c>
      <c r="U968" s="1">
        <v>4025</v>
      </c>
      <c r="V968" s="1">
        <v>1</v>
      </c>
      <c r="W968" s="1">
        <v>0</v>
      </c>
    </row>
    <row r="969">
      <c r="A969" s="1">
        <v>2022</v>
      </c>
      <c r="B969" s="1">
        <v>41</v>
      </c>
      <c r="C969" t="s">
        <v>3</v>
      </c>
      <c r="D969" s="1">
        <v>51</v>
      </c>
      <c r="E969" t="s">
        <v>6</v>
      </c>
      <c r="F969" s="1">
        <v>6</v>
      </c>
      <c r="G969" t="s">
        <v>11</v>
      </c>
      <c r="H969" s="1">
        <v>1</v>
      </c>
      <c r="I969" t="s">
        <v>56</v>
      </c>
      <c r="J969" s="1">
        <v>188</v>
      </c>
      <c r="K969" s="1">
        <v>234</v>
      </c>
      <c r="L969" s="1">
        <v>17699</v>
      </c>
      <c r="M969" s="1">
        <v>32873</v>
      </c>
      <c r="N969" s="1">
        <v>50114</v>
      </c>
      <c r="O969" s="1">
        <v>3438234</v>
      </c>
      <c r="P969" s="1">
        <v>353386</v>
      </c>
      <c r="Q969" s="1">
        <v>611005</v>
      </c>
      <c r="R969" s="1">
        <v>36220220</v>
      </c>
      <c r="S969" s="1">
        <v>41051</v>
      </c>
      <c r="T969" s="1">
        <v>41051</v>
      </c>
      <c r="U969" s="1">
        <v>6001</v>
      </c>
      <c r="V969" s="1">
        <v>1</v>
      </c>
      <c r="W969" s="1">
        <v>0</v>
      </c>
    </row>
    <row r="970">
      <c r="A970" s="1">
        <v>2022</v>
      </c>
      <c r="B970" s="1">
        <v>41</v>
      </c>
      <c r="C970" t="s">
        <v>3</v>
      </c>
      <c r="D970" s="1">
        <v>51</v>
      </c>
      <c r="E970" t="s">
        <v>6</v>
      </c>
      <c r="F970" s="1">
        <v>6</v>
      </c>
      <c r="G970" t="s">
        <v>11</v>
      </c>
      <c r="H970" s="1">
        <v>7</v>
      </c>
      <c r="I970" t="s">
        <v>177</v>
      </c>
      <c r="J970" s="1">
        <v>20</v>
      </c>
      <c r="K970" s="1">
        <v>31</v>
      </c>
      <c r="L970" s="1">
        <v>737</v>
      </c>
      <c r="M970" s="1">
        <v>32873</v>
      </c>
      <c r="N970" s="1">
        <v>50114</v>
      </c>
      <c r="O970" s="1">
        <v>3438234</v>
      </c>
      <c r="P970" s="1">
        <v>353386</v>
      </c>
      <c r="Q970" s="1">
        <v>611005</v>
      </c>
      <c r="R970" s="1">
        <v>36220220</v>
      </c>
      <c r="S970" s="1">
        <v>41051</v>
      </c>
      <c r="T970" s="1">
        <v>41051</v>
      </c>
      <c r="U970" s="1">
        <v>6007</v>
      </c>
      <c r="V970" s="1">
        <v>1</v>
      </c>
      <c r="W970" s="1">
        <v>0</v>
      </c>
    </row>
    <row r="971">
      <c r="A971" s="1">
        <v>2022</v>
      </c>
      <c r="B971" s="1">
        <v>41</v>
      </c>
      <c r="C971" t="s">
        <v>3</v>
      </c>
      <c r="D971" s="1">
        <v>51</v>
      </c>
      <c r="E971" t="s">
        <v>6</v>
      </c>
      <c r="F971" s="1">
        <v>6</v>
      </c>
      <c r="G971" t="s">
        <v>11</v>
      </c>
      <c r="H971" s="1">
        <v>13</v>
      </c>
      <c r="I971" t="s">
        <v>57</v>
      </c>
      <c r="J971" s="1">
        <v>56</v>
      </c>
      <c r="K971" s="1">
        <v>72</v>
      </c>
      <c r="L971" s="1">
        <v>2866</v>
      </c>
      <c r="M971" s="1">
        <v>32873</v>
      </c>
      <c r="N971" s="1">
        <v>50114</v>
      </c>
      <c r="O971" s="1">
        <v>3438234</v>
      </c>
      <c r="P971" s="1">
        <v>353386</v>
      </c>
      <c r="Q971" s="1">
        <v>611005</v>
      </c>
      <c r="R971" s="1">
        <v>36220220</v>
      </c>
      <c r="S971" s="1">
        <v>41051</v>
      </c>
      <c r="T971" s="1">
        <v>41051</v>
      </c>
      <c r="U971" s="1">
        <v>6013</v>
      </c>
      <c r="V971" s="1">
        <v>1</v>
      </c>
      <c r="W971" s="1">
        <v>0</v>
      </c>
    </row>
    <row r="972">
      <c r="A972" s="1">
        <v>2022</v>
      </c>
      <c r="B972" s="1">
        <v>41</v>
      </c>
      <c r="C972" t="s">
        <v>3</v>
      </c>
      <c r="D972" s="1">
        <v>51</v>
      </c>
      <c r="E972" t="s">
        <v>6</v>
      </c>
      <c r="F972" s="1">
        <v>6</v>
      </c>
      <c r="G972" t="s">
        <v>11</v>
      </c>
      <c r="H972" s="1">
        <v>19</v>
      </c>
      <c r="I972" t="s">
        <v>58</v>
      </c>
      <c r="J972" s="1">
        <v>31</v>
      </c>
      <c r="K972" s="1">
        <v>52</v>
      </c>
      <c r="L972" s="1">
        <v>1703</v>
      </c>
      <c r="M972" s="1">
        <v>32873</v>
      </c>
      <c r="N972" s="1">
        <v>50114</v>
      </c>
      <c r="O972" s="1">
        <v>3438234</v>
      </c>
      <c r="P972" s="1">
        <v>353386</v>
      </c>
      <c r="Q972" s="1">
        <v>611005</v>
      </c>
      <c r="R972" s="1">
        <v>36220220</v>
      </c>
      <c r="S972" s="1">
        <v>41051</v>
      </c>
      <c r="T972" s="1">
        <v>41051</v>
      </c>
      <c r="U972" s="1">
        <v>6019</v>
      </c>
      <c r="V972" s="1">
        <v>1</v>
      </c>
      <c r="W972" s="1">
        <v>0</v>
      </c>
    </row>
    <row r="973">
      <c r="A973" s="1">
        <v>2022</v>
      </c>
      <c r="B973" s="1">
        <v>41</v>
      </c>
      <c r="C973" t="s">
        <v>3</v>
      </c>
      <c r="D973" s="1">
        <v>51</v>
      </c>
      <c r="E973" t="s">
        <v>6</v>
      </c>
      <c r="F973" s="1">
        <v>6</v>
      </c>
      <c r="G973" t="s">
        <v>11</v>
      </c>
      <c r="H973" s="1">
        <v>23</v>
      </c>
      <c r="I973" t="s">
        <v>59</v>
      </c>
      <c r="J973" s="1">
        <v>22</v>
      </c>
      <c r="K973" s="1">
        <v>27</v>
      </c>
      <c r="L973" s="1">
        <v>1042</v>
      </c>
      <c r="M973" s="1">
        <v>32873</v>
      </c>
      <c r="N973" s="1">
        <v>50114</v>
      </c>
      <c r="O973" s="1">
        <v>3438234</v>
      </c>
      <c r="P973" s="1">
        <v>353386</v>
      </c>
      <c r="Q973" s="1">
        <v>611005</v>
      </c>
      <c r="R973" s="1">
        <v>36220220</v>
      </c>
      <c r="S973" s="1">
        <v>41051</v>
      </c>
      <c r="T973" s="1">
        <v>41051</v>
      </c>
      <c r="U973" s="1">
        <v>6023</v>
      </c>
      <c r="V973" s="1">
        <v>1</v>
      </c>
      <c r="W973" s="1">
        <v>0</v>
      </c>
    </row>
    <row r="974">
      <c r="A974" s="1">
        <v>2022</v>
      </c>
      <c r="B974" s="1">
        <v>41</v>
      </c>
      <c r="C974" t="s">
        <v>3</v>
      </c>
      <c r="D974" s="1">
        <v>51</v>
      </c>
      <c r="E974" t="s">
        <v>6</v>
      </c>
      <c r="F974" s="1">
        <v>6</v>
      </c>
      <c r="G974" t="s">
        <v>11</v>
      </c>
      <c r="H974" s="1">
        <v>29</v>
      </c>
      <c r="I974" t="s">
        <v>60</v>
      </c>
      <c r="J974" s="1">
        <v>25</v>
      </c>
      <c r="K974" s="1">
        <v>35</v>
      </c>
      <c r="L974" s="1">
        <v>814</v>
      </c>
      <c r="M974" s="1">
        <v>32873</v>
      </c>
      <c r="N974" s="1">
        <v>50114</v>
      </c>
      <c r="O974" s="1">
        <v>3438234</v>
      </c>
      <c r="P974" s="1">
        <v>353386</v>
      </c>
      <c r="Q974" s="1">
        <v>611005</v>
      </c>
      <c r="R974" s="1">
        <v>36220220</v>
      </c>
      <c r="S974" s="1">
        <v>41051</v>
      </c>
      <c r="T974" s="1">
        <v>41051</v>
      </c>
      <c r="U974" s="1">
        <v>6029</v>
      </c>
      <c r="V974" s="1">
        <v>1</v>
      </c>
      <c r="W974" s="1">
        <v>0</v>
      </c>
    </row>
    <row r="975">
      <c r="A975" s="1">
        <v>2022</v>
      </c>
      <c r="B975" s="1">
        <v>41</v>
      </c>
      <c r="C975" t="s">
        <v>3</v>
      </c>
      <c r="D975" s="1">
        <v>51</v>
      </c>
      <c r="E975" t="s">
        <v>6</v>
      </c>
      <c r="F975" s="1">
        <v>6</v>
      </c>
      <c r="G975" t="s">
        <v>11</v>
      </c>
      <c r="H975" s="1">
        <v>37</v>
      </c>
      <c r="I975" t="s">
        <v>61</v>
      </c>
      <c r="J975" s="1">
        <v>727</v>
      </c>
      <c r="K975" s="1">
        <v>906</v>
      </c>
      <c r="L975" s="1">
        <v>67801</v>
      </c>
      <c r="M975" s="1">
        <v>32873</v>
      </c>
      <c r="N975" s="1">
        <v>50114</v>
      </c>
      <c r="O975" s="1">
        <v>3438234</v>
      </c>
      <c r="P975" s="1">
        <v>353386</v>
      </c>
      <c r="Q975" s="1">
        <v>611005</v>
      </c>
      <c r="R975" s="1">
        <v>36220220</v>
      </c>
      <c r="S975" s="1">
        <v>41051</v>
      </c>
      <c r="T975" s="1">
        <v>41051</v>
      </c>
      <c r="U975" s="1">
        <v>6037</v>
      </c>
      <c r="V975" s="1">
        <v>1</v>
      </c>
      <c r="W975" s="1">
        <v>0</v>
      </c>
    </row>
    <row r="976">
      <c r="A976" s="1">
        <v>2022</v>
      </c>
      <c r="B976" s="1">
        <v>41</v>
      </c>
      <c r="C976" t="s">
        <v>3</v>
      </c>
      <c r="D976" s="1">
        <v>51</v>
      </c>
      <c r="E976" t="s">
        <v>6</v>
      </c>
      <c r="F976" s="1">
        <v>6</v>
      </c>
      <c r="G976" t="s">
        <v>11</v>
      </c>
      <c r="H976" s="1">
        <v>41</v>
      </c>
      <c r="I976" t="s">
        <v>62</v>
      </c>
      <c r="J976" s="1">
        <v>42</v>
      </c>
      <c r="K976" s="1">
        <v>57</v>
      </c>
      <c r="L976" s="1">
        <v>5518</v>
      </c>
      <c r="M976" s="1">
        <v>32873</v>
      </c>
      <c r="N976" s="1">
        <v>50114</v>
      </c>
      <c r="O976" s="1">
        <v>3438234</v>
      </c>
      <c r="P976" s="1">
        <v>353386</v>
      </c>
      <c r="Q976" s="1">
        <v>611005</v>
      </c>
      <c r="R976" s="1">
        <v>36220220</v>
      </c>
      <c r="S976" s="1">
        <v>41051</v>
      </c>
      <c r="T976" s="1">
        <v>41051</v>
      </c>
      <c r="U976" s="1">
        <v>6041</v>
      </c>
      <c r="V976" s="1">
        <v>1</v>
      </c>
      <c r="W976" s="1">
        <v>0</v>
      </c>
    </row>
    <row r="977">
      <c r="A977" s="1">
        <v>2022</v>
      </c>
      <c r="B977" s="1">
        <v>41</v>
      </c>
      <c r="C977" t="s">
        <v>3</v>
      </c>
      <c r="D977" s="1">
        <v>51</v>
      </c>
      <c r="E977" t="s">
        <v>6</v>
      </c>
      <c r="F977" s="1">
        <v>6</v>
      </c>
      <c r="G977" t="s">
        <v>11</v>
      </c>
      <c r="H977" s="1">
        <v>53</v>
      </c>
      <c r="I977" t="s">
        <v>63</v>
      </c>
      <c r="J977" s="1">
        <v>20</v>
      </c>
      <c r="K977" s="1">
        <v>25</v>
      </c>
      <c r="L977" s="1">
        <v>1726</v>
      </c>
      <c r="M977" s="1">
        <v>32873</v>
      </c>
      <c r="N977" s="1">
        <v>50114</v>
      </c>
      <c r="O977" s="1">
        <v>3438234</v>
      </c>
      <c r="P977" s="1">
        <v>353386</v>
      </c>
      <c r="Q977" s="1">
        <v>611005</v>
      </c>
      <c r="R977" s="1">
        <v>36220220</v>
      </c>
      <c r="S977" s="1">
        <v>41051</v>
      </c>
      <c r="T977" s="1">
        <v>41051</v>
      </c>
      <c r="U977" s="1">
        <v>6053</v>
      </c>
      <c r="V977" s="1">
        <v>1</v>
      </c>
      <c r="W977" s="1">
        <v>0</v>
      </c>
    </row>
    <row r="978">
      <c r="A978" s="1">
        <v>2022</v>
      </c>
      <c r="B978" s="1">
        <v>41</v>
      </c>
      <c r="C978" t="s">
        <v>3</v>
      </c>
      <c r="D978" s="1">
        <v>51</v>
      </c>
      <c r="E978" t="s">
        <v>6</v>
      </c>
      <c r="F978" s="1">
        <v>6</v>
      </c>
      <c r="G978" t="s">
        <v>11</v>
      </c>
      <c r="H978" s="1">
        <v>59</v>
      </c>
      <c r="I978" t="s">
        <v>64</v>
      </c>
      <c r="J978" s="1">
        <v>191</v>
      </c>
      <c r="K978" s="1">
        <v>276</v>
      </c>
      <c r="L978" s="1">
        <v>19618</v>
      </c>
      <c r="M978" s="1">
        <v>32873</v>
      </c>
      <c r="N978" s="1">
        <v>50114</v>
      </c>
      <c r="O978" s="1">
        <v>3438234</v>
      </c>
      <c r="P978" s="1">
        <v>353386</v>
      </c>
      <c r="Q978" s="1">
        <v>611005</v>
      </c>
      <c r="R978" s="1">
        <v>36220220</v>
      </c>
      <c r="S978" s="1">
        <v>41051</v>
      </c>
      <c r="T978" s="1">
        <v>41051</v>
      </c>
      <c r="U978" s="1">
        <v>6059</v>
      </c>
      <c r="V978" s="1">
        <v>1</v>
      </c>
      <c r="W978" s="1">
        <v>0</v>
      </c>
    </row>
    <row r="979">
      <c r="A979" s="1">
        <v>2022</v>
      </c>
      <c r="B979" s="1">
        <v>41</v>
      </c>
      <c r="C979" t="s">
        <v>3</v>
      </c>
      <c r="D979" s="1">
        <v>51</v>
      </c>
      <c r="E979" t="s">
        <v>6</v>
      </c>
      <c r="F979" s="1">
        <v>6</v>
      </c>
      <c r="G979" t="s">
        <v>11</v>
      </c>
      <c r="H979" s="1">
        <v>61</v>
      </c>
      <c r="I979" t="s">
        <v>65</v>
      </c>
      <c r="J979" s="1">
        <v>35</v>
      </c>
      <c r="K979" s="1">
        <v>50</v>
      </c>
      <c r="L979" s="1">
        <v>2103</v>
      </c>
      <c r="M979" s="1">
        <v>32873</v>
      </c>
      <c r="N979" s="1">
        <v>50114</v>
      </c>
      <c r="O979" s="1">
        <v>3438234</v>
      </c>
      <c r="P979" s="1">
        <v>353386</v>
      </c>
      <c r="Q979" s="1">
        <v>611005</v>
      </c>
      <c r="R979" s="1">
        <v>36220220</v>
      </c>
      <c r="S979" s="1">
        <v>41051</v>
      </c>
      <c r="T979" s="1">
        <v>41051</v>
      </c>
      <c r="U979" s="1">
        <v>6061</v>
      </c>
      <c r="V979" s="1">
        <v>1</v>
      </c>
      <c r="W979" s="1">
        <v>0</v>
      </c>
    </row>
    <row r="980">
      <c r="A980" s="1">
        <v>2022</v>
      </c>
      <c r="B980" s="1">
        <v>41</v>
      </c>
      <c r="C980" t="s">
        <v>3</v>
      </c>
      <c r="D980" s="1">
        <v>51</v>
      </c>
      <c r="E980" t="s">
        <v>6</v>
      </c>
      <c r="F980" s="1">
        <v>6</v>
      </c>
      <c r="G980" t="s">
        <v>11</v>
      </c>
      <c r="H980" s="1">
        <v>65</v>
      </c>
      <c r="I980" t="s">
        <v>66</v>
      </c>
      <c r="J980" s="1">
        <v>149</v>
      </c>
      <c r="K980" s="1">
        <v>219</v>
      </c>
      <c r="L980" s="1">
        <v>13471</v>
      </c>
      <c r="M980" s="1">
        <v>32873</v>
      </c>
      <c r="N980" s="1">
        <v>50114</v>
      </c>
      <c r="O980" s="1">
        <v>3438234</v>
      </c>
      <c r="P980" s="1">
        <v>353386</v>
      </c>
      <c r="Q980" s="1">
        <v>611005</v>
      </c>
      <c r="R980" s="1">
        <v>36220220</v>
      </c>
      <c r="S980" s="1">
        <v>41051</v>
      </c>
      <c r="T980" s="1">
        <v>41051</v>
      </c>
      <c r="U980" s="1">
        <v>6065</v>
      </c>
      <c r="V980" s="1">
        <v>1</v>
      </c>
      <c r="W980" s="1">
        <v>0</v>
      </c>
    </row>
    <row r="981">
      <c r="A981" s="1">
        <v>2022</v>
      </c>
      <c r="B981" s="1">
        <v>41</v>
      </c>
      <c r="C981" t="s">
        <v>3</v>
      </c>
      <c r="D981" s="1">
        <v>51</v>
      </c>
      <c r="E981" t="s">
        <v>6</v>
      </c>
      <c r="F981" s="1">
        <v>6</v>
      </c>
      <c r="G981" t="s">
        <v>11</v>
      </c>
      <c r="H981" s="1">
        <v>67</v>
      </c>
      <c r="I981" t="s">
        <v>67</v>
      </c>
      <c r="J981" s="1">
        <v>135</v>
      </c>
      <c r="K981" s="1">
        <v>184</v>
      </c>
      <c r="L981" s="1">
        <v>9437</v>
      </c>
      <c r="M981" s="1">
        <v>32873</v>
      </c>
      <c r="N981" s="1">
        <v>50114</v>
      </c>
      <c r="O981" s="1">
        <v>3438234</v>
      </c>
      <c r="P981" s="1">
        <v>353386</v>
      </c>
      <c r="Q981" s="1">
        <v>611005</v>
      </c>
      <c r="R981" s="1">
        <v>36220220</v>
      </c>
      <c r="S981" s="1">
        <v>41051</v>
      </c>
      <c r="T981" s="1">
        <v>41051</v>
      </c>
      <c r="U981" s="1">
        <v>6067</v>
      </c>
      <c r="V981" s="1">
        <v>1</v>
      </c>
      <c r="W981" s="1">
        <v>0</v>
      </c>
    </row>
    <row r="982">
      <c r="A982" s="1">
        <v>2022</v>
      </c>
      <c r="B982" s="1">
        <v>41</v>
      </c>
      <c r="C982" t="s">
        <v>3</v>
      </c>
      <c r="D982" s="1">
        <v>51</v>
      </c>
      <c r="E982" t="s">
        <v>6</v>
      </c>
      <c r="F982" s="1">
        <v>6</v>
      </c>
      <c r="G982" t="s">
        <v>11</v>
      </c>
      <c r="H982" s="1">
        <v>71</v>
      </c>
      <c r="I982" t="s">
        <v>68</v>
      </c>
      <c r="J982" s="1">
        <v>72</v>
      </c>
      <c r="K982" s="1">
        <v>106</v>
      </c>
      <c r="L982" s="1">
        <v>3174</v>
      </c>
      <c r="M982" s="1">
        <v>32873</v>
      </c>
      <c r="N982" s="1">
        <v>50114</v>
      </c>
      <c r="O982" s="1">
        <v>3438234</v>
      </c>
      <c r="P982" s="1">
        <v>353386</v>
      </c>
      <c r="Q982" s="1">
        <v>611005</v>
      </c>
      <c r="R982" s="1">
        <v>36220220</v>
      </c>
      <c r="S982" s="1">
        <v>41051</v>
      </c>
      <c r="T982" s="1">
        <v>41051</v>
      </c>
      <c r="U982" s="1">
        <v>6071</v>
      </c>
      <c r="V982" s="1">
        <v>1</v>
      </c>
      <c r="W982" s="1">
        <v>0</v>
      </c>
    </row>
    <row r="983">
      <c r="A983" s="1">
        <v>2022</v>
      </c>
      <c r="B983" s="1">
        <v>41</v>
      </c>
      <c r="C983" t="s">
        <v>3</v>
      </c>
      <c r="D983" s="1">
        <v>51</v>
      </c>
      <c r="E983" t="s">
        <v>6</v>
      </c>
      <c r="F983" s="1">
        <v>6</v>
      </c>
      <c r="G983" t="s">
        <v>11</v>
      </c>
      <c r="H983" s="1">
        <v>73</v>
      </c>
      <c r="I983" t="s">
        <v>69</v>
      </c>
      <c r="J983" s="1">
        <v>339</v>
      </c>
      <c r="K983" s="1">
        <v>466</v>
      </c>
      <c r="L983" s="1">
        <v>38571</v>
      </c>
      <c r="M983" s="1">
        <v>32873</v>
      </c>
      <c r="N983" s="1">
        <v>50114</v>
      </c>
      <c r="O983" s="1">
        <v>3438234</v>
      </c>
      <c r="P983" s="1">
        <v>353386</v>
      </c>
      <c r="Q983" s="1">
        <v>611005</v>
      </c>
      <c r="R983" s="1">
        <v>36220220</v>
      </c>
      <c r="S983" s="1">
        <v>41051</v>
      </c>
      <c r="T983" s="1">
        <v>41051</v>
      </c>
      <c r="U983" s="1">
        <v>6073</v>
      </c>
      <c r="V983" s="1">
        <v>1</v>
      </c>
      <c r="W983" s="1">
        <v>0</v>
      </c>
    </row>
    <row r="984">
      <c r="A984" s="1">
        <v>2022</v>
      </c>
      <c r="B984" s="1">
        <v>41</v>
      </c>
      <c r="C984" t="s">
        <v>3</v>
      </c>
      <c r="D984" s="1">
        <v>51</v>
      </c>
      <c r="E984" t="s">
        <v>6</v>
      </c>
      <c r="F984" s="1">
        <v>6</v>
      </c>
      <c r="G984" t="s">
        <v>11</v>
      </c>
      <c r="H984" s="1">
        <v>75</v>
      </c>
      <c r="I984" t="s">
        <v>70</v>
      </c>
      <c r="J984" s="1">
        <v>218</v>
      </c>
      <c r="K984" s="1">
        <v>253</v>
      </c>
      <c r="L984" s="1">
        <v>26157</v>
      </c>
      <c r="M984" s="1">
        <v>32873</v>
      </c>
      <c r="N984" s="1">
        <v>50114</v>
      </c>
      <c r="O984" s="1">
        <v>3438234</v>
      </c>
      <c r="P984" s="1">
        <v>353386</v>
      </c>
      <c r="Q984" s="1">
        <v>611005</v>
      </c>
      <c r="R984" s="1">
        <v>36220220</v>
      </c>
      <c r="S984" s="1">
        <v>41051</v>
      </c>
      <c r="T984" s="1">
        <v>41051</v>
      </c>
      <c r="U984" s="1">
        <v>6075</v>
      </c>
      <c r="V984" s="1">
        <v>1</v>
      </c>
      <c r="W984" s="1">
        <v>0</v>
      </c>
    </row>
    <row r="985">
      <c r="A985" s="1">
        <v>2022</v>
      </c>
      <c r="B985" s="1">
        <v>41</v>
      </c>
      <c r="C985" t="s">
        <v>3</v>
      </c>
      <c r="D985" s="1">
        <v>51</v>
      </c>
      <c r="E985" t="s">
        <v>6</v>
      </c>
      <c r="F985" s="1">
        <v>6</v>
      </c>
      <c r="G985" t="s">
        <v>11</v>
      </c>
      <c r="H985" s="1">
        <v>79</v>
      </c>
      <c r="I985" t="s">
        <v>71</v>
      </c>
      <c r="J985" s="1">
        <v>39</v>
      </c>
      <c r="K985" s="1">
        <v>51</v>
      </c>
      <c r="L985" s="1">
        <v>2524</v>
      </c>
      <c r="M985" s="1">
        <v>32873</v>
      </c>
      <c r="N985" s="1">
        <v>50114</v>
      </c>
      <c r="O985" s="1">
        <v>3438234</v>
      </c>
      <c r="P985" s="1">
        <v>353386</v>
      </c>
      <c r="Q985" s="1">
        <v>611005</v>
      </c>
      <c r="R985" s="1">
        <v>36220220</v>
      </c>
      <c r="S985" s="1">
        <v>41051</v>
      </c>
      <c r="T985" s="1">
        <v>41051</v>
      </c>
      <c r="U985" s="1">
        <v>6079</v>
      </c>
      <c r="V985" s="1">
        <v>1</v>
      </c>
      <c r="W985" s="1">
        <v>0</v>
      </c>
    </row>
    <row r="986">
      <c r="A986" s="1">
        <v>2022</v>
      </c>
      <c r="B986" s="1">
        <v>41</v>
      </c>
      <c r="C986" t="s">
        <v>3</v>
      </c>
      <c r="D986" s="1">
        <v>51</v>
      </c>
      <c r="E986" t="s">
        <v>6</v>
      </c>
      <c r="F986" s="1">
        <v>6</v>
      </c>
      <c r="G986" t="s">
        <v>11</v>
      </c>
      <c r="H986" s="1">
        <v>81</v>
      </c>
      <c r="I986" t="s">
        <v>72</v>
      </c>
      <c r="J986" s="1">
        <v>74</v>
      </c>
      <c r="K986" s="1">
        <v>92</v>
      </c>
      <c r="L986" s="1">
        <v>7403</v>
      </c>
      <c r="M986" s="1">
        <v>32873</v>
      </c>
      <c r="N986" s="1">
        <v>50114</v>
      </c>
      <c r="O986" s="1">
        <v>3438234</v>
      </c>
      <c r="P986" s="1">
        <v>353386</v>
      </c>
      <c r="Q986" s="1">
        <v>611005</v>
      </c>
      <c r="R986" s="1">
        <v>36220220</v>
      </c>
      <c r="S986" s="1">
        <v>41051</v>
      </c>
      <c r="T986" s="1">
        <v>41051</v>
      </c>
      <c r="U986" s="1">
        <v>6081</v>
      </c>
      <c r="V986" s="1">
        <v>1</v>
      </c>
      <c r="W986" s="1">
        <v>0</v>
      </c>
    </row>
    <row r="987">
      <c r="A987" s="1">
        <v>2022</v>
      </c>
      <c r="B987" s="1">
        <v>41</v>
      </c>
      <c r="C987" t="s">
        <v>3</v>
      </c>
      <c r="D987" s="1">
        <v>51</v>
      </c>
      <c r="E987" t="s">
        <v>6</v>
      </c>
      <c r="F987" s="1">
        <v>6</v>
      </c>
      <c r="G987" t="s">
        <v>11</v>
      </c>
      <c r="H987" s="1">
        <v>83</v>
      </c>
      <c r="I987" t="s">
        <v>73</v>
      </c>
      <c r="J987" s="1">
        <v>52</v>
      </c>
      <c r="K987" s="1">
        <v>69</v>
      </c>
      <c r="L987" s="1">
        <v>11920</v>
      </c>
      <c r="M987" s="1">
        <v>32873</v>
      </c>
      <c r="N987" s="1">
        <v>50114</v>
      </c>
      <c r="O987" s="1">
        <v>3438234</v>
      </c>
      <c r="P987" s="1">
        <v>353386</v>
      </c>
      <c r="Q987" s="1">
        <v>611005</v>
      </c>
      <c r="R987" s="1">
        <v>36220220</v>
      </c>
      <c r="S987" s="1">
        <v>41051</v>
      </c>
      <c r="T987" s="1">
        <v>41051</v>
      </c>
      <c r="U987" s="1">
        <v>6083</v>
      </c>
      <c r="V987" s="1">
        <v>1</v>
      </c>
      <c r="W987" s="1">
        <v>0</v>
      </c>
    </row>
    <row r="988">
      <c r="A988" s="1">
        <v>2022</v>
      </c>
      <c r="B988" s="1">
        <v>41</v>
      </c>
      <c r="C988" t="s">
        <v>3</v>
      </c>
      <c r="D988" s="1">
        <v>51</v>
      </c>
      <c r="E988" t="s">
        <v>6</v>
      </c>
      <c r="F988" s="1">
        <v>6</v>
      </c>
      <c r="G988" t="s">
        <v>11</v>
      </c>
      <c r="H988" s="1">
        <v>85</v>
      </c>
      <c r="I988" t="s">
        <v>74</v>
      </c>
      <c r="J988" s="1">
        <v>152</v>
      </c>
      <c r="K988" s="1">
        <v>213</v>
      </c>
      <c r="L988" s="1">
        <v>18090</v>
      </c>
      <c r="M988" s="1">
        <v>32873</v>
      </c>
      <c r="N988" s="1">
        <v>50114</v>
      </c>
      <c r="O988" s="1">
        <v>3438234</v>
      </c>
      <c r="P988" s="1">
        <v>353386</v>
      </c>
      <c r="Q988" s="1">
        <v>611005</v>
      </c>
      <c r="R988" s="1">
        <v>36220220</v>
      </c>
      <c r="S988" s="1">
        <v>41051</v>
      </c>
      <c r="T988" s="1">
        <v>41051</v>
      </c>
      <c r="U988" s="1">
        <v>6085</v>
      </c>
      <c r="V988" s="1">
        <v>1</v>
      </c>
      <c r="W988" s="1">
        <v>0</v>
      </c>
    </row>
    <row r="989">
      <c r="A989" s="1">
        <v>2022</v>
      </c>
      <c r="B989" s="1">
        <v>41</v>
      </c>
      <c r="C989" t="s">
        <v>3</v>
      </c>
      <c r="D989" s="1">
        <v>51</v>
      </c>
      <c r="E989" t="s">
        <v>6</v>
      </c>
      <c r="F989" s="1">
        <v>6</v>
      </c>
      <c r="G989" t="s">
        <v>11</v>
      </c>
      <c r="H989" s="1">
        <v>87</v>
      </c>
      <c r="I989" t="s">
        <v>75</v>
      </c>
      <c r="J989" s="1">
        <v>39</v>
      </c>
      <c r="K989" s="1">
        <v>60</v>
      </c>
      <c r="L989" s="1">
        <v>2921</v>
      </c>
      <c r="M989" s="1">
        <v>32873</v>
      </c>
      <c r="N989" s="1">
        <v>50114</v>
      </c>
      <c r="O989" s="1">
        <v>3438234</v>
      </c>
      <c r="P989" s="1">
        <v>353386</v>
      </c>
      <c r="Q989" s="1">
        <v>611005</v>
      </c>
      <c r="R989" s="1">
        <v>36220220</v>
      </c>
      <c r="S989" s="1">
        <v>41051</v>
      </c>
      <c r="T989" s="1">
        <v>41051</v>
      </c>
      <c r="U989" s="1">
        <v>6087</v>
      </c>
      <c r="V989" s="1">
        <v>1</v>
      </c>
      <c r="W989" s="1">
        <v>0</v>
      </c>
    </row>
    <row r="990">
      <c r="A990" s="1">
        <v>2022</v>
      </c>
      <c r="B990" s="1">
        <v>41</v>
      </c>
      <c r="C990" t="s">
        <v>3</v>
      </c>
      <c r="D990" s="1">
        <v>51</v>
      </c>
      <c r="E990" t="s">
        <v>6</v>
      </c>
      <c r="F990" s="1">
        <v>6</v>
      </c>
      <c r="G990" t="s">
        <v>11</v>
      </c>
      <c r="H990" s="1">
        <v>89</v>
      </c>
      <c r="I990" t="s">
        <v>76</v>
      </c>
      <c r="J990" s="1">
        <v>35</v>
      </c>
      <c r="K990" s="1">
        <v>48</v>
      </c>
      <c r="L990" s="1">
        <v>1461</v>
      </c>
      <c r="M990" s="1">
        <v>32873</v>
      </c>
      <c r="N990" s="1">
        <v>50114</v>
      </c>
      <c r="O990" s="1">
        <v>3438234</v>
      </c>
      <c r="P990" s="1">
        <v>353386</v>
      </c>
      <c r="Q990" s="1">
        <v>611005</v>
      </c>
      <c r="R990" s="1">
        <v>36220220</v>
      </c>
      <c r="S990" s="1">
        <v>41051</v>
      </c>
      <c r="T990" s="1">
        <v>41051</v>
      </c>
      <c r="U990" s="1">
        <v>6089</v>
      </c>
      <c r="V990" s="1">
        <v>1</v>
      </c>
      <c r="W990" s="1">
        <v>0</v>
      </c>
    </row>
    <row r="991">
      <c r="A991" s="1">
        <v>2022</v>
      </c>
      <c r="B991" s="1">
        <v>41</v>
      </c>
      <c r="C991" t="s">
        <v>3</v>
      </c>
      <c r="D991" s="1">
        <v>51</v>
      </c>
      <c r="E991" t="s">
        <v>6</v>
      </c>
      <c r="F991" s="1">
        <v>6</v>
      </c>
      <c r="G991" t="s">
        <v>11</v>
      </c>
      <c r="H991" s="1">
        <v>95</v>
      </c>
      <c r="I991" t="s">
        <v>180</v>
      </c>
      <c r="J991" s="1">
        <v>20</v>
      </c>
      <c r="K991" s="1">
        <v>23</v>
      </c>
      <c r="L991" s="1">
        <v>817</v>
      </c>
      <c r="M991" s="1">
        <v>32873</v>
      </c>
      <c r="N991" s="1">
        <v>50114</v>
      </c>
      <c r="O991" s="1">
        <v>3438234</v>
      </c>
      <c r="P991" s="1">
        <v>353386</v>
      </c>
      <c r="Q991" s="1">
        <v>611005</v>
      </c>
      <c r="R991" s="1">
        <v>36220220</v>
      </c>
      <c r="S991" s="1">
        <v>41051</v>
      </c>
      <c r="T991" s="1">
        <v>41051</v>
      </c>
      <c r="U991" s="1">
        <v>6095</v>
      </c>
      <c r="V991" s="1">
        <v>1</v>
      </c>
      <c r="W991" s="1">
        <v>0</v>
      </c>
    </row>
    <row r="992">
      <c r="A992" s="1">
        <v>2022</v>
      </c>
      <c r="B992" s="1">
        <v>41</v>
      </c>
      <c r="C992" t="s">
        <v>3</v>
      </c>
      <c r="D992" s="1">
        <v>51</v>
      </c>
      <c r="E992" t="s">
        <v>6</v>
      </c>
      <c r="F992" s="1">
        <v>6</v>
      </c>
      <c r="G992" t="s">
        <v>11</v>
      </c>
      <c r="H992" s="1">
        <v>97</v>
      </c>
      <c r="I992" t="s">
        <v>77</v>
      </c>
      <c r="J992" s="1">
        <v>64</v>
      </c>
      <c r="K992" s="1">
        <v>89</v>
      </c>
      <c r="L992" s="1">
        <v>4344</v>
      </c>
      <c r="M992" s="1">
        <v>32873</v>
      </c>
      <c r="N992" s="1">
        <v>50114</v>
      </c>
      <c r="O992" s="1">
        <v>3438234</v>
      </c>
      <c r="P992" s="1">
        <v>353386</v>
      </c>
      <c r="Q992" s="1">
        <v>611005</v>
      </c>
      <c r="R992" s="1">
        <v>36220220</v>
      </c>
      <c r="S992" s="1">
        <v>41051</v>
      </c>
      <c r="T992" s="1">
        <v>41051</v>
      </c>
      <c r="U992" s="1">
        <v>6097</v>
      </c>
      <c r="V992" s="1">
        <v>1</v>
      </c>
      <c r="W992" s="1">
        <v>0</v>
      </c>
    </row>
    <row r="993">
      <c r="A993" s="1">
        <v>2022</v>
      </c>
      <c r="B993" s="1">
        <v>41</v>
      </c>
      <c r="C993" t="s">
        <v>3</v>
      </c>
      <c r="D993" s="1">
        <v>51</v>
      </c>
      <c r="E993" t="s">
        <v>6</v>
      </c>
      <c r="F993" s="1">
        <v>6</v>
      </c>
      <c r="G993" t="s">
        <v>11</v>
      </c>
      <c r="H993" s="1">
        <v>111</v>
      </c>
      <c r="I993" t="s">
        <v>78</v>
      </c>
      <c r="J993" s="1">
        <v>51</v>
      </c>
      <c r="K993" s="1">
        <v>70</v>
      </c>
      <c r="L993" s="1">
        <v>4787</v>
      </c>
      <c r="M993" s="1">
        <v>32873</v>
      </c>
      <c r="N993" s="1">
        <v>50114</v>
      </c>
      <c r="O993" s="1">
        <v>3438234</v>
      </c>
      <c r="P993" s="1">
        <v>353386</v>
      </c>
      <c r="Q993" s="1">
        <v>611005</v>
      </c>
      <c r="R993" s="1">
        <v>36220220</v>
      </c>
      <c r="S993" s="1">
        <v>41051</v>
      </c>
      <c r="T993" s="1">
        <v>41051</v>
      </c>
      <c r="U993" s="1">
        <v>6111</v>
      </c>
      <c r="V993" s="1">
        <v>1</v>
      </c>
      <c r="W993" s="1">
        <v>0</v>
      </c>
    </row>
    <row r="994">
      <c r="A994" s="1">
        <v>2022</v>
      </c>
      <c r="B994" s="1">
        <v>41</v>
      </c>
      <c r="C994" t="s">
        <v>3</v>
      </c>
      <c r="D994" s="1">
        <v>51</v>
      </c>
      <c r="E994" t="s">
        <v>6</v>
      </c>
      <c r="F994" s="1">
        <v>6</v>
      </c>
      <c r="G994" t="s">
        <v>11</v>
      </c>
      <c r="H994" s="1">
        <v>113</v>
      </c>
      <c r="I994" t="s">
        <v>181</v>
      </c>
      <c r="J994" s="1">
        <v>32</v>
      </c>
      <c r="K994" s="1">
        <v>48</v>
      </c>
      <c r="L994" s="1">
        <v>2941</v>
      </c>
      <c r="M994" s="1">
        <v>32873</v>
      </c>
      <c r="N994" s="1">
        <v>50114</v>
      </c>
      <c r="O994" s="1">
        <v>3438234</v>
      </c>
      <c r="P994" s="1">
        <v>353386</v>
      </c>
      <c r="Q994" s="1">
        <v>611005</v>
      </c>
      <c r="R994" s="1">
        <v>36220220</v>
      </c>
      <c r="S994" s="1">
        <v>41051</v>
      </c>
      <c r="T994" s="1">
        <v>41051</v>
      </c>
      <c r="U994" s="1">
        <v>6113</v>
      </c>
      <c r="V994" s="1">
        <v>1</v>
      </c>
      <c r="W994" s="1">
        <v>0</v>
      </c>
    </row>
    <row r="995">
      <c r="A995" s="1">
        <v>2022</v>
      </c>
      <c r="B995" s="1">
        <v>41</v>
      </c>
      <c r="C995" t="s">
        <v>3</v>
      </c>
      <c r="D995" s="1">
        <v>51</v>
      </c>
      <c r="E995" t="s">
        <v>6</v>
      </c>
      <c r="F995" s="1">
        <v>8</v>
      </c>
      <c r="G995" t="s">
        <v>12</v>
      </c>
      <c r="H995" s="1">
        <v>5</v>
      </c>
      <c r="I995" t="s">
        <v>79</v>
      </c>
      <c r="J995" s="1">
        <v>59</v>
      </c>
      <c r="K995" s="1">
        <v>76</v>
      </c>
      <c r="L995" s="1">
        <v>3587</v>
      </c>
      <c r="M995" s="1">
        <v>32873</v>
      </c>
      <c r="N995" s="1">
        <v>50114</v>
      </c>
      <c r="O995" s="1">
        <v>3438234</v>
      </c>
      <c r="P995" s="1">
        <v>353386</v>
      </c>
      <c r="Q995" s="1">
        <v>611005</v>
      </c>
      <c r="R995" s="1">
        <v>36220220</v>
      </c>
      <c r="S995" s="1">
        <v>41051</v>
      </c>
      <c r="T995" s="1">
        <v>41051</v>
      </c>
      <c r="U995" s="1">
        <v>8005</v>
      </c>
      <c r="V995" s="1">
        <v>1</v>
      </c>
      <c r="W995" s="1">
        <v>0</v>
      </c>
    </row>
    <row r="996">
      <c r="A996" s="1">
        <v>2022</v>
      </c>
      <c r="B996" s="1">
        <v>41</v>
      </c>
      <c r="C996" t="s">
        <v>3</v>
      </c>
      <c r="D996" s="1">
        <v>51</v>
      </c>
      <c r="E996" t="s">
        <v>6</v>
      </c>
      <c r="F996" s="1">
        <v>8</v>
      </c>
      <c r="G996" t="s">
        <v>12</v>
      </c>
      <c r="H996" s="1">
        <v>13</v>
      </c>
      <c r="I996" t="s">
        <v>80</v>
      </c>
      <c r="J996" s="1">
        <v>62</v>
      </c>
      <c r="K996" s="1">
        <v>84</v>
      </c>
      <c r="L996" s="1">
        <v>4450</v>
      </c>
      <c r="M996" s="1">
        <v>32873</v>
      </c>
      <c r="N996" s="1">
        <v>50114</v>
      </c>
      <c r="O996" s="1">
        <v>3438234</v>
      </c>
      <c r="P996" s="1">
        <v>353386</v>
      </c>
      <c r="Q996" s="1">
        <v>611005</v>
      </c>
      <c r="R996" s="1">
        <v>36220220</v>
      </c>
      <c r="S996" s="1">
        <v>41051</v>
      </c>
      <c r="T996" s="1">
        <v>41051</v>
      </c>
      <c r="U996" s="1">
        <v>8013</v>
      </c>
      <c r="V996" s="1">
        <v>1</v>
      </c>
      <c r="W996" s="1">
        <v>0</v>
      </c>
    </row>
    <row r="997">
      <c r="A997" s="1">
        <v>2022</v>
      </c>
      <c r="B997" s="1">
        <v>41</v>
      </c>
      <c r="C997" t="s">
        <v>3</v>
      </c>
      <c r="D997" s="1">
        <v>51</v>
      </c>
      <c r="E997" t="s">
        <v>6</v>
      </c>
      <c r="F997" s="1">
        <v>8</v>
      </c>
      <c r="G997" t="s">
        <v>12</v>
      </c>
      <c r="H997" s="1">
        <v>31</v>
      </c>
      <c r="I997" t="s">
        <v>81</v>
      </c>
      <c r="J997" s="1">
        <v>201</v>
      </c>
      <c r="K997" s="1">
        <v>227</v>
      </c>
      <c r="L997" s="1">
        <v>15430</v>
      </c>
      <c r="M997" s="1">
        <v>32873</v>
      </c>
      <c r="N997" s="1">
        <v>50114</v>
      </c>
      <c r="O997" s="1">
        <v>3438234</v>
      </c>
      <c r="P997" s="1">
        <v>353386</v>
      </c>
      <c r="Q997" s="1">
        <v>611005</v>
      </c>
      <c r="R997" s="1">
        <v>36220220</v>
      </c>
      <c r="S997" s="1">
        <v>41051</v>
      </c>
      <c r="T997" s="1">
        <v>41051</v>
      </c>
      <c r="U997" s="1">
        <v>8031</v>
      </c>
      <c r="V997" s="1">
        <v>1</v>
      </c>
      <c r="W997" s="1">
        <v>0</v>
      </c>
    </row>
    <row r="998">
      <c r="A998" s="1">
        <v>2022</v>
      </c>
      <c r="B998" s="1">
        <v>41</v>
      </c>
      <c r="C998" t="s">
        <v>3</v>
      </c>
      <c r="D998" s="1">
        <v>51</v>
      </c>
      <c r="E998" t="s">
        <v>6</v>
      </c>
      <c r="F998" s="1">
        <v>8</v>
      </c>
      <c r="G998" t="s">
        <v>12</v>
      </c>
      <c r="H998" s="1">
        <v>41</v>
      </c>
      <c r="I998" t="s">
        <v>82</v>
      </c>
      <c r="J998" s="1">
        <v>48</v>
      </c>
      <c r="K998" s="1">
        <v>58</v>
      </c>
      <c r="L998" s="1">
        <v>2629</v>
      </c>
      <c r="M998" s="1">
        <v>32873</v>
      </c>
      <c r="N998" s="1">
        <v>50114</v>
      </c>
      <c r="O998" s="1">
        <v>3438234</v>
      </c>
      <c r="P998" s="1">
        <v>353386</v>
      </c>
      <c r="Q998" s="1">
        <v>611005</v>
      </c>
      <c r="R998" s="1">
        <v>36220220</v>
      </c>
      <c r="S998" s="1">
        <v>41051</v>
      </c>
      <c r="T998" s="1">
        <v>41051</v>
      </c>
      <c r="U998" s="1">
        <v>8041</v>
      </c>
      <c r="V998" s="1">
        <v>1</v>
      </c>
      <c r="W998" s="1">
        <v>0</v>
      </c>
    </row>
    <row r="999">
      <c r="A999" s="1">
        <v>2022</v>
      </c>
      <c r="B999" s="1">
        <v>41</v>
      </c>
      <c r="C999" t="s">
        <v>3</v>
      </c>
      <c r="D999" s="1">
        <v>51</v>
      </c>
      <c r="E999" t="s">
        <v>6</v>
      </c>
      <c r="F999" s="1">
        <v>8</v>
      </c>
      <c r="G999" t="s">
        <v>12</v>
      </c>
      <c r="H999" s="1">
        <v>59</v>
      </c>
      <c r="I999" t="s">
        <v>83</v>
      </c>
      <c r="J999" s="1">
        <v>53</v>
      </c>
      <c r="K999" s="1">
        <v>70</v>
      </c>
      <c r="L999" s="1">
        <v>5049</v>
      </c>
      <c r="M999" s="1">
        <v>32873</v>
      </c>
      <c r="N999" s="1">
        <v>50114</v>
      </c>
      <c r="O999" s="1">
        <v>3438234</v>
      </c>
      <c r="P999" s="1">
        <v>353386</v>
      </c>
      <c r="Q999" s="1">
        <v>611005</v>
      </c>
      <c r="R999" s="1">
        <v>36220220</v>
      </c>
      <c r="S999" s="1">
        <v>41051</v>
      </c>
      <c r="T999" s="1">
        <v>41051</v>
      </c>
      <c r="U999" s="1">
        <v>8059</v>
      </c>
      <c r="V999" s="1">
        <v>1</v>
      </c>
      <c r="W999" s="1">
        <v>0</v>
      </c>
    </row>
    <row r="1000">
      <c r="A1000" s="1">
        <v>2022</v>
      </c>
      <c r="B1000" s="1">
        <v>41</v>
      </c>
      <c r="C1000" t="s">
        <v>3</v>
      </c>
      <c r="D1000" s="1">
        <v>51</v>
      </c>
      <c r="E1000" t="s">
        <v>6</v>
      </c>
      <c r="F1000" s="1">
        <v>8</v>
      </c>
      <c r="G1000" t="s">
        <v>12</v>
      </c>
      <c r="H1000" s="1">
        <v>69</v>
      </c>
      <c r="I1000" t="s">
        <v>84</v>
      </c>
      <c r="J1000" s="1">
        <v>52</v>
      </c>
      <c r="K1000" s="1">
        <v>65</v>
      </c>
      <c r="L1000" s="1">
        <v>3453</v>
      </c>
      <c r="M1000" s="1">
        <v>32873</v>
      </c>
      <c r="N1000" s="1">
        <v>50114</v>
      </c>
      <c r="O1000" s="1">
        <v>3438234</v>
      </c>
      <c r="P1000" s="1">
        <v>353386</v>
      </c>
      <c r="Q1000" s="1">
        <v>611005</v>
      </c>
      <c r="R1000" s="1">
        <v>36220220</v>
      </c>
      <c r="S1000" s="1">
        <v>41051</v>
      </c>
      <c r="T1000" s="1">
        <v>41051</v>
      </c>
      <c r="U1000" s="1">
        <v>8069</v>
      </c>
      <c r="V1000" s="1">
        <v>1</v>
      </c>
      <c r="W1000" s="1">
        <v>0</v>
      </c>
    </row>
    <row r="1001">
      <c r="A1001" s="1">
        <v>2022</v>
      </c>
      <c r="B1001" s="1">
        <v>41</v>
      </c>
      <c r="C1001" t="s">
        <v>3</v>
      </c>
      <c r="D1001" s="1">
        <v>51</v>
      </c>
      <c r="E1001" t="s">
        <v>6</v>
      </c>
      <c r="F1001" s="1">
        <v>11</v>
      </c>
      <c r="G1001" t="s">
        <v>14</v>
      </c>
      <c r="H1001" s="1">
        <v>1</v>
      </c>
      <c r="I1001" t="s">
        <v>14</v>
      </c>
      <c r="J1001" s="1">
        <v>65</v>
      </c>
      <c r="K1001" s="1">
        <v>81</v>
      </c>
      <c r="L1001" s="1">
        <v>5989</v>
      </c>
      <c r="M1001" s="1">
        <v>32873</v>
      </c>
      <c r="N1001" s="1">
        <v>50114</v>
      </c>
      <c r="O1001" s="1">
        <v>3438234</v>
      </c>
      <c r="P1001" s="1">
        <v>353386</v>
      </c>
      <c r="Q1001" s="1">
        <v>611005</v>
      </c>
      <c r="R1001" s="1">
        <v>36220220</v>
      </c>
      <c r="S1001" s="1">
        <v>41051</v>
      </c>
      <c r="T1001" s="1">
        <v>41051</v>
      </c>
      <c r="U1001" s="1">
        <v>11001</v>
      </c>
      <c r="V1001" s="1">
        <v>1</v>
      </c>
      <c r="W1001" s="1">
        <v>0</v>
      </c>
    </row>
    <row r="1002">
      <c r="A1002" s="1">
        <v>2022</v>
      </c>
      <c r="B1002" s="1">
        <v>41</v>
      </c>
      <c r="C1002" t="s">
        <v>3</v>
      </c>
      <c r="D1002" s="1">
        <v>51</v>
      </c>
      <c r="E1002" t="s">
        <v>6</v>
      </c>
      <c r="F1002" s="1">
        <v>12</v>
      </c>
      <c r="G1002" t="s">
        <v>15</v>
      </c>
      <c r="H1002" s="1">
        <v>11</v>
      </c>
      <c r="I1002" t="s">
        <v>183</v>
      </c>
      <c r="J1002" s="1">
        <v>31</v>
      </c>
      <c r="K1002" s="1">
        <v>58</v>
      </c>
      <c r="L1002" s="1">
        <v>4427</v>
      </c>
      <c r="M1002" s="1">
        <v>32873</v>
      </c>
      <c r="N1002" s="1">
        <v>50114</v>
      </c>
      <c r="O1002" s="1">
        <v>3438234</v>
      </c>
      <c r="P1002" s="1">
        <v>353386</v>
      </c>
      <c r="Q1002" s="1">
        <v>611005</v>
      </c>
      <c r="R1002" s="1">
        <v>36220220</v>
      </c>
      <c r="S1002" s="1">
        <v>41051</v>
      </c>
      <c r="T1002" s="1">
        <v>41051</v>
      </c>
      <c r="U1002" s="1">
        <v>12011</v>
      </c>
      <c r="V1002" s="1">
        <v>1</v>
      </c>
      <c r="W1002" s="1">
        <v>0</v>
      </c>
    </row>
    <row r="1003">
      <c r="A1003" s="1">
        <v>2022</v>
      </c>
      <c r="B1003" s="1">
        <v>41</v>
      </c>
      <c r="C1003" t="s">
        <v>3</v>
      </c>
      <c r="D1003" s="1">
        <v>51</v>
      </c>
      <c r="E1003" t="s">
        <v>6</v>
      </c>
      <c r="F1003" s="1">
        <v>12</v>
      </c>
      <c r="G1003" t="s">
        <v>15</v>
      </c>
      <c r="H1003" s="1">
        <v>31</v>
      </c>
      <c r="I1003" t="s">
        <v>184</v>
      </c>
      <c r="J1003" s="1">
        <v>36</v>
      </c>
      <c r="K1003" s="1">
        <v>52</v>
      </c>
      <c r="L1003" s="1">
        <v>2246</v>
      </c>
      <c r="M1003" s="1">
        <v>32873</v>
      </c>
      <c r="N1003" s="1">
        <v>50114</v>
      </c>
      <c r="O1003" s="1">
        <v>3438234</v>
      </c>
      <c r="P1003" s="1">
        <v>353386</v>
      </c>
      <c r="Q1003" s="1">
        <v>611005</v>
      </c>
      <c r="R1003" s="1">
        <v>36220220</v>
      </c>
      <c r="S1003" s="1">
        <v>41051</v>
      </c>
      <c r="T1003" s="1">
        <v>41051</v>
      </c>
      <c r="U1003" s="1">
        <v>12031</v>
      </c>
      <c r="V1003" s="1">
        <v>1</v>
      </c>
      <c r="W1003" s="1">
        <v>0</v>
      </c>
    </row>
    <row r="1004">
      <c r="A1004" s="1">
        <v>2022</v>
      </c>
      <c r="B1004" s="1">
        <v>41</v>
      </c>
      <c r="C1004" t="s">
        <v>3</v>
      </c>
      <c r="D1004" s="1">
        <v>51</v>
      </c>
      <c r="E1004" t="s">
        <v>6</v>
      </c>
      <c r="F1004" s="1">
        <v>12</v>
      </c>
      <c r="G1004" t="s">
        <v>15</v>
      </c>
      <c r="H1004" s="1">
        <v>57</v>
      </c>
      <c r="I1004" t="s">
        <v>86</v>
      </c>
      <c r="J1004" s="1">
        <v>53</v>
      </c>
      <c r="K1004" s="1">
        <v>92</v>
      </c>
      <c r="L1004" s="1">
        <v>3805</v>
      </c>
      <c r="M1004" s="1">
        <v>32873</v>
      </c>
      <c r="N1004" s="1">
        <v>50114</v>
      </c>
      <c r="O1004" s="1">
        <v>3438234</v>
      </c>
      <c r="P1004" s="1">
        <v>353386</v>
      </c>
      <c r="Q1004" s="1">
        <v>611005</v>
      </c>
      <c r="R1004" s="1">
        <v>36220220</v>
      </c>
      <c r="S1004" s="1">
        <v>41051</v>
      </c>
      <c r="T1004" s="1">
        <v>41051</v>
      </c>
      <c r="U1004" s="1">
        <v>12057</v>
      </c>
      <c r="V1004" s="1">
        <v>1</v>
      </c>
      <c r="W1004" s="1">
        <v>0</v>
      </c>
    </row>
    <row r="1005">
      <c r="A1005" s="1">
        <v>2022</v>
      </c>
      <c r="B1005" s="1">
        <v>41</v>
      </c>
      <c r="C1005" t="s">
        <v>3</v>
      </c>
      <c r="D1005" s="1">
        <v>51</v>
      </c>
      <c r="E1005" t="s">
        <v>6</v>
      </c>
      <c r="F1005" s="1">
        <v>12</v>
      </c>
      <c r="G1005" t="s">
        <v>15</v>
      </c>
      <c r="H1005" s="1">
        <v>71</v>
      </c>
      <c r="I1005" t="s">
        <v>226</v>
      </c>
      <c r="J1005" s="1">
        <v>25</v>
      </c>
      <c r="K1005" s="1">
        <v>34</v>
      </c>
      <c r="L1005" s="1">
        <v>2046</v>
      </c>
      <c r="M1005" s="1">
        <v>32873</v>
      </c>
      <c r="N1005" s="1">
        <v>50114</v>
      </c>
      <c r="O1005" s="1">
        <v>3438234</v>
      </c>
      <c r="P1005" s="1">
        <v>353386</v>
      </c>
      <c r="Q1005" s="1">
        <v>611005</v>
      </c>
      <c r="R1005" s="1">
        <v>36220220</v>
      </c>
      <c r="S1005" s="1">
        <v>41051</v>
      </c>
      <c r="T1005" s="1">
        <v>41051</v>
      </c>
      <c r="U1005" s="1">
        <v>12071</v>
      </c>
      <c r="V1005" s="1">
        <v>1</v>
      </c>
      <c r="W1005" s="1">
        <v>0</v>
      </c>
    </row>
    <row r="1006">
      <c r="A1006" s="1">
        <v>2022</v>
      </c>
      <c r="B1006" s="1">
        <v>41</v>
      </c>
      <c r="C1006" t="s">
        <v>3</v>
      </c>
      <c r="D1006" s="1">
        <v>51</v>
      </c>
      <c r="E1006" t="s">
        <v>6</v>
      </c>
      <c r="F1006" s="1">
        <v>12</v>
      </c>
      <c r="G1006" t="s">
        <v>15</v>
      </c>
      <c r="H1006" s="1">
        <v>86</v>
      </c>
      <c r="I1006" t="s">
        <v>87</v>
      </c>
      <c r="J1006" s="1">
        <v>77</v>
      </c>
      <c r="K1006" s="1">
        <v>107</v>
      </c>
      <c r="L1006" s="1">
        <v>16598</v>
      </c>
      <c r="M1006" s="1">
        <v>32873</v>
      </c>
      <c r="N1006" s="1">
        <v>50114</v>
      </c>
      <c r="O1006" s="1">
        <v>3438234</v>
      </c>
      <c r="P1006" s="1">
        <v>353386</v>
      </c>
      <c r="Q1006" s="1">
        <v>611005</v>
      </c>
      <c r="R1006" s="1">
        <v>36220220</v>
      </c>
      <c r="S1006" s="1">
        <v>41051</v>
      </c>
      <c r="T1006" s="1">
        <v>41051</v>
      </c>
      <c r="U1006" s="1">
        <v>12086</v>
      </c>
      <c r="V1006" s="1">
        <v>1</v>
      </c>
      <c r="W1006" s="1">
        <v>0</v>
      </c>
    </row>
    <row r="1007">
      <c r="A1007" s="1">
        <v>2022</v>
      </c>
      <c r="B1007" s="1">
        <v>41</v>
      </c>
      <c r="C1007" t="s">
        <v>3</v>
      </c>
      <c r="D1007" s="1">
        <v>51</v>
      </c>
      <c r="E1007" t="s">
        <v>6</v>
      </c>
      <c r="F1007" s="1">
        <v>12</v>
      </c>
      <c r="G1007" t="s">
        <v>15</v>
      </c>
      <c r="H1007" s="1">
        <v>95</v>
      </c>
      <c r="I1007" t="s">
        <v>64</v>
      </c>
      <c r="J1007" s="1">
        <v>45</v>
      </c>
      <c r="K1007" s="1">
        <v>65</v>
      </c>
      <c r="L1007" s="1">
        <v>4174</v>
      </c>
      <c r="M1007" s="1">
        <v>32873</v>
      </c>
      <c r="N1007" s="1">
        <v>50114</v>
      </c>
      <c r="O1007" s="1">
        <v>3438234</v>
      </c>
      <c r="P1007" s="1">
        <v>353386</v>
      </c>
      <c r="Q1007" s="1">
        <v>611005</v>
      </c>
      <c r="R1007" s="1">
        <v>36220220</v>
      </c>
      <c r="S1007" s="1">
        <v>41051</v>
      </c>
      <c r="T1007" s="1">
        <v>41051</v>
      </c>
      <c r="U1007" s="1">
        <v>12095</v>
      </c>
      <c r="V1007" s="1">
        <v>1</v>
      </c>
      <c r="W1007" s="1">
        <v>0</v>
      </c>
    </row>
    <row r="1008">
      <c r="A1008" s="1">
        <v>2022</v>
      </c>
      <c r="B1008" s="1">
        <v>41</v>
      </c>
      <c r="C1008" t="s">
        <v>3</v>
      </c>
      <c r="D1008" s="1">
        <v>51</v>
      </c>
      <c r="E1008" t="s">
        <v>6</v>
      </c>
      <c r="F1008" s="1">
        <v>12</v>
      </c>
      <c r="G1008" t="s">
        <v>15</v>
      </c>
      <c r="H1008" s="1">
        <v>99</v>
      </c>
      <c r="I1008" t="s">
        <v>88</v>
      </c>
      <c r="J1008" s="1">
        <v>28</v>
      </c>
      <c r="K1008" s="1">
        <v>38</v>
      </c>
      <c r="L1008" s="1">
        <v>4850</v>
      </c>
      <c r="M1008" s="1">
        <v>32873</v>
      </c>
      <c r="N1008" s="1">
        <v>50114</v>
      </c>
      <c r="O1008" s="1">
        <v>3438234</v>
      </c>
      <c r="P1008" s="1">
        <v>353386</v>
      </c>
      <c r="Q1008" s="1">
        <v>611005</v>
      </c>
      <c r="R1008" s="1">
        <v>36220220</v>
      </c>
      <c r="S1008" s="1">
        <v>41051</v>
      </c>
      <c r="T1008" s="1">
        <v>41051</v>
      </c>
      <c r="U1008" s="1">
        <v>12099</v>
      </c>
      <c r="V1008" s="1">
        <v>1</v>
      </c>
      <c r="W1008" s="1">
        <v>0</v>
      </c>
    </row>
    <row r="1009">
      <c r="A1009" s="1">
        <v>2022</v>
      </c>
      <c r="B1009" s="1">
        <v>41</v>
      </c>
      <c r="C1009" t="s">
        <v>3</v>
      </c>
      <c r="D1009" s="1">
        <v>51</v>
      </c>
      <c r="E1009" t="s">
        <v>6</v>
      </c>
      <c r="F1009" s="1">
        <v>12</v>
      </c>
      <c r="G1009" t="s">
        <v>15</v>
      </c>
      <c r="H1009" s="1">
        <v>101</v>
      </c>
      <c r="I1009" t="s">
        <v>249</v>
      </c>
      <c r="J1009" s="1">
        <v>27</v>
      </c>
      <c r="K1009" s="1">
        <v>37</v>
      </c>
      <c r="L1009" s="1">
        <v>1769</v>
      </c>
      <c r="M1009" s="1">
        <v>32873</v>
      </c>
      <c r="N1009" s="1">
        <v>50114</v>
      </c>
      <c r="O1009" s="1">
        <v>3438234</v>
      </c>
      <c r="P1009" s="1">
        <v>353386</v>
      </c>
      <c r="Q1009" s="1">
        <v>611005</v>
      </c>
      <c r="R1009" s="1">
        <v>36220220</v>
      </c>
      <c r="S1009" s="1">
        <v>41051</v>
      </c>
      <c r="T1009" s="1">
        <v>41051</v>
      </c>
      <c r="U1009" s="1">
        <v>12101</v>
      </c>
      <c r="V1009" s="1">
        <v>1</v>
      </c>
      <c r="W1009" s="1">
        <v>0</v>
      </c>
    </row>
    <row r="1010">
      <c r="A1010" s="1">
        <v>2022</v>
      </c>
      <c r="B1010" s="1">
        <v>41</v>
      </c>
      <c r="C1010" t="s">
        <v>3</v>
      </c>
      <c r="D1010" s="1">
        <v>51</v>
      </c>
      <c r="E1010" t="s">
        <v>6</v>
      </c>
      <c r="F1010" s="1">
        <v>12</v>
      </c>
      <c r="G1010" t="s">
        <v>15</v>
      </c>
      <c r="H1010" s="1">
        <v>103</v>
      </c>
      <c r="I1010" t="s">
        <v>89</v>
      </c>
      <c r="J1010" s="1">
        <v>45</v>
      </c>
      <c r="K1010" s="1">
        <v>55</v>
      </c>
      <c r="L1010" s="1">
        <v>8123</v>
      </c>
      <c r="M1010" s="1">
        <v>32873</v>
      </c>
      <c r="N1010" s="1">
        <v>50114</v>
      </c>
      <c r="O1010" s="1">
        <v>3438234</v>
      </c>
      <c r="P1010" s="1">
        <v>353386</v>
      </c>
      <c r="Q1010" s="1">
        <v>611005</v>
      </c>
      <c r="R1010" s="1">
        <v>36220220</v>
      </c>
      <c r="S1010" s="1">
        <v>41051</v>
      </c>
      <c r="T1010" s="1">
        <v>41051</v>
      </c>
      <c r="U1010" s="1">
        <v>12103</v>
      </c>
      <c r="V1010" s="1">
        <v>1</v>
      </c>
      <c r="W1010" s="1">
        <v>0</v>
      </c>
    </row>
    <row r="1011">
      <c r="A1011" s="1">
        <v>2022</v>
      </c>
      <c r="B1011" s="1">
        <v>41</v>
      </c>
      <c r="C1011" t="s">
        <v>3</v>
      </c>
      <c r="D1011" s="1">
        <v>51</v>
      </c>
      <c r="E1011" t="s">
        <v>6</v>
      </c>
      <c r="F1011" s="1">
        <v>12</v>
      </c>
      <c r="G1011" t="s">
        <v>15</v>
      </c>
      <c r="H1011" s="1">
        <v>115</v>
      </c>
      <c r="I1011" t="s">
        <v>231</v>
      </c>
      <c r="J1011" s="1">
        <v>33</v>
      </c>
      <c r="K1011" s="1">
        <v>61</v>
      </c>
      <c r="L1011" s="1">
        <v>3263</v>
      </c>
      <c r="M1011" s="1">
        <v>32873</v>
      </c>
      <c r="N1011" s="1">
        <v>50114</v>
      </c>
      <c r="O1011" s="1">
        <v>3438234</v>
      </c>
      <c r="P1011" s="1">
        <v>353386</v>
      </c>
      <c r="Q1011" s="1">
        <v>611005</v>
      </c>
      <c r="R1011" s="1">
        <v>36220220</v>
      </c>
      <c r="S1011" s="1">
        <v>41051</v>
      </c>
      <c r="T1011" s="1">
        <v>41051</v>
      </c>
      <c r="U1011" s="1">
        <v>12115</v>
      </c>
      <c r="V1011" s="1">
        <v>1</v>
      </c>
      <c r="W1011" s="1">
        <v>0</v>
      </c>
    </row>
    <row r="1012">
      <c r="A1012" s="1">
        <v>2022</v>
      </c>
      <c r="B1012" s="1">
        <v>41</v>
      </c>
      <c r="C1012" t="s">
        <v>3</v>
      </c>
      <c r="D1012" s="1">
        <v>51</v>
      </c>
      <c r="E1012" t="s">
        <v>6</v>
      </c>
      <c r="F1012" s="1">
        <v>12</v>
      </c>
      <c r="G1012" t="s">
        <v>15</v>
      </c>
      <c r="H1012" s="1">
        <v>127</v>
      </c>
      <c r="I1012" t="s">
        <v>250</v>
      </c>
      <c r="J1012" s="1">
        <v>20</v>
      </c>
      <c r="K1012" s="1">
        <v>39</v>
      </c>
      <c r="L1012" s="1">
        <v>1227</v>
      </c>
      <c r="M1012" s="1">
        <v>32873</v>
      </c>
      <c r="N1012" s="1">
        <v>50114</v>
      </c>
      <c r="O1012" s="1">
        <v>3438234</v>
      </c>
      <c r="P1012" s="1">
        <v>353386</v>
      </c>
      <c r="Q1012" s="1">
        <v>611005</v>
      </c>
      <c r="R1012" s="1">
        <v>36220220</v>
      </c>
      <c r="S1012" s="1">
        <v>41051</v>
      </c>
      <c r="T1012" s="1">
        <v>41051</v>
      </c>
      <c r="U1012" s="1">
        <v>12127</v>
      </c>
      <c r="V1012" s="1">
        <v>1</v>
      </c>
      <c r="W1012" s="1">
        <v>0</v>
      </c>
    </row>
    <row r="1013">
      <c r="A1013" s="1">
        <v>2022</v>
      </c>
      <c r="B1013" s="1">
        <v>41</v>
      </c>
      <c r="C1013" t="s">
        <v>3</v>
      </c>
      <c r="D1013" s="1">
        <v>51</v>
      </c>
      <c r="E1013" t="s">
        <v>6</v>
      </c>
      <c r="F1013" s="1">
        <v>13</v>
      </c>
      <c r="G1013" t="s">
        <v>16</v>
      </c>
      <c r="H1013" s="1">
        <v>67</v>
      </c>
      <c r="I1013" t="s">
        <v>243</v>
      </c>
      <c r="J1013" s="1">
        <v>20</v>
      </c>
      <c r="K1013" s="1">
        <v>30</v>
      </c>
      <c r="L1013" s="1">
        <v>2000</v>
      </c>
      <c r="M1013" s="1">
        <v>32873</v>
      </c>
      <c r="N1013" s="1">
        <v>50114</v>
      </c>
      <c r="O1013" s="1">
        <v>3438234</v>
      </c>
      <c r="P1013" s="1">
        <v>353386</v>
      </c>
      <c r="Q1013" s="1">
        <v>611005</v>
      </c>
      <c r="R1013" s="1">
        <v>36220220</v>
      </c>
      <c r="S1013" s="1">
        <v>41051</v>
      </c>
      <c r="T1013" s="1">
        <v>41051</v>
      </c>
      <c r="U1013" s="1">
        <v>13067</v>
      </c>
      <c r="V1013" s="1">
        <v>1</v>
      </c>
      <c r="W1013" s="1">
        <v>0</v>
      </c>
    </row>
    <row r="1014">
      <c r="A1014" s="1">
        <v>2022</v>
      </c>
      <c r="B1014" s="1">
        <v>41</v>
      </c>
      <c r="C1014" t="s">
        <v>3</v>
      </c>
      <c r="D1014" s="1">
        <v>51</v>
      </c>
      <c r="E1014" t="s">
        <v>6</v>
      </c>
      <c r="F1014" s="1">
        <v>13</v>
      </c>
      <c r="G1014" t="s">
        <v>16</v>
      </c>
      <c r="H1014" s="1">
        <v>89</v>
      </c>
      <c r="I1014" t="s">
        <v>90</v>
      </c>
      <c r="J1014" s="1">
        <v>30</v>
      </c>
      <c r="K1014" s="1">
        <v>63</v>
      </c>
      <c r="L1014" s="1">
        <v>2228</v>
      </c>
      <c r="M1014" s="1">
        <v>32873</v>
      </c>
      <c r="N1014" s="1">
        <v>50114</v>
      </c>
      <c r="O1014" s="1">
        <v>3438234</v>
      </c>
      <c r="P1014" s="1">
        <v>353386</v>
      </c>
      <c r="Q1014" s="1">
        <v>611005</v>
      </c>
      <c r="R1014" s="1">
        <v>36220220</v>
      </c>
      <c r="S1014" s="1">
        <v>41051</v>
      </c>
      <c r="T1014" s="1">
        <v>41051</v>
      </c>
      <c r="U1014" s="1">
        <v>13089</v>
      </c>
      <c r="V1014" s="1">
        <v>1</v>
      </c>
      <c r="W1014" s="1">
        <v>0</v>
      </c>
    </row>
    <row r="1015">
      <c r="A1015" s="1">
        <v>2022</v>
      </c>
      <c r="B1015" s="1">
        <v>41</v>
      </c>
      <c r="C1015" t="s">
        <v>3</v>
      </c>
      <c r="D1015" s="1">
        <v>51</v>
      </c>
      <c r="E1015" t="s">
        <v>6</v>
      </c>
      <c r="F1015" s="1">
        <v>13</v>
      </c>
      <c r="G1015" t="s">
        <v>16</v>
      </c>
      <c r="H1015" s="1">
        <v>121</v>
      </c>
      <c r="I1015" t="s">
        <v>91</v>
      </c>
      <c r="J1015" s="1">
        <v>45</v>
      </c>
      <c r="K1015" s="1">
        <v>52</v>
      </c>
      <c r="L1015" s="1">
        <v>4326</v>
      </c>
      <c r="M1015" s="1">
        <v>32873</v>
      </c>
      <c r="N1015" s="1">
        <v>50114</v>
      </c>
      <c r="O1015" s="1">
        <v>3438234</v>
      </c>
      <c r="P1015" s="1">
        <v>353386</v>
      </c>
      <c r="Q1015" s="1">
        <v>611005</v>
      </c>
      <c r="R1015" s="1">
        <v>36220220</v>
      </c>
      <c r="S1015" s="1">
        <v>41051</v>
      </c>
      <c r="T1015" s="1">
        <v>41051</v>
      </c>
      <c r="U1015" s="1">
        <v>13121</v>
      </c>
      <c r="V1015" s="1">
        <v>1</v>
      </c>
      <c r="W1015" s="1">
        <v>0</v>
      </c>
    </row>
    <row r="1016">
      <c r="A1016" s="1">
        <v>2022</v>
      </c>
      <c r="B1016" s="1">
        <v>41</v>
      </c>
      <c r="C1016" t="s">
        <v>3</v>
      </c>
      <c r="D1016" s="1">
        <v>51</v>
      </c>
      <c r="E1016" t="s">
        <v>6</v>
      </c>
      <c r="F1016" s="1">
        <v>13</v>
      </c>
      <c r="G1016" t="s">
        <v>16</v>
      </c>
      <c r="H1016" s="1">
        <v>135</v>
      </c>
      <c r="I1016" t="s">
        <v>251</v>
      </c>
      <c r="J1016" s="1">
        <v>22</v>
      </c>
      <c r="K1016" s="1">
        <v>47</v>
      </c>
      <c r="L1016" s="1">
        <v>2019</v>
      </c>
      <c r="M1016" s="1">
        <v>32873</v>
      </c>
      <c r="N1016" s="1">
        <v>50114</v>
      </c>
      <c r="O1016" s="1">
        <v>3438234</v>
      </c>
      <c r="P1016" s="1">
        <v>353386</v>
      </c>
      <c r="Q1016" s="1">
        <v>611005</v>
      </c>
      <c r="R1016" s="1">
        <v>36220220</v>
      </c>
      <c r="S1016" s="1">
        <v>41051</v>
      </c>
      <c r="T1016" s="1">
        <v>41051</v>
      </c>
      <c r="U1016" s="1">
        <v>13135</v>
      </c>
      <c r="V1016" s="1">
        <v>1</v>
      </c>
      <c r="W1016" s="1">
        <v>0</v>
      </c>
    </row>
    <row r="1017">
      <c r="A1017" s="1">
        <v>2022</v>
      </c>
      <c r="B1017" s="1">
        <v>41</v>
      </c>
      <c r="C1017" t="s">
        <v>3</v>
      </c>
      <c r="D1017" s="1">
        <v>51</v>
      </c>
      <c r="E1017" t="s">
        <v>6</v>
      </c>
      <c r="F1017" s="1">
        <v>15</v>
      </c>
      <c r="G1017" t="s">
        <v>17</v>
      </c>
      <c r="H1017" s="1">
        <v>1</v>
      </c>
      <c r="I1017" t="s">
        <v>92</v>
      </c>
      <c r="J1017" s="1">
        <v>49</v>
      </c>
      <c r="K1017" s="1">
        <v>83</v>
      </c>
      <c r="L1017" s="1">
        <v>5383</v>
      </c>
      <c r="M1017" s="1">
        <v>32873</v>
      </c>
      <c r="N1017" s="1">
        <v>50114</v>
      </c>
      <c r="O1017" s="1">
        <v>3438234</v>
      </c>
      <c r="P1017" s="1">
        <v>353386</v>
      </c>
      <c r="Q1017" s="1">
        <v>611005</v>
      </c>
      <c r="R1017" s="1">
        <v>36220220</v>
      </c>
      <c r="S1017" s="1">
        <v>41051</v>
      </c>
      <c r="T1017" s="1">
        <v>41051</v>
      </c>
      <c r="U1017" s="1">
        <v>15001</v>
      </c>
      <c r="V1017" s="1">
        <v>1</v>
      </c>
      <c r="W1017" s="1">
        <v>0</v>
      </c>
    </row>
    <row r="1018">
      <c r="A1018" s="1">
        <v>2022</v>
      </c>
      <c r="B1018" s="1">
        <v>41</v>
      </c>
      <c r="C1018" t="s">
        <v>3</v>
      </c>
      <c r="D1018" s="1">
        <v>51</v>
      </c>
      <c r="E1018" t="s">
        <v>6</v>
      </c>
      <c r="F1018" s="1">
        <v>15</v>
      </c>
      <c r="G1018" t="s">
        <v>17</v>
      </c>
      <c r="H1018" s="1">
        <v>3</v>
      </c>
      <c r="I1018" t="s">
        <v>93</v>
      </c>
      <c r="J1018" s="1">
        <v>108</v>
      </c>
      <c r="K1018" s="1">
        <v>166</v>
      </c>
      <c r="L1018" s="1">
        <v>10304</v>
      </c>
      <c r="M1018" s="1">
        <v>32873</v>
      </c>
      <c r="N1018" s="1">
        <v>50114</v>
      </c>
      <c r="O1018" s="1">
        <v>3438234</v>
      </c>
      <c r="P1018" s="1">
        <v>353386</v>
      </c>
      <c r="Q1018" s="1">
        <v>611005</v>
      </c>
      <c r="R1018" s="1">
        <v>36220220</v>
      </c>
      <c r="S1018" s="1">
        <v>41051</v>
      </c>
      <c r="T1018" s="1">
        <v>41051</v>
      </c>
      <c r="U1018" s="1">
        <v>15003</v>
      </c>
      <c r="V1018" s="1">
        <v>1</v>
      </c>
      <c r="W1018" s="1">
        <v>0</v>
      </c>
    </row>
    <row r="1019">
      <c r="A1019" s="1">
        <v>2022</v>
      </c>
      <c r="B1019" s="1">
        <v>41</v>
      </c>
      <c r="C1019" t="s">
        <v>3</v>
      </c>
      <c r="D1019" s="1">
        <v>51</v>
      </c>
      <c r="E1019" t="s">
        <v>6</v>
      </c>
      <c r="F1019" s="1">
        <v>15</v>
      </c>
      <c r="G1019" t="s">
        <v>17</v>
      </c>
      <c r="H1019" s="1">
        <v>9</v>
      </c>
      <c r="I1019" t="s">
        <v>94</v>
      </c>
      <c r="J1019" s="1">
        <v>37</v>
      </c>
      <c r="K1019" s="1">
        <v>52</v>
      </c>
      <c r="L1019" s="1">
        <v>5169</v>
      </c>
      <c r="M1019" s="1">
        <v>32873</v>
      </c>
      <c r="N1019" s="1">
        <v>50114</v>
      </c>
      <c r="O1019" s="1">
        <v>3438234</v>
      </c>
      <c r="P1019" s="1">
        <v>353386</v>
      </c>
      <c r="Q1019" s="1">
        <v>611005</v>
      </c>
      <c r="R1019" s="1">
        <v>36220220</v>
      </c>
      <c r="S1019" s="1">
        <v>41051</v>
      </c>
      <c r="T1019" s="1">
        <v>41051</v>
      </c>
      <c r="U1019" s="1">
        <v>15009</v>
      </c>
      <c r="V1019" s="1">
        <v>1</v>
      </c>
      <c r="W1019" s="1">
        <v>0</v>
      </c>
    </row>
    <row r="1020">
      <c r="A1020" s="1">
        <v>2022</v>
      </c>
      <c r="B1020" s="1">
        <v>41</v>
      </c>
      <c r="C1020" t="s">
        <v>3</v>
      </c>
      <c r="D1020" s="1">
        <v>51</v>
      </c>
      <c r="E1020" t="s">
        <v>6</v>
      </c>
      <c r="F1020" s="1">
        <v>16</v>
      </c>
      <c r="G1020" t="s">
        <v>18</v>
      </c>
      <c r="H1020" s="1">
        <v>1</v>
      </c>
      <c r="I1020" t="s">
        <v>95</v>
      </c>
      <c r="J1020" s="1">
        <v>153</v>
      </c>
      <c r="K1020" s="1">
        <v>226</v>
      </c>
      <c r="L1020" s="1">
        <v>15685</v>
      </c>
      <c r="M1020" s="1">
        <v>32873</v>
      </c>
      <c r="N1020" s="1">
        <v>50114</v>
      </c>
      <c r="O1020" s="1">
        <v>3438234</v>
      </c>
      <c r="P1020" s="1">
        <v>353386</v>
      </c>
      <c r="Q1020" s="1">
        <v>611005</v>
      </c>
      <c r="R1020" s="1">
        <v>36220220</v>
      </c>
      <c r="S1020" s="1">
        <v>41051</v>
      </c>
      <c r="T1020" s="1">
        <v>41051</v>
      </c>
      <c r="U1020" s="1">
        <v>16001</v>
      </c>
      <c r="V1020" s="1">
        <v>1</v>
      </c>
      <c r="W1020" s="1">
        <v>0</v>
      </c>
    </row>
    <row r="1021">
      <c r="A1021" s="1">
        <v>2022</v>
      </c>
      <c r="B1021" s="1">
        <v>41</v>
      </c>
      <c r="C1021" t="s">
        <v>3</v>
      </c>
      <c r="D1021" s="1">
        <v>51</v>
      </c>
      <c r="E1021" t="s">
        <v>6</v>
      </c>
      <c r="F1021" s="1">
        <v>16</v>
      </c>
      <c r="G1021" t="s">
        <v>18</v>
      </c>
      <c r="H1021" s="1">
        <v>27</v>
      </c>
      <c r="I1021" t="s">
        <v>96</v>
      </c>
      <c r="J1021" s="1">
        <v>53</v>
      </c>
      <c r="K1021" s="1">
        <v>93</v>
      </c>
      <c r="L1021" s="1">
        <v>3060</v>
      </c>
      <c r="M1021" s="1">
        <v>32873</v>
      </c>
      <c r="N1021" s="1">
        <v>50114</v>
      </c>
      <c r="O1021" s="1">
        <v>3438234</v>
      </c>
      <c r="P1021" s="1">
        <v>353386</v>
      </c>
      <c r="Q1021" s="1">
        <v>611005</v>
      </c>
      <c r="R1021" s="1">
        <v>36220220</v>
      </c>
      <c r="S1021" s="1">
        <v>41051</v>
      </c>
      <c r="T1021" s="1">
        <v>41051</v>
      </c>
      <c r="U1021" s="1">
        <v>16027</v>
      </c>
      <c r="V1021" s="1">
        <v>1</v>
      </c>
      <c r="W1021" s="1">
        <v>0</v>
      </c>
    </row>
    <row r="1022">
      <c r="A1022" s="1">
        <v>2022</v>
      </c>
      <c r="B1022" s="1">
        <v>41</v>
      </c>
      <c r="C1022" t="s">
        <v>3</v>
      </c>
      <c r="D1022" s="1">
        <v>51</v>
      </c>
      <c r="E1022" t="s">
        <v>6</v>
      </c>
      <c r="F1022" s="1">
        <v>16</v>
      </c>
      <c r="G1022" t="s">
        <v>18</v>
      </c>
      <c r="H1022" s="1">
        <v>55</v>
      </c>
      <c r="I1022" t="s">
        <v>97</v>
      </c>
      <c r="J1022" s="1">
        <v>62</v>
      </c>
      <c r="K1022" s="1">
        <v>120</v>
      </c>
      <c r="L1022" s="1">
        <v>4981</v>
      </c>
      <c r="M1022" s="1">
        <v>32873</v>
      </c>
      <c r="N1022" s="1">
        <v>50114</v>
      </c>
      <c r="O1022" s="1">
        <v>3438234</v>
      </c>
      <c r="P1022" s="1">
        <v>353386</v>
      </c>
      <c r="Q1022" s="1">
        <v>611005</v>
      </c>
      <c r="R1022" s="1">
        <v>36220220</v>
      </c>
      <c r="S1022" s="1">
        <v>41051</v>
      </c>
      <c r="T1022" s="1">
        <v>41051</v>
      </c>
      <c r="U1022" s="1">
        <v>16055</v>
      </c>
      <c r="V1022" s="1">
        <v>1</v>
      </c>
      <c r="W1022" s="1">
        <v>0</v>
      </c>
    </row>
    <row r="1023">
      <c r="A1023" s="1">
        <v>2022</v>
      </c>
      <c r="B1023" s="1">
        <v>41</v>
      </c>
      <c r="C1023" t="s">
        <v>3</v>
      </c>
      <c r="D1023" s="1">
        <v>51</v>
      </c>
      <c r="E1023" t="s">
        <v>6</v>
      </c>
      <c r="F1023" s="1">
        <v>17</v>
      </c>
      <c r="G1023" t="s">
        <v>19</v>
      </c>
      <c r="H1023" s="1">
        <v>31</v>
      </c>
      <c r="I1023" t="s">
        <v>98</v>
      </c>
      <c r="J1023" s="1">
        <v>217</v>
      </c>
      <c r="K1023" s="1">
        <v>262</v>
      </c>
      <c r="L1023" s="1">
        <v>17851</v>
      </c>
      <c r="M1023" s="1">
        <v>32873</v>
      </c>
      <c r="N1023" s="1">
        <v>50114</v>
      </c>
      <c r="O1023" s="1">
        <v>3438234</v>
      </c>
      <c r="P1023" s="1">
        <v>353386</v>
      </c>
      <c r="Q1023" s="1">
        <v>611005</v>
      </c>
      <c r="R1023" s="1">
        <v>36220220</v>
      </c>
      <c r="S1023" s="1">
        <v>41051</v>
      </c>
      <c r="T1023" s="1">
        <v>41051</v>
      </c>
      <c r="U1023" s="1">
        <v>17031</v>
      </c>
      <c r="V1023" s="1">
        <v>1</v>
      </c>
      <c r="W1023" s="1">
        <v>0</v>
      </c>
    </row>
    <row r="1024">
      <c r="A1024" s="1">
        <v>2022</v>
      </c>
      <c r="B1024" s="1">
        <v>41</v>
      </c>
      <c r="C1024" t="s">
        <v>3</v>
      </c>
      <c r="D1024" s="1">
        <v>51</v>
      </c>
      <c r="E1024" t="s">
        <v>6</v>
      </c>
      <c r="F1024" s="1">
        <v>17</v>
      </c>
      <c r="G1024" t="s">
        <v>19</v>
      </c>
      <c r="H1024" s="1">
        <v>43</v>
      </c>
      <c r="I1024" t="s">
        <v>187</v>
      </c>
      <c r="J1024" s="1">
        <v>24</v>
      </c>
      <c r="K1024" s="1">
        <v>35</v>
      </c>
      <c r="L1024" s="1">
        <v>1490</v>
      </c>
      <c r="M1024" s="1">
        <v>32873</v>
      </c>
      <c r="N1024" s="1">
        <v>50114</v>
      </c>
      <c r="O1024" s="1">
        <v>3438234</v>
      </c>
      <c r="P1024" s="1">
        <v>353386</v>
      </c>
      <c r="Q1024" s="1">
        <v>611005</v>
      </c>
      <c r="R1024" s="1">
        <v>36220220</v>
      </c>
      <c r="S1024" s="1">
        <v>41051</v>
      </c>
      <c r="T1024" s="1">
        <v>41051</v>
      </c>
      <c r="U1024" s="1">
        <v>17043</v>
      </c>
      <c r="V1024" s="1">
        <v>1</v>
      </c>
      <c r="W1024" s="1">
        <v>0</v>
      </c>
    </row>
    <row r="1025">
      <c r="A1025" s="1">
        <v>2022</v>
      </c>
      <c r="B1025" s="1">
        <v>41</v>
      </c>
      <c r="C1025" t="s">
        <v>3</v>
      </c>
      <c r="D1025" s="1">
        <v>51</v>
      </c>
      <c r="E1025" t="s">
        <v>6</v>
      </c>
      <c r="F1025" s="1">
        <v>18</v>
      </c>
      <c r="G1025" t="s">
        <v>20</v>
      </c>
      <c r="H1025" s="1">
        <v>97</v>
      </c>
      <c r="I1025" t="s">
        <v>99</v>
      </c>
      <c r="J1025" s="1">
        <v>33</v>
      </c>
      <c r="K1025" s="1">
        <v>39</v>
      </c>
      <c r="L1025" s="1">
        <v>2998</v>
      </c>
      <c r="M1025" s="1">
        <v>32873</v>
      </c>
      <c r="N1025" s="1">
        <v>50114</v>
      </c>
      <c r="O1025" s="1">
        <v>3438234</v>
      </c>
      <c r="P1025" s="1">
        <v>353386</v>
      </c>
      <c r="Q1025" s="1">
        <v>611005</v>
      </c>
      <c r="R1025" s="1">
        <v>36220220</v>
      </c>
      <c r="S1025" s="1">
        <v>41051</v>
      </c>
      <c r="T1025" s="1">
        <v>41051</v>
      </c>
      <c r="U1025" s="1">
        <v>18097</v>
      </c>
      <c r="V1025" s="1">
        <v>1</v>
      </c>
      <c r="W1025" s="1">
        <v>0</v>
      </c>
    </row>
    <row r="1026">
      <c r="A1026" s="1">
        <v>2022</v>
      </c>
      <c r="B1026" s="1">
        <v>41</v>
      </c>
      <c r="C1026" t="s">
        <v>3</v>
      </c>
      <c r="D1026" s="1">
        <v>51</v>
      </c>
      <c r="E1026" t="s">
        <v>6</v>
      </c>
      <c r="F1026" s="1">
        <v>19</v>
      </c>
      <c r="G1026" t="s">
        <v>21</v>
      </c>
      <c r="H1026" s="1">
        <v>153</v>
      </c>
      <c r="I1026" t="s">
        <v>100</v>
      </c>
      <c r="J1026" s="1">
        <v>21</v>
      </c>
      <c r="K1026" s="1">
        <v>26</v>
      </c>
      <c r="L1026" s="1">
        <v>1204</v>
      </c>
      <c r="M1026" s="1">
        <v>32873</v>
      </c>
      <c r="N1026" s="1">
        <v>50114</v>
      </c>
      <c r="O1026" s="1">
        <v>3438234</v>
      </c>
      <c r="P1026" s="1">
        <v>353386</v>
      </c>
      <c r="Q1026" s="1">
        <v>611005</v>
      </c>
      <c r="R1026" s="1">
        <v>36220220</v>
      </c>
      <c r="S1026" s="1">
        <v>41051</v>
      </c>
      <c r="T1026" s="1">
        <v>41051</v>
      </c>
      <c r="U1026" s="1">
        <v>19153</v>
      </c>
      <c r="V1026" s="1">
        <v>1</v>
      </c>
      <c r="W1026" s="1">
        <v>0</v>
      </c>
    </row>
    <row r="1027">
      <c r="A1027" s="1">
        <v>2022</v>
      </c>
      <c r="B1027" s="1">
        <v>41</v>
      </c>
      <c r="C1027" t="s">
        <v>3</v>
      </c>
      <c r="D1027" s="1">
        <v>51</v>
      </c>
      <c r="E1027" t="s">
        <v>6</v>
      </c>
      <c r="F1027" s="1">
        <v>20</v>
      </c>
      <c r="G1027" t="s">
        <v>42</v>
      </c>
      <c r="H1027" s="1">
        <v>91</v>
      </c>
      <c r="I1027" t="s">
        <v>188</v>
      </c>
      <c r="J1027" s="1">
        <v>21</v>
      </c>
      <c r="K1027" s="1">
        <v>33</v>
      </c>
      <c r="L1027" s="1">
        <v>3293</v>
      </c>
      <c r="M1027" s="1">
        <v>32873</v>
      </c>
      <c r="N1027" s="1">
        <v>50114</v>
      </c>
      <c r="O1027" s="1">
        <v>3438234</v>
      </c>
      <c r="P1027" s="1">
        <v>353386</v>
      </c>
      <c r="Q1027" s="1">
        <v>611005</v>
      </c>
      <c r="R1027" s="1">
        <v>36220220</v>
      </c>
      <c r="S1027" s="1">
        <v>41051</v>
      </c>
      <c r="T1027" s="1">
        <v>41051</v>
      </c>
      <c r="U1027" s="1">
        <v>20091</v>
      </c>
      <c r="V1027" s="1">
        <v>1</v>
      </c>
      <c r="W1027" s="1">
        <v>0</v>
      </c>
    </row>
    <row r="1028">
      <c r="A1028" s="1">
        <v>2022</v>
      </c>
      <c r="B1028" s="1">
        <v>41</v>
      </c>
      <c r="C1028" t="s">
        <v>3</v>
      </c>
      <c r="D1028" s="1">
        <v>51</v>
      </c>
      <c r="E1028" t="s">
        <v>6</v>
      </c>
      <c r="F1028" s="1">
        <v>21</v>
      </c>
      <c r="G1028" t="s">
        <v>43</v>
      </c>
      <c r="H1028" s="1">
        <v>111</v>
      </c>
      <c r="I1028" t="s">
        <v>83</v>
      </c>
      <c r="J1028" s="1">
        <v>21</v>
      </c>
      <c r="K1028" s="1">
        <v>36</v>
      </c>
      <c r="L1028" s="1">
        <v>1833</v>
      </c>
      <c r="M1028" s="1">
        <v>32873</v>
      </c>
      <c r="N1028" s="1">
        <v>50114</v>
      </c>
      <c r="O1028" s="1">
        <v>3438234</v>
      </c>
      <c r="P1028" s="1">
        <v>353386</v>
      </c>
      <c r="Q1028" s="1">
        <v>611005</v>
      </c>
      <c r="R1028" s="1">
        <v>36220220</v>
      </c>
      <c r="S1028" s="1">
        <v>41051</v>
      </c>
      <c r="T1028" s="1">
        <v>41051</v>
      </c>
      <c r="U1028" s="1">
        <v>21111</v>
      </c>
      <c r="V1028" s="1">
        <v>1</v>
      </c>
      <c r="W1028" s="1">
        <v>0</v>
      </c>
    </row>
    <row r="1029">
      <c r="A1029" s="1">
        <v>2022</v>
      </c>
      <c r="B1029" s="1">
        <v>41</v>
      </c>
      <c r="C1029" t="s">
        <v>3</v>
      </c>
      <c r="D1029" s="1">
        <v>51</v>
      </c>
      <c r="E1029" t="s">
        <v>6</v>
      </c>
      <c r="F1029" s="1">
        <v>22</v>
      </c>
      <c r="G1029" t="s">
        <v>22</v>
      </c>
      <c r="H1029" s="1">
        <v>71</v>
      </c>
      <c r="I1029" t="s">
        <v>101</v>
      </c>
      <c r="J1029" s="1">
        <v>27</v>
      </c>
      <c r="K1029" s="1">
        <v>37</v>
      </c>
      <c r="L1029" s="1">
        <v>1511</v>
      </c>
      <c r="M1029" s="1">
        <v>32873</v>
      </c>
      <c r="N1029" s="1">
        <v>50114</v>
      </c>
      <c r="O1029" s="1">
        <v>3438234</v>
      </c>
      <c r="P1029" s="1">
        <v>353386</v>
      </c>
      <c r="Q1029" s="1">
        <v>611005</v>
      </c>
      <c r="R1029" s="1">
        <v>36220220</v>
      </c>
      <c r="S1029" s="1">
        <v>41051</v>
      </c>
      <c r="T1029" s="1">
        <v>41051</v>
      </c>
      <c r="U1029" s="1">
        <v>22071</v>
      </c>
      <c r="V1029" s="1">
        <v>1</v>
      </c>
      <c r="W1029" s="1">
        <v>0</v>
      </c>
    </row>
    <row r="1030">
      <c r="A1030" s="1">
        <v>2022</v>
      </c>
      <c r="B1030" s="1">
        <v>41</v>
      </c>
      <c r="C1030" t="s">
        <v>3</v>
      </c>
      <c r="D1030" s="1">
        <v>51</v>
      </c>
      <c r="E1030" t="s">
        <v>6</v>
      </c>
      <c r="F1030" s="1">
        <v>23</v>
      </c>
      <c r="G1030" t="s">
        <v>23</v>
      </c>
      <c r="H1030" s="1">
        <v>5</v>
      </c>
      <c r="I1030" t="s">
        <v>102</v>
      </c>
      <c r="J1030" s="1">
        <v>42</v>
      </c>
      <c r="K1030" s="1">
        <v>63</v>
      </c>
      <c r="L1030" s="1">
        <v>4027</v>
      </c>
      <c r="M1030" s="1">
        <v>32873</v>
      </c>
      <c r="N1030" s="1">
        <v>50114</v>
      </c>
      <c r="O1030" s="1">
        <v>3438234</v>
      </c>
      <c r="P1030" s="1">
        <v>353386</v>
      </c>
      <c r="Q1030" s="1">
        <v>611005</v>
      </c>
      <c r="R1030" s="1">
        <v>36220220</v>
      </c>
      <c r="S1030" s="1">
        <v>41051</v>
      </c>
      <c r="T1030" s="1">
        <v>41051</v>
      </c>
      <c r="U1030" s="1">
        <v>23005</v>
      </c>
      <c r="V1030" s="1">
        <v>1</v>
      </c>
      <c r="W1030" s="1">
        <v>0</v>
      </c>
    </row>
    <row r="1031">
      <c r="A1031" s="1">
        <v>2022</v>
      </c>
      <c r="B1031" s="1">
        <v>41</v>
      </c>
      <c r="C1031" t="s">
        <v>3</v>
      </c>
      <c r="D1031" s="1">
        <v>51</v>
      </c>
      <c r="E1031" t="s">
        <v>6</v>
      </c>
      <c r="F1031" s="1">
        <v>24</v>
      </c>
      <c r="G1031" t="s">
        <v>24</v>
      </c>
      <c r="H1031" s="1">
        <v>31</v>
      </c>
      <c r="I1031" t="s">
        <v>103</v>
      </c>
      <c r="J1031" s="1">
        <v>27</v>
      </c>
      <c r="K1031" s="1">
        <v>50</v>
      </c>
      <c r="L1031" s="1">
        <v>4119</v>
      </c>
      <c r="M1031" s="1">
        <v>32873</v>
      </c>
      <c r="N1031" s="1">
        <v>50114</v>
      </c>
      <c r="O1031" s="1">
        <v>3438234</v>
      </c>
      <c r="P1031" s="1">
        <v>353386</v>
      </c>
      <c r="Q1031" s="1">
        <v>611005</v>
      </c>
      <c r="R1031" s="1">
        <v>36220220</v>
      </c>
      <c r="S1031" s="1">
        <v>41051</v>
      </c>
      <c r="T1031" s="1">
        <v>41051</v>
      </c>
      <c r="U1031" s="1">
        <v>24031</v>
      </c>
      <c r="V1031" s="1">
        <v>1</v>
      </c>
      <c r="W1031" s="1">
        <v>0</v>
      </c>
    </row>
    <row r="1032">
      <c r="A1032" s="1">
        <v>2022</v>
      </c>
      <c r="B1032" s="1">
        <v>41</v>
      </c>
      <c r="C1032" t="s">
        <v>3</v>
      </c>
      <c r="D1032" s="1">
        <v>51</v>
      </c>
      <c r="E1032" t="s">
        <v>6</v>
      </c>
      <c r="F1032" s="1">
        <v>24</v>
      </c>
      <c r="G1032" t="s">
        <v>24</v>
      </c>
      <c r="H1032" s="1">
        <v>510</v>
      </c>
      <c r="I1032" t="s">
        <v>190</v>
      </c>
      <c r="J1032" s="1">
        <v>33</v>
      </c>
      <c r="K1032" s="1">
        <v>44</v>
      </c>
      <c r="L1032" s="1">
        <v>1541</v>
      </c>
      <c r="M1032" s="1">
        <v>32873</v>
      </c>
      <c r="N1032" s="1">
        <v>50114</v>
      </c>
      <c r="O1032" s="1">
        <v>3438234</v>
      </c>
      <c r="P1032" s="1">
        <v>353386</v>
      </c>
      <c r="Q1032" s="1">
        <v>611005</v>
      </c>
      <c r="R1032" s="1">
        <v>36220220</v>
      </c>
      <c r="S1032" s="1">
        <v>41051</v>
      </c>
      <c r="T1032" s="1">
        <v>41051</v>
      </c>
      <c r="U1032" s="1">
        <v>24510</v>
      </c>
      <c r="V1032" s="1">
        <v>1</v>
      </c>
      <c r="W1032" s="1">
        <v>0</v>
      </c>
    </row>
    <row r="1033">
      <c r="A1033" s="1">
        <v>2022</v>
      </c>
      <c r="B1033" s="1">
        <v>41</v>
      </c>
      <c r="C1033" t="s">
        <v>3</v>
      </c>
      <c r="D1033" s="1">
        <v>51</v>
      </c>
      <c r="E1033" t="s">
        <v>6</v>
      </c>
      <c r="F1033" s="1">
        <v>25</v>
      </c>
      <c r="G1033" t="s">
        <v>25</v>
      </c>
      <c r="H1033" s="1">
        <v>17</v>
      </c>
      <c r="I1033" t="s">
        <v>104</v>
      </c>
      <c r="J1033" s="1">
        <v>66</v>
      </c>
      <c r="K1033" s="1">
        <v>101</v>
      </c>
      <c r="L1033" s="1">
        <v>9791</v>
      </c>
      <c r="M1033" s="1">
        <v>32873</v>
      </c>
      <c r="N1033" s="1">
        <v>50114</v>
      </c>
      <c r="O1033" s="1">
        <v>3438234</v>
      </c>
      <c r="P1033" s="1">
        <v>353386</v>
      </c>
      <c r="Q1033" s="1">
        <v>611005</v>
      </c>
      <c r="R1033" s="1">
        <v>36220220</v>
      </c>
      <c r="S1033" s="1">
        <v>41051</v>
      </c>
      <c r="T1033" s="1">
        <v>41051</v>
      </c>
      <c r="U1033" s="1">
        <v>25017</v>
      </c>
      <c r="V1033" s="1">
        <v>1</v>
      </c>
      <c r="W1033" s="1">
        <v>0</v>
      </c>
    </row>
    <row r="1034">
      <c r="A1034" s="1">
        <v>2022</v>
      </c>
      <c r="B1034" s="1">
        <v>41</v>
      </c>
      <c r="C1034" t="s">
        <v>3</v>
      </c>
      <c r="D1034" s="1">
        <v>51</v>
      </c>
      <c r="E1034" t="s">
        <v>6</v>
      </c>
      <c r="F1034" s="1">
        <v>25</v>
      </c>
      <c r="G1034" t="s">
        <v>25</v>
      </c>
      <c r="H1034" s="1">
        <v>21</v>
      </c>
      <c r="I1034" t="s">
        <v>192</v>
      </c>
      <c r="J1034" s="1">
        <v>25</v>
      </c>
      <c r="K1034" s="1">
        <v>28</v>
      </c>
      <c r="L1034" s="1">
        <v>1451</v>
      </c>
      <c r="M1034" s="1">
        <v>32873</v>
      </c>
      <c r="N1034" s="1">
        <v>50114</v>
      </c>
      <c r="O1034" s="1">
        <v>3438234</v>
      </c>
      <c r="P1034" s="1">
        <v>353386</v>
      </c>
      <c r="Q1034" s="1">
        <v>611005</v>
      </c>
      <c r="R1034" s="1">
        <v>36220220</v>
      </c>
      <c r="S1034" s="1">
        <v>41051</v>
      </c>
      <c r="T1034" s="1">
        <v>41051</v>
      </c>
      <c r="U1034" s="1">
        <v>25021</v>
      </c>
      <c r="V1034" s="1">
        <v>1</v>
      </c>
      <c r="W1034" s="1">
        <v>0</v>
      </c>
    </row>
    <row r="1035">
      <c r="A1035" s="1">
        <v>2022</v>
      </c>
      <c r="B1035" s="1">
        <v>41</v>
      </c>
      <c r="C1035" t="s">
        <v>3</v>
      </c>
      <c r="D1035" s="1">
        <v>51</v>
      </c>
      <c r="E1035" t="s">
        <v>6</v>
      </c>
      <c r="F1035" s="1">
        <v>25</v>
      </c>
      <c r="G1035" t="s">
        <v>25</v>
      </c>
      <c r="H1035" s="1">
        <v>25</v>
      </c>
      <c r="I1035" t="s">
        <v>105</v>
      </c>
      <c r="J1035" s="1">
        <v>52</v>
      </c>
      <c r="K1035" s="1">
        <v>62</v>
      </c>
      <c r="L1035" s="1">
        <v>5117</v>
      </c>
      <c r="M1035" s="1">
        <v>32873</v>
      </c>
      <c r="N1035" s="1">
        <v>50114</v>
      </c>
      <c r="O1035" s="1">
        <v>3438234</v>
      </c>
      <c r="P1035" s="1">
        <v>353386</v>
      </c>
      <c r="Q1035" s="1">
        <v>611005</v>
      </c>
      <c r="R1035" s="1">
        <v>36220220</v>
      </c>
      <c r="S1035" s="1">
        <v>41051</v>
      </c>
      <c r="T1035" s="1">
        <v>41051</v>
      </c>
      <c r="U1035" s="1">
        <v>25025</v>
      </c>
      <c r="V1035" s="1">
        <v>1</v>
      </c>
      <c r="W1035" s="1">
        <v>0</v>
      </c>
    </row>
    <row r="1036">
      <c r="A1036" s="1">
        <v>2022</v>
      </c>
      <c r="B1036" s="1">
        <v>41</v>
      </c>
      <c r="C1036" t="s">
        <v>3</v>
      </c>
      <c r="D1036" s="1">
        <v>51</v>
      </c>
      <c r="E1036" t="s">
        <v>6</v>
      </c>
      <c r="F1036" s="1">
        <v>26</v>
      </c>
      <c r="G1036" t="s">
        <v>26</v>
      </c>
      <c r="H1036" s="1">
        <v>81</v>
      </c>
      <c r="I1036" t="s">
        <v>193</v>
      </c>
      <c r="J1036" s="1">
        <v>36</v>
      </c>
      <c r="K1036" s="1">
        <v>63</v>
      </c>
      <c r="L1036" s="1">
        <v>3124</v>
      </c>
      <c r="M1036" s="1">
        <v>32873</v>
      </c>
      <c r="N1036" s="1">
        <v>50114</v>
      </c>
      <c r="O1036" s="1">
        <v>3438234</v>
      </c>
      <c r="P1036" s="1">
        <v>353386</v>
      </c>
      <c r="Q1036" s="1">
        <v>611005</v>
      </c>
      <c r="R1036" s="1">
        <v>36220220</v>
      </c>
      <c r="S1036" s="1">
        <v>41051</v>
      </c>
      <c r="T1036" s="1">
        <v>41051</v>
      </c>
      <c r="U1036" s="1">
        <v>26081</v>
      </c>
      <c r="V1036" s="1">
        <v>1</v>
      </c>
      <c r="W1036" s="1">
        <v>0</v>
      </c>
    </row>
    <row r="1037">
      <c r="A1037" s="1">
        <v>2022</v>
      </c>
      <c r="B1037" s="1">
        <v>41</v>
      </c>
      <c r="C1037" t="s">
        <v>3</v>
      </c>
      <c r="D1037" s="1">
        <v>51</v>
      </c>
      <c r="E1037" t="s">
        <v>6</v>
      </c>
      <c r="F1037" s="1">
        <v>26</v>
      </c>
      <c r="G1037" t="s">
        <v>26</v>
      </c>
      <c r="H1037" s="1">
        <v>125</v>
      </c>
      <c r="I1037" t="s">
        <v>194</v>
      </c>
      <c r="J1037" s="1">
        <v>44</v>
      </c>
      <c r="K1037" s="1">
        <v>72</v>
      </c>
      <c r="L1037" s="1">
        <v>6324</v>
      </c>
      <c r="M1037" s="1">
        <v>32873</v>
      </c>
      <c r="N1037" s="1">
        <v>50114</v>
      </c>
      <c r="O1037" s="1">
        <v>3438234</v>
      </c>
      <c r="P1037" s="1">
        <v>353386</v>
      </c>
      <c r="Q1037" s="1">
        <v>611005</v>
      </c>
      <c r="R1037" s="1">
        <v>36220220</v>
      </c>
      <c r="S1037" s="1">
        <v>41051</v>
      </c>
      <c r="T1037" s="1">
        <v>41051</v>
      </c>
      <c r="U1037" s="1">
        <v>26125</v>
      </c>
      <c r="V1037" s="1">
        <v>1</v>
      </c>
      <c r="W1037" s="1">
        <v>0</v>
      </c>
    </row>
    <row r="1038">
      <c r="A1038" s="1">
        <v>2022</v>
      </c>
      <c r="B1038" s="1">
        <v>41</v>
      </c>
      <c r="C1038" t="s">
        <v>3</v>
      </c>
      <c r="D1038" s="1">
        <v>51</v>
      </c>
      <c r="E1038" t="s">
        <v>6</v>
      </c>
      <c r="F1038" s="1">
        <v>26</v>
      </c>
      <c r="G1038" t="s">
        <v>26</v>
      </c>
      <c r="H1038" s="1">
        <v>161</v>
      </c>
      <c r="I1038" t="s">
        <v>106</v>
      </c>
      <c r="J1038" s="1">
        <v>28</v>
      </c>
      <c r="K1038" s="1">
        <v>36</v>
      </c>
      <c r="L1038" s="1">
        <v>1604</v>
      </c>
      <c r="M1038" s="1">
        <v>32873</v>
      </c>
      <c r="N1038" s="1">
        <v>50114</v>
      </c>
      <c r="O1038" s="1">
        <v>3438234</v>
      </c>
      <c r="P1038" s="1">
        <v>353386</v>
      </c>
      <c r="Q1038" s="1">
        <v>611005</v>
      </c>
      <c r="R1038" s="1">
        <v>36220220</v>
      </c>
      <c r="S1038" s="1">
        <v>41051</v>
      </c>
      <c r="T1038" s="1">
        <v>41051</v>
      </c>
      <c r="U1038" s="1">
        <v>26161</v>
      </c>
      <c r="V1038" s="1">
        <v>1</v>
      </c>
      <c r="W1038" s="1">
        <v>0</v>
      </c>
    </row>
    <row r="1039">
      <c r="A1039" s="1">
        <v>2022</v>
      </c>
      <c r="B1039" s="1">
        <v>41</v>
      </c>
      <c r="C1039" t="s">
        <v>3</v>
      </c>
      <c r="D1039" s="1">
        <v>51</v>
      </c>
      <c r="E1039" t="s">
        <v>6</v>
      </c>
      <c r="F1039" s="1">
        <v>26</v>
      </c>
      <c r="G1039" t="s">
        <v>26</v>
      </c>
      <c r="H1039" s="1">
        <v>163</v>
      </c>
      <c r="I1039" t="s">
        <v>195</v>
      </c>
      <c r="J1039" s="1">
        <v>25</v>
      </c>
      <c r="K1039" s="1">
        <v>35</v>
      </c>
      <c r="L1039" s="1">
        <v>1372</v>
      </c>
      <c r="M1039" s="1">
        <v>32873</v>
      </c>
      <c r="N1039" s="1">
        <v>50114</v>
      </c>
      <c r="O1039" s="1">
        <v>3438234</v>
      </c>
      <c r="P1039" s="1">
        <v>353386</v>
      </c>
      <c r="Q1039" s="1">
        <v>611005</v>
      </c>
      <c r="R1039" s="1">
        <v>36220220</v>
      </c>
      <c r="S1039" s="1">
        <v>41051</v>
      </c>
      <c r="T1039" s="1">
        <v>41051</v>
      </c>
      <c r="U1039" s="1">
        <v>26163</v>
      </c>
      <c r="V1039" s="1">
        <v>1</v>
      </c>
      <c r="W1039" s="1">
        <v>0</v>
      </c>
    </row>
    <row r="1040">
      <c r="A1040" s="1">
        <v>2022</v>
      </c>
      <c r="B1040" s="1">
        <v>41</v>
      </c>
      <c r="C1040" t="s">
        <v>3</v>
      </c>
      <c r="D1040" s="1">
        <v>51</v>
      </c>
      <c r="E1040" t="s">
        <v>6</v>
      </c>
      <c r="F1040" s="1">
        <v>27</v>
      </c>
      <c r="G1040" t="s">
        <v>27</v>
      </c>
      <c r="H1040" s="1">
        <v>53</v>
      </c>
      <c r="I1040" t="s">
        <v>107</v>
      </c>
      <c r="J1040" s="1">
        <v>130</v>
      </c>
      <c r="K1040" s="1">
        <v>183</v>
      </c>
      <c r="L1040" s="1">
        <v>11427</v>
      </c>
      <c r="M1040" s="1">
        <v>32873</v>
      </c>
      <c r="N1040" s="1">
        <v>50114</v>
      </c>
      <c r="O1040" s="1">
        <v>3438234</v>
      </c>
      <c r="P1040" s="1">
        <v>353386</v>
      </c>
      <c r="Q1040" s="1">
        <v>611005</v>
      </c>
      <c r="R1040" s="1">
        <v>36220220</v>
      </c>
      <c r="S1040" s="1">
        <v>41051</v>
      </c>
      <c r="T1040" s="1">
        <v>41051</v>
      </c>
      <c r="U1040" s="1">
        <v>27053</v>
      </c>
      <c r="V1040" s="1">
        <v>1</v>
      </c>
      <c r="W1040" s="1">
        <v>0</v>
      </c>
    </row>
    <row r="1041">
      <c r="A1041" s="1">
        <v>2022</v>
      </c>
      <c r="B1041" s="1">
        <v>41</v>
      </c>
      <c r="C1041" t="s">
        <v>3</v>
      </c>
      <c r="D1041" s="1">
        <v>51</v>
      </c>
      <c r="E1041" t="s">
        <v>6</v>
      </c>
      <c r="F1041" s="1">
        <v>27</v>
      </c>
      <c r="G1041" t="s">
        <v>27</v>
      </c>
      <c r="H1041" s="1">
        <v>123</v>
      </c>
      <c r="I1041" t="s">
        <v>108</v>
      </c>
      <c r="J1041" s="1">
        <v>27</v>
      </c>
      <c r="K1041" s="1">
        <v>41</v>
      </c>
      <c r="L1041" s="1">
        <v>1995</v>
      </c>
      <c r="M1041" s="1">
        <v>32873</v>
      </c>
      <c r="N1041" s="1">
        <v>50114</v>
      </c>
      <c r="O1041" s="1">
        <v>3438234</v>
      </c>
      <c r="P1041" s="1">
        <v>353386</v>
      </c>
      <c r="Q1041" s="1">
        <v>611005</v>
      </c>
      <c r="R1041" s="1">
        <v>36220220</v>
      </c>
      <c r="S1041" s="1">
        <v>41051</v>
      </c>
      <c r="T1041" s="1">
        <v>41051</v>
      </c>
      <c r="U1041" s="1">
        <v>27123</v>
      </c>
      <c r="V1041" s="1">
        <v>1</v>
      </c>
      <c r="W1041" s="1">
        <v>0</v>
      </c>
    </row>
    <row r="1042">
      <c r="A1042" s="1">
        <v>2022</v>
      </c>
      <c r="B1042" s="1">
        <v>41</v>
      </c>
      <c r="C1042" t="s">
        <v>3</v>
      </c>
      <c r="D1042" s="1">
        <v>51</v>
      </c>
      <c r="E1042" t="s">
        <v>6</v>
      </c>
      <c r="F1042" s="1">
        <v>29</v>
      </c>
      <c r="G1042" t="s">
        <v>44</v>
      </c>
      <c r="H1042" s="1">
        <v>77</v>
      </c>
      <c r="I1042" t="s">
        <v>196</v>
      </c>
      <c r="J1042" s="1">
        <v>27</v>
      </c>
      <c r="K1042" s="1">
        <v>61</v>
      </c>
      <c r="L1042" s="1">
        <v>1182</v>
      </c>
      <c r="M1042" s="1">
        <v>32873</v>
      </c>
      <c r="N1042" s="1">
        <v>50114</v>
      </c>
      <c r="O1042" s="1">
        <v>3438234</v>
      </c>
      <c r="P1042" s="1">
        <v>353386</v>
      </c>
      <c r="Q1042" s="1">
        <v>611005</v>
      </c>
      <c r="R1042" s="1">
        <v>36220220</v>
      </c>
      <c r="S1042" s="1">
        <v>41051</v>
      </c>
      <c r="T1042" s="1">
        <v>41051</v>
      </c>
      <c r="U1042" s="1">
        <v>29077</v>
      </c>
      <c r="V1042" s="1">
        <v>1</v>
      </c>
      <c r="W1042" s="1">
        <v>0</v>
      </c>
    </row>
    <row r="1043">
      <c r="A1043" s="1">
        <v>2022</v>
      </c>
      <c r="B1043" s="1">
        <v>41</v>
      </c>
      <c r="C1043" t="s">
        <v>3</v>
      </c>
      <c r="D1043" s="1">
        <v>51</v>
      </c>
      <c r="E1043" t="s">
        <v>6</v>
      </c>
      <c r="F1043" s="1">
        <v>29</v>
      </c>
      <c r="G1043" t="s">
        <v>44</v>
      </c>
      <c r="H1043" s="1">
        <v>95</v>
      </c>
      <c r="I1043" t="s">
        <v>133</v>
      </c>
      <c r="J1043" s="1">
        <v>31</v>
      </c>
      <c r="K1043" s="1">
        <v>45</v>
      </c>
      <c r="L1043" s="1">
        <v>1606</v>
      </c>
      <c r="M1043" s="1">
        <v>32873</v>
      </c>
      <c r="N1043" s="1">
        <v>50114</v>
      </c>
      <c r="O1043" s="1">
        <v>3438234</v>
      </c>
      <c r="P1043" s="1">
        <v>353386</v>
      </c>
      <c r="Q1043" s="1">
        <v>611005</v>
      </c>
      <c r="R1043" s="1">
        <v>36220220</v>
      </c>
      <c r="S1043" s="1">
        <v>41051</v>
      </c>
      <c r="T1043" s="1">
        <v>41051</v>
      </c>
      <c r="U1043" s="1">
        <v>29095</v>
      </c>
      <c r="V1043" s="1">
        <v>1</v>
      </c>
      <c r="W1043" s="1">
        <v>0</v>
      </c>
    </row>
    <row r="1044">
      <c r="A1044" s="1">
        <v>2022</v>
      </c>
      <c r="B1044" s="1">
        <v>41</v>
      </c>
      <c r="C1044" t="s">
        <v>3</v>
      </c>
      <c r="D1044" s="1">
        <v>51</v>
      </c>
      <c r="E1044" t="s">
        <v>6</v>
      </c>
      <c r="F1044" s="1">
        <v>29</v>
      </c>
      <c r="G1044" t="s">
        <v>44</v>
      </c>
      <c r="H1044" s="1">
        <v>189</v>
      </c>
      <c r="I1044" t="s">
        <v>197</v>
      </c>
      <c r="J1044" s="1">
        <v>20</v>
      </c>
      <c r="K1044" s="1">
        <v>24</v>
      </c>
      <c r="L1044" s="1">
        <v>1552</v>
      </c>
      <c r="M1044" s="1">
        <v>32873</v>
      </c>
      <c r="N1044" s="1">
        <v>50114</v>
      </c>
      <c r="O1044" s="1">
        <v>3438234</v>
      </c>
      <c r="P1044" s="1">
        <v>353386</v>
      </c>
      <c r="Q1044" s="1">
        <v>611005</v>
      </c>
      <c r="R1044" s="1">
        <v>36220220</v>
      </c>
      <c r="S1044" s="1">
        <v>41051</v>
      </c>
      <c r="T1044" s="1">
        <v>41051</v>
      </c>
      <c r="U1044" s="1">
        <v>29189</v>
      </c>
      <c r="V1044" s="1">
        <v>1</v>
      </c>
      <c r="W1044" s="1">
        <v>0</v>
      </c>
    </row>
    <row r="1045">
      <c r="A1045" s="1">
        <v>2022</v>
      </c>
      <c r="B1045" s="1">
        <v>41</v>
      </c>
      <c r="C1045" t="s">
        <v>3</v>
      </c>
      <c r="D1045" s="1">
        <v>51</v>
      </c>
      <c r="E1045" t="s">
        <v>6</v>
      </c>
      <c r="F1045" s="1">
        <v>29</v>
      </c>
      <c r="G1045" t="s">
        <v>44</v>
      </c>
      <c r="H1045" s="1">
        <v>510</v>
      </c>
      <c r="I1045" t="s">
        <v>198</v>
      </c>
      <c r="J1045" s="1">
        <v>26</v>
      </c>
      <c r="K1045" s="1">
        <v>35</v>
      </c>
      <c r="L1045" s="1">
        <v>2237</v>
      </c>
      <c r="M1045" s="1">
        <v>32873</v>
      </c>
      <c r="N1045" s="1">
        <v>50114</v>
      </c>
      <c r="O1045" s="1">
        <v>3438234</v>
      </c>
      <c r="P1045" s="1">
        <v>353386</v>
      </c>
      <c r="Q1045" s="1">
        <v>611005</v>
      </c>
      <c r="R1045" s="1">
        <v>36220220</v>
      </c>
      <c r="S1045" s="1">
        <v>41051</v>
      </c>
      <c r="T1045" s="1">
        <v>41051</v>
      </c>
      <c r="U1045" s="1">
        <v>29510</v>
      </c>
      <c r="V1045" s="1">
        <v>1</v>
      </c>
      <c r="W1045" s="1">
        <v>0</v>
      </c>
    </row>
    <row r="1046">
      <c r="A1046" s="1">
        <v>2022</v>
      </c>
      <c r="B1046" s="1">
        <v>41</v>
      </c>
      <c r="C1046" t="s">
        <v>3</v>
      </c>
      <c r="D1046" s="1">
        <v>51</v>
      </c>
      <c r="E1046" t="s">
        <v>6</v>
      </c>
      <c r="F1046" s="1">
        <v>30</v>
      </c>
      <c r="G1046" t="s">
        <v>28</v>
      </c>
      <c r="H1046" s="1">
        <v>29</v>
      </c>
      <c r="I1046" t="s">
        <v>199</v>
      </c>
      <c r="J1046" s="1">
        <v>26</v>
      </c>
      <c r="K1046" s="1">
        <v>33</v>
      </c>
      <c r="L1046" s="1">
        <v>1870</v>
      </c>
      <c r="M1046" s="1">
        <v>32873</v>
      </c>
      <c r="N1046" s="1">
        <v>50114</v>
      </c>
      <c r="O1046" s="1">
        <v>3438234</v>
      </c>
      <c r="P1046" s="1">
        <v>353386</v>
      </c>
      <c r="Q1046" s="1">
        <v>611005</v>
      </c>
      <c r="R1046" s="1">
        <v>36220220</v>
      </c>
      <c r="S1046" s="1">
        <v>41051</v>
      </c>
      <c r="T1046" s="1">
        <v>41051</v>
      </c>
      <c r="U1046" s="1">
        <v>30029</v>
      </c>
      <c r="V1046" s="1">
        <v>1</v>
      </c>
      <c r="W1046" s="1">
        <v>0</v>
      </c>
    </row>
    <row r="1047">
      <c r="A1047" s="1">
        <v>2022</v>
      </c>
      <c r="B1047" s="1">
        <v>41</v>
      </c>
      <c r="C1047" t="s">
        <v>3</v>
      </c>
      <c r="D1047" s="1">
        <v>51</v>
      </c>
      <c r="E1047" t="s">
        <v>6</v>
      </c>
      <c r="F1047" s="1">
        <v>30</v>
      </c>
      <c r="G1047" t="s">
        <v>28</v>
      </c>
      <c r="H1047" s="1">
        <v>31</v>
      </c>
      <c r="I1047" t="s">
        <v>109</v>
      </c>
      <c r="J1047" s="1">
        <v>20</v>
      </c>
      <c r="K1047" s="1">
        <v>28</v>
      </c>
      <c r="L1047" s="1">
        <v>2169</v>
      </c>
      <c r="M1047" s="1">
        <v>32873</v>
      </c>
      <c r="N1047" s="1">
        <v>50114</v>
      </c>
      <c r="O1047" s="1">
        <v>3438234</v>
      </c>
      <c r="P1047" s="1">
        <v>353386</v>
      </c>
      <c r="Q1047" s="1">
        <v>611005</v>
      </c>
      <c r="R1047" s="1">
        <v>36220220</v>
      </c>
      <c r="S1047" s="1">
        <v>41051</v>
      </c>
      <c r="T1047" s="1">
        <v>41051</v>
      </c>
      <c r="U1047" s="1">
        <v>30031</v>
      </c>
      <c r="V1047" s="1">
        <v>1</v>
      </c>
      <c r="W1047" s="1">
        <v>0</v>
      </c>
    </row>
    <row r="1048">
      <c r="A1048" s="1">
        <v>2022</v>
      </c>
      <c r="B1048" s="1">
        <v>41</v>
      </c>
      <c r="C1048" t="s">
        <v>3</v>
      </c>
      <c r="D1048" s="1">
        <v>51</v>
      </c>
      <c r="E1048" t="s">
        <v>6</v>
      </c>
      <c r="F1048" s="1">
        <v>30</v>
      </c>
      <c r="G1048" t="s">
        <v>28</v>
      </c>
      <c r="H1048" s="1">
        <v>63</v>
      </c>
      <c r="I1048" t="s">
        <v>110</v>
      </c>
      <c r="J1048" s="1">
        <v>58</v>
      </c>
      <c r="K1048" s="1">
        <v>78</v>
      </c>
      <c r="L1048" s="1">
        <v>4961</v>
      </c>
      <c r="M1048" s="1">
        <v>32873</v>
      </c>
      <c r="N1048" s="1">
        <v>50114</v>
      </c>
      <c r="O1048" s="1">
        <v>3438234</v>
      </c>
      <c r="P1048" s="1">
        <v>353386</v>
      </c>
      <c r="Q1048" s="1">
        <v>611005</v>
      </c>
      <c r="R1048" s="1">
        <v>36220220</v>
      </c>
      <c r="S1048" s="1">
        <v>41051</v>
      </c>
      <c r="T1048" s="1">
        <v>41051</v>
      </c>
      <c r="U1048" s="1">
        <v>30063</v>
      </c>
      <c r="V1048" s="1">
        <v>1</v>
      </c>
      <c r="W1048" s="1">
        <v>0</v>
      </c>
    </row>
    <row r="1049">
      <c r="A1049" s="1">
        <v>2022</v>
      </c>
      <c r="B1049" s="1">
        <v>41</v>
      </c>
      <c r="C1049" t="s">
        <v>3</v>
      </c>
      <c r="D1049" s="1">
        <v>51</v>
      </c>
      <c r="E1049" t="s">
        <v>6</v>
      </c>
      <c r="F1049" s="1">
        <v>30</v>
      </c>
      <c r="G1049" t="s">
        <v>28</v>
      </c>
      <c r="H1049" s="1">
        <v>111</v>
      </c>
      <c r="I1049" t="s">
        <v>111</v>
      </c>
      <c r="J1049" s="1">
        <v>25</v>
      </c>
      <c r="K1049" s="1">
        <v>37</v>
      </c>
      <c r="L1049" s="1">
        <v>1725</v>
      </c>
      <c r="M1049" s="1">
        <v>32873</v>
      </c>
      <c r="N1049" s="1">
        <v>50114</v>
      </c>
      <c r="O1049" s="1">
        <v>3438234</v>
      </c>
      <c r="P1049" s="1">
        <v>353386</v>
      </c>
      <c r="Q1049" s="1">
        <v>611005</v>
      </c>
      <c r="R1049" s="1">
        <v>36220220</v>
      </c>
      <c r="S1049" s="1">
        <v>41051</v>
      </c>
      <c r="T1049" s="1">
        <v>41051</v>
      </c>
      <c r="U1049" s="1">
        <v>30111</v>
      </c>
      <c r="V1049" s="1">
        <v>1</v>
      </c>
      <c r="W1049" s="1">
        <v>0</v>
      </c>
    </row>
    <row r="1050">
      <c r="A1050" s="1">
        <v>2022</v>
      </c>
      <c r="B1050" s="1">
        <v>41</v>
      </c>
      <c r="C1050" t="s">
        <v>3</v>
      </c>
      <c r="D1050" s="1">
        <v>51</v>
      </c>
      <c r="E1050" t="s">
        <v>6</v>
      </c>
      <c r="F1050" s="1">
        <v>31</v>
      </c>
      <c r="G1050" t="s">
        <v>45</v>
      </c>
      <c r="H1050" s="1">
        <v>55</v>
      </c>
      <c r="I1050" t="s">
        <v>131</v>
      </c>
      <c r="J1050" s="1">
        <v>24</v>
      </c>
      <c r="K1050" s="1">
        <v>35</v>
      </c>
      <c r="L1050" s="1">
        <v>1929</v>
      </c>
      <c r="M1050" s="1">
        <v>32873</v>
      </c>
      <c r="N1050" s="1">
        <v>50114</v>
      </c>
      <c r="O1050" s="1">
        <v>3438234</v>
      </c>
      <c r="P1050" s="1">
        <v>353386</v>
      </c>
      <c r="Q1050" s="1">
        <v>611005</v>
      </c>
      <c r="R1050" s="1">
        <v>36220220</v>
      </c>
      <c r="S1050" s="1">
        <v>41051</v>
      </c>
      <c r="T1050" s="1">
        <v>41051</v>
      </c>
      <c r="U1050" s="1">
        <v>31055</v>
      </c>
      <c r="V1050" s="1">
        <v>1</v>
      </c>
      <c r="W1050" s="1">
        <v>0</v>
      </c>
    </row>
    <row r="1051">
      <c r="A1051" s="1">
        <v>2022</v>
      </c>
      <c r="B1051" s="1">
        <v>41</v>
      </c>
      <c r="C1051" t="s">
        <v>3</v>
      </c>
      <c r="D1051" s="1">
        <v>51</v>
      </c>
      <c r="E1051" t="s">
        <v>6</v>
      </c>
      <c r="F1051" s="1">
        <v>32</v>
      </c>
      <c r="G1051" t="s">
        <v>29</v>
      </c>
      <c r="H1051" s="1">
        <v>3</v>
      </c>
      <c r="I1051" t="s">
        <v>112</v>
      </c>
      <c r="J1051" s="1">
        <v>230</v>
      </c>
      <c r="K1051" s="1">
        <v>340</v>
      </c>
      <c r="L1051" s="1">
        <v>35920</v>
      </c>
      <c r="M1051" s="1">
        <v>32873</v>
      </c>
      <c r="N1051" s="1">
        <v>50114</v>
      </c>
      <c r="O1051" s="1">
        <v>3438234</v>
      </c>
      <c r="P1051" s="1">
        <v>353386</v>
      </c>
      <c r="Q1051" s="1">
        <v>611005</v>
      </c>
      <c r="R1051" s="1">
        <v>36220220</v>
      </c>
      <c r="S1051" s="1">
        <v>41051</v>
      </c>
      <c r="T1051" s="1">
        <v>41051</v>
      </c>
      <c r="U1051" s="1">
        <v>32003</v>
      </c>
      <c r="V1051" s="1">
        <v>1</v>
      </c>
      <c r="W1051" s="1">
        <v>0</v>
      </c>
    </row>
    <row r="1052">
      <c r="A1052" s="1">
        <v>2022</v>
      </c>
      <c r="B1052" s="1">
        <v>41</v>
      </c>
      <c r="C1052" t="s">
        <v>3</v>
      </c>
      <c r="D1052" s="1">
        <v>51</v>
      </c>
      <c r="E1052" t="s">
        <v>6</v>
      </c>
      <c r="F1052" s="1">
        <v>32</v>
      </c>
      <c r="G1052" t="s">
        <v>29</v>
      </c>
      <c r="H1052" s="1">
        <v>31</v>
      </c>
      <c r="I1052" t="s">
        <v>113</v>
      </c>
      <c r="J1052" s="1">
        <v>57</v>
      </c>
      <c r="K1052" s="1">
        <v>81</v>
      </c>
      <c r="L1052" s="1">
        <v>3485</v>
      </c>
      <c r="M1052" s="1">
        <v>32873</v>
      </c>
      <c r="N1052" s="1">
        <v>50114</v>
      </c>
      <c r="O1052" s="1">
        <v>3438234</v>
      </c>
      <c r="P1052" s="1">
        <v>353386</v>
      </c>
      <c r="Q1052" s="1">
        <v>611005</v>
      </c>
      <c r="R1052" s="1">
        <v>36220220</v>
      </c>
      <c r="S1052" s="1">
        <v>41051</v>
      </c>
      <c r="T1052" s="1">
        <v>41051</v>
      </c>
      <c r="U1052" s="1">
        <v>32031</v>
      </c>
      <c r="V1052" s="1">
        <v>1</v>
      </c>
      <c r="W1052" s="1">
        <v>0</v>
      </c>
    </row>
    <row r="1053">
      <c r="A1053" s="1">
        <v>2022</v>
      </c>
      <c r="B1053" s="1">
        <v>41</v>
      </c>
      <c r="C1053" t="s">
        <v>3</v>
      </c>
      <c r="D1053" s="1">
        <v>51</v>
      </c>
      <c r="E1053" t="s">
        <v>6</v>
      </c>
      <c r="F1053" s="1">
        <v>35</v>
      </c>
      <c r="G1053" t="s">
        <v>30</v>
      </c>
      <c r="H1053" s="1">
        <v>1</v>
      </c>
      <c r="I1053" t="s">
        <v>114</v>
      </c>
      <c r="J1053" s="1">
        <v>63</v>
      </c>
      <c r="K1053" s="1">
        <v>98</v>
      </c>
      <c r="L1053" s="1">
        <v>5205</v>
      </c>
      <c r="M1053" s="1">
        <v>32873</v>
      </c>
      <c r="N1053" s="1">
        <v>50114</v>
      </c>
      <c r="O1053" s="1">
        <v>3438234</v>
      </c>
      <c r="P1053" s="1">
        <v>353386</v>
      </c>
      <c r="Q1053" s="1">
        <v>611005</v>
      </c>
      <c r="R1053" s="1">
        <v>36220220</v>
      </c>
      <c r="S1053" s="1">
        <v>41051</v>
      </c>
      <c r="T1053" s="1">
        <v>41051</v>
      </c>
      <c r="U1053" s="1">
        <v>35001</v>
      </c>
      <c r="V1053" s="1">
        <v>1</v>
      </c>
      <c r="W1053" s="1">
        <v>0</v>
      </c>
    </row>
    <row r="1054">
      <c r="A1054" s="1">
        <v>2022</v>
      </c>
      <c r="B1054" s="1">
        <v>41</v>
      </c>
      <c r="C1054" t="s">
        <v>3</v>
      </c>
      <c r="D1054" s="1">
        <v>51</v>
      </c>
      <c r="E1054" t="s">
        <v>6</v>
      </c>
      <c r="F1054" s="1">
        <v>35</v>
      </c>
      <c r="G1054" t="s">
        <v>30</v>
      </c>
      <c r="H1054" s="1">
        <v>49</v>
      </c>
      <c r="I1054" t="s">
        <v>115</v>
      </c>
      <c r="J1054" s="1">
        <v>45</v>
      </c>
      <c r="K1054" s="1">
        <v>62</v>
      </c>
      <c r="L1054" s="1">
        <v>4119</v>
      </c>
      <c r="M1054" s="1">
        <v>32873</v>
      </c>
      <c r="N1054" s="1">
        <v>50114</v>
      </c>
      <c r="O1054" s="1">
        <v>3438234</v>
      </c>
      <c r="P1054" s="1">
        <v>353386</v>
      </c>
      <c r="Q1054" s="1">
        <v>611005</v>
      </c>
      <c r="R1054" s="1">
        <v>36220220</v>
      </c>
      <c r="S1054" s="1">
        <v>41051</v>
      </c>
      <c r="T1054" s="1">
        <v>41051</v>
      </c>
      <c r="U1054" s="1">
        <v>35049</v>
      </c>
      <c r="V1054" s="1">
        <v>1</v>
      </c>
      <c r="W1054" s="1">
        <v>0</v>
      </c>
    </row>
    <row r="1055">
      <c r="A1055" s="1">
        <v>2022</v>
      </c>
      <c r="B1055" s="1">
        <v>41</v>
      </c>
      <c r="C1055" t="s">
        <v>3</v>
      </c>
      <c r="D1055" s="1">
        <v>51</v>
      </c>
      <c r="E1055" t="s">
        <v>6</v>
      </c>
      <c r="F1055" s="1">
        <v>36</v>
      </c>
      <c r="G1055" t="s">
        <v>31</v>
      </c>
      <c r="H1055" s="1">
        <v>47</v>
      </c>
      <c r="I1055" t="s">
        <v>116</v>
      </c>
      <c r="J1055" s="1">
        <v>218</v>
      </c>
      <c r="K1055" s="1">
        <v>247</v>
      </c>
      <c r="L1055" s="1">
        <v>20333</v>
      </c>
      <c r="M1055" s="1">
        <v>32873</v>
      </c>
      <c r="N1055" s="1">
        <v>50114</v>
      </c>
      <c r="O1055" s="1">
        <v>3438234</v>
      </c>
      <c r="P1055" s="1">
        <v>353386</v>
      </c>
      <c r="Q1055" s="1">
        <v>611005</v>
      </c>
      <c r="R1055" s="1">
        <v>36220220</v>
      </c>
      <c r="S1055" s="1">
        <v>41051</v>
      </c>
      <c r="T1055" s="1">
        <v>41051</v>
      </c>
      <c r="U1055" s="1">
        <v>36047</v>
      </c>
      <c r="V1055" s="1">
        <v>1</v>
      </c>
      <c r="W1055" s="1">
        <v>0</v>
      </c>
    </row>
    <row r="1056">
      <c r="A1056" s="1">
        <v>2022</v>
      </c>
      <c r="B1056" s="1">
        <v>41</v>
      </c>
      <c r="C1056" t="s">
        <v>3</v>
      </c>
      <c r="D1056" s="1">
        <v>51</v>
      </c>
      <c r="E1056" t="s">
        <v>6</v>
      </c>
      <c r="F1056" s="1">
        <v>36</v>
      </c>
      <c r="G1056" t="s">
        <v>31</v>
      </c>
      <c r="H1056" s="1">
        <v>61</v>
      </c>
      <c r="I1056" t="s">
        <v>117</v>
      </c>
      <c r="J1056" s="1">
        <v>168</v>
      </c>
      <c r="K1056" s="1">
        <v>190</v>
      </c>
      <c r="L1056" s="1">
        <v>21968</v>
      </c>
      <c r="M1056" s="1">
        <v>32873</v>
      </c>
      <c r="N1056" s="1">
        <v>50114</v>
      </c>
      <c r="O1056" s="1">
        <v>3438234</v>
      </c>
      <c r="P1056" s="1">
        <v>353386</v>
      </c>
      <c r="Q1056" s="1">
        <v>611005</v>
      </c>
      <c r="R1056" s="1">
        <v>36220220</v>
      </c>
      <c r="S1056" s="1">
        <v>41051</v>
      </c>
      <c r="T1056" s="1">
        <v>41051</v>
      </c>
      <c r="U1056" s="1">
        <v>36061</v>
      </c>
      <c r="V1056" s="1">
        <v>1</v>
      </c>
      <c r="W1056" s="1">
        <v>0</v>
      </c>
    </row>
    <row r="1057">
      <c r="A1057" s="1">
        <v>2022</v>
      </c>
      <c r="B1057" s="1">
        <v>41</v>
      </c>
      <c r="C1057" t="s">
        <v>3</v>
      </c>
      <c r="D1057" s="1">
        <v>51</v>
      </c>
      <c r="E1057" t="s">
        <v>6</v>
      </c>
      <c r="F1057" s="1">
        <v>36</v>
      </c>
      <c r="G1057" t="s">
        <v>31</v>
      </c>
      <c r="H1057" s="1">
        <v>81</v>
      </c>
      <c r="I1057" t="s">
        <v>118</v>
      </c>
      <c r="J1057" s="1">
        <v>48</v>
      </c>
      <c r="K1057" s="1">
        <v>57</v>
      </c>
      <c r="L1057" s="1">
        <v>3046</v>
      </c>
      <c r="M1057" s="1">
        <v>32873</v>
      </c>
      <c r="N1057" s="1">
        <v>50114</v>
      </c>
      <c r="O1057" s="1">
        <v>3438234</v>
      </c>
      <c r="P1057" s="1">
        <v>353386</v>
      </c>
      <c r="Q1057" s="1">
        <v>611005</v>
      </c>
      <c r="R1057" s="1">
        <v>36220220</v>
      </c>
      <c r="S1057" s="1">
        <v>41051</v>
      </c>
      <c r="T1057" s="1">
        <v>41051</v>
      </c>
      <c r="U1057" s="1">
        <v>36081</v>
      </c>
      <c r="V1057" s="1">
        <v>1</v>
      </c>
      <c r="W1057" s="1">
        <v>0</v>
      </c>
    </row>
    <row r="1058">
      <c r="A1058" s="1">
        <v>2022</v>
      </c>
      <c r="B1058" s="1">
        <v>41</v>
      </c>
      <c r="C1058" t="s">
        <v>3</v>
      </c>
      <c r="D1058" s="1">
        <v>51</v>
      </c>
      <c r="E1058" t="s">
        <v>6</v>
      </c>
      <c r="F1058" s="1">
        <v>36</v>
      </c>
      <c r="G1058" t="s">
        <v>31</v>
      </c>
      <c r="H1058" s="1">
        <v>103</v>
      </c>
      <c r="I1058" t="s">
        <v>105</v>
      </c>
      <c r="J1058" s="1">
        <v>20</v>
      </c>
      <c r="K1058" s="1">
        <v>26</v>
      </c>
      <c r="L1058" s="1">
        <v>2383</v>
      </c>
      <c r="M1058" s="1">
        <v>32873</v>
      </c>
      <c r="N1058" s="1">
        <v>50114</v>
      </c>
      <c r="O1058" s="1">
        <v>3438234</v>
      </c>
      <c r="P1058" s="1">
        <v>353386</v>
      </c>
      <c r="Q1058" s="1">
        <v>611005</v>
      </c>
      <c r="R1058" s="1">
        <v>36220220</v>
      </c>
      <c r="S1058" s="1">
        <v>41051</v>
      </c>
      <c r="T1058" s="1">
        <v>41051</v>
      </c>
      <c r="U1058" s="1">
        <v>36103</v>
      </c>
      <c r="V1058" s="1">
        <v>1</v>
      </c>
      <c r="W1058" s="1">
        <v>0</v>
      </c>
    </row>
    <row r="1059">
      <c r="A1059" s="1">
        <v>2022</v>
      </c>
      <c r="B1059" s="1">
        <v>41</v>
      </c>
      <c r="C1059" t="s">
        <v>3</v>
      </c>
      <c r="D1059" s="1">
        <v>51</v>
      </c>
      <c r="E1059" t="s">
        <v>6</v>
      </c>
      <c r="F1059" s="1">
        <v>37</v>
      </c>
      <c r="G1059" t="s">
        <v>32</v>
      </c>
      <c r="H1059" s="1">
        <v>21</v>
      </c>
      <c r="I1059" t="s">
        <v>120</v>
      </c>
      <c r="J1059" s="1">
        <v>38</v>
      </c>
      <c r="K1059" s="1">
        <v>53</v>
      </c>
      <c r="L1059" s="1">
        <v>2804</v>
      </c>
      <c r="M1059" s="1">
        <v>32873</v>
      </c>
      <c r="N1059" s="1">
        <v>50114</v>
      </c>
      <c r="O1059" s="1">
        <v>3438234</v>
      </c>
      <c r="P1059" s="1">
        <v>353386</v>
      </c>
      <c r="Q1059" s="1">
        <v>611005</v>
      </c>
      <c r="R1059" s="1">
        <v>36220220</v>
      </c>
      <c r="S1059" s="1">
        <v>41051</v>
      </c>
      <c r="T1059" s="1">
        <v>41051</v>
      </c>
      <c r="U1059" s="1">
        <v>37021</v>
      </c>
      <c r="V1059" s="1">
        <v>1</v>
      </c>
      <c r="W1059" s="1">
        <v>0</v>
      </c>
    </row>
    <row r="1060">
      <c r="A1060" s="1">
        <v>2022</v>
      </c>
      <c r="B1060" s="1">
        <v>41</v>
      </c>
      <c r="C1060" t="s">
        <v>3</v>
      </c>
      <c r="D1060" s="1">
        <v>51</v>
      </c>
      <c r="E1060" t="s">
        <v>6</v>
      </c>
      <c r="F1060" s="1">
        <v>37</v>
      </c>
      <c r="G1060" t="s">
        <v>32</v>
      </c>
      <c r="H1060" s="1">
        <v>63</v>
      </c>
      <c r="I1060" t="s">
        <v>205</v>
      </c>
      <c r="J1060" s="1">
        <v>24</v>
      </c>
      <c r="K1060" s="1">
        <v>33</v>
      </c>
      <c r="L1060" s="1">
        <v>2408</v>
      </c>
      <c r="M1060" s="1">
        <v>32873</v>
      </c>
      <c r="N1060" s="1">
        <v>50114</v>
      </c>
      <c r="O1060" s="1">
        <v>3438234</v>
      </c>
      <c r="P1060" s="1">
        <v>353386</v>
      </c>
      <c r="Q1060" s="1">
        <v>611005</v>
      </c>
      <c r="R1060" s="1">
        <v>36220220</v>
      </c>
      <c r="S1060" s="1">
        <v>41051</v>
      </c>
      <c r="T1060" s="1">
        <v>41051</v>
      </c>
      <c r="U1060" s="1">
        <v>37063</v>
      </c>
      <c r="V1060" s="1">
        <v>1</v>
      </c>
      <c r="W1060" s="1">
        <v>0</v>
      </c>
    </row>
    <row r="1061">
      <c r="A1061" s="1">
        <v>2022</v>
      </c>
      <c r="B1061" s="1">
        <v>41</v>
      </c>
      <c r="C1061" t="s">
        <v>3</v>
      </c>
      <c r="D1061" s="1">
        <v>51</v>
      </c>
      <c r="E1061" t="s">
        <v>6</v>
      </c>
      <c r="F1061" s="1">
        <v>37</v>
      </c>
      <c r="G1061" t="s">
        <v>32</v>
      </c>
      <c r="H1061" s="1">
        <v>119</v>
      </c>
      <c r="I1061" t="s">
        <v>121</v>
      </c>
      <c r="J1061" s="1">
        <v>50</v>
      </c>
      <c r="K1061" s="1">
        <v>71</v>
      </c>
      <c r="L1061" s="1">
        <v>6321</v>
      </c>
      <c r="M1061" s="1">
        <v>32873</v>
      </c>
      <c r="N1061" s="1">
        <v>50114</v>
      </c>
      <c r="O1061" s="1">
        <v>3438234</v>
      </c>
      <c r="P1061" s="1">
        <v>353386</v>
      </c>
      <c r="Q1061" s="1">
        <v>611005</v>
      </c>
      <c r="R1061" s="1">
        <v>36220220</v>
      </c>
      <c r="S1061" s="1">
        <v>41051</v>
      </c>
      <c r="T1061" s="1">
        <v>41051</v>
      </c>
      <c r="U1061" s="1">
        <v>37119</v>
      </c>
      <c r="V1061" s="1">
        <v>1</v>
      </c>
      <c r="W1061" s="1">
        <v>0</v>
      </c>
    </row>
    <row r="1062">
      <c r="A1062" s="1">
        <v>2022</v>
      </c>
      <c r="B1062" s="1">
        <v>41</v>
      </c>
      <c r="C1062" t="s">
        <v>3</v>
      </c>
      <c r="D1062" s="1">
        <v>51</v>
      </c>
      <c r="E1062" t="s">
        <v>6</v>
      </c>
      <c r="F1062" s="1">
        <v>37</v>
      </c>
      <c r="G1062" t="s">
        <v>32</v>
      </c>
      <c r="H1062" s="1">
        <v>183</v>
      </c>
      <c r="I1062" t="s">
        <v>206</v>
      </c>
      <c r="J1062" s="1">
        <v>36</v>
      </c>
      <c r="K1062" s="1">
        <v>59</v>
      </c>
      <c r="L1062" s="1">
        <v>5243</v>
      </c>
      <c r="M1062" s="1">
        <v>32873</v>
      </c>
      <c r="N1062" s="1">
        <v>50114</v>
      </c>
      <c r="O1062" s="1">
        <v>3438234</v>
      </c>
      <c r="P1062" s="1">
        <v>353386</v>
      </c>
      <c r="Q1062" s="1">
        <v>611005</v>
      </c>
      <c r="R1062" s="1">
        <v>36220220</v>
      </c>
      <c r="S1062" s="1">
        <v>41051</v>
      </c>
      <c r="T1062" s="1">
        <v>41051</v>
      </c>
      <c r="U1062" s="1">
        <v>37183</v>
      </c>
      <c r="V1062" s="1">
        <v>1</v>
      </c>
      <c r="W1062" s="1">
        <v>0</v>
      </c>
    </row>
    <row r="1063">
      <c r="A1063" s="1">
        <v>2022</v>
      </c>
      <c r="B1063" s="1">
        <v>41</v>
      </c>
      <c r="C1063" t="s">
        <v>3</v>
      </c>
      <c r="D1063" s="1">
        <v>51</v>
      </c>
      <c r="E1063" t="s">
        <v>6</v>
      </c>
      <c r="F1063" s="1">
        <v>39</v>
      </c>
      <c r="G1063" t="s">
        <v>33</v>
      </c>
      <c r="H1063" s="1">
        <v>35</v>
      </c>
      <c r="I1063" t="s">
        <v>207</v>
      </c>
      <c r="J1063" s="1">
        <v>41</v>
      </c>
      <c r="K1063" s="1">
        <v>68</v>
      </c>
      <c r="L1063" s="1">
        <v>4621</v>
      </c>
      <c r="M1063" s="1">
        <v>32873</v>
      </c>
      <c r="N1063" s="1">
        <v>50114</v>
      </c>
      <c r="O1063" s="1">
        <v>3438234</v>
      </c>
      <c r="P1063" s="1">
        <v>353386</v>
      </c>
      <c r="Q1063" s="1">
        <v>611005</v>
      </c>
      <c r="R1063" s="1">
        <v>36220220</v>
      </c>
      <c r="S1063" s="1">
        <v>41051</v>
      </c>
      <c r="T1063" s="1">
        <v>41051</v>
      </c>
      <c r="U1063" s="1">
        <v>39035</v>
      </c>
      <c r="V1063" s="1">
        <v>1</v>
      </c>
      <c r="W1063" s="1">
        <v>0</v>
      </c>
    </row>
    <row r="1064">
      <c r="A1064" s="1">
        <v>2022</v>
      </c>
      <c r="B1064" s="1">
        <v>41</v>
      </c>
      <c r="C1064" t="s">
        <v>3</v>
      </c>
      <c r="D1064" s="1">
        <v>51</v>
      </c>
      <c r="E1064" t="s">
        <v>6</v>
      </c>
      <c r="F1064" s="1">
        <v>39</v>
      </c>
      <c r="G1064" t="s">
        <v>33</v>
      </c>
      <c r="H1064" s="1">
        <v>49</v>
      </c>
      <c r="I1064" t="s">
        <v>122</v>
      </c>
      <c r="J1064" s="1">
        <v>58</v>
      </c>
      <c r="K1064" s="1">
        <v>83</v>
      </c>
      <c r="L1064" s="1">
        <v>4836</v>
      </c>
      <c r="M1064" s="1">
        <v>32873</v>
      </c>
      <c r="N1064" s="1">
        <v>50114</v>
      </c>
      <c r="O1064" s="1">
        <v>3438234</v>
      </c>
      <c r="P1064" s="1">
        <v>353386</v>
      </c>
      <c r="Q1064" s="1">
        <v>611005</v>
      </c>
      <c r="R1064" s="1">
        <v>36220220</v>
      </c>
      <c r="S1064" s="1">
        <v>41051</v>
      </c>
      <c r="T1064" s="1">
        <v>41051</v>
      </c>
      <c r="U1064" s="1">
        <v>39049</v>
      </c>
      <c r="V1064" s="1">
        <v>1</v>
      </c>
      <c r="W1064" s="1">
        <v>0</v>
      </c>
    </row>
    <row r="1065">
      <c r="A1065" s="1">
        <v>2022</v>
      </c>
      <c r="B1065" s="1">
        <v>41</v>
      </c>
      <c r="C1065" t="s">
        <v>3</v>
      </c>
      <c r="D1065" s="1">
        <v>51</v>
      </c>
      <c r="E1065" t="s">
        <v>6</v>
      </c>
      <c r="F1065" s="1">
        <v>39</v>
      </c>
      <c r="G1065" t="s">
        <v>33</v>
      </c>
      <c r="H1065" s="1">
        <v>61</v>
      </c>
      <c r="I1065" t="s">
        <v>208</v>
      </c>
      <c r="J1065" s="1">
        <v>27</v>
      </c>
      <c r="K1065" s="1">
        <v>36</v>
      </c>
      <c r="L1065" s="1">
        <v>1855</v>
      </c>
      <c r="M1065" s="1">
        <v>32873</v>
      </c>
      <c r="N1065" s="1">
        <v>50114</v>
      </c>
      <c r="O1065" s="1">
        <v>3438234</v>
      </c>
      <c r="P1065" s="1">
        <v>353386</v>
      </c>
      <c r="Q1065" s="1">
        <v>611005</v>
      </c>
      <c r="R1065" s="1">
        <v>36220220</v>
      </c>
      <c r="S1065" s="1">
        <v>41051</v>
      </c>
      <c r="T1065" s="1">
        <v>41051</v>
      </c>
      <c r="U1065" s="1">
        <v>39061</v>
      </c>
      <c r="V1065" s="1">
        <v>1</v>
      </c>
      <c r="W1065" s="1">
        <v>0</v>
      </c>
    </row>
    <row r="1066">
      <c r="A1066" s="1">
        <v>2022</v>
      </c>
      <c r="B1066" s="1">
        <v>41</v>
      </c>
      <c r="C1066" t="s">
        <v>3</v>
      </c>
      <c r="D1066" s="1">
        <v>51</v>
      </c>
      <c r="E1066" t="s">
        <v>6</v>
      </c>
      <c r="F1066" s="1">
        <v>39</v>
      </c>
      <c r="G1066" t="s">
        <v>33</v>
      </c>
      <c r="H1066" s="1">
        <v>113</v>
      </c>
      <c r="I1066" t="s">
        <v>103</v>
      </c>
      <c r="J1066" s="1">
        <v>23</v>
      </c>
      <c r="K1066" s="1">
        <v>48</v>
      </c>
      <c r="L1066" s="1">
        <v>1278</v>
      </c>
      <c r="M1066" s="1">
        <v>32873</v>
      </c>
      <c r="N1066" s="1">
        <v>50114</v>
      </c>
      <c r="O1066" s="1">
        <v>3438234</v>
      </c>
      <c r="P1066" s="1">
        <v>353386</v>
      </c>
      <c r="Q1066" s="1">
        <v>611005</v>
      </c>
      <c r="R1066" s="1">
        <v>36220220</v>
      </c>
      <c r="S1066" s="1">
        <v>41051</v>
      </c>
      <c r="T1066" s="1">
        <v>41051</v>
      </c>
      <c r="U1066" s="1">
        <v>39113</v>
      </c>
      <c r="V1066" s="1">
        <v>1</v>
      </c>
      <c r="W1066" s="1">
        <v>0</v>
      </c>
    </row>
    <row r="1067">
      <c r="A1067" s="1">
        <v>2022</v>
      </c>
      <c r="B1067" s="1">
        <v>41</v>
      </c>
      <c r="C1067" t="s">
        <v>3</v>
      </c>
      <c r="D1067" s="1">
        <v>51</v>
      </c>
      <c r="E1067" t="s">
        <v>6</v>
      </c>
      <c r="F1067" s="1">
        <v>40</v>
      </c>
      <c r="G1067" t="s">
        <v>47</v>
      </c>
      <c r="H1067" s="1">
        <v>109</v>
      </c>
      <c r="I1067" t="s">
        <v>209</v>
      </c>
      <c r="J1067" s="1">
        <v>22</v>
      </c>
      <c r="K1067" s="1">
        <v>42</v>
      </c>
      <c r="L1067" s="1">
        <v>2078</v>
      </c>
      <c r="M1067" s="1">
        <v>32873</v>
      </c>
      <c r="N1067" s="1">
        <v>50114</v>
      </c>
      <c r="O1067" s="1">
        <v>3438234</v>
      </c>
      <c r="P1067" s="1">
        <v>353386</v>
      </c>
      <c r="Q1067" s="1">
        <v>611005</v>
      </c>
      <c r="R1067" s="1">
        <v>36220220</v>
      </c>
      <c r="S1067" s="1">
        <v>41051</v>
      </c>
      <c r="T1067" s="1">
        <v>41051</v>
      </c>
      <c r="U1067" s="1">
        <v>40109</v>
      </c>
      <c r="V1067" s="1">
        <v>1</v>
      </c>
      <c r="W1067" s="1">
        <v>0</v>
      </c>
    </row>
    <row r="1068">
      <c r="A1068" s="1">
        <v>2022</v>
      </c>
      <c r="B1068" s="1">
        <v>41</v>
      </c>
      <c r="C1068" t="s">
        <v>3</v>
      </c>
      <c r="D1068" s="1">
        <v>51</v>
      </c>
      <c r="E1068" t="s">
        <v>6</v>
      </c>
      <c r="F1068" s="1">
        <v>41</v>
      </c>
      <c r="G1068" t="s">
        <v>3</v>
      </c>
      <c r="H1068" s="1">
        <v>3</v>
      </c>
      <c r="I1068" t="s">
        <v>124</v>
      </c>
      <c r="J1068" s="1">
        <v>197</v>
      </c>
      <c r="K1068" s="1">
        <v>272</v>
      </c>
      <c r="L1068" s="1">
        <v>17121</v>
      </c>
      <c r="M1068" s="1">
        <v>32873</v>
      </c>
      <c r="N1068" s="1">
        <v>50114</v>
      </c>
      <c r="O1068" s="1">
        <v>3438234</v>
      </c>
      <c r="P1068" s="1">
        <v>353386</v>
      </c>
      <c r="Q1068" s="1">
        <v>611005</v>
      </c>
      <c r="R1068" s="1">
        <v>36220220</v>
      </c>
      <c r="S1068" s="1">
        <v>41051</v>
      </c>
      <c r="T1068" s="1">
        <v>41051</v>
      </c>
      <c r="U1068" s="1">
        <v>41003</v>
      </c>
      <c r="V1068" s="1">
        <v>1</v>
      </c>
      <c r="W1068" s="1">
        <v>0</v>
      </c>
    </row>
    <row r="1069">
      <c r="A1069" s="1">
        <v>2022</v>
      </c>
      <c r="B1069" s="1">
        <v>41</v>
      </c>
      <c r="C1069" t="s">
        <v>3</v>
      </c>
      <c r="D1069" s="1">
        <v>51</v>
      </c>
      <c r="E1069" t="s">
        <v>6</v>
      </c>
      <c r="F1069" s="1">
        <v>41</v>
      </c>
      <c r="G1069" t="s">
        <v>3</v>
      </c>
      <c r="H1069" s="1">
        <v>5</v>
      </c>
      <c r="I1069" t="s">
        <v>125</v>
      </c>
      <c r="J1069" s="1">
        <v>5604</v>
      </c>
      <c r="K1069" s="1">
        <v>9562</v>
      </c>
      <c r="L1069" s="1">
        <v>586969</v>
      </c>
      <c r="M1069" s="1">
        <v>32873</v>
      </c>
      <c r="N1069" s="1">
        <v>50114</v>
      </c>
      <c r="O1069" s="1">
        <v>3438234</v>
      </c>
      <c r="P1069" s="1">
        <v>353386</v>
      </c>
      <c r="Q1069" s="1">
        <v>611005</v>
      </c>
      <c r="R1069" s="1">
        <v>36220220</v>
      </c>
      <c r="S1069" s="1">
        <v>41051</v>
      </c>
      <c r="T1069" s="1">
        <v>41051</v>
      </c>
      <c r="U1069" s="1">
        <v>41005</v>
      </c>
      <c r="V1069" s="1">
        <v>1</v>
      </c>
      <c r="W1069" s="1">
        <v>0</v>
      </c>
    </row>
    <row r="1070">
      <c r="A1070" s="1">
        <v>2022</v>
      </c>
      <c r="B1070" s="1">
        <v>41</v>
      </c>
      <c r="C1070" t="s">
        <v>3</v>
      </c>
      <c r="D1070" s="1">
        <v>51</v>
      </c>
      <c r="E1070" t="s">
        <v>6</v>
      </c>
      <c r="F1070" s="1">
        <v>41</v>
      </c>
      <c r="G1070" t="s">
        <v>3</v>
      </c>
      <c r="H1070" s="1">
        <v>7</v>
      </c>
      <c r="I1070" t="s">
        <v>126</v>
      </c>
      <c r="J1070" s="1">
        <v>175</v>
      </c>
      <c r="K1070" s="1">
        <v>270</v>
      </c>
      <c r="L1070" s="1">
        <v>30789</v>
      </c>
      <c r="M1070" s="1">
        <v>32873</v>
      </c>
      <c r="N1070" s="1">
        <v>50114</v>
      </c>
      <c r="O1070" s="1">
        <v>3438234</v>
      </c>
      <c r="P1070" s="1">
        <v>353386</v>
      </c>
      <c r="Q1070" s="1">
        <v>611005</v>
      </c>
      <c r="R1070" s="1">
        <v>36220220</v>
      </c>
      <c r="S1070" s="1">
        <v>41051</v>
      </c>
      <c r="T1070" s="1">
        <v>41051</v>
      </c>
      <c r="U1070" s="1">
        <v>41007</v>
      </c>
      <c r="V1070" s="1">
        <v>1</v>
      </c>
      <c r="W1070" s="1">
        <v>0</v>
      </c>
    </row>
    <row r="1071">
      <c r="A1071" s="1">
        <v>2022</v>
      </c>
      <c r="B1071" s="1">
        <v>41</v>
      </c>
      <c r="C1071" t="s">
        <v>3</v>
      </c>
      <c r="D1071" s="1">
        <v>51</v>
      </c>
      <c r="E1071" t="s">
        <v>6</v>
      </c>
      <c r="F1071" s="1">
        <v>41</v>
      </c>
      <c r="G1071" t="s">
        <v>3</v>
      </c>
      <c r="H1071" s="1">
        <v>9</v>
      </c>
      <c r="I1071" t="s">
        <v>127</v>
      </c>
      <c r="J1071" s="1">
        <v>336</v>
      </c>
      <c r="K1071" s="1">
        <v>549</v>
      </c>
      <c r="L1071" s="1">
        <v>23555</v>
      </c>
      <c r="M1071" s="1">
        <v>32873</v>
      </c>
      <c r="N1071" s="1">
        <v>50114</v>
      </c>
      <c r="O1071" s="1">
        <v>3438234</v>
      </c>
      <c r="P1071" s="1">
        <v>353386</v>
      </c>
      <c r="Q1071" s="1">
        <v>611005</v>
      </c>
      <c r="R1071" s="1">
        <v>36220220</v>
      </c>
      <c r="S1071" s="1">
        <v>41051</v>
      </c>
      <c r="T1071" s="1">
        <v>41051</v>
      </c>
      <c r="U1071" s="1">
        <v>41009</v>
      </c>
      <c r="V1071" s="1">
        <v>1</v>
      </c>
      <c r="W1071" s="1">
        <v>0</v>
      </c>
    </row>
    <row r="1072">
      <c r="A1072" s="1">
        <v>2022</v>
      </c>
      <c r="B1072" s="1">
        <v>41</v>
      </c>
      <c r="C1072" t="s">
        <v>3</v>
      </c>
      <c r="D1072" s="1">
        <v>51</v>
      </c>
      <c r="E1072" t="s">
        <v>6</v>
      </c>
      <c r="F1072" s="1">
        <v>41</v>
      </c>
      <c r="G1072" t="s">
        <v>3</v>
      </c>
      <c r="H1072" s="1">
        <v>11</v>
      </c>
      <c r="I1072" t="s">
        <v>128</v>
      </c>
      <c r="J1072" s="1">
        <v>49</v>
      </c>
      <c r="K1072" s="1">
        <v>69</v>
      </c>
      <c r="L1072" s="1">
        <v>2443</v>
      </c>
      <c r="M1072" s="1">
        <v>32873</v>
      </c>
      <c r="N1072" s="1">
        <v>50114</v>
      </c>
      <c r="O1072" s="1">
        <v>3438234</v>
      </c>
      <c r="P1072" s="1">
        <v>353386</v>
      </c>
      <c r="Q1072" s="1">
        <v>611005</v>
      </c>
      <c r="R1072" s="1">
        <v>36220220</v>
      </c>
      <c r="S1072" s="1">
        <v>41051</v>
      </c>
      <c r="T1072" s="1">
        <v>41051</v>
      </c>
      <c r="U1072" s="1">
        <v>41011</v>
      </c>
      <c r="V1072" s="1">
        <v>1</v>
      </c>
      <c r="W1072" s="1">
        <v>0</v>
      </c>
    </row>
    <row r="1073">
      <c r="A1073" s="1">
        <v>2022</v>
      </c>
      <c r="B1073" s="1">
        <v>41</v>
      </c>
      <c r="C1073" t="s">
        <v>3</v>
      </c>
      <c r="D1073" s="1">
        <v>51</v>
      </c>
      <c r="E1073" t="s">
        <v>6</v>
      </c>
      <c r="F1073" s="1">
        <v>41</v>
      </c>
      <c r="G1073" t="s">
        <v>3</v>
      </c>
      <c r="H1073" s="1">
        <v>13</v>
      </c>
      <c r="I1073" t="s">
        <v>129</v>
      </c>
      <c r="J1073" s="1">
        <v>65</v>
      </c>
      <c r="K1073" s="1">
        <v>98</v>
      </c>
      <c r="L1073" s="1">
        <v>6988</v>
      </c>
      <c r="M1073" s="1">
        <v>32873</v>
      </c>
      <c r="N1073" s="1">
        <v>50114</v>
      </c>
      <c r="O1073" s="1">
        <v>3438234</v>
      </c>
      <c r="P1073" s="1">
        <v>353386</v>
      </c>
      <c r="Q1073" s="1">
        <v>611005</v>
      </c>
      <c r="R1073" s="1">
        <v>36220220</v>
      </c>
      <c r="S1073" s="1">
        <v>41051</v>
      </c>
      <c r="T1073" s="1">
        <v>41051</v>
      </c>
      <c r="U1073" s="1">
        <v>41013</v>
      </c>
      <c r="V1073" s="1">
        <v>1</v>
      </c>
      <c r="W1073" s="1">
        <v>0</v>
      </c>
    </row>
    <row r="1074">
      <c r="A1074" s="1">
        <v>2022</v>
      </c>
      <c r="B1074" s="1">
        <v>41</v>
      </c>
      <c r="C1074" t="s">
        <v>3</v>
      </c>
      <c r="D1074" s="1">
        <v>51</v>
      </c>
      <c r="E1074" t="s">
        <v>6</v>
      </c>
      <c r="F1074" s="1">
        <v>41</v>
      </c>
      <c r="G1074" t="s">
        <v>3</v>
      </c>
      <c r="H1074" s="1">
        <v>17</v>
      </c>
      <c r="I1074" t="s">
        <v>130</v>
      </c>
      <c r="J1074" s="1">
        <v>624</v>
      </c>
      <c r="K1074" s="1">
        <v>1004</v>
      </c>
      <c r="L1074" s="1">
        <v>157531</v>
      </c>
      <c r="M1074" s="1">
        <v>32873</v>
      </c>
      <c r="N1074" s="1">
        <v>50114</v>
      </c>
      <c r="O1074" s="1">
        <v>3438234</v>
      </c>
      <c r="P1074" s="1">
        <v>353386</v>
      </c>
      <c r="Q1074" s="1">
        <v>611005</v>
      </c>
      <c r="R1074" s="1">
        <v>36220220</v>
      </c>
      <c r="S1074" s="1">
        <v>41051</v>
      </c>
      <c r="T1074" s="1">
        <v>41051</v>
      </c>
      <c r="U1074" s="1">
        <v>41017</v>
      </c>
      <c r="V1074" s="1">
        <v>1</v>
      </c>
      <c r="W1074" s="1">
        <v>0</v>
      </c>
    </row>
    <row r="1075">
      <c r="A1075" s="1">
        <v>2022</v>
      </c>
      <c r="B1075" s="1">
        <v>41</v>
      </c>
      <c r="C1075" t="s">
        <v>3</v>
      </c>
      <c r="D1075" s="1">
        <v>51</v>
      </c>
      <c r="E1075" t="s">
        <v>6</v>
      </c>
      <c r="F1075" s="1">
        <v>41</v>
      </c>
      <c r="G1075" t="s">
        <v>3</v>
      </c>
      <c r="H1075" s="1">
        <v>19</v>
      </c>
      <c r="I1075" t="s">
        <v>131</v>
      </c>
      <c r="J1075" s="1">
        <v>78</v>
      </c>
      <c r="K1075" s="1">
        <v>119</v>
      </c>
      <c r="L1075" s="1">
        <v>4133</v>
      </c>
      <c r="M1075" s="1">
        <v>32873</v>
      </c>
      <c r="N1075" s="1">
        <v>50114</v>
      </c>
      <c r="O1075" s="1">
        <v>3438234</v>
      </c>
      <c r="P1075" s="1">
        <v>353386</v>
      </c>
      <c r="Q1075" s="1">
        <v>611005</v>
      </c>
      <c r="R1075" s="1">
        <v>36220220</v>
      </c>
      <c r="S1075" s="1">
        <v>41051</v>
      </c>
      <c r="T1075" s="1">
        <v>41051</v>
      </c>
      <c r="U1075" s="1">
        <v>41019</v>
      </c>
      <c r="V1075" s="1">
        <v>1</v>
      </c>
      <c r="W1075" s="1">
        <v>0</v>
      </c>
    </row>
    <row r="1076">
      <c r="A1076" s="1">
        <v>2022</v>
      </c>
      <c r="B1076" s="1">
        <v>41</v>
      </c>
      <c r="C1076" t="s">
        <v>3</v>
      </c>
      <c r="D1076" s="1">
        <v>51</v>
      </c>
      <c r="E1076" t="s">
        <v>6</v>
      </c>
      <c r="F1076" s="1">
        <v>41</v>
      </c>
      <c r="G1076" t="s">
        <v>3</v>
      </c>
      <c r="H1076" s="1">
        <v>27</v>
      </c>
      <c r="I1076" t="s">
        <v>132</v>
      </c>
      <c r="J1076" s="1">
        <v>152</v>
      </c>
      <c r="K1076" s="1">
        <v>256</v>
      </c>
      <c r="L1076" s="1">
        <v>33123</v>
      </c>
      <c r="M1076" s="1">
        <v>32873</v>
      </c>
      <c r="N1076" s="1">
        <v>50114</v>
      </c>
      <c r="O1076" s="1">
        <v>3438234</v>
      </c>
      <c r="P1076" s="1">
        <v>353386</v>
      </c>
      <c r="Q1076" s="1">
        <v>611005</v>
      </c>
      <c r="R1076" s="1">
        <v>36220220</v>
      </c>
      <c r="S1076" s="1">
        <v>41051</v>
      </c>
      <c r="T1076" s="1">
        <v>41051</v>
      </c>
      <c r="U1076" s="1">
        <v>41027</v>
      </c>
      <c r="V1076" s="1">
        <v>1</v>
      </c>
      <c r="W1076" s="1">
        <v>0</v>
      </c>
    </row>
    <row r="1077">
      <c r="A1077" s="1">
        <v>2022</v>
      </c>
      <c r="B1077" s="1">
        <v>41</v>
      </c>
      <c r="C1077" t="s">
        <v>3</v>
      </c>
      <c r="D1077" s="1">
        <v>51</v>
      </c>
      <c r="E1077" t="s">
        <v>6</v>
      </c>
      <c r="F1077" s="1">
        <v>41</v>
      </c>
      <c r="G1077" t="s">
        <v>3</v>
      </c>
      <c r="H1077" s="1">
        <v>29</v>
      </c>
      <c r="I1077" t="s">
        <v>133</v>
      </c>
      <c r="J1077" s="1">
        <v>198</v>
      </c>
      <c r="K1077" s="1">
        <v>299</v>
      </c>
      <c r="L1077" s="1">
        <v>14924</v>
      </c>
      <c r="M1077" s="1">
        <v>32873</v>
      </c>
      <c r="N1077" s="1">
        <v>50114</v>
      </c>
      <c r="O1077" s="1">
        <v>3438234</v>
      </c>
      <c r="P1077" s="1">
        <v>353386</v>
      </c>
      <c r="Q1077" s="1">
        <v>611005</v>
      </c>
      <c r="R1077" s="1">
        <v>36220220</v>
      </c>
      <c r="S1077" s="1">
        <v>41051</v>
      </c>
      <c r="T1077" s="1">
        <v>41051</v>
      </c>
      <c r="U1077" s="1">
        <v>41029</v>
      </c>
      <c r="V1077" s="1">
        <v>1</v>
      </c>
      <c r="W1077" s="1">
        <v>0</v>
      </c>
    </row>
    <row r="1078">
      <c r="A1078" s="1">
        <v>2022</v>
      </c>
      <c r="B1078" s="1">
        <v>41</v>
      </c>
      <c r="C1078" t="s">
        <v>3</v>
      </c>
      <c r="D1078" s="1">
        <v>51</v>
      </c>
      <c r="E1078" t="s">
        <v>6</v>
      </c>
      <c r="F1078" s="1">
        <v>41</v>
      </c>
      <c r="G1078" t="s">
        <v>3</v>
      </c>
      <c r="H1078" s="1">
        <v>31</v>
      </c>
      <c r="I1078" t="s">
        <v>83</v>
      </c>
      <c r="J1078" s="1">
        <v>46</v>
      </c>
      <c r="K1078" s="1">
        <v>72</v>
      </c>
      <c r="L1078" s="1">
        <v>3244</v>
      </c>
      <c r="M1078" s="1">
        <v>32873</v>
      </c>
      <c r="N1078" s="1">
        <v>50114</v>
      </c>
      <c r="O1078" s="1">
        <v>3438234</v>
      </c>
      <c r="P1078" s="1">
        <v>353386</v>
      </c>
      <c r="Q1078" s="1">
        <v>611005</v>
      </c>
      <c r="R1078" s="1">
        <v>36220220</v>
      </c>
      <c r="S1078" s="1">
        <v>41051</v>
      </c>
      <c r="T1078" s="1">
        <v>41051</v>
      </c>
      <c r="U1078" s="1">
        <v>41031</v>
      </c>
      <c r="V1078" s="1">
        <v>1</v>
      </c>
      <c r="W1078" s="1">
        <v>0</v>
      </c>
    </row>
    <row r="1079">
      <c r="A1079" s="1">
        <v>2022</v>
      </c>
      <c r="B1079" s="1">
        <v>41</v>
      </c>
      <c r="C1079" t="s">
        <v>3</v>
      </c>
      <c r="D1079" s="1">
        <v>51</v>
      </c>
      <c r="E1079" t="s">
        <v>6</v>
      </c>
      <c r="F1079" s="1">
        <v>41</v>
      </c>
      <c r="G1079" t="s">
        <v>3</v>
      </c>
      <c r="H1079" s="1">
        <v>33</v>
      </c>
      <c r="I1079" t="s">
        <v>134</v>
      </c>
      <c r="J1079" s="1">
        <v>60</v>
      </c>
      <c r="K1079" s="1">
        <v>90</v>
      </c>
      <c r="L1079" s="1">
        <v>9258</v>
      </c>
      <c r="M1079" s="1">
        <v>32873</v>
      </c>
      <c r="N1079" s="1">
        <v>50114</v>
      </c>
      <c r="O1079" s="1">
        <v>3438234</v>
      </c>
      <c r="P1079" s="1">
        <v>353386</v>
      </c>
      <c r="Q1079" s="1">
        <v>611005</v>
      </c>
      <c r="R1079" s="1">
        <v>36220220</v>
      </c>
      <c r="S1079" s="1">
        <v>41051</v>
      </c>
      <c r="T1079" s="1">
        <v>41051</v>
      </c>
      <c r="U1079" s="1">
        <v>41033</v>
      </c>
      <c r="V1079" s="1">
        <v>1</v>
      </c>
      <c r="W1079" s="1">
        <v>0</v>
      </c>
    </row>
    <row r="1080">
      <c r="A1080" s="1">
        <v>2022</v>
      </c>
      <c r="B1080" s="1">
        <v>41</v>
      </c>
      <c r="C1080" t="s">
        <v>3</v>
      </c>
      <c r="D1080" s="1">
        <v>51</v>
      </c>
      <c r="E1080" t="s">
        <v>6</v>
      </c>
      <c r="F1080" s="1">
        <v>41</v>
      </c>
      <c r="G1080" t="s">
        <v>3</v>
      </c>
      <c r="H1080" s="1">
        <v>35</v>
      </c>
      <c r="I1080" t="s">
        <v>135</v>
      </c>
      <c r="J1080" s="1">
        <v>51</v>
      </c>
      <c r="K1080" s="1">
        <v>78</v>
      </c>
      <c r="L1080" s="1">
        <v>3877</v>
      </c>
      <c r="M1080" s="1">
        <v>32873</v>
      </c>
      <c r="N1080" s="1">
        <v>50114</v>
      </c>
      <c r="O1080" s="1">
        <v>3438234</v>
      </c>
      <c r="P1080" s="1">
        <v>353386</v>
      </c>
      <c r="Q1080" s="1">
        <v>611005</v>
      </c>
      <c r="R1080" s="1">
        <v>36220220</v>
      </c>
      <c r="S1080" s="1">
        <v>41051</v>
      </c>
      <c r="T1080" s="1">
        <v>41051</v>
      </c>
      <c r="U1080" s="1">
        <v>41035</v>
      </c>
      <c r="V1080" s="1">
        <v>1</v>
      </c>
      <c r="W1080" s="1">
        <v>0</v>
      </c>
    </row>
    <row r="1081">
      <c r="A1081" s="1">
        <v>2022</v>
      </c>
      <c r="B1081" s="1">
        <v>41</v>
      </c>
      <c r="C1081" t="s">
        <v>3</v>
      </c>
      <c r="D1081" s="1">
        <v>51</v>
      </c>
      <c r="E1081" t="s">
        <v>6</v>
      </c>
      <c r="F1081" s="1">
        <v>41</v>
      </c>
      <c r="G1081" t="s">
        <v>3</v>
      </c>
      <c r="H1081" s="1">
        <v>39</v>
      </c>
      <c r="I1081" t="s">
        <v>136</v>
      </c>
      <c r="J1081" s="1">
        <v>490</v>
      </c>
      <c r="K1081" s="1">
        <v>670</v>
      </c>
      <c r="L1081" s="1">
        <v>32856</v>
      </c>
      <c r="M1081" s="1">
        <v>32873</v>
      </c>
      <c r="N1081" s="1">
        <v>50114</v>
      </c>
      <c r="O1081" s="1">
        <v>3438234</v>
      </c>
      <c r="P1081" s="1">
        <v>353386</v>
      </c>
      <c r="Q1081" s="1">
        <v>611005</v>
      </c>
      <c r="R1081" s="1">
        <v>36220220</v>
      </c>
      <c r="S1081" s="1">
        <v>41051</v>
      </c>
      <c r="T1081" s="1">
        <v>41051</v>
      </c>
      <c r="U1081" s="1">
        <v>41039</v>
      </c>
      <c r="V1081" s="1">
        <v>1</v>
      </c>
      <c r="W1081" s="1">
        <v>0</v>
      </c>
    </row>
    <row r="1082">
      <c r="A1082" s="1">
        <v>2022</v>
      </c>
      <c r="B1082" s="1">
        <v>41</v>
      </c>
      <c r="C1082" t="s">
        <v>3</v>
      </c>
      <c r="D1082" s="1">
        <v>51</v>
      </c>
      <c r="E1082" t="s">
        <v>6</v>
      </c>
      <c r="F1082" s="1">
        <v>41</v>
      </c>
      <c r="G1082" t="s">
        <v>3</v>
      </c>
      <c r="H1082" s="1">
        <v>41</v>
      </c>
      <c r="I1082" t="s">
        <v>137</v>
      </c>
      <c r="J1082" s="1">
        <v>165</v>
      </c>
      <c r="K1082" s="1">
        <v>249</v>
      </c>
      <c r="L1082" s="1">
        <v>18448</v>
      </c>
      <c r="M1082" s="1">
        <v>32873</v>
      </c>
      <c r="N1082" s="1">
        <v>50114</v>
      </c>
      <c r="O1082" s="1">
        <v>3438234</v>
      </c>
      <c r="P1082" s="1">
        <v>353386</v>
      </c>
      <c r="Q1082" s="1">
        <v>611005</v>
      </c>
      <c r="R1082" s="1">
        <v>36220220</v>
      </c>
      <c r="S1082" s="1">
        <v>41051</v>
      </c>
      <c r="T1082" s="1">
        <v>41051</v>
      </c>
      <c r="U1082" s="1">
        <v>41041</v>
      </c>
      <c r="V1082" s="1">
        <v>1</v>
      </c>
      <c r="W1082" s="1">
        <v>0</v>
      </c>
    </row>
    <row r="1083">
      <c r="A1083" s="1">
        <v>2022</v>
      </c>
      <c r="B1083" s="1">
        <v>41</v>
      </c>
      <c r="C1083" t="s">
        <v>3</v>
      </c>
      <c r="D1083" s="1">
        <v>51</v>
      </c>
      <c r="E1083" t="s">
        <v>6</v>
      </c>
      <c r="F1083" s="1">
        <v>41</v>
      </c>
      <c r="G1083" t="s">
        <v>3</v>
      </c>
      <c r="H1083" s="1">
        <v>43</v>
      </c>
      <c r="I1083" t="s">
        <v>138</v>
      </c>
      <c r="J1083" s="1">
        <v>113</v>
      </c>
      <c r="K1083" s="1">
        <v>190</v>
      </c>
      <c r="L1083" s="1">
        <v>5729</v>
      </c>
      <c r="M1083" s="1">
        <v>32873</v>
      </c>
      <c r="N1083" s="1">
        <v>50114</v>
      </c>
      <c r="O1083" s="1">
        <v>3438234</v>
      </c>
      <c r="P1083" s="1">
        <v>353386</v>
      </c>
      <c r="Q1083" s="1">
        <v>611005</v>
      </c>
      <c r="R1083" s="1">
        <v>36220220</v>
      </c>
      <c r="S1083" s="1">
        <v>41051</v>
      </c>
      <c r="T1083" s="1">
        <v>41051</v>
      </c>
      <c r="U1083" s="1">
        <v>41043</v>
      </c>
      <c r="V1083" s="1">
        <v>1</v>
      </c>
      <c r="W1083" s="1">
        <v>0</v>
      </c>
    </row>
    <row r="1084">
      <c r="A1084" s="1">
        <v>2022</v>
      </c>
      <c r="B1084" s="1">
        <v>41</v>
      </c>
      <c r="C1084" t="s">
        <v>3</v>
      </c>
      <c r="D1084" s="1">
        <v>51</v>
      </c>
      <c r="E1084" t="s">
        <v>6</v>
      </c>
      <c r="F1084" s="1">
        <v>41</v>
      </c>
      <c r="G1084" t="s">
        <v>3</v>
      </c>
      <c r="H1084" s="1">
        <v>47</v>
      </c>
      <c r="I1084" t="s">
        <v>99</v>
      </c>
      <c r="J1084" s="1">
        <v>595</v>
      </c>
      <c r="K1084" s="1">
        <v>926</v>
      </c>
      <c r="L1084" s="1">
        <v>37927</v>
      </c>
      <c r="M1084" s="1">
        <v>32873</v>
      </c>
      <c r="N1084" s="1">
        <v>50114</v>
      </c>
      <c r="O1084" s="1">
        <v>3438234</v>
      </c>
      <c r="P1084" s="1">
        <v>353386</v>
      </c>
      <c r="Q1084" s="1">
        <v>611005</v>
      </c>
      <c r="R1084" s="1">
        <v>36220220</v>
      </c>
      <c r="S1084" s="1">
        <v>41051</v>
      </c>
      <c r="T1084" s="1">
        <v>41051</v>
      </c>
      <c r="U1084" s="1">
        <v>41047</v>
      </c>
      <c r="V1084" s="1">
        <v>1</v>
      </c>
      <c r="W1084" s="1">
        <v>0</v>
      </c>
    </row>
    <row r="1085">
      <c r="A1085" s="1">
        <v>2022</v>
      </c>
      <c r="B1085" s="1">
        <v>41</v>
      </c>
      <c r="C1085" t="s">
        <v>3</v>
      </c>
      <c r="D1085" s="1">
        <v>51</v>
      </c>
      <c r="E1085" t="s">
        <v>6</v>
      </c>
      <c r="F1085" s="1">
        <v>41</v>
      </c>
      <c r="G1085" t="s">
        <v>3</v>
      </c>
      <c r="H1085" s="1">
        <v>53</v>
      </c>
      <c r="I1085" t="s">
        <v>100</v>
      </c>
      <c r="J1085" s="1">
        <v>120</v>
      </c>
      <c r="K1085" s="1">
        <v>165</v>
      </c>
      <c r="L1085" s="1">
        <v>7814</v>
      </c>
      <c r="M1085" s="1">
        <v>32873</v>
      </c>
      <c r="N1085" s="1">
        <v>50114</v>
      </c>
      <c r="O1085" s="1">
        <v>3438234</v>
      </c>
      <c r="P1085" s="1">
        <v>353386</v>
      </c>
      <c r="Q1085" s="1">
        <v>611005</v>
      </c>
      <c r="R1085" s="1">
        <v>36220220</v>
      </c>
      <c r="S1085" s="1">
        <v>41051</v>
      </c>
      <c r="T1085" s="1">
        <v>41051</v>
      </c>
      <c r="U1085" s="1">
        <v>41053</v>
      </c>
      <c r="V1085" s="1">
        <v>1</v>
      </c>
      <c r="W1085" s="1">
        <v>0</v>
      </c>
    </row>
    <row r="1086">
      <c r="A1086" s="1">
        <v>2022</v>
      </c>
      <c r="B1086" s="1">
        <v>41</v>
      </c>
      <c r="C1086" t="s">
        <v>3</v>
      </c>
      <c r="D1086" s="1">
        <v>51</v>
      </c>
      <c r="E1086" t="s">
        <v>6</v>
      </c>
      <c r="F1086" s="1">
        <v>41</v>
      </c>
      <c r="G1086" t="s">
        <v>3</v>
      </c>
      <c r="H1086" s="1">
        <v>57</v>
      </c>
      <c r="I1086" t="s">
        <v>139</v>
      </c>
      <c r="J1086" s="1">
        <v>135</v>
      </c>
      <c r="K1086" s="1">
        <v>222</v>
      </c>
      <c r="L1086" s="1">
        <v>29733</v>
      </c>
      <c r="M1086" s="1">
        <v>32873</v>
      </c>
      <c r="N1086" s="1">
        <v>50114</v>
      </c>
      <c r="O1086" s="1">
        <v>3438234</v>
      </c>
      <c r="P1086" s="1">
        <v>353386</v>
      </c>
      <c r="Q1086" s="1">
        <v>611005</v>
      </c>
      <c r="R1086" s="1">
        <v>36220220</v>
      </c>
      <c r="S1086" s="1">
        <v>41051</v>
      </c>
      <c r="T1086" s="1">
        <v>41051</v>
      </c>
      <c r="U1086" s="1">
        <v>41057</v>
      </c>
      <c r="V1086" s="1">
        <v>1</v>
      </c>
      <c r="W1086" s="1">
        <v>0</v>
      </c>
    </row>
    <row r="1087">
      <c r="A1087" s="1">
        <v>2022</v>
      </c>
      <c r="B1087" s="1">
        <v>41</v>
      </c>
      <c r="C1087" t="s">
        <v>3</v>
      </c>
      <c r="D1087" s="1">
        <v>51</v>
      </c>
      <c r="E1087" t="s">
        <v>6</v>
      </c>
      <c r="F1087" s="1">
        <v>41</v>
      </c>
      <c r="G1087" t="s">
        <v>3</v>
      </c>
      <c r="H1087" s="1">
        <v>59</v>
      </c>
      <c r="I1087" t="s">
        <v>140</v>
      </c>
      <c r="J1087" s="1">
        <v>66</v>
      </c>
      <c r="K1087" s="1">
        <v>94</v>
      </c>
      <c r="L1087" s="1">
        <v>3349</v>
      </c>
      <c r="M1087" s="1">
        <v>32873</v>
      </c>
      <c r="N1087" s="1">
        <v>50114</v>
      </c>
      <c r="O1087" s="1">
        <v>3438234</v>
      </c>
      <c r="P1087" s="1">
        <v>353386</v>
      </c>
      <c r="Q1087" s="1">
        <v>611005</v>
      </c>
      <c r="R1087" s="1">
        <v>36220220</v>
      </c>
      <c r="S1087" s="1">
        <v>41051</v>
      </c>
      <c r="T1087" s="1">
        <v>41051</v>
      </c>
      <c r="U1087" s="1">
        <v>41059</v>
      </c>
      <c r="V1087" s="1">
        <v>1</v>
      </c>
      <c r="W1087" s="1">
        <v>0</v>
      </c>
    </row>
    <row r="1088">
      <c r="A1088" s="1">
        <v>2022</v>
      </c>
      <c r="B1088" s="1">
        <v>41</v>
      </c>
      <c r="C1088" t="s">
        <v>3</v>
      </c>
      <c r="D1088" s="1">
        <v>51</v>
      </c>
      <c r="E1088" t="s">
        <v>6</v>
      </c>
      <c r="F1088" s="1">
        <v>41</v>
      </c>
      <c r="G1088" t="s">
        <v>3</v>
      </c>
      <c r="H1088" s="1">
        <v>61</v>
      </c>
      <c r="I1088" t="s">
        <v>141</v>
      </c>
      <c r="J1088" s="1">
        <v>29</v>
      </c>
      <c r="K1088" s="1">
        <v>44</v>
      </c>
      <c r="L1088" s="1">
        <v>2604</v>
      </c>
      <c r="M1088" s="1">
        <v>32873</v>
      </c>
      <c r="N1088" s="1">
        <v>50114</v>
      </c>
      <c r="O1088" s="1">
        <v>3438234</v>
      </c>
      <c r="P1088" s="1">
        <v>353386</v>
      </c>
      <c r="Q1088" s="1">
        <v>611005</v>
      </c>
      <c r="R1088" s="1">
        <v>36220220</v>
      </c>
      <c r="S1088" s="1">
        <v>41051</v>
      </c>
      <c r="T1088" s="1">
        <v>41051</v>
      </c>
      <c r="U1088" s="1">
        <v>41061</v>
      </c>
      <c r="V1088" s="1">
        <v>1</v>
      </c>
      <c r="W1088" s="1">
        <v>0</v>
      </c>
    </row>
    <row r="1089">
      <c r="A1089" s="1">
        <v>2022</v>
      </c>
      <c r="B1089" s="1">
        <v>41</v>
      </c>
      <c r="C1089" t="s">
        <v>3</v>
      </c>
      <c r="D1089" s="1">
        <v>51</v>
      </c>
      <c r="E1089" t="s">
        <v>6</v>
      </c>
      <c r="F1089" s="1">
        <v>41</v>
      </c>
      <c r="G1089" t="s">
        <v>3</v>
      </c>
      <c r="H1089" s="1">
        <v>63</v>
      </c>
      <c r="I1089" t="s">
        <v>211</v>
      </c>
      <c r="J1089" s="1">
        <v>24</v>
      </c>
      <c r="K1089" s="1">
        <v>36</v>
      </c>
      <c r="L1089" s="1">
        <v>2544</v>
      </c>
      <c r="M1089" s="1">
        <v>32873</v>
      </c>
      <c r="N1089" s="1">
        <v>50114</v>
      </c>
      <c r="O1089" s="1">
        <v>3438234</v>
      </c>
      <c r="P1089" s="1">
        <v>353386</v>
      </c>
      <c r="Q1089" s="1">
        <v>611005</v>
      </c>
      <c r="R1089" s="1">
        <v>36220220</v>
      </c>
      <c r="S1089" s="1">
        <v>41051</v>
      </c>
      <c r="T1089" s="1">
        <v>41051</v>
      </c>
      <c r="U1089" s="1">
        <v>41063</v>
      </c>
      <c r="V1089" s="1">
        <v>1</v>
      </c>
      <c r="W1089" s="1">
        <v>0</v>
      </c>
    </row>
    <row r="1090">
      <c r="A1090" s="1">
        <v>2022</v>
      </c>
      <c r="B1090" s="1">
        <v>41</v>
      </c>
      <c r="C1090" t="s">
        <v>3</v>
      </c>
      <c r="D1090" s="1">
        <v>51</v>
      </c>
      <c r="E1090" t="s">
        <v>6</v>
      </c>
      <c r="F1090" s="1">
        <v>41</v>
      </c>
      <c r="G1090" t="s">
        <v>3</v>
      </c>
      <c r="H1090" s="1">
        <v>65</v>
      </c>
      <c r="I1090" t="s">
        <v>142</v>
      </c>
      <c r="J1090" s="1">
        <v>93</v>
      </c>
      <c r="K1090" s="1">
        <v>173</v>
      </c>
      <c r="L1090" s="1">
        <v>7364</v>
      </c>
      <c r="M1090" s="1">
        <v>32873</v>
      </c>
      <c r="N1090" s="1">
        <v>50114</v>
      </c>
      <c r="O1090" s="1">
        <v>3438234</v>
      </c>
      <c r="P1090" s="1">
        <v>353386</v>
      </c>
      <c r="Q1090" s="1">
        <v>611005</v>
      </c>
      <c r="R1090" s="1">
        <v>36220220</v>
      </c>
      <c r="S1090" s="1">
        <v>41051</v>
      </c>
      <c r="T1090" s="1">
        <v>41051</v>
      </c>
      <c r="U1090" s="1">
        <v>41065</v>
      </c>
      <c r="V1090" s="1">
        <v>1</v>
      </c>
      <c r="W1090" s="1">
        <v>0</v>
      </c>
    </row>
    <row r="1091">
      <c r="A1091" s="1">
        <v>2022</v>
      </c>
      <c r="B1091" s="1">
        <v>41</v>
      </c>
      <c r="C1091" t="s">
        <v>3</v>
      </c>
      <c r="D1091" s="1">
        <v>51</v>
      </c>
      <c r="E1091" t="s">
        <v>6</v>
      </c>
      <c r="F1091" s="1">
        <v>41</v>
      </c>
      <c r="G1091" t="s">
        <v>3</v>
      </c>
      <c r="H1091" s="1">
        <v>67</v>
      </c>
      <c r="I1091" t="s">
        <v>143</v>
      </c>
      <c r="J1091" s="1">
        <v>4609</v>
      </c>
      <c r="K1091" s="1">
        <v>6758</v>
      </c>
      <c r="L1091" s="1">
        <v>417001</v>
      </c>
      <c r="M1091" s="1">
        <v>32873</v>
      </c>
      <c r="N1091" s="1">
        <v>50114</v>
      </c>
      <c r="O1091" s="1">
        <v>3438234</v>
      </c>
      <c r="P1091" s="1">
        <v>353386</v>
      </c>
      <c r="Q1091" s="1">
        <v>611005</v>
      </c>
      <c r="R1091" s="1">
        <v>36220220</v>
      </c>
      <c r="S1091" s="1">
        <v>41051</v>
      </c>
      <c r="T1091" s="1">
        <v>41051</v>
      </c>
      <c r="U1091" s="1">
        <v>41067</v>
      </c>
      <c r="V1091" s="1">
        <v>1</v>
      </c>
      <c r="W1091" s="1">
        <v>0</v>
      </c>
    </row>
    <row r="1092">
      <c r="A1092" s="1">
        <v>2022</v>
      </c>
      <c r="B1092" s="1">
        <v>41</v>
      </c>
      <c r="C1092" t="s">
        <v>3</v>
      </c>
      <c r="D1092" s="1">
        <v>51</v>
      </c>
      <c r="E1092" t="s">
        <v>6</v>
      </c>
      <c r="F1092" s="1">
        <v>41</v>
      </c>
      <c r="G1092" t="s">
        <v>3</v>
      </c>
      <c r="H1092" s="1">
        <v>71</v>
      </c>
      <c r="I1092" t="s">
        <v>144</v>
      </c>
      <c r="J1092" s="1">
        <v>290</v>
      </c>
      <c r="K1092" s="1">
        <v>453</v>
      </c>
      <c r="L1092" s="1">
        <v>27752</v>
      </c>
      <c r="M1092" s="1">
        <v>32873</v>
      </c>
      <c r="N1092" s="1">
        <v>50114</v>
      </c>
      <c r="O1092" s="1">
        <v>3438234</v>
      </c>
      <c r="P1092" s="1">
        <v>353386</v>
      </c>
      <c r="Q1092" s="1">
        <v>611005</v>
      </c>
      <c r="R1092" s="1">
        <v>36220220</v>
      </c>
      <c r="S1092" s="1">
        <v>41051</v>
      </c>
      <c r="T1092" s="1">
        <v>41051</v>
      </c>
      <c r="U1092" s="1">
        <v>41071</v>
      </c>
      <c r="V1092" s="1">
        <v>1</v>
      </c>
      <c r="W1092" s="1">
        <v>0</v>
      </c>
    </row>
    <row r="1093">
      <c r="A1093" s="1">
        <v>2022</v>
      </c>
      <c r="B1093" s="1">
        <v>41</v>
      </c>
      <c r="C1093" t="s">
        <v>3</v>
      </c>
      <c r="D1093" s="1">
        <v>51</v>
      </c>
      <c r="E1093" t="s">
        <v>6</v>
      </c>
      <c r="F1093" s="1">
        <v>42</v>
      </c>
      <c r="G1093" t="s">
        <v>34</v>
      </c>
      <c r="H1093" s="1">
        <v>3</v>
      </c>
      <c r="I1093" t="s">
        <v>145</v>
      </c>
      <c r="J1093" s="1">
        <v>65</v>
      </c>
      <c r="K1093" s="1">
        <v>96</v>
      </c>
      <c r="L1093" s="1">
        <v>5753</v>
      </c>
      <c r="M1093" s="1">
        <v>32873</v>
      </c>
      <c r="N1093" s="1">
        <v>50114</v>
      </c>
      <c r="O1093" s="1">
        <v>3438234</v>
      </c>
      <c r="P1093" s="1">
        <v>353386</v>
      </c>
      <c r="Q1093" s="1">
        <v>611005</v>
      </c>
      <c r="R1093" s="1">
        <v>36220220</v>
      </c>
      <c r="S1093" s="1">
        <v>41051</v>
      </c>
      <c r="T1093" s="1">
        <v>41051</v>
      </c>
      <c r="U1093" s="1">
        <v>42003</v>
      </c>
      <c r="V1093" s="1">
        <v>1</v>
      </c>
      <c r="W1093" s="1">
        <v>0</v>
      </c>
    </row>
    <row r="1094">
      <c r="A1094" s="1">
        <v>2022</v>
      </c>
      <c r="B1094" s="1">
        <v>41</v>
      </c>
      <c r="C1094" t="s">
        <v>3</v>
      </c>
      <c r="D1094" s="1">
        <v>51</v>
      </c>
      <c r="E1094" t="s">
        <v>6</v>
      </c>
      <c r="F1094" s="1">
        <v>42</v>
      </c>
      <c r="G1094" t="s">
        <v>34</v>
      </c>
      <c r="H1094" s="1">
        <v>101</v>
      </c>
      <c r="I1094" t="s">
        <v>146</v>
      </c>
      <c r="J1094" s="1">
        <v>76</v>
      </c>
      <c r="K1094" s="1">
        <v>87</v>
      </c>
      <c r="L1094" s="1">
        <v>5530</v>
      </c>
      <c r="M1094" s="1">
        <v>32873</v>
      </c>
      <c r="N1094" s="1">
        <v>50114</v>
      </c>
      <c r="O1094" s="1">
        <v>3438234</v>
      </c>
      <c r="P1094" s="1">
        <v>353386</v>
      </c>
      <c r="Q1094" s="1">
        <v>611005</v>
      </c>
      <c r="R1094" s="1">
        <v>36220220</v>
      </c>
      <c r="S1094" s="1">
        <v>41051</v>
      </c>
      <c r="T1094" s="1">
        <v>41051</v>
      </c>
      <c r="U1094" s="1">
        <v>42101</v>
      </c>
      <c r="V1094" s="1">
        <v>1</v>
      </c>
      <c r="W1094" s="1">
        <v>0</v>
      </c>
    </row>
    <row r="1095">
      <c r="A1095" s="1">
        <v>2022</v>
      </c>
      <c r="B1095" s="1">
        <v>41</v>
      </c>
      <c r="C1095" t="s">
        <v>3</v>
      </c>
      <c r="D1095" s="1">
        <v>51</v>
      </c>
      <c r="E1095" t="s">
        <v>6</v>
      </c>
      <c r="F1095" s="1">
        <v>45</v>
      </c>
      <c r="G1095" t="s">
        <v>49</v>
      </c>
      <c r="H1095" s="1">
        <v>45</v>
      </c>
      <c r="I1095" t="s">
        <v>252</v>
      </c>
      <c r="J1095" s="1">
        <v>21</v>
      </c>
      <c r="K1095" s="1">
        <v>38</v>
      </c>
      <c r="L1095" s="1">
        <v>1369</v>
      </c>
      <c r="M1095" s="1">
        <v>32873</v>
      </c>
      <c r="N1095" s="1">
        <v>50114</v>
      </c>
      <c r="O1095" s="1">
        <v>3438234</v>
      </c>
      <c r="P1095" s="1">
        <v>353386</v>
      </c>
      <c r="Q1095" s="1">
        <v>611005</v>
      </c>
      <c r="R1095" s="1">
        <v>36220220</v>
      </c>
      <c r="S1095" s="1">
        <v>41051</v>
      </c>
      <c r="T1095" s="1">
        <v>41051</v>
      </c>
      <c r="U1095" s="1">
        <v>45045</v>
      </c>
      <c r="V1095" s="1">
        <v>1</v>
      </c>
      <c r="W1095" s="1">
        <v>0</v>
      </c>
    </row>
    <row r="1096">
      <c r="A1096" s="1">
        <v>2022</v>
      </c>
      <c r="B1096" s="1">
        <v>41</v>
      </c>
      <c r="C1096" t="s">
        <v>3</v>
      </c>
      <c r="D1096" s="1">
        <v>51</v>
      </c>
      <c r="E1096" t="s">
        <v>6</v>
      </c>
      <c r="F1096" s="1">
        <v>45</v>
      </c>
      <c r="G1096" t="s">
        <v>49</v>
      </c>
      <c r="H1096" s="1">
        <v>83</v>
      </c>
      <c r="I1096" t="s">
        <v>214</v>
      </c>
      <c r="J1096" s="1">
        <v>57</v>
      </c>
      <c r="K1096" s="1">
        <v>199</v>
      </c>
      <c r="L1096" s="1">
        <v>3296</v>
      </c>
      <c r="M1096" s="1">
        <v>32873</v>
      </c>
      <c r="N1096" s="1">
        <v>50114</v>
      </c>
      <c r="O1096" s="1">
        <v>3438234</v>
      </c>
      <c r="P1096" s="1">
        <v>353386</v>
      </c>
      <c r="Q1096" s="1">
        <v>611005</v>
      </c>
      <c r="R1096" s="1">
        <v>36220220</v>
      </c>
      <c r="S1096" s="1">
        <v>41051</v>
      </c>
      <c r="T1096" s="1">
        <v>41051</v>
      </c>
      <c r="U1096" s="1">
        <v>45083</v>
      </c>
      <c r="V1096" s="1">
        <v>1</v>
      </c>
      <c r="W1096" s="1">
        <v>0</v>
      </c>
    </row>
    <row r="1097">
      <c r="A1097" s="1">
        <v>2022</v>
      </c>
      <c r="B1097" s="1">
        <v>41</v>
      </c>
      <c r="C1097" t="s">
        <v>3</v>
      </c>
      <c r="D1097" s="1">
        <v>51</v>
      </c>
      <c r="E1097" t="s">
        <v>6</v>
      </c>
      <c r="F1097" s="1">
        <v>47</v>
      </c>
      <c r="G1097" t="s">
        <v>35</v>
      </c>
      <c r="H1097" s="1">
        <v>37</v>
      </c>
      <c r="I1097" t="s">
        <v>147</v>
      </c>
      <c r="J1097" s="1">
        <v>58</v>
      </c>
      <c r="K1097" s="1">
        <v>67</v>
      </c>
      <c r="L1097" s="1">
        <v>4196</v>
      </c>
      <c r="M1097" s="1">
        <v>32873</v>
      </c>
      <c r="N1097" s="1">
        <v>50114</v>
      </c>
      <c r="O1097" s="1">
        <v>3438234</v>
      </c>
      <c r="P1097" s="1">
        <v>353386</v>
      </c>
      <c r="Q1097" s="1">
        <v>611005</v>
      </c>
      <c r="R1097" s="1">
        <v>36220220</v>
      </c>
      <c r="S1097" s="1">
        <v>41051</v>
      </c>
      <c r="T1097" s="1">
        <v>41051</v>
      </c>
      <c r="U1097" s="1">
        <v>47037</v>
      </c>
      <c r="V1097" s="1">
        <v>1</v>
      </c>
      <c r="W1097" s="1">
        <v>0</v>
      </c>
    </row>
    <row r="1098">
      <c r="A1098" s="1">
        <v>2022</v>
      </c>
      <c r="B1098" s="1">
        <v>41</v>
      </c>
      <c r="C1098" t="s">
        <v>3</v>
      </c>
      <c r="D1098" s="1">
        <v>51</v>
      </c>
      <c r="E1098" t="s">
        <v>6</v>
      </c>
      <c r="F1098" s="1">
        <v>47</v>
      </c>
      <c r="G1098" t="s">
        <v>35</v>
      </c>
      <c r="H1098" s="1">
        <v>93</v>
      </c>
      <c r="I1098" t="s">
        <v>148</v>
      </c>
      <c r="J1098" s="1">
        <v>22</v>
      </c>
      <c r="K1098" s="1">
        <v>41</v>
      </c>
      <c r="L1098" s="1">
        <v>1931</v>
      </c>
      <c r="M1098" s="1">
        <v>32873</v>
      </c>
      <c r="N1098" s="1">
        <v>50114</v>
      </c>
      <c r="O1098" s="1">
        <v>3438234</v>
      </c>
      <c r="P1098" s="1">
        <v>353386</v>
      </c>
      <c r="Q1098" s="1">
        <v>611005</v>
      </c>
      <c r="R1098" s="1">
        <v>36220220</v>
      </c>
      <c r="S1098" s="1">
        <v>41051</v>
      </c>
      <c r="T1098" s="1">
        <v>41051</v>
      </c>
      <c r="U1098" s="1">
        <v>47093</v>
      </c>
      <c r="V1098" s="1">
        <v>1</v>
      </c>
      <c r="W1098" s="1">
        <v>0</v>
      </c>
    </row>
    <row r="1099">
      <c r="A1099" s="1">
        <v>2022</v>
      </c>
      <c r="B1099" s="1">
        <v>41</v>
      </c>
      <c r="C1099" t="s">
        <v>3</v>
      </c>
      <c r="D1099" s="1">
        <v>51</v>
      </c>
      <c r="E1099" t="s">
        <v>6</v>
      </c>
      <c r="F1099" s="1">
        <v>48</v>
      </c>
      <c r="G1099" t="s">
        <v>36</v>
      </c>
      <c r="H1099" s="1">
        <v>29</v>
      </c>
      <c r="I1099" t="s">
        <v>149</v>
      </c>
      <c r="J1099" s="1">
        <v>78</v>
      </c>
      <c r="K1099" s="1">
        <v>121</v>
      </c>
      <c r="L1099" s="1">
        <v>5255</v>
      </c>
      <c r="M1099" s="1">
        <v>32873</v>
      </c>
      <c r="N1099" s="1">
        <v>50114</v>
      </c>
      <c r="O1099" s="1">
        <v>3438234</v>
      </c>
      <c r="P1099" s="1">
        <v>353386</v>
      </c>
      <c r="Q1099" s="1">
        <v>611005</v>
      </c>
      <c r="R1099" s="1">
        <v>36220220</v>
      </c>
      <c r="S1099" s="1">
        <v>41051</v>
      </c>
      <c r="T1099" s="1">
        <v>41051</v>
      </c>
      <c r="U1099" s="1">
        <v>48029</v>
      </c>
      <c r="V1099" s="1">
        <v>1</v>
      </c>
      <c r="W1099" s="1">
        <v>0</v>
      </c>
    </row>
    <row r="1100">
      <c r="A1100" s="1">
        <v>2022</v>
      </c>
      <c r="B1100" s="1">
        <v>41</v>
      </c>
      <c r="C1100" t="s">
        <v>3</v>
      </c>
      <c r="D1100" s="1">
        <v>51</v>
      </c>
      <c r="E1100" t="s">
        <v>6</v>
      </c>
      <c r="F1100" s="1">
        <v>48</v>
      </c>
      <c r="G1100" t="s">
        <v>36</v>
      </c>
      <c r="H1100" s="1">
        <v>85</v>
      </c>
      <c r="I1100" t="s">
        <v>216</v>
      </c>
      <c r="J1100" s="1">
        <v>48</v>
      </c>
      <c r="K1100" s="1">
        <v>79</v>
      </c>
      <c r="L1100" s="1">
        <v>4525</v>
      </c>
      <c r="M1100" s="1">
        <v>32873</v>
      </c>
      <c r="N1100" s="1">
        <v>50114</v>
      </c>
      <c r="O1100" s="1">
        <v>3438234</v>
      </c>
      <c r="P1100" s="1">
        <v>353386</v>
      </c>
      <c r="Q1100" s="1">
        <v>611005</v>
      </c>
      <c r="R1100" s="1">
        <v>36220220</v>
      </c>
      <c r="S1100" s="1">
        <v>41051</v>
      </c>
      <c r="T1100" s="1">
        <v>41051</v>
      </c>
      <c r="U1100" s="1">
        <v>48085</v>
      </c>
      <c r="V1100" s="1">
        <v>1</v>
      </c>
      <c r="W1100" s="1">
        <v>0</v>
      </c>
    </row>
    <row r="1101">
      <c r="A1101" s="1">
        <v>2022</v>
      </c>
      <c r="B1101" s="1">
        <v>41</v>
      </c>
      <c r="C1101" t="s">
        <v>3</v>
      </c>
      <c r="D1101" s="1">
        <v>51</v>
      </c>
      <c r="E1101" t="s">
        <v>6</v>
      </c>
      <c r="F1101" s="1">
        <v>48</v>
      </c>
      <c r="G1101" t="s">
        <v>36</v>
      </c>
      <c r="H1101" s="1">
        <v>113</v>
      </c>
      <c r="I1101" t="s">
        <v>150</v>
      </c>
      <c r="J1101" s="1">
        <v>111</v>
      </c>
      <c r="K1101" s="1">
        <v>159</v>
      </c>
      <c r="L1101" s="1">
        <v>14180</v>
      </c>
      <c r="M1101" s="1">
        <v>32873</v>
      </c>
      <c r="N1101" s="1">
        <v>50114</v>
      </c>
      <c r="O1101" s="1">
        <v>3438234</v>
      </c>
      <c r="P1101" s="1">
        <v>353386</v>
      </c>
      <c r="Q1101" s="1">
        <v>611005</v>
      </c>
      <c r="R1101" s="1">
        <v>36220220</v>
      </c>
      <c r="S1101" s="1">
        <v>41051</v>
      </c>
      <c r="T1101" s="1">
        <v>41051</v>
      </c>
      <c r="U1101" s="1">
        <v>48113</v>
      </c>
      <c r="V1101" s="1">
        <v>1</v>
      </c>
      <c r="W1101" s="1">
        <v>0</v>
      </c>
    </row>
    <row r="1102">
      <c r="A1102" s="1">
        <v>2022</v>
      </c>
      <c r="B1102" s="1">
        <v>41</v>
      </c>
      <c r="C1102" t="s">
        <v>3</v>
      </c>
      <c r="D1102" s="1">
        <v>51</v>
      </c>
      <c r="E1102" t="s">
        <v>6</v>
      </c>
      <c r="F1102" s="1">
        <v>48</v>
      </c>
      <c r="G1102" t="s">
        <v>36</v>
      </c>
      <c r="H1102" s="1">
        <v>121</v>
      </c>
      <c r="I1102" t="s">
        <v>234</v>
      </c>
      <c r="J1102" s="1">
        <v>40</v>
      </c>
      <c r="K1102" s="1">
        <v>66</v>
      </c>
      <c r="L1102" s="1">
        <v>3016</v>
      </c>
      <c r="M1102" s="1">
        <v>32873</v>
      </c>
      <c r="N1102" s="1">
        <v>50114</v>
      </c>
      <c r="O1102" s="1">
        <v>3438234</v>
      </c>
      <c r="P1102" s="1">
        <v>353386</v>
      </c>
      <c r="Q1102" s="1">
        <v>611005</v>
      </c>
      <c r="R1102" s="1">
        <v>36220220</v>
      </c>
      <c r="S1102" s="1">
        <v>41051</v>
      </c>
      <c r="T1102" s="1">
        <v>41051</v>
      </c>
      <c r="U1102" s="1">
        <v>48121</v>
      </c>
      <c r="V1102" s="1">
        <v>1</v>
      </c>
      <c r="W1102" s="1">
        <v>0</v>
      </c>
    </row>
    <row r="1103">
      <c r="A1103" s="1">
        <v>2022</v>
      </c>
      <c r="B1103" s="1">
        <v>41</v>
      </c>
      <c r="C1103" t="s">
        <v>3</v>
      </c>
      <c r="D1103" s="1">
        <v>51</v>
      </c>
      <c r="E1103" t="s">
        <v>6</v>
      </c>
      <c r="F1103" s="1">
        <v>48</v>
      </c>
      <c r="G1103" t="s">
        <v>36</v>
      </c>
      <c r="H1103" s="1">
        <v>157</v>
      </c>
      <c r="I1103" t="s">
        <v>253</v>
      </c>
      <c r="J1103" s="1">
        <v>22</v>
      </c>
      <c r="K1103" s="1">
        <v>46</v>
      </c>
      <c r="L1103" s="1">
        <v>1603</v>
      </c>
      <c r="M1103" s="1">
        <v>32873</v>
      </c>
      <c r="N1103" s="1">
        <v>50114</v>
      </c>
      <c r="O1103" s="1">
        <v>3438234</v>
      </c>
      <c r="P1103" s="1">
        <v>353386</v>
      </c>
      <c r="Q1103" s="1">
        <v>611005</v>
      </c>
      <c r="R1103" s="1">
        <v>36220220</v>
      </c>
      <c r="S1103" s="1">
        <v>41051</v>
      </c>
      <c r="T1103" s="1">
        <v>41051</v>
      </c>
      <c r="U1103" s="1">
        <v>48157</v>
      </c>
      <c r="V1103" s="1">
        <v>1</v>
      </c>
      <c r="W1103" s="1">
        <v>0</v>
      </c>
    </row>
    <row r="1104">
      <c r="A1104" s="1">
        <v>2022</v>
      </c>
      <c r="B1104" s="1">
        <v>41</v>
      </c>
      <c r="C1104" t="s">
        <v>3</v>
      </c>
      <c r="D1104" s="1">
        <v>51</v>
      </c>
      <c r="E1104" t="s">
        <v>6</v>
      </c>
      <c r="F1104" s="1">
        <v>48</v>
      </c>
      <c r="G1104" t="s">
        <v>36</v>
      </c>
      <c r="H1104" s="1">
        <v>201</v>
      </c>
      <c r="I1104" t="s">
        <v>151</v>
      </c>
      <c r="J1104" s="1">
        <v>140</v>
      </c>
      <c r="K1104" s="1">
        <v>208</v>
      </c>
      <c r="L1104" s="1">
        <v>11200</v>
      </c>
      <c r="M1104" s="1">
        <v>32873</v>
      </c>
      <c r="N1104" s="1">
        <v>50114</v>
      </c>
      <c r="O1104" s="1">
        <v>3438234</v>
      </c>
      <c r="P1104" s="1">
        <v>353386</v>
      </c>
      <c r="Q1104" s="1">
        <v>611005</v>
      </c>
      <c r="R1104" s="1">
        <v>36220220</v>
      </c>
      <c r="S1104" s="1">
        <v>41051</v>
      </c>
      <c r="T1104" s="1">
        <v>41051</v>
      </c>
      <c r="U1104" s="1">
        <v>48201</v>
      </c>
      <c r="V1104" s="1">
        <v>1</v>
      </c>
      <c r="W1104" s="1">
        <v>0</v>
      </c>
    </row>
    <row r="1105">
      <c r="A1105" s="1">
        <v>2022</v>
      </c>
      <c r="B1105" s="1">
        <v>41</v>
      </c>
      <c r="C1105" t="s">
        <v>3</v>
      </c>
      <c r="D1105" s="1">
        <v>51</v>
      </c>
      <c r="E1105" t="s">
        <v>6</v>
      </c>
      <c r="F1105" s="1">
        <v>48</v>
      </c>
      <c r="G1105" t="s">
        <v>36</v>
      </c>
      <c r="H1105" s="1">
        <v>339</v>
      </c>
      <c r="I1105" t="s">
        <v>103</v>
      </c>
      <c r="J1105" s="1">
        <v>21</v>
      </c>
      <c r="K1105" s="1">
        <v>47</v>
      </c>
      <c r="L1105" s="1">
        <v>2236</v>
      </c>
      <c r="M1105" s="1">
        <v>32873</v>
      </c>
      <c r="N1105" s="1">
        <v>50114</v>
      </c>
      <c r="O1105" s="1">
        <v>3438234</v>
      </c>
      <c r="P1105" s="1">
        <v>353386</v>
      </c>
      <c r="Q1105" s="1">
        <v>611005</v>
      </c>
      <c r="R1105" s="1">
        <v>36220220</v>
      </c>
      <c r="S1105" s="1">
        <v>41051</v>
      </c>
      <c r="T1105" s="1">
        <v>41051</v>
      </c>
      <c r="U1105" s="1">
        <v>48339</v>
      </c>
      <c r="V1105" s="1">
        <v>1</v>
      </c>
      <c r="W1105" s="1">
        <v>0</v>
      </c>
    </row>
    <row r="1106">
      <c r="A1106" s="1">
        <v>2022</v>
      </c>
      <c r="B1106" s="1">
        <v>41</v>
      </c>
      <c r="C1106" t="s">
        <v>3</v>
      </c>
      <c r="D1106" s="1">
        <v>51</v>
      </c>
      <c r="E1106" t="s">
        <v>6</v>
      </c>
      <c r="F1106" s="1">
        <v>48</v>
      </c>
      <c r="G1106" t="s">
        <v>36</v>
      </c>
      <c r="H1106" s="1">
        <v>439</v>
      </c>
      <c r="I1106" t="s">
        <v>152</v>
      </c>
      <c r="J1106" s="1">
        <v>58</v>
      </c>
      <c r="K1106" s="1">
        <v>112</v>
      </c>
      <c r="L1106" s="1">
        <v>6008</v>
      </c>
      <c r="M1106" s="1">
        <v>32873</v>
      </c>
      <c r="N1106" s="1">
        <v>50114</v>
      </c>
      <c r="O1106" s="1">
        <v>3438234</v>
      </c>
      <c r="P1106" s="1">
        <v>353386</v>
      </c>
      <c r="Q1106" s="1">
        <v>611005</v>
      </c>
      <c r="R1106" s="1">
        <v>36220220</v>
      </c>
      <c r="S1106" s="1">
        <v>41051</v>
      </c>
      <c r="T1106" s="1">
        <v>41051</v>
      </c>
      <c r="U1106" s="1">
        <v>48439</v>
      </c>
      <c r="V1106" s="1">
        <v>1</v>
      </c>
      <c r="W1106" s="1">
        <v>0</v>
      </c>
    </row>
    <row r="1107">
      <c r="A1107" s="1">
        <v>2022</v>
      </c>
      <c r="B1107" s="1">
        <v>41</v>
      </c>
      <c r="C1107" t="s">
        <v>3</v>
      </c>
      <c r="D1107" s="1">
        <v>51</v>
      </c>
      <c r="E1107" t="s">
        <v>6</v>
      </c>
      <c r="F1107" s="1">
        <v>48</v>
      </c>
      <c r="G1107" t="s">
        <v>36</v>
      </c>
      <c r="H1107" s="1">
        <v>453</v>
      </c>
      <c r="I1107" t="s">
        <v>153</v>
      </c>
      <c r="J1107" s="1">
        <v>187</v>
      </c>
      <c r="K1107" s="1">
        <v>239</v>
      </c>
      <c r="L1107" s="1">
        <v>20002</v>
      </c>
      <c r="M1107" s="1">
        <v>32873</v>
      </c>
      <c r="N1107" s="1">
        <v>50114</v>
      </c>
      <c r="O1107" s="1">
        <v>3438234</v>
      </c>
      <c r="P1107" s="1">
        <v>353386</v>
      </c>
      <c r="Q1107" s="1">
        <v>611005</v>
      </c>
      <c r="R1107" s="1">
        <v>36220220</v>
      </c>
      <c r="S1107" s="1">
        <v>41051</v>
      </c>
      <c r="T1107" s="1">
        <v>41051</v>
      </c>
      <c r="U1107" s="1">
        <v>48453</v>
      </c>
      <c r="V1107" s="1">
        <v>1</v>
      </c>
      <c r="W1107" s="1">
        <v>0</v>
      </c>
    </row>
    <row r="1108">
      <c r="A1108" s="1">
        <v>2022</v>
      </c>
      <c r="B1108" s="1">
        <v>41</v>
      </c>
      <c r="C1108" t="s">
        <v>3</v>
      </c>
      <c r="D1108" s="1">
        <v>51</v>
      </c>
      <c r="E1108" t="s">
        <v>6</v>
      </c>
      <c r="F1108" s="1">
        <v>48</v>
      </c>
      <c r="G1108" t="s">
        <v>36</v>
      </c>
      <c r="H1108" s="1">
        <v>491</v>
      </c>
      <c r="I1108" t="s">
        <v>217</v>
      </c>
      <c r="J1108" s="1">
        <v>31</v>
      </c>
      <c r="K1108" s="1">
        <v>54</v>
      </c>
      <c r="L1108" s="1">
        <v>4133</v>
      </c>
      <c r="M1108" s="1">
        <v>32873</v>
      </c>
      <c r="N1108" s="1">
        <v>50114</v>
      </c>
      <c r="O1108" s="1">
        <v>3438234</v>
      </c>
      <c r="P1108" s="1">
        <v>353386</v>
      </c>
      <c r="Q1108" s="1">
        <v>611005</v>
      </c>
      <c r="R1108" s="1">
        <v>36220220</v>
      </c>
      <c r="S1108" s="1">
        <v>41051</v>
      </c>
      <c r="T1108" s="1">
        <v>41051</v>
      </c>
      <c r="U1108" s="1">
        <v>48491</v>
      </c>
      <c r="V1108" s="1">
        <v>1</v>
      </c>
      <c r="W1108" s="1">
        <v>0</v>
      </c>
    </row>
    <row r="1109">
      <c r="A1109" s="1">
        <v>2022</v>
      </c>
      <c r="B1109" s="1">
        <v>41</v>
      </c>
      <c r="C1109" t="s">
        <v>3</v>
      </c>
      <c r="D1109" s="1">
        <v>51</v>
      </c>
      <c r="E1109" t="s">
        <v>6</v>
      </c>
      <c r="F1109" s="1">
        <v>49</v>
      </c>
      <c r="G1109" t="s">
        <v>37</v>
      </c>
      <c r="H1109" s="1">
        <v>35</v>
      </c>
      <c r="I1109" t="s">
        <v>154</v>
      </c>
      <c r="J1109" s="1">
        <v>121</v>
      </c>
      <c r="K1109" s="1">
        <v>169</v>
      </c>
      <c r="L1109" s="1">
        <v>7953</v>
      </c>
      <c r="M1109" s="1">
        <v>32873</v>
      </c>
      <c r="N1109" s="1">
        <v>50114</v>
      </c>
      <c r="O1109" s="1">
        <v>3438234</v>
      </c>
      <c r="P1109" s="1">
        <v>353386</v>
      </c>
      <c r="Q1109" s="1">
        <v>611005</v>
      </c>
      <c r="R1109" s="1">
        <v>36220220</v>
      </c>
      <c r="S1109" s="1">
        <v>41051</v>
      </c>
      <c r="T1109" s="1">
        <v>41051</v>
      </c>
      <c r="U1109" s="1">
        <v>49035</v>
      </c>
      <c r="V1109" s="1">
        <v>1</v>
      </c>
      <c r="W1109" s="1">
        <v>0</v>
      </c>
    </row>
    <row r="1110">
      <c r="A1110" s="1">
        <v>2022</v>
      </c>
      <c r="B1110" s="1">
        <v>41</v>
      </c>
      <c r="C1110" t="s">
        <v>3</v>
      </c>
      <c r="D1110" s="1">
        <v>51</v>
      </c>
      <c r="E1110" t="s">
        <v>6</v>
      </c>
      <c r="F1110" s="1">
        <v>49</v>
      </c>
      <c r="G1110" t="s">
        <v>37</v>
      </c>
      <c r="H1110" s="1">
        <v>49</v>
      </c>
      <c r="I1110" t="s">
        <v>219</v>
      </c>
      <c r="J1110" s="1">
        <v>37</v>
      </c>
      <c r="K1110" s="1">
        <v>66</v>
      </c>
      <c r="L1110" s="1">
        <v>1897</v>
      </c>
      <c r="M1110" s="1">
        <v>32873</v>
      </c>
      <c r="N1110" s="1">
        <v>50114</v>
      </c>
      <c r="O1110" s="1">
        <v>3438234</v>
      </c>
      <c r="P1110" s="1">
        <v>353386</v>
      </c>
      <c r="Q1110" s="1">
        <v>611005</v>
      </c>
      <c r="R1110" s="1">
        <v>36220220</v>
      </c>
      <c r="S1110" s="1">
        <v>41051</v>
      </c>
      <c r="T1110" s="1">
        <v>41051</v>
      </c>
      <c r="U1110" s="1">
        <v>49049</v>
      </c>
      <c r="V1110" s="1">
        <v>1</v>
      </c>
      <c r="W1110" s="1">
        <v>0</v>
      </c>
    </row>
    <row r="1111">
      <c r="A1111" s="1">
        <v>2022</v>
      </c>
      <c r="B1111" s="1">
        <v>41</v>
      </c>
      <c r="C1111" t="s">
        <v>3</v>
      </c>
      <c r="D1111" s="1">
        <v>51</v>
      </c>
      <c r="E1111" t="s">
        <v>6</v>
      </c>
      <c r="F1111" s="1">
        <v>51</v>
      </c>
      <c r="G1111" t="s">
        <v>39</v>
      </c>
      <c r="H1111" s="1">
        <v>59</v>
      </c>
      <c r="I1111" t="s">
        <v>156</v>
      </c>
      <c r="J1111" s="1">
        <v>31</v>
      </c>
      <c r="K1111" s="1">
        <v>46</v>
      </c>
      <c r="L1111" s="1">
        <v>3224</v>
      </c>
      <c r="M1111" s="1">
        <v>32873</v>
      </c>
      <c r="N1111" s="1">
        <v>50114</v>
      </c>
      <c r="O1111" s="1">
        <v>3438234</v>
      </c>
      <c r="P1111" s="1">
        <v>353386</v>
      </c>
      <c r="Q1111" s="1">
        <v>611005</v>
      </c>
      <c r="R1111" s="1">
        <v>36220220</v>
      </c>
      <c r="S1111" s="1">
        <v>41051</v>
      </c>
      <c r="T1111" s="1">
        <v>41051</v>
      </c>
      <c r="U1111" s="1">
        <v>51059</v>
      </c>
      <c r="V1111" s="1">
        <v>1</v>
      </c>
      <c r="W1111" s="1">
        <v>0</v>
      </c>
    </row>
    <row r="1112">
      <c r="A1112" s="1">
        <v>2022</v>
      </c>
      <c r="B1112" s="1">
        <v>41</v>
      </c>
      <c r="C1112" t="s">
        <v>3</v>
      </c>
      <c r="D1112" s="1">
        <v>51</v>
      </c>
      <c r="E1112" t="s">
        <v>6</v>
      </c>
      <c r="F1112" s="1">
        <v>53</v>
      </c>
      <c r="G1112" t="s">
        <v>40</v>
      </c>
      <c r="H1112" s="1">
        <v>5</v>
      </c>
      <c r="I1112" t="s">
        <v>124</v>
      </c>
      <c r="J1112" s="1">
        <v>54</v>
      </c>
      <c r="K1112" s="1">
        <v>78</v>
      </c>
      <c r="L1112" s="1">
        <v>3923</v>
      </c>
      <c r="M1112" s="1">
        <v>32873</v>
      </c>
      <c r="N1112" s="1">
        <v>50114</v>
      </c>
      <c r="O1112" s="1">
        <v>3438234</v>
      </c>
      <c r="P1112" s="1">
        <v>353386</v>
      </c>
      <c r="Q1112" s="1">
        <v>611005</v>
      </c>
      <c r="R1112" s="1">
        <v>36220220</v>
      </c>
      <c r="S1112" s="1">
        <v>41051</v>
      </c>
      <c r="T1112" s="1">
        <v>41051</v>
      </c>
      <c r="U1112" s="1">
        <v>53005</v>
      </c>
      <c r="V1112" s="1">
        <v>1</v>
      </c>
      <c r="W1112" s="1">
        <v>0</v>
      </c>
    </row>
    <row r="1113">
      <c r="A1113" s="1">
        <v>2022</v>
      </c>
      <c r="B1113" s="1">
        <v>41</v>
      </c>
      <c r="C1113" t="s">
        <v>3</v>
      </c>
      <c r="D1113" s="1">
        <v>51</v>
      </c>
      <c r="E1113" t="s">
        <v>6</v>
      </c>
      <c r="F1113" s="1">
        <v>53</v>
      </c>
      <c r="G1113" t="s">
        <v>40</v>
      </c>
      <c r="H1113" s="1">
        <v>9</v>
      </c>
      <c r="I1113" t="s">
        <v>222</v>
      </c>
      <c r="J1113" s="1">
        <v>32</v>
      </c>
      <c r="K1113" s="1">
        <v>47</v>
      </c>
      <c r="L1113" s="1">
        <v>2550</v>
      </c>
      <c r="M1113" s="1">
        <v>32873</v>
      </c>
      <c r="N1113" s="1">
        <v>50114</v>
      </c>
      <c r="O1113" s="1">
        <v>3438234</v>
      </c>
      <c r="P1113" s="1">
        <v>353386</v>
      </c>
      <c r="Q1113" s="1">
        <v>611005</v>
      </c>
      <c r="R1113" s="1">
        <v>36220220</v>
      </c>
      <c r="S1113" s="1">
        <v>41051</v>
      </c>
      <c r="T1113" s="1">
        <v>41051</v>
      </c>
      <c r="U1113" s="1">
        <v>53009</v>
      </c>
      <c r="V1113" s="1">
        <v>1</v>
      </c>
      <c r="W1113" s="1">
        <v>0</v>
      </c>
    </row>
    <row r="1114">
      <c r="A1114" s="1">
        <v>2022</v>
      </c>
      <c r="B1114" s="1">
        <v>41</v>
      </c>
      <c r="C1114" t="s">
        <v>3</v>
      </c>
      <c r="D1114" s="1">
        <v>51</v>
      </c>
      <c r="E1114" t="s">
        <v>6</v>
      </c>
      <c r="F1114" s="1">
        <v>53</v>
      </c>
      <c r="G1114" t="s">
        <v>40</v>
      </c>
      <c r="H1114" s="1">
        <v>11</v>
      </c>
      <c r="I1114" t="s">
        <v>112</v>
      </c>
      <c r="J1114" s="1">
        <v>3202</v>
      </c>
      <c r="K1114" s="1">
        <v>5172</v>
      </c>
      <c r="L1114" s="1">
        <v>428664</v>
      </c>
      <c r="M1114" s="1">
        <v>32873</v>
      </c>
      <c r="N1114" s="1">
        <v>50114</v>
      </c>
      <c r="O1114" s="1">
        <v>3438234</v>
      </c>
      <c r="P1114" s="1">
        <v>353386</v>
      </c>
      <c r="Q1114" s="1">
        <v>611005</v>
      </c>
      <c r="R1114" s="1">
        <v>36220220</v>
      </c>
      <c r="S1114" s="1">
        <v>41051</v>
      </c>
      <c r="T1114" s="1">
        <v>41051</v>
      </c>
      <c r="U1114" s="1">
        <v>53011</v>
      </c>
      <c r="V1114" s="1">
        <v>1</v>
      </c>
      <c r="W1114" s="1">
        <v>0</v>
      </c>
    </row>
    <row r="1115">
      <c r="A1115" s="1">
        <v>2022</v>
      </c>
      <c r="B1115" s="1">
        <v>41</v>
      </c>
      <c r="C1115" t="s">
        <v>3</v>
      </c>
      <c r="D1115" s="1">
        <v>51</v>
      </c>
      <c r="E1115" t="s">
        <v>6</v>
      </c>
      <c r="F1115" s="1">
        <v>53</v>
      </c>
      <c r="G1115" t="s">
        <v>40</v>
      </c>
      <c r="H1115" s="1">
        <v>15</v>
      </c>
      <c r="I1115" t="s">
        <v>157</v>
      </c>
      <c r="J1115" s="1">
        <v>180</v>
      </c>
      <c r="K1115" s="1">
        <v>284</v>
      </c>
      <c r="L1115" s="1">
        <v>15562</v>
      </c>
      <c r="M1115" s="1">
        <v>32873</v>
      </c>
      <c r="N1115" s="1">
        <v>50114</v>
      </c>
      <c r="O1115" s="1">
        <v>3438234</v>
      </c>
      <c r="P1115" s="1">
        <v>353386</v>
      </c>
      <c r="Q1115" s="1">
        <v>611005</v>
      </c>
      <c r="R1115" s="1">
        <v>36220220</v>
      </c>
      <c r="S1115" s="1">
        <v>41051</v>
      </c>
      <c r="T1115" s="1">
        <v>41051</v>
      </c>
      <c r="U1115" s="1">
        <v>53015</v>
      </c>
      <c r="V1115" s="1">
        <v>1</v>
      </c>
      <c r="W1115" s="1">
        <v>0</v>
      </c>
    </row>
    <row r="1116">
      <c r="A1116" s="1">
        <v>2022</v>
      </c>
      <c r="B1116" s="1">
        <v>41</v>
      </c>
      <c r="C1116" t="s">
        <v>3</v>
      </c>
      <c r="D1116" s="1">
        <v>51</v>
      </c>
      <c r="E1116" t="s">
        <v>6</v>
      </c>
      <c r="F1116" s="1">
        <v>53</v>
      </c>
      <c r="G1116" t="s">
        <v>40</v>
      </c>
      <c r="H1116" s="1">
        <v>29</v>
      </c>
      <c r="I1116" t="s">
        <v>159</v>
      </c>
      <c r="J1116" s="1">
        <v>26</v>
      </c>
      <c r="K1116" s="1">
        <v>36</v>
      </c>
      <c r="L1116" s="1">
        <v>2119</v>
      </c>
      <c r="M1116" s="1">
        <v>32873</v>
      </c>
      <c r="N1116" s="1">
        <v>50114</v>
      </c>
      <c r="O1116" s="1">
        <v>3438234</v>
      </c>
      <c r="P1116" s="1">
        <v>353386</v>
      </c>
      <c r="Q1116" s="1">
        <v>611005</v>
      </c>
      <c r="R1116" s="1">
        <v>36220220</v>
      </c>
      <c r="S1116" s="1">
        <v>41051</v>
      </c>
      <c r="T1116" s="1">
        <v>41051</v>
      </c>
      <c r="U1116" s="1">
        <v>53029</v>
      </c>
      <c r="V1116" s="1">
        <v>1</v>
      </c>
      <c r="W1116" s="1">
        <v>0</v>
      </c>
    </row>
    <row r="1117">
      <c r="A1117" s="1">
        <v>2022</v>
      </c>
      <c r="B1117" s="1">
        <v>41</v>
      </c>
      <c r="C1117" t="s">
        <v>3</v>
      </c>
      <c r="D1117" s="1">
        <v>51</v>
      </c>
      <c r="E1117" t="s">
        <v>6</v>
      </c>
      <c r="F1117" s="1">
        <v>53</v>
      </c>
      <c r="G1117" t="s">
        <v>40</v>
      </c>
      <c r="H1117" s="1">
        <v>31</v>
      </c>
      <c r="I1117" t="s">
        <v>83</v>
      </c>
      <c r="J1117" s="1">
        <v>42</v>
      </c>
      <c r="K1117" s="1">
        <v>73</v>
      </c>
      <c r="L1117" s="1">
        <v>4564</v>
      </c>
      <c r="M1117" s="1">
        <v>32873</v>
      </c>
      <c r="N1117" s="1">
        <v>50114</v>
      </c>
      <c r="O1117" s="1">
        <v>3438234</v>
      </c>
      <c r="P1117" s="1">
        <v>353386</v>
      </c>
      <c r="Q1117" s="1">
        <v>611005</v>
      </c>
      <c r="R1117" s="1">
        <v>36220220</v>
      </c>
      <c r="S1117" s="1">
        <v>41051</v>
      </c>
      <c r="T1117" s="1">
        <v>41051</v>
      </c>
      <c r="U1117" s="1">
        <v>53031</v>
      </c>
      <c r="V1117" s="1">
        <v>1</v>
      </c>
      <c r="W1117" s="1">
        <v>0</v>
      </c>
    </row>
    <row r="1118">
      <c r="A1118" s="1">
        <v>2022</v>
      </c>
      <c r="B1118" s="1">
        <v>41</v>
      </c>
      <c r="C1118" t="s">
        <v>3</v>
      </c>
      <c r="D1118" s="1">
        <v>51</v>
      </c>
      <c r="E1118" t="s">
        <v>6</v>
      </c>
      <c r="F1118" s="1">
        <v>53</v>
      </c>
      <c r="G1118" t="s">
        <v>40</v>
      </c>
      <c r="H1118" s="1">
        <v>33</v>
      </c>
      <c r="I1118" t="s">
        <v>160</v>
      </c>
      <c r="J1118" s="1">
        <v>921</v>
      </c>
      <c r="K1118" s="1">
        <v>1160</v>
      </c>
      <c r="L1118" s="1">
        <v>105768</v>
      </c>
      <c r="M1118" s="1">
        <v>32873</v>
      </c>
      <c r="N1118" s="1">
        <v>50114</v>
      </c>
      <c r="O1118" s="1">
        <v>3438234</v>
      </c>
      <c r="P1118" s="1">
        <v>353386</v>
      </c>
      <c r="Q1118" s="1">
        <v>611005</v>
      </c>
      <c r="R1118" s="1">
        <v>36220220</v>
      </c>
      <c r="S1118" s="1">
        <v>41051</v>
      </c>
      <c r="T1118" s="1">
        <v>41051</v>
      </c>
      <c r="U1118" s="1">
        <v>53033</v>
      </c>
      <c r="V1118" s="1">
        <v>1</v>
      </c>
      <c r="W1118" s="1">
        <v>0</v>
      </c>
    </row>
    <row r="1119">
      <c r="A1119" s="1">
        <v>2022</v>
      </c>
      <c r="B1119" s="1">
        <v>41</v>
      </c>
      <c r="C1119" t="s">
        <v>3</v>
      </c>
      <c r="D1119" s="1">
        <v>51</v>
      </c>
      <c r="E1119" t="s">
        <v>6</v>
      </c>
      <c r="F1119" s="1">
        <v>53</v>
      </c>
      <c r="G1119" t="s">
        <v>40</v>
      </c>
      <c r="H1119" s="1">
        <v>35</v>
      </c>
      <c r="I1119" t="s">
        <v>161</v>
      </c>
      <c r="J1119" s="1">
        <v>78</v>
      </c>
      <c r="K1119" s="1">
        <v>123</v>
      </c>
      <c r="L1119" s="1">
        <v>12335</v>
      </c>
      <c r="M1119" s="1">
        <v>32873</v>
      </c>
      <c r="N1119" s="1">
        <v>50114</v>
      </c>
      <c r="O1119" s="1">
        <v>3438234</v>
      </c>
      <c r="P1119" s="1">
        <v>353386</v>
      </c>
      <c r="Q1119" s="1">
        <v>611005</v>
      </c>
      <c r="R1119" s="1">
        <v>36220220</v>
      </c>
      <c r="S1119" s="1">
        <v>41051</v>
      </c>
      <c r="T1119" s="1">
        <v>41051</v>
      </c>
      <c r="U1119" s="1">
        <v>53035</v>
      </c>
      <c r="V1119" s="1">
        <v>1</v>
      </c>
      <c r="W1119" s="1">
        <v>0</v>
      </c>
    </row>
    <row r="1120">
      <c r="A1120" s="1">
        <v>2022</v>
      </c>
      <c r="B1120" s="1">
        <v>41</v>
      </c>
      <c r="C1120" t="s">
        <v>3</v>
      </c>
      <c r="D1120" s="1">
        <v>51</v>
      </c>
      <c r="E1120" t="s">
        <v>6</v>
      </c>
      <c r="F1120" s="1">
        <v>53</v>
      </c>
      <c r="G1120" t="s">
        <v>40</v>
      </c>
      <c r="H1120" s="1">
        <v>39</v>
      </c>
      <c r="I1120" t="s">
        <v>162</v>
      </c>
      <c r="J1120" s="1">
        <v>74</v>
      </c>
      <c r="K1120" s="1">
        <v>121</v>
      </c>
      <c r="L1120" s="1">
        <v>13068</v>
      </c>
      <c r="M1120" s="1">
        <v>32873</v>
      </c>
      <c r="N1120" s="1">
        <v>50114</v>
      </c>
      <c r="O1120" s="1">
        <v>3438234</v>
      </c>
      <c r="P1120" s="1">
        <v>353386</v>
      </c>
      <c r="Q1120" s="1">
        <v>611005</v>
      </c>
      <c r="R1120" s="1">
        <v>36220220</v>
      </c>
      <c r="S1120" s="1">
        <v>41051</v>
      </c>
      <c r="T1120" s="1">
        <v>41051</v>
      </c>
      <c r="U1120" s="1">
        <v>53039</v>
      </c>
      <c r="V1120" s="1">
        <v>1</v>
      </c>
      <c r="W1120" s="1">
        <v>0</v>
      </c>
    </row>
    <row r="1121">
      <c r="A1121" s="1">
        <v>2022</v>
      </c>
      <c r="B1121" s="1">
        <v>41</v>
      </c>
      <c r="C1121" t="s">
        <v>3</v>
      </c>
      <c r="D1121" s="1">
        <v>51</v>
      </c>
      <c r="E1121" t="s">
        <v>6</v>
      </c>
      <c r="F1121" s="1">
        <v>53</v>
      </c>
      <c r="G1121" t="s">
        <v>40</v>
      </c>
      <c r="H1121" s="1">
        <v>41</v>
      </c>
      <c r="I1121" t="s">
        <v>163</v>
      </c>
      <c r="J1121" s="1">
        <v>37</v>
      </c>
      <c r="K1121" s="1">
        <v>70</v>
      </c>
      <c r="L1121" s="1">
        <v>3176</v>
      </c>
      <c r="M1121" s="1">
        <v>32873</v>
      </c>
      <c r="N1121" s="1">
        <v>50114</v>
      </c>
      <c r="O1121" s="1">
        <v>3438234</v>
      </c>
      <c r="P1121" s="1">
        <v>353386</v>
      </c>
      <c r="Q1121" s="1">
        <v>611005</v>
      </c>
      <c r="R1121" s="1">
        <v>36220220</v>
      </c>
      <c r="S1121" s="1">
        <v>41051</v>
      </c>
      <c r="T1121" s="1">
        <v>41051</v>
      </c>
      <c r="U1121" s="1">
        <v>53041</v>
      </c>
      <c r="V1121" s="1">
        <v>1</v>
      </c>
      <c r="W1121" s="1">
        <v>0</v>
      </c>
    </row>
    <row r="1122">
      <c r="A1122" s="1">
        <v>2022</v>
      </c>
      <c r="B1122" s="1">
        <v>41</v>
      </c>
      <c r="C1122" t="s">
        <v>3</v>
      </c>
      <c r="D1122" s="1">
        <v>51</v>
      </c>
      <c r="E1122" t="s">
        <v>6</v>
      </c>
      <c r="F1122" s="1">
        <v>53</v>
      </c>
      <c r="G1122" t="s">
        <v>40</v>
      </c>
      <c r="H1122" s="1">
        <v>49</v>
      </c>
      <c r="I1122" t="s">
        <v>164</v>
      </c>
      <c r="J1122" s="1">
        <v>32</v>
      </c>
      <c r="K1122" s="1">
        <v>46</v>
      </c>
      <c r="L1122" s="1">
        <v>3884</v>
      </c>
      <c r="M1122" s="1">
        <v>32873</v>
      </c>
      <c r="N1122" s="1">
        <v>50114</v>
      </c>
      <c r="O1122" s="1">
        <v>3438234</v>
      </c>
      <c r="P1122" s="1">
        <v>353386</v>
      </c>
      <c r="Q1122" s="1">
        <v>611005</v>
      </c>
      <c r="R1122" s="1">
        <v>36220220</v>
      </c>
      <c r="S1122" s="1">
        <v>41051</v>
      </c>
      <c r="T1122" s="1">
        <v>41051</v>
      </c>
      <c r="U1122" s="1">
        <v>53049</v>
      </c>
      <c r="V1122" s="1">
        <v>1</v>
      </c>
      <c r="W1122" s="1">
        <v>0</v>
      </c>
    </row>
    <row r="1123">
      <c r="A1123" s="1">
        <v>2022</v>
      </c>
      <c r="B1123" s="1">
        <v>41</v>
      </c>
      <c r="C1123" t="s">
        <v>3</v>
      </c>
      <c r="D1123" s="1">
        <v>51</v>
      </c>
      <c r="E1123" t="s">
        <v>6</v>
      </c>
      <c r="F1123" s="1">
        <v>53</v>
      </c>
      <c r="G1123" t="s">
        <v>40</v>
      </c>
      <c r="H1123" s="1">
        <v>53</v>
      </c>
      <c r="I1123" t="s">
        <v>165</v>
      </c>
      <c r="J1123" s="1">
        <v>182</v>
      </c>
      <c r="K1123" s="1">
        <v>287</v>
      </c>
      <c r="L1123" s="1">
        <v>16260</v>
      </c>
      <c r="M1123" s="1">
        <v>32873</v>
      </c>
      <c r="N1123" s="1">
        <v>50114</v>
      </c>
      <c r="O1123" s="1">
        <v>3438234</v>
      </c>
      <c r="P1123" s="1">
        <v>353386</v>
      </c>
      <c r="Q1123" s="1">
        <v>611005</v>
      </c>
      <c r="R1123" s="1">
        <v>36220220</v>
      </c>
      <c r="S1123" s="1">
        <v>41051</v>
      </c>
      <c r="T1123" s="1">
        <v>41051</v>
      </c>
      <c r="U1123" s="1">
        <v>53053</v>
      </c>
      <c r="V1123" s="1">
        <v>1</v>
      </c>
      <c r="W1123" s="1">
        <v>0</v>
      </c>
    </row>
    <row r="1124">
      <c r="A1124" s="1">
        <v>2022</v>
      </c>
      <c r="B1124" s="1">
        <v>41</v>
      </c>
      <c r="C1124" t="s">
        <v>3</v>
      </c>
      <c r="D1124" s="1">
        <v>51</v>
      </c>
      <c r="E1124" t="s">
        <v>6</v>
      </c>
      <c r="F1124" s="1">
        <v>53</v>
      </c>
      <c r="G1124" t="s">
        <v>40</v>
      </c>
      <c r="H1124" s="1">
        <v>57</v>
      </c>
      <c r="I1124" t="s">
        <v>223</v>
      </c>
      <c r="J1124" s="1">
        <v>39</v>
      </c>
      <c r="K1124" s="1">
        <v>62</v>
      </c>
      <c r="L1124" s="1">
        <v>2935</v>
      </c>
      <c r="M1124" s="1">
        <v>32873</v>
      </c>
      <c r="N1124" s="1">
        <v>50114</v>
      </c>
      <c r="O1124" s="1">
        <v>3438234</v>
      </c>
      <c r="P1124" s="1">
        <v>353386</v>
      </c>
      <c r="Q1124" s="1">
        <v>611005</v>
      </c>
      <c r="R1124" s="1">
        <v>36220220</v>
      </c>
      <c r="S1124" s="1">
        <v>41051</v>
      </c>
      <c r="T1124" s="1">
        <v>41051</v>
      </c>
      <c r="U1124" s="1">
        <v>53057</v>
      </c>
      <c r="V1124" s="1">
        <v>1</v>
      </c>
      <c r="W1124" s="1">
        <v>0</v>
      </c>
    </row>
    <row r="1125">
      <c r="A1125" s="1">
        <v>2022</v>
      </c>
      <c r="B1125" s="1">
        <v>41</v>
      </c>
      <c r="C1125" t="s">
        <v>3</v>
      </c>
      <c r="D1125" s="1">
        <v>51</v>
      </c>
      <c r="E1125" t="s">
        <v>6</v>
      </c>
      <c r="F1125" s="1">
        <v>53</v>
      </c>
      <c r="G1125" t="s">
        <v>40</v>
      </c>
      <c r="H1125" s="1">
        <v>59</v>
      </c>
      <c r="I1125" t="s">
        <v>166</v>
      </c>
      <c r="J1125" s="1">
        <v>67</v>
      </c>
      <c r="K1125" s="1">
        <v>107</v>
      </c>
      <c r="L1125" s="1">
        <v>10795</v>
      </c>
      <c r="M1125" s="1">
        <v>32873</v>
      </c>
      <c r="N1125" s="1">
        <v>50114</v>
      </c>
      <c r="O1125" s="1">
        <v>3438234</v>
      </c>
      <c r="P1125" s="1">
        <v>353386</v>
      </c>
      <c r="Q1125" s="1">
        <v>611005</v>
      </c>
      <c r="R1125" s="1">
        <v>36220220</v>
      </c>
      <c r="S1125" s="1">
        <v>41051</v>
      </c>
      <c r="T1125" s="1">
        <v>41051</v>
      </c>
      <c r="U1125" s="1">
        <v>53059</v>
      </c>
      <c r="V1125" s="1">
        <v>1</v>
      </c>
      <c r="W1125" s="1">
        <v>0</v>
      </c>
    </row>
    <row r="1126">
      <c r="A1126" s="1">
        <v>2022</v>
      </c>
      <c r="B1126" s="1">
        <v>41</v>
      </c>
      <c r="C1126" t="s">
        <v>3</v>
      </c>
      <c r="D1126" s="1">
        <v>51</v>
      </c>
      <c r="E1126" t="s">
        <v>6</v>
      </c>
      <c r="F1126" s="1">
        <v>53</v>
      </c>
      <c r="G1126" t="s">
        <v>40</v>
      </c>
      <c r="H1126" s="1">
        <v>61</v>
      </c>
      <c r="I1126" t="s">
        <v>167</v>
      </c>
      <c r="J1126" s="1">
        <v>112</v>
      </c>
      <c r="K1126" s="1">
        <v>165</v>
      </c>
      <c r="L1126" s="1">
        <v>7985</v>
      </c>
      <c r="M1126" s="1">
        <v>32873</v>
      </c>
      <c r="N1126" s="1">
        <v>50114</v>
      </c>
      <c r="O1126" s="1">
        <v>3438234</v>
      </c>
      <c r="P1126" s="1">
        <v>353386</v>
      </c>
      <c r="Q1126" s="1">
        <v>611005</v>
      </c>
      <c r="R1126" s="1">
        <v>36220220</v>
      </c>
      <c r="S1126" s="1">
        <v>41051</v>
      </c>
      <c r="T1126" s="1">
        <v>41051</v>
      </c>
      <c r="U1126" s="1">
        <v>53061</v>
      </c>
      <c r="V1126" s="1">
        <v>1</v>
      </c>
      <c r="W1126" s="1">
        <v>0</v>
      </c>
    </row>
    <row r="1127">
      <c r="A1127" s="1">
        <v>2022</v>
      </c>
      <c r="B1127" s="1">
        <v>41</v>
      </c>
      <c r="C1127" t="s">
        <v>3</v>
      </c>
      <c r="D1127" s="1">
        <v>51</v>
      </c>
      <c r="E1127" t="s">
        <v>6</v>
      </c>
      <c r="F1127" s="1">
        <v>53</v>
      </c>
      <c r="G1127" t="s">
        <v>40</v>
      </c>
      <c r="H1127" s="1">
        <v>63</v>
      </c>
      <c r="I1127" t="s">
        <v>168</v>
      </c>
      <c r="J1127" s="1">
        <v>133</v>
      </c>
      <c r="K1127" s="1">
        <v>190</v>
      </c>
      <c r="L1127" s="1">
        <v>7013</v>
      </c>
      <c r="M1127" s="1">
        <v>32873</v>
      </c>
      <c r="N1127" s="1">
        <v>50114</v>
      </c>
      <c r="O1127" s="1">
        <v>3438234</v>
      </c>
      <c r="P1127" s="1">
        <v>353386</v>
      </c>
      <c r="Q1127" s="1">
        <v>611005</v>
      </c>
      <c r="R1127" s="1">
        <v>36220220</v>
      </c>
      <c r="S1127" s="1">
        <v>41051</v>
      </c>
      <c r="T1127" s="1">
        <v>41051</v>
      </c>
      <c r="U1127" s="1">
        <v>53063</v>
      </c>
      <c r="V1127" s="1">
        <v>1</v>
      </c>
      <c r="W1127" s="1">
        <v>0</v>
      </c>
    </row>
    <row r="1128">
      <c r="A1128" s="1">
        <v>2022</v>
      </c>
      <c r="B1128" s="1">
        <v>41</v>
      </c>
      <c r="C1128" t="s">
        <v>3</v>
      </c>
      <c r="D1128" s="1">
        <v>51</v>
      </c>
      <c r="E1128" t="s">
        <v>6</v>
      </c>
      <c r="F1128" s="1">
        <v>53</v>
      </c>
      <c r="G1128" t="s">
        <v>40</v>
      </c>
      <c r="H1128" s="1">
        <v>67</v>
      </c>
      <c r="I1128" t="s">
        <v>169</v>
      </c>
      <c r="J1128" s="1">
        <v>109</v>
      </c>
      <c r="K1128" s="1">
        <v>154</v>
      </c>
      <c r="L1128" s="1">
        <v>8606</v>
      </c>
      <c r="M1128" s="1">
        <v>32873</v>
      </c>
      <c r="N1128" s="1">
        <v>50114</v>
      </c>
      <c r="O1128" s="1">
        <v>3438234</v>
      </c>
      <c r="P1128" s="1">
        <v>353386</v>
      </c>
      <c r="Q1128" s="1">
        <v>611005</v>
      </c>
      <c r="R1128" s="1">
        <v>36220220</v>
      </c>
      <c r="S1128" s="1">
        <v>41051</v>
      </c>
      <c r="T1128" s="1">
        <v>41051</v>
      </c>
      <c r="U1128" s="1">
        <v>53067</v>
      </c>
      <c r="V1128" s="1">
        <v>1</v>
      </c>
      <c r="W1128" s="1">
        <v>0</v>
      </c>
    </row>
    <row r="1129">
      <c r="A1129" s="1">
        <v>2022</v>
      </c>
      <c r="B1129" s="1">
        <v>41</v>
      </c>
      <c r="C1129" t="s">
        <v>3</v>
      </c>
      <c r="D1129" s="1">
        <v>51</v>
      </c>
      <c r="E1129" t="s">
        <v>6</v>
      </c>
      <c r="F1129" s="1">
        <v>53</v>
      </c>
      <c r="G1129" t="s">
        <v>40</v>
      </c>
      <c r="H1129" s="1">
        <v>71</v>
      </c>
      <c r="I1129" t="s">
        <v>170</v>
      </c>
      <c r="J1129" s="1">
        <v>35</v>
      </c>
      <c r="K1129" s="1">
        <v>46</v>
      </c>
      <c r="L1129" s="1">
        <v>2472</v>
      </c>
      <c r="M1129" s="1">
        <v>32873</v>
      </c>
      <c r="N1129" s="1">
        <v>50114</v>
      </c>
      <c r="O1129" s="1">
        <v>3438234</v>
      </c>
      <c r="P1129" s="1">
        <v>353386</v>
      </c>
      <c r="Q1129" s="1">
        <v>611005</v>
      </c>
      <c r="R1129" s="1">
        <v>36220220</v>
      </c>
      <c r="S1129" s="1">
        <v>41051</v>
      </c>
      <c r="T1129" s="1">
        <v>41051</v>
      </c>
      <c r="U1129" s="1">
        <v>53071</v>
      </c>
      <c r="V1129" s="1">
        <v>1</v>
      </c>
      <c r="W1129" s="1">
        <v>0</v>
      </c>
    </row>
    <row r="1130">
      <c r="A1130" s="1">
        <v>2022</v>
      </c>
      <c r="B1130" s="1">
        <v>41</v>
      </c>
      <c r="C1130" t="s">
        <v>3</v>
      </c>
      <c r="D1130" s="1">
        <v>51</v>
      </c>
      <c r="E1130" t="s">
        <v>6</v>
      </c>
      <c r="F1130" s="1">
        <v>53</v>
      </c>
      <c r="G1130" t="s">
        <v>40</v>
      </c>
      <c r="H1130" s="1">
        <v>73</v>
      </c>
      <c r="I1130" t="s">
        <v>171</v>
      </c>
      <c r="J1130" s="1">
        <v>125</v>
      </c>
      <c r="K1130" s="1">
        <v>172</v>
      </c>
      <c r="L1130" s="1">
        <v>9022</v>
      </c>
      <c r="M1130" s="1">
        <v>32873</v>
      </c>
      <c r="N1130" s="1">
        <v>50114</v>
      </c>
      <c r="O1130" s="1">
        <v>3438234</v>
      </c>
      <c r="P1130" s="1">
        <v>353386</v>
      </c>
      <c r="Q1130" s="1">
        <v>611005</v>
      </c>
      <c r="R1130" s="1">
        <v>36220220</v>
      </c>
      <c r="S1130" s="1">
        <v>41051</v>
      </c>
      <c r="T1130" s="1">
        <v>41051</v>
      </c>
      <c r="U1130" s="1">
        <v>53073</v>
      </c>
      <c r="V1130" s="1">
        <v>1</v>
      </c>
      <c r="W1130" s="1">
        <v>0</v>
      </c>
    </row>
    <row r="1131">
      <c r="A1131" s="1">
        <v>2022</v>
      </c>
      <c r="B1131" s="1">
        <v>41</v>
      </c>
      <c r="C1131" t="s">
        <v>3</v>
      </c>
      <c r="D1131" s="1">
        <v>51</v>
      </c>
      <c r="E1131" t="s">
        <v>6</v>
      </c>
      <c r="F1131" s="1">
        <v>53</v>
      </c>
      <c r="G1131" t="s">
        <v>40</v>
      </c>
      <c r="H1131" s="1">
        <v>77</v>
      </c>
      <c r="I1131" t="s">
        <v>172</v>
      </c>
      <c r="J1131" s="1">
        <v>30</v>
      </c>
      <c r="K1131" s="1">
        <v>53</v>
      </c>
      <c r="L1131" s="1">
        <v>1314</v>
      </c>
      <c r="M1131" s="1">
        <v>32873</v>
      </c>
      <c r="N1131" s="1">
        <v>50114</v>
      </c>
      <c r="O1131" s="1">
        <v>3438234</v>
      </c>
      <c r="P1131" s="1">
        <v>353386</v>
      </c>
      <c r="Q1131" s="1">
        <v>611005</v>
      </c>
      <c r="R1131" s="1">
        <v>36220220</v>
      </c>
      <c r="S1131" s="1">
        <v>41051</v>
      </c>
      <c r="T1131" s="1">
        <v>41051</v>
      </c>
      <c r="U1131" s="1">
        <v>53077</v>
      </c>
      <c r="V1131" s="1">
        <v>1</v>
      </c>
      <c r="W1131" s="1">
        <v>0</v>
      </c>
    </row>
    <row r="1132">
      <c r="A1132" s="1">
        <v>2022</v>
      </c>
      <c r="B1132" s="1">
        <v>41</v>
      </c>
      <c r="C1132" t="s">
        <v>3</v>
      </c>
      <c r="D1132" s="1">
        <v>51</v>
      </c>
      <c r="E1132" t="s">
        <v>6</v>
      </c>
      <c r="F1132" s="1">
        <v>55</v>
      </c>
      <c r="G1132" t="s">
        <v>41</v>
      </c>
      <c r="H1132" s="1">
        <v>25</v>
      </c>
      <c r="I1132" t="s">
        <v>173</v>
      </c>
      <c r="J1132" s="1">
        <v>49</v>
      </c>
      <c r="K1132" s="1">
        <v>77</v>
      </c>
      <c r="L1132" s="1">
        <v>4562</v>
      </c>
      <c r="M1132" s="1">
        <v>32873</v>
      </c>
      <c r="N1132" s="1">
        <v>50114</v>
      </c>
      <c r="O1132" s="1">
        <v>3438234</v>
      </c>
      <c r="P1132" s="1">
        <v>353386</v>
      </c>
      <c r="Q1132" s="1">
        <v>611005</v>
      </c>
      <c r="R1132" s="1">
        <v>36220220</v>
      </c>
      <c r="S1132" s="1">
        <v>41051</v>
      </c>
      <c r="T1132" s="1">
        <v>41051</v>
      </c>
      <c r="U1132" s="1">
        <v>55025</v>
      </c>
      <c r="V1132" s="1">
        <v>1</v>
      </c>
      <c r="W1132" s="1">
        <v>0</v>
      </c>
    </row>
    <row r="1133">
      <c r="A1133" s="1">
        <v>2022</v>
      </c>
      <c r="B1133" s="1">
        <v>41</v>
      </c>
      <c r="C1133" t="s">
        <v>3</v>
      </c>
      <c r="D1133" s="1">
        <v>51</v>
      </c>
      <c r="E1133" t="s">
        <v>6</v>
      </c>
      <c r="F1133" s="1">
        <v>55</v>
      </c>
      <c r="G1133" t="s">
        <v>41</v>
      </c>
      <c r="H1133" s="1">
        <v>79</v>
      </c>
      <c r="I1133" t="s">
        <v>174</v>
      </c>
      <c r="J1133" s="1">
        <v>38</v>
      </c>
      <c r="K1133" s="1">
        <v>53</v>
      </c>
      <c r="L1133" s="1">
        <v>2454</v>
      </c>
      <c r="M1133" s="1">
        <v>32873</v>
      </c>
      <c r="N1133" s="1">
        <v>50114</v>
      </c>
      <c r="O1133" s="1">
        <v>3438234</v>
      </c>
      <c r="P1133" s="1">
        <v>353386</v>
      </c>
      <c r="Q1133" s="1">
        <v>611005</v>
      </c>
      <c r="R1133" s="1">
        <v>36220220</v>
      </c>
      <c r="S1133" s="1">
        <v>41051</v>
      </c>
      <c r="T1133" s="1">
        <v>41051</v>
      </c>
      <c r="U1133" s="1">
        <v>55079</v>
      </c>
      <c r="V1133" s="1">
        <v>1</v>
      </c>
      <c r="W1133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245"/>
  <sheetViews>
    <sheetView workbookViewId="0">
      <selection activeCell="F31" sqref="F31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8</v>
      </c>
      <c r="H1" t="s">
        <v>50</v>
      </c>
      <c r="I1" t="s">
        <v>51</v>
      </c>
      <c r="J1" t="s">
        <v>254</v>
      </c>
      <c r="K1" t="s">
        <v>255</v>
      </c>
      <c r="L1" t="s">
        <v>256</v>
      </c>
      <c r="M1" t="s">
        <v>257</v>
      </c>
      <c r="N1" t="s">
        <v>258</v>
      </c>
      <c r="O1" t="s">
        <v>259</v>
      </c>
      <c r="P1" t="s">
        <v>260</v>
      </c>
      <c r="Q1" t="s">
        <v>261</v>
      </c>
      <c r="R1" t="s">
        <v>262</v>
      </c>
      <c r="S1" t="s">
        <v>263</v>
      </c>
      <c r="T1" t="s">
        <v>264</v>
      </c>
      <c r="U1" t="s">
        <v>265</v>
      </c>
      <c r="V1" t="s">
        <v>266</v>
      </c>
      <c r="W1" t="s">
        <v>267</v>
      </c>
    </row>
    <row r="2">
      <c r="A2" s="1">
        <v>2016</v>
      </c>
      <c r="B2" s="1">
        <v>2</v>
      </c>
      <c r="C2" t="s">
        <v>9</v>
      </c>
      <c r="D2" s="1">
        <v>20</v>
      </c>
      <c r="E2" t="s">
        <v>52</v>
      </c>
      <c r="F2" s="1">
        <v>41</v>
      </c>
      <c r="G2" t="s">
        <v>3</v>
      </c>
      <c r="H2" s="1">
        <v>51</v>
      </c>
      <c r="I2" t="s">
        <v>6</v>
      </c>
      <c r="J2" s="1">
        <v>90</v>
      </c>
      <c r="K2" s="1">
        <v>143</v>
      </c>
      <c r="L2" s="1">
        <v>4905</v>
      </c>
      <c r="M2" s="1">
        <v>10617</v>
      </c>
      <c r="N2" s="1">
        <v>21013</v>
      </c>
      <c r="O2" s="1">
        <v>685846</v>
      </c>
      <c r="P2" s="1">
        <v>124669</v>
      </c>
      <c r="Q2" s="1">
        <v>252384</v>
      </c>
      <c r="R2" s="1">
        <v>11024865</v>
      </c>
      <c r="S2" s="1">
        <v>2020</v>
      </c>
      <c r="T2" s="1">
        <v>2020</v>
      </c>
      <c r="U2" s="1">
        <v>41051</v>
      </c>
      <c r="V2" s="1">
        <v>0</v>
      </c>
      <c r="W2" s="1">
        <v>1</v>
      </c>
    </row>
    <row r="3">
      <c r="A3" s="1">
        <v>2016</v>
      </c>
      <c r="B3" s="1">
        <v>2</v>
      </c>
      <c r="C3" t="s">
        <v>9</v>
      </c>
      <c r="D3" s="1">
        <v>90</v>
      </c>
      <c r="E3" t="s">
        <v>344</v>
      </c>
      <c r="F3" s="1">
        <v>41</v>
      </c>
      <c r="G3" t="s">
        <v>3</v>
      </c>
      <c r="H3" s="1">
        <v>51</v>
      </c>
      <c r="I3" t="s">
        <v>6</v>
      </c>
      <c r="J3" s="1">
        <v>21</v>
      </c>
      <c r="K3" s="1">
        <v>27</v>
      </c>
      <c r="L3" s="1">
        <v>723</v>
      </c>
      <c r="M3" s="1">
        <v>4224</v>
      </c>
      <c r="N3" s="1">
        <v>9056</v>
      </c>
      <c r="O3" s="1">
        <v>219438</v>
      </c>
      <c r="P3" s="1">
        <v>39367</v>
      </c>
      <c r="Q3" s="1">
        <v>81932</v>
      </c>
      <c r="R3" s="1">
        <v>3034194</v>
      </c>
      <c r="S3" s="1">
        <v>2090</v>
      </c>
      <c r="T3" s="1">
        <v>2090</v>
      </c>
      <c r="U3" s="1">
        <v>41051</v>
      </c>
      <c r="V3" s="1">
        <v>0</v>
      </c>
      <c r="W3" s="1">
        <v>1</v>
      </c>
    </row>
    <row r="4">
      <c r="A4" s="1">
        <v>2016</v>
      </c>
      <c r="B4" s="1">
        <v>4</v>
      </c>
      <c r="C4" t="s">
        <v>10</v>
      </c>
      <c r="D4" s="1">
        <v>5</v>
      </c>
      <c r="E4" t="s">
        <v>175</v>
      </c>
      <c r="F4" s="1">
        <v>41</v>
      </c>
      <c r="G4" t="s">
        <v>3</v>
      </c>
      <c r="H4" s="1">
        <v>51</v>
      </c>
      <c r="I4" t="s">
        <v>6</v>
      </c>
      <c r="J4" s="1">
        <v>34</v>
      </c>
      <c r="K4" s="1">
        <v>43</v>
      </c>
      <c r="L4" s="1">
        <v>462</v>
      </c>
      <c r="M4" s="1">
        <v>4694</v>
      </c>
      <c r="N4" s="1">
        <v>8092</v>
      </c>
      <c r="O4" s="1">
        <v>211552</v>
      </c>
      <c r="P4" s="1">
        <v>48296</v>
      </c>
      <c r="Q4" s="1">
        <v>100665</v>
      </c>
      <c r="R4" s="1">
        <v>2971739</v>
      </c>
      <c r="S4" s="1">
        <v>4005</v>
      </c>
      <c r="T4" s="1">
        <v>4005</v>
      </c>
      <c r="U4" s="1">
        <v>41051</v>
      </c>
      <c r="V4" s="1">
        <v>0</v>
      </c>
      <c r="W4" s="1">
        <v>1</v>
      </c>
    </row>
    <row r="5">
      <c r="A5" s="1">
        <v>2016</v>
      </c>
      <c r="B5" s="1">
        <v>4</v>
      </c>
      <c r="C5" t="s">
        <v>10</v>
      </c>
      <c r="D5" s="1">
        <v>13</v>
      </c>
      <c r="E5" t="s">
        <v>53</v>
      </c>
      <c r="F5" s="1">
        <v>41</v>
      </c>
      <c r="G5" t="s">
        <v>3</v>
      </c>
      <c r="H5" s="1">
        <v>51</v>
      </c>
      <c r="I5" t="s">
        <v>6</v>
      </c>
      <c r="J5" s="1">
        <v>369</v>
      </c>
      <c r="K5" s="1">
        <v>549</v>
      </c>
      <c r="L5" s="1">
        <v>19411</v>
      </c>
      <c r="M5" s="1">
        <v>62330</v>
      </c>
      <c r="N5" s="1">
        <v>119320</v>
      </c>
      <c r="O5" s="1">
        <v>3838468</v>
      </c>
      <c r="P5" s="1">
        <v>1472638</v>
      </c>
      <c r="Q5" s="1">
        <v>3228536</v>
      </c>
      <c r="R5" s="1">
        <v>106889680</v>
      </c>
      <c r="S5" s="1">
        <v>4013</v>
      </c>
      <c r="T5" s="1">
        <v>4013</v>
      </c>
      <c r="U5" s="1">
        <v>41051</v>
      </c>
      <c r="V5" s="1">
        <v>0</v>
      </c>
      <c r="W5" s="1">
        <v>1</v>
      </c>
    </row>
    <row r="6">
      <c r="A6" s="1">
        <v>2016</v>
      </c>
      <c r="B6" s="1">
        <v>4</v>
      </c>
      <c r="C6" t="s">
        <v>10</v>
      </c>
      <c r="D6" s="1">
        <v>19</v>
      </c>
      <c r="E6" t="s">
        <v>54</v>
      </c>
      <c r="F6" s="1">
        <v>41</v>
      </c>
      <c r="G6" t="s">
        <v>3</v>
      </c>
      <c r="H6" s="1">
        <v>51</v>
      </c>
      <c r="I6" t="s">
        <v>6</v>
      </c>
      <c r="J6" s="1">
        <v>88</v>
      </c>
      <c r="K6" s="1">
        <v>119</v>
      </c>
      <c r="L6" s="1">
        <v>4645</v>
      </c>
      <c r="M6" s="1">
        <v>17270</v>
      </c>
      <c r="N6" s="1">
        <v>32205</v>
      </c>
      <c r="O6" s="1">
        <v>926882</v>
      </c>
      <c r="P6" s="1">
        <v>365608</v>
      </c>
      <c r="Q6" s="1">
        <v>758462</v>
      </c>
      <c r="R6" s="1">
        <v>22271760</v>
      </c>
      <c r="S6" s="1">
        <v>4019</v>
      </c>
      <c r="T6" s="1">
        <v>4019</v>
      </c>
      <c r="U6" s="1">
        <v>41051</v>
      </c>
      <c r="V6" s="1">
        <v>0</v>
      </c>
      <c r="W6" s="1">
        <v>1</v>
      </c>
    </row>
    <row r="7">
      <c r="A7" s="1">
        <v>2016</v>
      </c>
      <c r="B7" s="1">
        <v>4</v>
      </c>
      <c r="C7" t="s">
        <v>10</v>
      </c>
      <c r="D7" s="1">
        <v>25</v>
      </c>
      <c r="E7" t="s">
        <v>176</v>
      </c>
      <c r="F7" s="1">
        <v>41</v>
      </c>
      <c r="G7" t="s">
        <v>3</v>
      </c>
      <c r="H7" s="1">
        <v>51</v>
      </c>
      <c r="I7" t="s">
        <v>6</v>
      </c>
      <c r="J7" s="1">
        <v>42</v>
      </c>
      <c r="K7" s="1">
        <v>57</v>
      </c>
      <c r="L7" s="1">
        <v>1680</v>
      </c>
      <c r="M7" s="1">
        <v>5562</v>
      </c>
      <c r="N7" s="1">
        <v>9796</v>
      </c>
      <c r="O7" s="1">
        <v>243351</v>
      </c>
      <c r="P7" s="1">
        <v>85628</v>
      </c>
      <c r="Q7" s="1">
        <v>167490</v>
      </c>
      <c r="R7" s="1">
        <v>4681280</v>
      </c>
      <c r="S7" s="1">
        <v>4025</v>
      </c>
      <c r="T7" s="1">
        <v>4025</v>
      </c>
      <c r="U7" s="1">
        <v>41051</v>
      </c>
      <c r="V7" s="1">
        <v>0</v>
      </c>
      <c r="W7" s="1">
        <v>1</v>
      </c>
    </row>
    <row r="8">
      <c r="A8" s="1">
        <v>2016</v>
      </c>
      <c r="B8" s="1">
        <v>6</v>
      </c>
      <c r="C8" t="s">
        <v>11</v>
      </c>
      <c r="D8" s="1">
        <v>1</v>
      </c>
      <c r="E8" t="s">
        <v>56</v>
      </c>
      <c r="F8" s="1">
        <v>41</v>
      </c>
      <c r="G8" t="s">
        <v>3</v>
      </c>
      <c r="H8" s="1">
        <v>51</v>
      </c>
      <c r="I8" t="s">
        <v>6</v>
      </c>
      <c r="J8" s="1">
        <v>453</v>
      </c>
      <c r="K8" s="1">
        <v>668</v>
      </c>
      <c r="L8" s="1">
        <v>33960</v>
      </c>
      <c r="M8" s="1">
        <v>44258</v>
      </c>
      <c r="N8" s="1">
        <v>79660</v>
      </c>
      <c r="O8" s="1">
        <v>3929643</v>
      </c>
      <c r="P8" s="1">
        <v>644977</v>
      </c>
      <c r="Q8" s="1">
        <v>1365711</v>
      </c>
      <c r="R8" s="1">
        <v>65344044</v>
      </c>
      <c r="S8" s="1">
        <v>6001</v>
      </c>
      <c r="T8" s="1">
        <v>6001</v>
      </c>
      <c r="U8" s="1">
        <v>41051</v>
      </c>
      <c r="V8" s="1">
        <v>0</v>
      </c>
      <c r="W8" s="1">
        <v>1</v>
      </c>
    </row>
    <row r="9">
      <c r="A9" s="1">
        <v>2016</v>
      </c>
      <c r="B9" s="1">
        <v>6</v>
      </c>
      <c r="C9" t="s">
        <v>11</v>
      </c>
      <c r="D9" s="1">
        <v>7</v>
      </c>
      <c r="E9" t="s">
        <v>177</v>
      </c>
      <c r="F9" s="1">
        <v>41</v>
      </c>
      <c r="G9" t="s">
        <v>3</v>
      </c>
      <c r="H9" s="1">
        <v>51</v>
      </c>
      <c r="I9" t="s">
        <v>6</v>
      </c>
      <c r="J9" s="1">
        <v>42</v>
      </c>
      <c r="K9" s="1">
        <v>69</v>
      </c>
      <c r="L9" s="1">
        <v>1475</v>
      </c>
      <c r="M9" s="1">
        <v>4324</v>
      </c>
      <c r="N9" s="1">
        <v>7346</v>
      </c>
      <c r="O9" s="1">
        <v>187328</v>
      </c>
      <c r="P9" s="1">
        <v>76029</v>
      </c>
      <c r="Q9" s="1">
        <v>157427</v>
      </c>
      <c r="R9" s="1">
        <v>4605695</v>
      </c>
      <c r="S9" s="1">
        <v>6007</v>
      </c>
      <c r="T9" s="1">
        <v>6007</v>
      </c>
      <c r="U9" s="1">
        <v>41051</v>
      </c>
      <c r="V9" s="1">
        <v>0</v>
      </c>
      <c r="W9" s="1">
        <v>1</v>
      </c>
    </row>
    <row r="10">
      <c r="A10" s="1">
        <v>2016</v>
      </c>
      <c r="B10" s="1">
        <v>6</v>
      </c>
      <c r="C10" t="s">
        <v>11</v>
      </c>
      <c r="D10" s="1">
        <v>13</v>
      </c>
      <c r="E10" t="s">
        <v>57</v>
      </c>
      <c r="F10" s="1">
        <v>41</v>
      </c>
      <c r="G10" t="s">
        <v>3</v>
      </c>
      <c r="H10" s="1">
        <v>51</v>
      </c>
      <c r="I10" t="s">
        <v>6</v>
      </c>
      <c r="J10" s="1">
        <v>146</v>
      </c>
      <c r="K10" s="1">
        <v>220</v>
      </c>
      <c r="L10" s="1">
        <v>19874</v>
      </c>
      <c r="M10" s="1">
        <v>26186</v>
      </c>
      <c r="N10" s="1">
        <v>47429</v>
      </c>
      <c r="O10" s="1">
        <v>2248903</v>
      </c>
      <c r="P10" s="1">
        <v>440892</v>
      </c>
      <c r="Q10" s="1">
        <v>972717</v>
      </c>
      <c r="R10" s="1">
        <v>50786644</v>
      </c>
      <c r="S10" s="1">
        <v>6013</v>
      </c>
      <c r="T10" s="1">
        <v>6013</v>
      </c>
      <c r="U10" s="1">
        <v>41051</v>
      </c>
      <c r="V10" s="1">
        <v>0</v>
      </c>
      <c r="W10" s="1">
        <v>1</v>
      </c>
    </row>
    <row r="11">
      <c r="A11" s="1">
        <v>2016</v>
      </c>
      <c r="B11" s="1">
        <v>6</v>
      </c>
      <c r="C11" t="s">
        <v>11</v>
      </c>
      <c r="D11" s="1">
        <v>17</v>
      </c>
      <c r="E11" t="s">
        <v>229</v>
      </c>
      <c r="F11" s="1">
        <v>41</v>
      </c>
      <c r="G11" t="s">
        <v>3</v>
      </c>
      <c r="H11" s="1">
        <v>51</v>
      </c>
      <c r="I11" t="s">
        <v>6</v>
      </c>
      <c r="J11" s="1">
        <v>20</v>
      </c>
      <c r="K11" s="1">
        <v>25</v>
      </c>
      <c r="L11" s="1">
        <v>1379</v>
      </c>
      <c r="M11" s="1">
        <v>4969</v>
      </c>
      <c r="N11" s="1">
        <v>8467</v>
      </c>
      <c r="O11" s="1">
        <v>355658</v>
      </c>
      <c r="P11" s="1">
        <v>71941</v>
      </c>
      <c r="Q11" s="1">
        <v>153201</v>
      </c>
      <c r="R11" s="1">
        <v>6683118</v>
      </c>
      <c r="S11" s="1">
        <v>6017</v>
      </c>
      <c r="T11" s="1">
        <v>6017</v>
      </c>
      <c r="U11" s="1">
        <v>41051</v>
      </c>
      <c r="V11" s="1">
        <v>0</v>
      </c>
      <c r="W11" s="1">
        <v>1</v>
      </c>
    </row>
    <row r="12">
      <c r="A12" s="1">
        <v>2016</v>
      </c>
      <c r="B12" s="1">
        <v>6</v>
      </c>
      <c r="C12" t="s">
        <v>11</v>
      </c>
      <c r="D12" s="1">
        <v>19</v>
      </c>
      <c r="E12" t="s">
        <v>58</v>
      </c>
      <c r="F12" s="1">
        <v>41</v>
      </c>
      <c r="G12" t="s">
        <v>3</v>
      </c>
      <c r="H12" s="1">
        <v>51</v>
      </c>
      <c r="I12" t="s">
        <v>6</v>
      </c>
      <c r="J12" s="1">
        <v>60</v>
      </c>
      <c r="K12" s="1">
        <v>100</v>
      </c>
      <c r="L12" s="1">
        <v>2770</v>
      </c>
      <c r="M12" s="1">
        <v>11987</v>
      </c>
      <c r="N12" s="1">
        <v>24440</v>
      </c>
      <c r="O12" s="1">
        <v>593893</v>
      </c>
      <c r="P12" s="1">
        <v>317509</v>
      </c>
      <c r="Q12" s="1">
        <v>778103</v>
      </c>
      <c r="R12" s="1">
        <v>18746184</v>
      </c>
      <c r="S12" s="1">
        <v>6019</v>
      </c>
      <c r="T12" s="1">
        <v>6019</v>
      </c>
      <c r="U12" s="1">
        <v>41051</v>
      </c>
      <c r="V12" s="1">
        <v>0</v>
      </c>
      <c r="W12" s="1">
        <v>1</v>
      </c>
    </row>
    <row r="13">
      <c r="A13" s="1">
        <v>2016</v>
      </c>
      <c r="B13" s="1">
        <v>6</v>
      </c>
      <c r="C13" t="s">
        <v>11</v>
      </c>
      <c r="D13" s="1">
        <v>23</v>
      </c>
      <c r="E13" t="s">
        <v>59</v>
      </c>
      <c r="F13" s="1">
        <v>41</v>
      </c>
      <c r="G13" t="s">
        <v>3</v>
      </c>
      <c r="H13" s="1">
        <v>51</v>
      </c>
      <c r="I13" t="s">
        <v>6</v>
      </c>
      <c r="J13" s="1">
        <v>58</v>
      </c>
      <c r="K13" s="1">
        <v>80</v>
      </c>
      <c r="L13" s="1">
        <v>1963</v>
      </c>
      <c r="M13" s="1">
        <v>2555</v>
      </c>
      <c r="N13" s="1">
        <v>4080</v>
      </c>
      <c r="O13" s="1">
        <v>108114</v>
      </c>
      <c r="P13" s="1">
        <v>46522</v>
      </c>
      <c r="Q13" s="1">
        <v>91633</v>
      </c>
      <c r="R13" s="1">
        <v>2573196</v>
      </c>
      <c r="S13" s="1">
        <v>6023</v>
      </c>
      <c r="T13" s="1">
        <v>6023</v>
      </c>
      <c r="U13" s="1">
        <v>41051</v>
      </c>
      <c r="V13" s="1">
        <v>0</v>
      </c>
      <c r="W13" s="1">
        <v>1</v>
      </c>
    </row>
    <row r="14">
      <c r="A14" s="1">
        <v>2016</v>
      </c>
      <c r="B14" s="1">
        <v>6</v>
      </c>
      <c r="C14" t="s">
        <v>11</v>
      </c>
      <c r="D14" s="1">
        <v>29</v>
      </c>
      <c r="E14" t="s">
        <v>60</v>
      </c>
      <c r="F14" s="1">
        <v>41</v>
      </c>
      <c r="G14" t="s">
        <v>3</v>
      </c>
      <c r="H14" s="1">
        <v>51</v>
      </c>
      <c r="I14" t="s">
        <v>6</v>
      </c>
      <c r="J14" s="1">
        <v>53</v>
      </c>
      <c r="K14" s="1">
        <v>80</v>
      </c>
      <c r="L14" s="1">
        <v>3075</v>
      </c>
      <c r="M14" s="1">
        <v>11661</v>
      </c>
      <c r="N14" s="1">
        <v>25244</v>
      </c>
      <c r="O14" s="1">
        <v>599731</v>
      </c>
      <c r="P14" s="1">
        <v>276476</v>
      </c>
      <c r="Q14" s="1">
        <v>695447</v>
      </c>
      <c r="R14" s="1">
        <v>16261980</v>
      </c>
      <c r="S14" s="1">
        <v>6029</v>
      </c>
      <c r="T14" s="1">
        <v>6029</v>
      </c>
      <c r="U14" s="1">
        <v>41051</v>
      </c>
      <c r="V14" s="1">
        <v>0</v>
      </c>
      <c r="W14" s="1">
        <v>1</v>
      </c>
    </row>
    <row r="15">
      <c r="A15" s="1">
        <v>2016</v>
      </c>
      <c r="B15" s="1">
        <v>6</v>
      </c>
      <c r="C15" t="s">
        <v>11</v>
      </c>
      <c r="D15" s="1">
        <v>37</v>
      </c>
      <c r="E15" t="s">
        <v>61</v>
      </c>
      <c r="F15" s="1">
        <v>41</v>
      </c>
      <c r="G15" t="s">
        <v>3</v>
      </c>
      <c r="H15" s="1">
        <v>51</v>
      </c>
      <c r="I15" t="s">
        <v>6</v>
      </c>
      <c r="J15" s="1">
        <v>908</v>
      </c>
      <c r="K15" s="1">
        <v>1287</v>
      </c>
      <c r="L15" s="1">
        <v>63703</v>
      </c>
      <c r="M15" s="1">
        <v>138300</v>
      </c>
      <c r="N15" s="1">
        <v>254422</v>
      </c>
      <c r="O15" s="1">
        <v>9810450</v>
      </c>
      <c r="P15" s="1">
        <v>3799932</v>
      </c>
      <c r="Q15" s="1">
        <v>8100363</v>
      </c>
      <c r="R15" s="1">
        <v>308029184</v>
      </c>
      <c r="S15" s="1">
        <v>6037</v>
      </c>
      <c r="T15" s="1">
        <v>6037</v>
      </c>
      <c r="U15" s="1">
        <v>41051</v>
      </c>
      <c r="V15" s="1">
        <v>0</v>
      </c>
      <c r="W15" s="1">
        <v>1</v>
      </c>
    </row>
    <row r="16">
      <c r="A16" s="1">
        <v>2016</v>
      </c>
      <c r="B16" s="1">
        <v>6</v>
      </c>
      <c r="C16" t="s">
        <v>11</v>
      </c>
      <c r="D16" s="1">
        <v>41</v>
      </c>
      <c r="E16" t="s">
        <v>62</v>
      </c>
      <c r="F16" s="1">
        <v>41</v>
      </c>
      <c r="G16" t="s">
        <v>3</v>
      </c>
      <c r="H16" s="1">
        <v>51</v>
      </c>
      <c r="I16" t="s">
        <v>6</v>
      </c>
      <c r="J16" s="1">
        <v>78</v>
      </c>
      <c r="K16" s="1">
        <v>128</v>
      </c>
      <c r="L16" s="1">
        <v>8962</v>
      </c>
      <c r="M16" s="1">
        <v>7020</v>
      </c>
      <c r="N16" s="1">
        <v>11453</v>
      </c>
      <c r="O16" s="1">
        <v>876091</v>
      </c>
      <c r="P16" s="1">
        <v>110488</v>
      </c>
      <c r="Q16" s="1">
        <v>221907</v>
      </c>
      <c r="R16" s="1">
        <v>21008660</v>
      </c>
      <c r="S16" s="1">
        <v>6041</v>
      </c>
      <c r="T16" s="1">
        <v>6041</v>
      </c>
      <c r="U16" s="1">
        <v>41051</v>
      </c>
      <c r="V16" s="1">
        <v>0</v>
      </c>
      <c r="W16" s="1">
        <v>1</v>
      </c>
    </row>
    <row r="17">
      <c r="A17" s="1">
        <v>2016</v>
      </c>
      <c r="B17" s="1">
        <v>6</v>
      </c>
      <c r="C17" t="s">
        <v>11</v>
      </c>
      <c r="D17" s="1">
        <v>45</v>
      </c>
      <c r="E17" t="s">
        <v>178</v>
      </c>
      <c r="F17" s="1">
        <v>41</v>
      </c>
      <c r="G17" t="s">
        <v>3</v>
      </c>
      <c r="H17" s="1">
        <v>51</v>
      </c>
      <c r="I17" t="s">
        <v>6</v>
      </c>
      <c r="J17" s="1">
        <v>20</v>
      </c>
      <c r="K17" s="1">
        <v>42</v>
      </c>
      <c r="L17" s="1">
        <v>893</v>
      </c>
      <c r="M17" s="1">
        <v>1607</v>
      </c>
      <c r="N17" s="1">
        <v>2861</v>
      </c>
      <c r="O17" s="1">
        <v>81368</v>
      </c>
      <c r="P17" s="1">
        <v>31933</v>
      </c>
      <c r="Q17" s="1">
        <v>67004</v>
      </c>
      <c r="R17" s="1">
        <v>1714067</v>
      </c>
      <c r="S17" s="1">
        <v>6045</v>
      </c>
      <c r="T17" s="1">
        <v>6045</v>
      </c>
      <c r="U17" s="1">
        <v>41051</v>
      </c>
      <c r="V17" s="1">
        <v>0</v>
      </c>
      <c r="W17" s="1">
        <v>1</v>
      </c>
    </row>
    <row r="18">
      <c r="A18" s="1">
        <v>2016</v>
      </c>
      <c r="B18" s="1">
        <v>6</v>
      </c>
      <c r="C18" t="s">
        <v>11</v>
      </c>
      <c r="D18" s="1">
        <v>53</v>
      </c>
      <c r="E18" t="s">
        <v>63</v>
      </c>
      <c r="F18" s="1">
        <v>41</v>
      </c>
      <c r="G18" t="s">
        <v>3</v>
      </c>
      <c r="H18" s="1">
        <v>51</v>
      </c>
      <c r="I18" t="s">
        <v>6</v>
      </c>
      <c r="J18" s="1">
        <v>40</v>
      </c>
      <c r="K18" s="1">
        <v>55</v>
      </c>
      <c r="L18" s="1">
        <v>1884</v>
      </c>
      <c r="M18" s="1">
        <v>8806</v>
      </c>
      <c r="N18" s="1">
        <v>17853</v>
      </c>
      <c r="O18" s="1">
        <v>502473</v>
      </c>
      <c r="P18" s="1">
        <v>161114</v>
      </c>
      <c r="Q18" s="1">
        <v>404548</v>
      </c>
      <c r="R18" s="1">
        <v>11124996</v>
      </c>
      <c r="S18" s="1">
        <v>6053</v>
      </c>
      <c r="T18" s="1">
        <v>6053</v>
      </c>
      <c r="U18" s="1">
        <v>41051</v>
      </c>
      <c r="V18" s="1">
        <v>0</v>
      </c>
      <c r="W18" s="1">
        <v>1</v>
      </c>
    </row>
    <row r="19">
      <c r="A19" s="1">
        <v>2016</v>
      </c>
      <c r="B19" s="1">
        <v>6</v>
      </c>
      <c r="C19" t="s">
        <v>11</v>
      </c>
      <c r="D19" s="1">
        <v>55</v>
      </c>
      <c r="E19" t="s">
        <v>299</v>
      </c>
      <c r="F19" s="1">
        <v>41</v>
      </c>
      <c r="G19" t="s">
        <v>3</v>
      </c>
      <c r="H19" s="1">
        <v>51</v>
      </c>
      <c r="I19" t="s">
        <v>6</v>
      </c>
      <c r="J19" s="1">
        <v>30</v>
      </c>
      <c r="K19" s="1">
        <v>42</v>
      </c>
      <c r="L19" s="1">
        <v>1256</v>
      </c>
      <c r="M19" s="1">
        <v>3536</v>
      </c>
      <c r="N19" s="1">
        <v>6354</v>
      </c>
      <c r="O19" s="1">
        <v>303857</v>
      </c>
      <c r="P19" s="1">
        <v>56829</v>
      </c>
      <c r="Q19" s="1">
        <v>126739</v>
      </c>
      <c r="R19" s="1">
        <v>5684526</v>
      </c>
      <c r="S19" s="1">
        <v>6055</v>
      </c>
      <c r="T19" s="1">
        <v>6055</v>
      </c>
      <c r="U19" s="1">
        <v>41051</v>
      </c>
      <c r="V19" s="1">
        <v>0</v>
      </c>
      <c r="W19" s="1">
        <v>1</v>
      </c>
    </row>
    <row r="20">
      <c r="A20" s="1">
        <v>2016</v>
      </c>
      <c r="B20" s="1">
        <v>6</v>
      </c>
      <c r="C20" t="s">
        <v>11</v>
      </c>
      <c r="D20" s="1">
        <v>59</v>
      </c>
      <c r="E20" t="s">
        <v>64</v>
      </c>
      <c r="F20" s="1">
        <v>41</v>
      </c>
      <c r="G20" t="s">
        <v>3</v>
      </c>
      <c r="H20" s="1">
        <v>51</v>
      </c>
      <c r="I20" t="s">
        <v>6</v>
      </c>
      <c r="J20" s="1">
        <v>314</v>
      </c>
      <c r="K20" s="1">
        <v>434</v>
      </c>
      <c r="L20" s="1">
        <v>11818</v>
      </c>
      <c r="M20" s="1">
        <v>60473</v>
      </c>
      <c r="N20" s="1">
        <v>111350</v>
      </c>
      <c r="O20" s="1">
        <v>4391982</v>
      </c>
      <c r="P20" s="1">
        <v>1228914</v>
      </c>
      <c r="Q20" s="1">
        <v>2723971</v>
      </c>
      <c r="R20" s="1">
        <v>119403392</v>
      </c>
      <c r="S20" s="1">
        <v>6059</v>
      </c>
      <c r="T20" s="1">
        <v>6059</v>
      </c>
      <c r="U20" s="1">
        <v>41051</v>
      </c>
      <c r="V20" s="1">
        <v>0</v>
      </c>
      <c r="W20" s="1">
        <v>1</v>
      </c>
    </row>
    <row r="21">
      <c r="A21" s="1">
        <v>2016</v>
      </c>
      <c r="B21" s="1">
        <v>6</v>
      </c>
      <c r="C21" t="s">
        <v>11</v>
      </c>
      <c r="D21" s="1">
        <v>61</v>
      </c>
      <c r="E21" t="s">
        <v>65</v>
      </c>
      <c r="F21" s="1">
        <v>41</v>
      </c>
      <c r="G21" t="s">
        <v>3</v>
      </c>
      <c r="H21" s="1">
        <v>51</v>
      </c>
      <c r="I21" t="s">
        <v>6</v>
      </c>
      <c r="J21" s="1">
        <v>26</v>
      </c>
      <c r="K21" s="1">
        <v>34</v>
      </c>
      <c r="L21" s="1">
        <v>1450</v>
      </c>
      <c r="M21" s="1">
        <v>10509</v>
      </c>
      <c r="N21" s="1">
        <v>18784</v>
      </c>
      <c r="O21" s="1">
        <v>680649</v>
      </c>
      <c r="P21" s="1">
        <v>145152</v>
      </c>
      <c r="Q21" s="1">
        <v>319454</v>
      </c>
      <c r="R21" s="1">
        <v>13989475</v>
      </c>
      <c r="S21" s="1">
        <v>6061</v>
      </c>
      <c r="T21" s="1">
        <v>6061</v>
      </c>
      <c r="U21" s="1">
        <v>41051</v>
      </c>
      <c r="V21" s="1">
        <v>0</v>
      </c>
      <c r="W21" s="1">
        <v>1</v>
      </c>
    </row>
    <row r="22">
      <c r="A22" s="1">
        <v>2016</v>
      </c>
      <c r="B22" s="1">
        <v>6</v>
      </c>
      <c r="C22" t="s">
        <v>11</v>
      </c>
      <c r="D22" s="1">
        <v>65</v>
      </c>
      <c r="E22" t="s">
        <v>66</v>
      </c>
      <c r="F22" s="1">
        <v>41</v>
      </c>
      <c r="G22" t="s">
        <v>3</v>
      </c>
      <c r="H22" s="1">
        <v>51</v>
      </c>
      <c r="I22" t="s">
        <v>6</v>
      </c>
      <c r="J22" s="1">
        <v>110</v>
      </c>
      <c r="K22" s="1">
        <v>193</v>
      </c>
      <c r="L22" s="1">
        <v>4180</v>
      </c>
      <c r="M22" s="1">
        <v>43671</v>
      </c>
      <c r="N22" s="1">
        <v>87564</v>
      </c>
      <c r="O22" s="1">
        <v>2299310</v>
      </c>
      <c r="P22" s="1">
        <v>779571</v>
      </c>
      <c r="Q22" s="1">
        <v>1855520</v>
      </c>
      <c r="R22" s="1">
        <v>47135564</v>
      </c>
      <c r="S22" s="1">
        <v>6065</v>
      </c>
      <c r="T22" s="1">
        <v>6065</v>
      </c>
      <c r="U22" s="1">
        <v>41051</v>
      </c>
      <c r="V22" s="1">
        <v>0</v>
      </c>
      <c r="W22" s="1">
        <v>1</v>
      </c>
    </row>
    <row r="23">
      <c r="A23" s="1">
        <v>2016</v>
      </c>
      <c r="B23" s="1">
        <v>6</v>
      </c>
      <c r="C23" t="s">
        <v>11</v>
      </c>
      <c r="D23" s="1">
        <v>67</v>
      </c>
      <c r="E23" t="s">
        <v>67</v>
      </c>
      <c r="F23" s="1">
        <v>41</v>
      </c>
      <c r="G23" t="s">
        <v>3</v>
      </c>
      <c r="H23" s="1">
        <v>51</v>
      </c>
      <c r="I23" t="s">
        <v>6</v>
      </c>
      <c r="J23" s="1">
        <v>149</v>
      </c>
      <c r="K23" s="1">
        <v>210</v>
      </c>
      <c r="L23" s="1">
        <v>7273</v>
      </c>
      <c r="M23" s="1">
        <v>28389</v>
      </c>
      <c r="N23" s="1">
        <v>52048</v>
      </c>
      <c r="O23" s="1">
        <v>1629159</v>
      </c>
      <c r="P23" s="1">
        <v>550505</v>
      </c>
      <c r="Q23" s="1">
        <v>1201369</v>
      </c>
      <c r="R23" s="1">
        <v>36924940</v>
      </c>
      <c r="S23" s="1">
        <v>6067</v>
      </c>
      <c r="T23" s="1">
        <v>6067</v>
      </c>
      <c r="U23" s="1">
        <v>41051</v>
      </c>
      <c r="V23" s="1">
        <v>0</v>
      </c>
      <c r="W23" s="1">
        <v>1</v>
      </c>
    </row>
    <row r="24">
      <c r="A24" s="1">
        <v>2016</v>
      </c>
      <c r="B24" s="1">
        <v>6</v>
      </c>
      <c r="C24" t="s">
        <v>11</v>
      </c>
      <c r="D24" s="1">
        <v>71</v>
      </c>
      <c r="E24" t="s">
        <v>68</v>
      </c>
      <c r="F24" s="1">
        <v>41</v>
      </c>
      <c r="G24" t="s">
        <v>3</v>
      </c>
      <c r="H24" s="1">
        <v>51</v>
      </c>
      <c r="I24" t="s">
        <v>6</v>
      </c>
      <c r="J24" s="1">
        <v>79</v>
      </c>
      <c r="K24" s="1">
        <v>123</v>
      </c>
      <c r="L24" s="1">
        <v>2867</v>
      </c>
      <c r="M24" s="1">
        <v>42736</v>
      </c>
      <c r="N24" s="1">
        <v>88946</v>
      </c>
      <c r="O24" s="1">
        <v>2155512</v>
      </c>
      <c r="P24" s="1">
        <v>714780</v>
      </c>
      <c r="Q24" s="1">
        <v>1697092</v>
      </c>
      <c r="R24" s="1">
        <v>41016664</v>
      </c>
      <c r="S24" s="1">
        <v>6071</v>
      </c>
      <c r="T24" s="1">
        <v>6071</v>
      </c>
      <c r="U24" s="1">
        <v>41051</v>
      </c>
      <c r="V24" s="1">
        <v>0</v>
      </c>
      <c r="W24" s="1">
        <v>1</v>
      </c>
    </row>
    <row r="25">
      <c r="A25" s="1">
        <v>2016</v>
      </c>
      <c r="B25" s="1">
        <v>6</v>
      </c>
      <c r="C25" t="s">
        <v>11</v>
      </c>
      <c r="D25" s="1">
        <v>73</v>
      </c>
      <c r="E25" t="s">
        <v>69</v>
      </c>
      <c r="F25" s="1">
        <v>41</v>
      </c>
      <c r="G25" t="s">
        <v>3</v>
      </c>
      <c r="H25" s="1">
        <v>51</v>
      </c>
      <c r="I25" t="s">
        <v>6</v>
      </c>
      <c r="J25" s="1">
        <v>442</v>
      </c>
      <c r="K25" s="1">
        <v>674</v>
      </c>
      <c r="L25" s="1">
        <v>24893</v>
      </c>
      <c r="M25" s="1">
        <v>65584</v>
      </c>
      <c r="N25" s="1">
        <v>123593</v>
      </c>
      <c r="O25" s="1">
        <v>4635224</v>
      </c>
      <c r="P25" s="1">
        <v>1285863</v>
      </c>
      <c r="Q25" s="1">
        <v>2754251</v>
      </c>
      <c r="R25" s="1">
        <v>107209152</v>
      </c>
      <c r="S25" s="1">
        <v>6073</v>
      </c>
      <c r="T25" s="1">
        <v>6073</v>
      </c>
      <c r="U25" s="1">
        <v>41051</v>
      </c>
      <c r="V25" s="1">
        <v>0</v>
      </c>
      <c r="W25" s="1">
        <v>1</v>
      </c>
    </row>
    <row r="26">
      <c r="A26" s="1">
        <v>2016</v>
      </c>
      <c r="B26" s="1">
        <v>6</v>
      </c>
      <c r="C26" t="s">
        <v>11</v>
      </c>
      <c r="D26" s="1">
        <v>75</v>
      </c>
      <c r="E26" t="s">
        <v>70</v>
      </c>
      <c r="F26" s="1">
        <v>41</v>
      </c>
      <c r="G26" t="s">
        <v>3</v>
      </c>
      <c r="H26" s="1">
        <v>51</v>
      </c>
      <c r="I26" t="s">
        <v>6</v>
      </c>
      <c r="J26" s="1">
        <v>600</v>
      </c>
      <c r="K26" s="1">
        <v>895</v>
      </c>
      <c r="L26" s="1">
        <v>84916</v>
      </c>
      <c r="M26" s="1">
        <v>34592</v>
      </c>
      <c r="N26" s="1">
        <v>51778</v>
      </c>
      <c r="O26" s="1">
        <v>4654895</v>
      </c>
      <c r="P26" s="1">
        <v>407836</v>
      </c>
      <c r="Q26" s="1">
        <v>686049</v>
      </c>
      <c r="R26" s="1">
        <v>60728348</v>
      </c>
      <c r="S26" s="1">
        <v>6075</v>
      </c>
      <c r="T26" s="1">
        <v>6075</v>
      </c>
      <c r="U26" s="1">
        <v>41051</v>
      </c>
      <c r="V26" s="1">
        <v>0</v>
      </c>
      <c r="W26" s="1">
        <v>1</v>
      </c>
    </row>
    <row r="27">
      <c r="A27" s="1">
        <v>2016</v>
      </c>
      <c r="B27" s="1">
        <v>6</v>
      </c>
      <c r="C27" t="s">
        <v>11</v>
      </c>
      <c r="D27" s="1">
        <v>77</v>
      </c>
      <c r="E27" t="s">
        <v>179</v>
      </c>
      <c r="F27" s="1">
        <v>41</v>
      </c>
      <c r="G27" t="s">
        <v>3</v>
      </c>
      <c r="H27" s="1">
        <v>51</v>
      </c>
      <c r="I27" t="s">
        <v>6</v>
      </c>
      <c r="J27" s="1">
        <v>46</v>
      </c>
      <c r="K27" s="1">
        <v>82</v>
      </c>
      <c r="L27" s="1">
        <v>1605</v>
      </c>
      <c r="M27" s="1">
        <v>11980</v>
      </c>
      <c r="N27" s="1">
        <v>24517</v>
      </c>
      <c r="O27" s="1">
        <v>636508</v>
      </c>
      <c r="P27" s="1">
        <v>243440</v>
      </c>
      <c r="Q27" s="1">
        <v>598158</v>
      </c>
      <c r="R27" s="1">
        <v>15207243</v>
      </c>
      <c r="S27" s="1">
        <v>6077</v>
      </c>
      <c r="T27" s="1">
        <v>6077</v>
      </c>
      <c r="U27" s="1">
        <v>41051</v>
      </c>
      <c r="V27" s="1">
        <v>0</v>
      </c>
      <c r="W27" s="1">
        <v>1</v>
      </c>
    </row>
    <row r="28">
      <c r="A28" s="1">
        <v>2016</v>
      </c>
      <c r="B28" s="1">
        <v>6</v>
      </c>
      <c r="C28" t="s">
        <v>11</v>
      </c>
      <c r="D28" s="1">
        <v>79</v>
      </c>
      <c r="E28" t="s">
        <v>71</v>
      </c>
      <c r="F28" s="1">
        <v>41</v>
      </c>
      <c r="G28" t="s">
        <v>3</v>
      </c>
      <c r="H28" s="1">
        <v>51</v>
      </c>
      <c r="I28" t="s">
        <v>6</v>
      </c>
      <c r="J28" s="1">
        <v>58</v>
      </c>
      <c r="K28" s="1">
        <v>74</v>
      </c>
      <c r="L28" s="1">
        <v>2838</v>
      </c>
      <c r="M28" s="1">
        <v>6254</v>
      </c>
      <c r="N28" s="1">
        <v>10505</v>
      </c>
      <c r="O28" s="1">
        <v>335485</v>
      </c>
      <c r="P28" s="1">
        <v>108552</v>
      </c>
      <c r="Q28" s="1">
        <v>220583</v>
      </c>
      <c r="R28" s="1">
        <v>8156351</v>
      </c>
      <c r="S28" s="1">
        <v>6079</v>
      </c>
      <c r="T28" s="1">
        <v>6079</v>
      </c>
      <c r="U28" s="1">
        <v>41051</v>
      </c>
      <c r="V28" s="1">
        <v>0</v>
      </c>
      <c r="W28" s="1">
        <v>1</v>
      </c>
    </row>
    <row r="29">
      <c r="A29" s="1">
        <v>2016</v>
      </c>
      <c r="B29" s="1">
        <v>6</v>
      </c>
      <c r="C29" t="s">
        <v>11</v>
      </c>
      <c r="D29" s="1">
        <v>81</v>
      </c>
      <c r="E29" t="s">
        <v>72</v>
      </c>
      <c r="F29" s="1">
        <v>41</v>
      </c>
      <c r="G29" t="s">
        <v>3</v>
      </c>
      <c r="H29" s="1">
        <v>51</v>
      </c>
      <c r="I29" t="s">
        <v>6</v>
      </c>
      <c r="J29" s="1">
        <v>181</v>
      </c>
      <c r="K29" s="1">
        <v>314</v>
      </c>
      <c r="L29" s="1">
        <v>23195</v>
      </c>
      <c r="M29" s="1">
        <v>23946</v>
      </c>
      <c r="N29" s="1">
        <v>43120</v>
      </c>
      <c r="O29" s="1">
        <v>3446755</v>
      </c>
      <c r="P29" s="1">
        <v>324046</v>
      </c>
      <c r="Q29" s="1">
        <v>677235</v>
      </c>
      <c r="R29" s="1">
        <v>56054912</v>
      </c>
      <c r="S29" s="1">
        <v>6081</v>
      </c>
      <c r="T29" s="1">
        <v>6081</v>
      </c>
      <c r="U29" s="1">
        <v>41051</v>
      </c>
      <c r="V29" s="1">
        <v>0</v>
      </c>
      <c r="W29" s="1">
        <v>1</v>
      </c>
    </row>
    <row r="30">
      <c r="A30" s="1">
        <v>2016</v>
      </c>
      <c r="B30" s="1">
        <v>6</v>
      </c>
      <c r="C30" t="s">
        <v>11</v>
      </c>
      <c r="D30" s="1">
        <v>83</v>
      </c>
      <c r="E30" t="s">
        <v>73</v>
      </c>
      <c r="F30" s="1">
        <v>41</v>
      </c>
      <c r="G30" t="s">
        <v>3</v>
      </c>
      <c r="H30" s="1">
        <v>51</v>
      </c>
      <c r="I30" t="s">
        <v>6</v>
      </c>
      <c r="J30" s="1">
        <v>84</v>
      </c>
      <c r="K30" s="1">
        <v>117</v>
      </c>
      <c r="L30" s="1">
        <v>4765</v>
      </c>
      <c r="M30" s="1">
        <v>9176</v>
      </c>
      <c r="N30" s="1">
        <v>16000</v>
      </c>
      <c r="O30" s="1">
        <v>630790</v>
      </c>
      <c r="P30" s="1">
        <v>166614</v>
      </c>
      <c r="Q30" s="1">
        <v>371591</v>
      </c>
      <c r="R30" s="1">
        <v>14285010</v>
      </c>
      <c r="S30" s="1">
        <v>6083</v>
      </c>
      <c r="T30" s="1">
        <v>6083</v>
      </c>
      <c r="U30" s="1">
        <v>41051</v>
      </c>
      <c r="V30" s="1">
        <v>0</v>
      </c>
      <c r="W30" s="1">
        <v>1</v>
      </c>
    </row>
    <row r="31">
      <c r="A31" s="1">
        <v>2016</v>
      </c>
      <c r="B31" s="1">
        <v>6</v>
      </c>
      <c r="C31" t="s">
        <v>11</v>
      </c>
      <c r="D31" s="1">
        <v>85</v>
      </c>
      <c r="E31" t="s">
        <v>74</v>
      </c>
      <c r="F31" s="1">
        <v>41</v>
      </c>
      <c r="G31" t="s">
        <v>3</v>
      </c>
      <c r="H31" s="1">
        <v>51</v>
      </c>
      <c r="I31" t="s">
        <v>6</v>
      </c>
      <c r="J31" s="1">
        <v>273</v>
      </c>
      <c r="K31" s="1">
        <v>429</v>
      </c>
      <c r="L31" s="1">
        <v>33950</v>
      </c>
      <c r="M31" s="1">
        <v>44597</v>
      </c>
      <c r="N31" s="1">
        <v>84615</v>
      </c>
      <c r="O31" s="1">
        <v>7365708</v>
      </c>
      <c r="P31" s="1">
        <v>764547</v>
      </c>
      <c r="Q31" s="1">
        <v>1702165</v>
      </c>
      <c r="R31" s="1">
        <v>121766920</v>
      </c>
      <c r="S31" s="1">
        <v>6085</v>
      </c>
      <c r="T31" s="1">
        <v>6085</v>
      </c>
      <c r="U31" s="1">
        <v>41051</v>
      </c>
      <c r="V31" s="1">
        <v>0</v>
      </c>
      <c r="W31" s="1">
        <v>1</v>
      </c>
    </row>
    <row r="32">
      <c r="A32" s="1">
        <v>2016</v>
      </c>
      <c r="B32" s="1">
        <v>6</v>
      </c>
      <c r="C32" t="s">
        <v>11</v>
      </c>
      <c r="D32" s="1">
        <v>87</v>
      </c>
      <c r="E32" t="s">
        <v>75</v>
      </c>
      <c r="F32" s="1">
        <v>41</v>
      </c>
      <c r="G32" t="s">
        <v>3</v>
      </c>
      <c r="H32" s="1">
        <v>51</v>
      </c>
      <c r="I32" t="s">
        <v>6</v>
      </c>
      <c r="J32" s="1">
        <v>97</v>
      </c>
      <c r="K32" s="1">
        <v>123</v>
      </c>
      <c r="L32" s="1">
        <v>4354</v>
      </c>
      <c r="M32" s="1">
        <v>6406</v>
      </c>
      <c r="N32" s="1">
        <v>10953</v>
      </c>
      <c r="O32" s="1">
        <v>428038</v>
      </c>
      <c r="P32" s="1">
        <v>108486</v>
      </c>
      <c r="Q32" s="1">
        <v>229065</v>
      </c>
      <c r="R32" s="1">
        <v>9470751</v>
      </c>
      <c r="S32" s="1">
        <v>6087</v>
      </c>
      <c r="T32" s="1">
        <v>6087</v>
      </c>
      <c r="U32" s="1">
        <v>41051</v>
      </c>
      <c r="V32" s="1">
        <v>0</v>
      </c>
      <c r="W32" s="1">
        <v>1</v>
      </c>
    </row>
    <row r="33">
      <c r="A33" s="1">
        <v>2016</v>
      </c>
      <c r="B33" s="1">
        <v>6</v>
      </c>
      <c r="C33" t="s">
        <v>11</v>
      </c>
      <c r="D33" s="1">
        <v>89</v>
      </c>
      <c r="E33" t="s">
        <v>76</v>
      </c>
      <c r="F33" s="1">
        <v>41</v>
      </c>
      <c r="G33" t="s">
        <v>3</v>
      </c>
      <c r="H33" s="1">
        <v>51</v>
      </c>
      <c r="I33" t="s">
        <v>6</v>
      </c>
      <c r="J33" s="1">
        <v>48</v>
      </c>
      <c r="K33" s="1">
        <v>69</v>
      </c>
      <c r="L33" s="1">
        <v>2095</v>
      </c>
      <c r="M33" s="1">
        <v>3673</v>
      </c>
      <c r="N33" s="1">
        <v>6673</v>
      </c>
      <c r="O33" s="1">
        <v>175126</v>
      </c>
      <c r="P33" s="1">
        <v>63451</v>
      </c>
      <c r="Q33" s="1">
        <v>132606</v>
      </c>
      <c r="R33" s="1">
        <v>3704428</v>
      </c>
      <c r="S33" s="1">
        <v>6089</v>
      </c>
      <c r="T33" s="1">
        <v>6089</v>
      </c>
      <c r="U33" s="1">
        <v>41051</v>
      </c>
      <c r="V33" s="1">
        <v>0</v>
      </c>
      <c r="W33" s="1">
        <v>1</v>
      </c>
    </row>
    <row r="34">
      <c r="A34" s="1">
        <v>2016</v>
      </c>
      <c r="B34" s="1">
        <v>6</v>
      </c>
      <c r="C34" t="s">
        <v>11</v>
      </c>
      <c r="D34" s="1">
        <v>95</v>
      </c>
      <c r="E34" t="s">
        <v>180</v>
      </c>
      <c r="F34" s="1">
        <v>41</v>
      </c>
      <c r="G34" t="s">
        <v>3</v>
      </c>
      <c r="H34" s="1">
        <v>51</v>
      </c>
      <c r="I34" t="s">
        <v>6</v>
      </c>
      <c r="J34" s="1">
        <v>28</v>
      </c>
      <c r="K34" s="1">
        <v>43</v>
      </c>
      <c r="L34" s="1">
        <v>1036</v>
      </c>
      <c r="M34" s="1">
        <v>10454</v>
      </c>
      <c r="N34" s="1">
        <v>20158</v>
      </c>
      <c r="O34" s="1">
        <v>590102</v>
      </c>
      <c r="P34" s="1">
        <v>166534</v>
      </c>
      <c r="Q34" s="1">
        <v>361340</v>
      </c>
      <c r="R34" s="1">
        <v>11847998</v>
      </c>
      <c r="S34" s="1">
        <v>6095</v>
      </c>
      <c r="T34" s="1">
        <v>6095</v>
      </c>
      <c r="U34" s="1">
        <v>41051</v>
      </c>
      <c r="V34" s="1">
        <v>0</v>
      </c>
      <c r="W34" s="1">
        <v>1</v>
      </c>
    </row>
    <row r="35">
      <c r="A35" s="1">
        <v>2016</v>
      </c>
      <c r="B35" s="1">
        <v>6</v>
      </c>
      <c r="C35" t="s">
        <v>11</v>
      </c>
      <c r="D35" s="1">
        <v>97</v>
      </c>
      <c r="E35" t="s">
        <v>77</v>
      </c>
      <c r="F35" s="1">
        <v>41</v>
      </c>
      <c r="G35" t="s">
        <v>3</v>
      </c>
      <c r="H35" s="1">
        <v>51</v>
      </c>
      <c r="I35" t="s">
        <v>6</v>
      </c>
      <c r="J35" s="1">
        <v>103</v>
      </c>
      <c r="K35" s="1">
        <v>139</v>
      </c>
      <c r="L35" s="1">
        <v>4405</v>
      </c>
      <c r="M35" s="1">
        <v>9008</v>
      </c>
      <c r="N35" s="1">
        <v>15115</v>
      </c>
      <c r="O35" s="1">
        <v>576986</v>
      </c>
      <c r="P35" s="1">
        <v>204548</v>
      </c>
      <c r="Q35" s="1">
        <v>422655</v>
      </c>
      <c r="R35" s="1">
        <v>16807464</v>
      </c>
      <c r="S35" s="1">
        <v>6097</v>
      </c>
      <c r="T35" s="1">
        <v>6097</v>
      </c>
      <c r="U35" s="1">
        <v>41051</v>
      </c>
      <c r="V35" s="1">
        <v>0</v>
      </c>
      <c r="W35" s="1">
        <v>1</v>
      </c>
    </row>
    <row r="36">
      <c r="A36" s="1">
        <v>2016</v>
      </c>
      <c r="B36" s="1">
        <v>6</v>
      </c>
      <c r="C36" t="s">
        <v>11</v>
      </c>
      <c r="D36" s="1">
        <v>99</v>
      </c>
      <c r="E36" t="s">
        <v>325</v>
      </c>
      <c r="F36" s="1">
        <v>41</v>
      </c>
      <c r="G36" t="s">
        <v>3</v>
      </c>
      <c r="H36" s="1">
        <v>51</v>
      </c>
      <c r="I36" t="s">
        <v>6</v>
      </c>
      <c r="J36" s="1">
        <v>30</v>
      </c>
      <c r="K36" s="1">
        <v>42</v>
      </c>
      <c r="L36" s="1">
        <v>1251</v>
      </c>
      <c r="M36" s="1">
        <v>8170</v>
      </c>
      <c r="N36" s="1">
        <v>16665</v>
      </c>
      <c r="O36" s="1">
        <v>434690</v>
      </c>
      <c r="P36" s="1">
        <v>179705</v>
      </c>
      <c r="Q36" s="1">
        <v>437002</v>
      </c>
      <c r="R36" s="1">
        <v>10887300</v>
      </c>
      <c r="S36" s="1">
        <v>6099</v>
      </c>
      <c r="T36" s="1">
        <v>6099</v>
      </c>
      <c r="U36" s="1">
        <v>41051</v>
      </c>
      <c r="V36" s="1">
        <v>0</v>
      </c>
      <c r="W36" s="1">
        <v>1</v>
      </c>
    </row>
    <row r="37">
      <c r="A37" s="1">
        <v>2016</v>
      </c>
      <c r="B37" s="1">
        <v>6</v>
      </c>
      <c r="C37" t="s">
        <v>11</v>
      </c>
      <c r="D37" s="1">
        <v>111</v>
      </c>
      <c r="E37" t="s">
        <v>78</v>
      </c>
      <c r="F37" s="1">
        <v>41</v>
      </c>
      <c r="G37" t="s">
        <v>3</v>
      </c>
      <c r="H37" s="1">
        <v>51</v>
      </c>
      <c r="I37" t="s">
        <v>6</v>
      </c>
      <c r="J37" s="1">
        <v>130</v>
      </c>
      <c r="K37" s="1">
        <v>198</v>
      </c>
      <c r="L37" s="1">
        <v>7573</v>
      </c>
      <c r="M37" s="1">
        <v>16564</v>
      </c>
      <c r="N37" s="1">
        <v>31750</v>
      </c>
      <c r="O37" s="1">
        <v>1280897</v>
      </c>
      <c r="P37" s="1">
        <v>330548</v>
      </c>
      <c r="Q37" s="1">
        <v>757391</v>
      </c>
      <c r="R37" s="1">
        <v>28475600</v>
      </c>
      <c r="S37" s="1">
        <v>6111</v>
      </c>
      <c r="T37" s="1">
        <v>6111</v>
      </c>
      <c r="U37" s="1">
        <v>41051</v>
      </c>
      <c r="V37" s="1">
        <v>0</v>
      </c>
      <c r="W37" s="1">
        <v>1</v>
      </c>
    </row>
    <row r="38">
      <c r="A38" s="1">
        <v>2016</v>
      </c>
      <c r="B38" s="1">
        <v>6</v>
      </c>
      <c r="C38" t="s">
        <v>11</v>
      </c>
      <c r="D38" s="1">
        <v>113</v>
      </c>
      <c r="E38" t="s">
        <v>181</v>
      </c>
      <c r="F38" s="1">
        <v>41</v>
      </c>
      <c r="G38" t="s">
        <v>3</v>
      </c>
      <c r="H38" s="1">
        <v>51</v>
      </c>
      <c r="I38" t="s">
        <v>6</v>
      </c>
      <c r="J38" s="1">
        <v>27</v>
      </c>
      <c r="K38" s="1">
        <v>38</v>
      </c>
      <c r="L38" s="1">
        <v>1212</v>
      </c>
      <c r="M38" s="1">
        <v>6110</v>
      </c>
      <c r="N38" s="1">
        <v>10423</v>
      </c>
      <c r="O38" s="1">
        <v>356381</v>
      </c>
      <c r="P38" s="1">
        <v>72147</v>
      </c>
      <c r="Q38" s="1">
        <v>160618</v>
      </c>
      <c r="R38" s="1">
        <v>5781161</v>
      </c>
      <c r="S38" s="1">
        <v>6113</v>
      </c>
      <c r="T38" s="1">
        <v>6113</v>
      </c>
      <c r="U38" s="1">
        <v>41051</v>
      </c>
      <c r="V38" s="1">
        <v>0</v>
      </c>
      <c r="W38" s="1">
        <v>1</v>
      </c>
    </row>
    <row r="39">
      <c r="A39" s="1">
        <v>2016</v>
      </c>
      <c r="B39" s="1">
        <v>8</v>
      </c>
      <c r="C39" t="s">
        <v>12</v>
      </c>
      <c r="D39" s="1">
        <v>1</v>
      </c>
      <c r="E39" t="s">
        <v>225</v>
      </c>
      <c r="F39" s="1">
        <v>41</v>
      </c>
      <c r="G39" t="s">
        <v>3</v>
      </c>
      <c r="H39" s="1">
        <v>51</v>
      </c>
      <c r="I39" t="s">
        <v>6</v>
      </c>
      <c r="J39" s="1">
        <v>22</v>
      </c>
      <c r="K39" s="1">
        <v>35</v>
      </c>
      <c r="L39" s="1">
        <v>1357</v>
      </c>
      <c r="M39" s="1">
        <v>19278</v>
      </c>
      <c r="N39" s="1">
        <v>39054</v>
      </c>
      <c r="O39" s="1">
        <v>1004597</v>
      </c>
      <c r="P39" s="1">
        <v>182942</v>
      </c>
      <c r="Q39" s="1">
        <v>413959</v>
      </c>
      <c r="R39" s="1">
        <v>11206334</v>
      </c>
      <c r="S39" s="1">
        <v>8001</v>
      </c>
      <c r="T39" s="1">
        <v>8001</v>
      </c>
      <c r="U39" s="1">
        <v>41051</v>
      </c>
      <c r="V39" s="1">
        <v>0</v>
      </c>
      <c r="W39" s="1">
        <v>1</v>
      </c>
    </row>
    <row r="40">
      <c r="A40" s="1">
        <v>2016</v>
      </c>
      <c r="B40" s="1">
        <v>8</v>
      </c>
      <c r="C40" t="s">
        <v>12</v>
      </c>
      <c r="D40" s="1">
        <v>5</v>
      </c>
      <c r="E40" t="s">
        <v>79</v>
      </c>
      <c r="F40" s="1">
        <v>41</v>
      </c>
      <c r="G40" t="s">
        <v>3</v>
      </c>
      <c r="H40" s="1">
        <v>51</v>
      </c>
      <c r="I40" t="s">
        <v>6</v>
      </c>
      <c r="J40" s="1">
        <v>43</v>
      </c>
      <c r="K40" s="1">
        <v>71</v>
      </c>
      <c r="L40" s="1">
        <v>2466</v>
      </c>
      <c r="M40" s="1">
        <v>29138</v>
      </c>
      <c r="N40" s="1">
        <v>54024</v>
      </c>
      <c r="O40" s="1">
        <v>1846794</v>
      </c>
      <c r="P40" s="1">
        <v>251837</v>
      </c>
      <c r="Q40" s="1">
        <v>533869</v>
      </c>
      <c r="R40" s="1">
        <v>21942226</v>
      </c>
      <c r="S40" s="1">
        <v>8005</v>
      </c>
      <c r="T40" s="1">
        <v>8005</v>
      </c>
      <c r="U40" s="1">
        <v>41051</v>
      </c>
      <c r="V40" s="1">
        <v>0</v>
      </c>
      <c r="W40" s="1">
        <v>1</v>
      </c>
    </row>
    <row r="41">
      <c r="A41" s="1">
        <v>2016</v>
      </c>
      <c r="B41" s="1">
        <v>8</v>
      </c>
      <c r="C41" t="s">
        <v>12</v>
      </c>
      <c r="D41" s="1">
        <v>13</v>
      </c>
      <c r="E41" t="s">
        <v>80</v>
      </c>
      <c r="F41" s="1">
        <v>41</v>
      </c>
      <c r="G41" t="s">
        <v>3</v>
      </c>
      <c r="H41" s="1">
        <v>51</v>
      </c>
      <c r="I41" t="s">
        <v>6</v>
      </c>
      <c r="J41" s="1">
        <v>90</v>
      </c>
      <c r="K41" s="1">
        <v>116</v>
      </c>
      <c r="L41" s="1">
        <v>5899</v>
      </c>
      <c r="M41" s="1">
        <v>12638</v>
      </c>
      <c r="N41" s="1">
        <v>20084</v>
      </c>
      <c r="O41" s="1">
        <v>853968</v>
      </c>
      <c r="P41" s="1">
        <v>129253</v>
      </c>
      <c r="Q41" s="1">
        <v>257258</v>
      </c>
      <c r="R41" s="1">
        <v>13974359</v>
      </c>
      <c r="S41" s="1">
        <v>8013</v>
      </c>
      <c r="T41" s="1">
        <v>8013</v>
      </c>
      <c r="U41" s="1">
        <v>41051</v>
      </c>
      <c r="V41" s="1">
        <v>0</v>
      </c>
      <c r="W41" s="1">
        <v>1</v>
      </c>
    </row>
    <row r="42">
      <c r="A42" s="1">
        <v>2016</v>
      </c>
      <c r="B42" s="1">
        <v>8</v>
      </c>
      <c r="C42" t="s">
        <v>12</v>
      </c>
      <c r="D42" s="1">
        <v>31</v>
      </c>
      <c r="E42" t="s">
        <v>81</v>
      </c>
      <c r="F42" s="1">
        <v>41</v>
      </c>
      <c r="G42" t="s">
        <v>3</v>
      </c>
      <c r="H42" s="1">
        <v>51</v>
      </c>
      <c r="I42" t="s">
        <v>6</v>
      </c>
      <c r="J42" s="1">
        <v>148</v>
      </c>
      <c r="K42" s="1">
        <v>205</v>
      </c>
      <c r="L42" s="1">
        <v>9157</v>
      </c>
      <c r="M42" s="1">
        <v>38188</v>
      </c>
      <c r="N42" s="1">
        <v>64932</v>
      </c>
      <c r="O42" s="1">
        <v>2433737</v>
      </c>
      <c r="P42" s="1">
        <v>285859</v>
      </c>
      <c r="Q42" s="1">
        <v>537106</v>
      </c>
      <c r="R42" s="1">
        <v>24925232</v>
      </c>
      <c r="S42" s="1">
        <v>8031</v>
      </c>
      <c r="T42" s="1">
        <v>8031</v>
      </c>
      <c r="U42" s="1">
        <v>41051</v>
      </c>
      <c r="V42" s="1">
        <v>0</v>
      </c>
      <c r="W42" s="1">
        <v>1</v>
      </c>
    </row>
    <row r="43">
      <c r="A43" s="1">
        <v>2016</v>
      </c>
      <c r="B43" s="1">
        <v>8</v>
      </c>
      <c r="C43" t="s">
        <v>12</v>
      </c>
      <c r="D43" s="1">
        <v>41</v>
      </c>
      <c r="E43" t="s">
        <v>82</v>
      </c>
      <c r="F43" s="1">
        <v>41</v>
      </c>
      <c r="G43" t="s">
        <v>3</v>
      </c>
      <c r="H43" s="1">
        <v>51</v>
      </c>
      <c r="I43" t="s">
        <v>6</v>
      </c>
      <c r="J43" s="1">
        <v>54</v>
      </c>
      <c r="K43" s="1">
        <v>90</v>
      </c>
      <c r="L43" s="1">
        <v>2909</v>
      </c>
      <c r="M43" s="1">
        <v>21673</v>
      </c>
      <c r="N43" s="1">
        <v>45449</v>
      </c>
      <c r="O43" s="1">
        <v>1132296</v>
      </c>
      <c r="P43" s="1">
        <v>255934</v>
      </c>
      <c r="Q43" s="1">
        <v>560470</v>
      </c>
      <c r="R43" s="1">
        <v>17490338</v>
      </c>
      <c r="S43" s="1">
        <v>8041</v>
      </c>
      <c r="T43" s="1">
        <v>8041</v>
      </c>
      <c r="U43" s="1">
        <v>41051</v>
      </c>
      <c r="V43" s="1">
        <v>0</v>
      </c>
      <c r="W43" s="1">
        <v>1</v>
      </c>
    </row>
    <row r="44">
      <c r="A44" s="1">
        <v>2016</v>
      </c>
      <c r="B44" s="1">
        <v>8</v>
      </c>
      <c r="C44" t="s">
        <v>12</v>
      </c>
      <c r="D44" s="1">
        <v>59</v>
      </c>
      <c r="E44" t="s">
        <v>83</v>
      </c>
      <c r="F44" s="1">
        <v>41</v>
      </c>
      <c r="G44" t="s">
        <v>3</v>
      </c>
      <c r="H44" s="1">
        <v>51</v>
      </c>
      <c r="I44" t="s">
        <v>6</v>
      </c>
      <c r="J44" s="1">
        <v>39</v>
      </c>
      <c r="K44" s="1">
        <v>60</v>
      </c>
      <c r="L44" s="1">
        <v>1916</v>
      </c>
      <c r="M44" s="1">
        <v>23117</v>
      </c>
      <c r="N44" s="1">
        <v>39717</v>
      </c>
      <c r="O44" s="1">
        <v>1364696</v>
      </c>
      <c r="P44" s="1">
        <v>240560</v>
      </c>
      <c r="Q44" s="1">
        <v>478036</v>
      </c>
      <c r="R44" s="1">
        <v>20981376</v>
      </c>
      <c r="S44" s="1">
        <v>8059</v>
      </c>
      <c r="T44" s="1">
        <v>8059</v>
      </c>
      <c r="U44" s="1">
        <v>41051</v>
      </c>
      <c r="V44" s="1">
        <v>0</v>
      </c>
      <c r="W44" s="1">
        <v>1</v>
      </c>
    </row>
    <row r="45">
      <c r="A45" s="1">
        <v>2016</v>
      </c>
      <c r="B45" s="1">
        <v>8</v>
      </c>
      <c r="C45" t="s">
        <v>12</v>
      </c>
      <c r="D45" s="1">
        <v>69</v>
      </c>
      <c r="E45" t="s">
        <v>84</v>
      </c>
      <c r="F45" s="1">
        <v>41</v>
      </c>
      <c r="G45" t="s">
        <v>3</v>
      </c>
      <c r="H45" s="1">
        <v>51</v>
      </c>
      <c r="I45" t="s">
        <v>6</v>
      </c>
      <c r="J45" s="1">
        <v>44</v>
      </c>
      <c r="K45" s="1">
        <v>55</v>
      </c>
      <c r="L45" s="1">
        <v>1629</v>
      </c>
      <c r="M45" s="1">
        <v>10978</v>
      </c>
      <c r="N45" s="1">
        <v>18521</v>
      </c>
      <c r="O45" s="1">
        <v>559926</v>
      </c>
      <c r="P45" s="1">
        <v>132996</v>
      </c>
      <c r="Q45" s="1">
        <v>268721</v>
      </c>
      <c r="R45" s="1">
        <v>10701560</v>
      </c>
      <c r="S45" s="1">
        <v>8069</v>
      </c>
      <c r="T45" s="1">
        <v>8069</v>
      </c>
      <c r="U45" s="1">
        <v>41051</v>
      </c>
      <c r="V45" s="1">
        <v>0</v>
      </c>
      <c r="W45" s="1">
        <v>1</v>
      </c>
    </row>
    <row r="46">
      <c r="A46" s="1">
        <v>2016</v>
      </c>
      <c r="B46" s="1">
        <v>9</v>
      </c>
      <c r="C46" t="s">
        <v>13</v>
      </c>
      <c r="D46" s="1">
        <v>1</v>
      </c>
      <c r="E46" t="s">
        <v>241</v>
      </c>
      <c r="F46" s="1">
        <v>41</v>
      </c>
      <c r="G46" t="s">
        <v>3</v>
      </c>
      <c r="H46" s="1">
        <v>51</v>
      </c>
      <c r="I46" t="s">
        <v>6</v>
      </c>
      <c r="J46" s="1">
        <v>21</v>
      </c>
      <c r="K46" s="1">
        <v>28</v>
      </c>
      <c r="L46" s="1">
        <v>1568</v>
      </c>
      <c r="M46" s="1">
        <v>19416</v>
      </c>
      <c r="N46" s="1">
        <v>33330</v>
      </c>
      <c r="O46" s="1">
        <v>3634883</v>
      </c>
      <c r="P46" s="1">
        <v>373050</v>
      </c>
      <c r="Q46" s="1">
        <v>793367</v>
      </c>
      <c r="R46" s="1">
        <v>68392112</v>
      </c>
      <c r="S46" s="1">
        <v>9001</v>
      </c>
      <c r="T46" s="1">
        <v>9001</v>
      </c>
      <c r="U46" s="1">
        <v>41051</v>
      </c>
      <c r="V46" s="1">
        <v>0</v>
      </c>
      <c r="W46" s="1">
        <v>1</v>
      </c>
    </row>
    <row r="47">
      <c r="A47" s="1">
        <v>2016</v>
      </c>
      <c r="B47" s="1">
        <v>9</v>
      </c>
      <c r="C47" t="s">
        <v>13</v>
      </c>
      <c r="D47" s="1">
        <v>9</v>
      </c>
      <c r="E47" t="s">
        <v>85</v>
      </c>
      <c r="F47" s="1">
        <v>41</v>
      </c>
      <c r="G47" t="s">
        <v>3</v>
      </c>
      <c r="H47" s="1">
        <v>51</v>
      </c>
      <c r="I47" t="s">
        <v>6</v>
      </c>
      <c r="J47" s="1">
        <v>32</v>
      </c>
      <c r="K47" s="1">
        <v>51</v>
      </c>
      <c r="L47" s="1">
        <v>1777</v>
      </c>
      <c r="M47" s="1">
        <v>17043</v>
      </c>
      <c r="N47" s="1">
        <v>28625</v>
      </c>
      <c r="O47" s="1">
        <v>1157995</v>
      </c>
      <c r="P47" s="1">
        <v>344269</v>
      </c>
      <c r="Q47" s="1">
        <v>685549</v>
      </c>
      <c r="R47" s="1">
        <v>27386268</v>
      </c>
      <c r="S47" s="1">
        <v>9009</v>
      </c>
      <c r="T47" s="1">
        <v>9009</v>
      </c>
      <c r="U47" s="1">
        <v>41051</v>
      </c>
      <c r="V47" s="1">
        <v>0</v>
      </c>
      <c r="W47" s="1">
        <v>1</v>
      </c>
    </row>
    <row r="48">
      <c r="A48" s="1">
        <v>2016</v>
      </c>
      <c r="B48" s="1">
        <v>11</v>
      </c>
      <c r="C48" t="s">
        <v>14</v>
      </c>
      <c r="D48" s="1">
        <v>1</v>
      </c>
      <c r="E48" t="s">
        <v>14</v>
      </c>
      <c r="F48" s="1">
        <v>41</v>
      </c>
      <c r="G48" t="s">
        <v>3</v>
      </c>
      <c r="H48" s="1">
        <v>51</v>
      </c>
      <c r="I48" t="s">
        <v>6</v>
      </c>
      <c r="J48" s="1">
        <v>129</v>
      </c>
      <c r="K48" s="1">
        <v>166</v>
      </c>
      <c r="L48" s="1">
        <v>10064</v>
      </c>
      <c r="M48" s="1">
        <v>29036</v>
      </c>
      <c r="N48" s="1">
        <v>43786</v>
      </c>
      <c r="O48" s="1">
        <v>2548265</v>
      </c>
      <c r="P48" s="1">
        <v>286002</v>
      </c>
      <c r="Q48" s="1">
        <v>474139</v>
      </c>
      <c r="R48" s="1">
        <v>29700454</v>
      </c>
      <c r="S48" s="1">
        <v>11001</v>
      </c>
      <c r="T48" s="1">
        <v>11001</v>
      </c>
      <c r="U48" s="1">
        <v>41051</v>
      </c>
      <c r="V48" s="1">
        <v>0</v>
      </c>
      <c r="W48" s="1">
        <v>1</v>
      </c>
    </row>
    <row r="49">
      <c r="A49" s="1">
        <v>2016</v>
      </c>
      <c r="B49" s="1">
        <v>12</v>
      </c>
      <c r="C49" t="s">
        <v>15</v>
      </c>
      <c r="D49" s="1">
        <v>11</v>
      </c>
      <c r="E49" t="s">
        <v>183</v>
      </c>
      <c r="F49" s="1">
        <v>41</v>
      </c>
      <c r="G49" t="s">
        <v>3</v>
      </c>
      <c r="H49" s="1">
        <v>51</v>
      </c>
      <c r="I49" t="s">
        <v>6</v>
      </c>
      <c r="J49" s="1">
        <v>58</v>
      </c>
      <c r="K49" s="1">
        <v>87</v>
      </c>
      <c r="L49" s="1">
        <v>3031</v>
      </c>
      <c r="M49" s="1">
        <v>45302</v>
      </c>
      <c r="N49" s="1">
        <v>80395</v>
      </c>
      <c r="O49" s="1">
        <v>2857537</v>
      </c>
      <c r="P49" s="1">
        <v>758658</v>
      </c>
      <c r="Q49" s="1">
        <v>1496038</v>
      </c>
      <c r="R49" s="1">
        <v>53629992</v>
      </c>
      <c r="S49" s="1">
        <v>12011</v>
      </c>
      <c r="T49" s="1">
        <v>12011</v>
      </c>
      <c r="U49" s="1">
        <v>41051</v>
      </c>
      <c r="V49" s="1">
        <v>0</v>
      </c>
      <c r="W49" s="1">
        <v>1</v>
      </c>
    </row>
    <row r="50">
      <c r="A50" s="1">
        <v>2016</v>
      </c>
      <c r="B50" s="1">
        <v>12</v>
      </c>
      <c r="C50" t="s">
        <v>15</v>
      </c>
      <c r="D50" s="1">
        <v>31</v>
      </c>
      <c r="E50" t="s">
        <v>184</v>
      </c>
      <c r="F50" s="1">
        <v>41</v>
      </c>
      <c r="G50" t="s">
        <v>3</v>
      </c>
      <c r="H50" s="1">
        <v>51</v>
      </c>
      <c r="I50" t="s">
        <v>6</v>
      </c>
      <c r="J50" s="1">
        <v>35</v>
      </c>
      <c r="K50" s="1">
        <v>64</v>
      </c>
      <c r="L50" s="1">
        <v>1938</v>
      </c>
      <c r="M50" s="1">
        <v>23928</v>
      </c>
      <c r="N50" s="1">
        <v>45343</v>
      </c>
      <c r="O50" s="1">
        <v>1422331</v>
      </c>
      <c r="P50" s="1">
        <v>361544</v>
      </c>
      <c r="Q50" s="1">
        <v>727234</v>
      </c>
      <c r="R50" s="1">
        <v>22492752</v>
      </c>
      <c r="S50" s="1">
        <v>12031</v>
      </c>
      <c r="T50" s="1">
        <v>12031</v>
      </c>
      <c r="U50" s="1">
        <v>41051</v>
      </c>
      <c r="V50" s="1">
        <v>0</v>
      </c>
      <c r="W50" s="1">
        <v>1</v>
      </c>
    </row>
    <row r="51">
      <c r="A51" s="1">
        <v>2016</v>
      </c>
      <c r="B51" s="1">
        <v>12</v>
      </c>
      <c r="C51" t="s">
        <v>15</v>
      </c>
      <c r="D51" s="1">
        <v>57</v>
      </c>
      <c r="E51" t="s">
        <v>86</v>
      </c>
      <c r="F51" s="1">
        <v>41</v>
      </c>
      <c r="G51" t="s">
        <v>3</v>
      </c>
      <c r="H51" s="1">
        <v>51</v>
      </c>
      <c r="I51" t="s">
        <v>6</v>
      </c>
      <c r="J51" s="1">
        <v>41</v>
      </c>
      <c r="K51" s="1">
        <v>59</v>
      </c>
      <c r="L51" s="1">
        <v>2022</v>
      </c>
      <c r="M51" s="1">
        <v>35174</v>
      </c>
      <c r="N51" s="1">
        <v>64253</v>
      </c>
      <c r="O51" s="1">
        <v>2049423</v>
      </c>
      <c r="P51" s="1">
        <v>512492</v>
      </c>
      <c r="Q51" s="1">
        <v>1057662</v>
      </c>
      <c r="R51" s="1">
        <v>35821864</v>
      </c>
      <c r="S51" s="1">
        <v>12057</v>
      </c>
      <c r="T51" s="1">
        <v>12057</v>
      </c>
      <c r="U51" s="1">
        <v>41051</v>
      </c>
      <c r="V51" s="1">
        <v>0</v>
      </c>
      <c r="W51" s="1">
        <v>1</v>
      </c>
    </row>
    <row r="52">
      <c r="A52" s="1">
        <v>2016</v>
      </c>
      <c r="B52" s="1">
        <v>12</v>
      </c>
      <c r="C52" t="s">
        <v>15</v>
      </c>
      <c r="D52" s="1">
        <v>71</v>
      </c>
      <c r="E52" t="s">
        <v>226</v>
      </c>
      <c r="F52" s="1">
        <v>41</v>
      </c>
      <c r="G52" t="s">
        <v>3</v>
      </c>
      <c r="H52" s="1">
        <v>51</v>
      </c>
      <c r="I52" t="s">
        <v>6</v>
      </c>
      <c r="J52" s="1">
        <v>25</v>
      </c>
      <c r="K52" s="1">
        <v>35</v>
      </c>
      <c r="L52" s="1">
        <v>853</v>
      </c>
      <c r="M52" s="1">
        <v>15645</v>
      </c>
      <c r="N52" s="1">
        <v>27377</v>
      </c>
      <c r="O52" s="1">
        <v>934406</v>
      </c>
      <c r="P52" s="1">
        <v>270285</v>
      </c>
      <c r="Q52" s="1">
        <v>531797</v>
      </c>
      <c r="R52" s="1">
        <v>20628528</v>
      </c>
      <c r="S52" s="1">
        <v>12071</v>
      </c>
      <c r="T52" s="1">
        <v>12071</v>
      </c>
      <c r="U52" s="1">
        <v>41051</v>
      </c>
      <c r="V52" s="1">
        <v>0</v>
      </c>
      <c r="W52" s="1">
        <v>1</v>
      </c>
    </row>
    <row r="53">
      <c r="A53" s="1">
        <v>2016</v>
      </c>
      <c r="B53" s="1">
        <v>12</v>
      </c>
      <c r="C53" t="s">
        <v>15</v>
      </c>
      <c r="D53" s="1">
        <v>73</v>
      </c>
      <c r="E53" t="s">
        <v>345</v>
      </c>
      <c r="F53" s="1">
        <v>41</v>
      </c>
      <c r="G53" t="s">
        <v>3</v>
      </c>
      <c r="H53" s="1">
        <v>51</v>
      </c>
      <c r="I53" t="s">
        <v>6</v>
      </c>
      <c r="J53" s="1">
        <v>23</v>
      </c>
      <c r="K53" s="1">
        <v>29</v>
      </c>
      <c r="L53" s="1">
        <v>970</v>
      </c>
      <c r="M53" s="1">
        <v>8699</v>
      </c>
      <c r="N53" s="1">
        <v>14467</v>
      </c>
      <c r="O53" s="1">
        <v>365409</v>
      </c>
      <c r="P53" s="1">
        <v>102454</v>
      </c>
      <c r="Q53" s="1">
        <v>198979</v>
      </c>
      <c r="R53" s="1">
        <v>6802388</v>
      </c>
      <c r="S53" s="1">
        <v>12073</v>
      </c>
      <c r="T53" s="1">
        <v>12073</v>
      </c>
      <c r="U53" s="1">
        <v>41051</v>
      </c>
      <c r="V53" s="1">
        <v>0</v>
      </c>
      <c r="W53" s="1">
        <v>1</v>
      </c>
    </row>
    <row r="54">
      <c r="A54" s="1">
        <v>2016</v>
      </c>
      <c r="B54" s="1">
        <v>12</v>
      </c>
      <c r="C54" t="s">
        <v>15</v>
      </c>
      <c r="D54" s="1">
        <v>86</v>
      </c>
      <c r="E54" t="s">
        <v>87</v>
      </c>
      <c r="F54" s="1">
        <v>41</v>
      </c>
      <c r="G54" t="s">
        <v>3</v>
      </c>
      <c r="H54" s="1">
        <v>51</v>
      </c>
      <c r="I54" t="s">
        <v>6</v>
      </c>
      <c r="J54" s="1">
        <v>51</v>
      </c>
      <c r="K54" s="1">
        <v>79</v>
      </c>
      <c r="L54" s="1">
        <v>2633</v>
      </c>
      <c r="M54" s="1">
        <v>46738</v>
      </c>
      <c r="N54" s="1">
        <v>83164</v>
      </c>
      <c r="O54" s="1">
        <v>2458954</v>
      </c>
      <c r="P54" s="1">
        <v>1050178</v>
      </c>
      <c r="Q54" s="1">
        <v>2055296</v>
      </c>
      <c r="R54" s="1">
        <v>67966640</v>
      </c>
      <c r="S54" s="1">
        <v>12086</v>
      </c>
      <c r="T54" s="1">
        <v>12086</v>
      </c>
      <c r="U54" s="1">
        <v>41051</v>
      </c>
      <c r="V54" s="1">
        <v>0</v>
      </c>
      <c r="W54" s="1">
        <v>1</v>
      </c>
    </row>
    <row r="55">
      <c r="A55" s="1">
        <v>2016</v>
      </c>
      <c r="B55" s="1">
        <v>12</v>
      </c>
      <c r="C55" t="s">
        <v>15</v>
      </c>
      <c r="D55" s="1">
        <v>95</v>
      </c>
      <c r="E55" t="s">
        <v>64</v>
      </c>
      <c r="F55" s="1">
        <v>41</v>
      </c>
      <c r="G55" t="s">
        <v>3</v>
      </c>
      <c r="H55" s="1">
        <v>51</v>
      </c>
      <c r="I55" t="s">
        <v>6</v>
      </c>
      <c r="J55" s="1">
        <v>47</v>
      </c>
      <c r="K55" s="1">
        <v>64</v>
      </c>
      <c r="L55" s="1">
        <v>2203</v>
      </c>
      <c r="M55" s="1">
        <v>42858</v>
      </c>
      <c r="N55" s="1">
        <v>76645</v>
      </c>
      <c r="O55" s="1">
        <v>2019549</v>
      </c>
      <c r="P55" s="1">
        <v>502063</v>
      </c>
      <c r="Q55" s="1">
        <v>1021656</v>
      </c>
      <c r="R55" s="1">
        <v>32488984</v>
      </c>
      <c r="S55" s="1">
        <v>12095</v>
      </c>
      <c r="T55" s="1">
        <v>12095</v>
      </c>
      <c r="U55" s="1">
        <v>41051</v>
      </c>
      <c r="V55" s="1">
        <v>0</v>
      </c>
      <c r="W55" s="1">
        <v>1</v>
      </c>
    </row>
    <row r="56">
      <c r="A56" s="1">
        <v>2016</v>
      </c>
      <c r="B56" s="1">
        <v>12</v>
      </c>
      <c r="C56" t="s">
        <v>15</v>
      </c>
      <c r="D56" s="1">
        <v>99</v>
      </c>
      <c r="E56" t="s">
        <v>88</v>
      </c>
      <c r="F56" s="1">
        <v>41</v>
      </c>
      <c r="G56" t="s">
        <v>3</v>
      </c>
      <c r="H56" s="1">
        <v>51</v>
      </c>
      <c r="I56" t="s">
        <v>6</v>
      </c>
      <c r="J56" s="1">
        <v>34</v>
      </c>
      <c r="K56" s="1">
        <v>49</v>
      </c>
      <c r="L56" s="1">
        <v>3257</v>
      </c>
      <c r="M56" s="1">
        <v>30296</v>
      </c>
      <c r="N56" s="1">
        <v>51369</v>
      </c>
      <c r="O56" s="1">
        <v>2178477</v>
      </c>
      <c r="P56" s="1">
        <v>575166</v>
      </c>
      <c r="Q56" s="1">
        <v>1117614</v>
      </c>
      <c r="R56" s="1">
        <v>60271880</v>
      </c>
      <c r="S56" s="1">
        <v>12099</v>
      </c>
      <c r="T56" s="1">
        <v>12099</v>
      </c>
      <c r="U56" s="1">
        <v>41051</v>
      </c>
      <c r="V56" s="1">
        <v>0</v>
      </c>
      <c r="W56" s="1">
        <v>1</v>
      </c>
    </row>
    <row r="57">
      <c r="A57" s="1">
        <v>2016</v>
      </c>
      <c r="B57" s="1">
        <v>12</v>
      </c>
      <c r="C57" t="s">
        <v>15</v>
      </c>
      <c r="D57" s="1">
        <v>103</v>
      </c>
      <c r="E57" t="s">
        <v>89</v>
      </c>
      <c r="F57" s="1">
        <v>41</v>
      </c>
      <c r="G57" t="s">
        <v>3</v>
      </c>
      <c r="H57" s="1">
        <v>51</v>
      </c>
      <c r="I57" t="s">
        <v>6</v>
      </c>
      <c r="J57" s="1">
        <v>47</v>
      </c>
      <c r="K57" s="1">
        <v>62</v>
      </c>
      <c r="L57" s="1">
        <v>2232</v>
      </c>
      <c r="M57" s="1">
        <v>23113</v>
      </c>
      <c r="N57" s="1">
        <v>38917</v>
      </c>
      <c r="O57" s="1">
        <v>1280640</v>
      </c>
      <c r="P57" s="1">
        <v>388253</v>
      </c>
      <c r="Q57" s="1">
        <v>711942</v>
      </c>
      <c r="R57" s="1">
        <v>26886816</v>
      </c>
      <c r="S57" s="1">
        <v>12103</v>
      </c>
      <c r="T57" s="1">
        <v>12103</v>
      </c>
      <c r="U57" s="1">
        <v>41051</v>
      </c>
      <c r="V57" s="1">
        <v>0</v>
      </c>
      <c r="W57" s="1">
        <v>1</v>
      </c>
    </row>
    <row r="58">
      <c r="A58" s="1">
        <v>2016</v>
      </c>
      <c r="B58" s="1">
        <v>13</v>
      </c>
      <c r="C58" t="s">
        <v>16</v>
      </c>
      <c r="D58" s="1">
        <v>67</v>
      </c>
      <c r="E58" t="s">
        <v>243</v>
      </c>
      <c r="F58" s="1">
        <v>41</v>
      </c>
      <c r="G58" t="s">
        <v>3</v>
      </c>
      <c r="H58" s="1">
        <v>51</v>
      </c>
      <c r="I58" t="s">
        <v>6</v>
      </c>
      <c r="J58" s="1">
        <v>31</v>
      </c>
      <c r="K58" s="1">
        <v>47</v>
      </c>
      <c r="L58" s="1">
        <v>1965</v>
      </c>
      <c r="M58" s="1">
        <v>28135</v>
      </c>
      <c r="N58" s="1">
        <v>53300</v>
      </c>
      <c r="O58" s="1">
        <v>1810242</v>
      </c>
      <c r="P58" s="1">
        <v>282400</v>
      </c>
      <c r="Q58" s="1">
        <v>620163</v>
      </c>
      <c r="R58" s="1">
        <v>24739556</v>
      </c>
      <c r="S58" s="1">
        <v>13067</v>
      </c>
      <c r="T58" s="1">
        <v>13067</v>
      </c>
      <c r="U58" s="1">
        <v>41051</v>
      </c>
      <c r="V58" s="1">
        <v>0</v>
      </c>
      <c r="W58" s="1">
        <v>1</v>
      </c>
    </row>
    <row r="59">
      <c r="A59" s="1">
        <v>2016</v>
      </c>
      <c r="B59" s="1">
        <v>13</v>
      </c>
      <c r="C59" t="s">
        <v>16</v>
      </c>
      <c r="D59" s="1">
        <v>89</v>
      </c>
      <c r="E59" t="s">
        <v>90</v>
      </c>
      <c r="F59" s="1">
        <v>41</v>
      </c>
      <c r="G59" t="s">
        <v>3</v>
      </c>
      <c r="H59" s="1">
        <v>51</v>
      </c>
      <c r="I59" t="s">
        <v>6</v>
      </c>
      <c r="J59" s="1">
        <v>39</v>
      </c>
      <c r="K59" s="1">
        <v>60</v>
      </c>
      <c r="L59" s="1">
        <v>2503</v>
      </c>
      <c r="M59" s="1">
        <v>32713</v>
      </c>
      <c r="N59" s="1">
        <v>61618</v>
      </c>
      <c r="O59" s="1">
        <v>1966583</v>
      </c>
      <c r="P59" s="1">
        <v>280995</v>
      </c>
      <c r="Q59" s="1">
        <v>576343</v>
      </c>
      <c r="R59" s="1">
        <v>19977068</v>
      </c>
      <c r="S59" s="1">
        <v>13089</v>
      </c>
      <c r="T59" s="1">
        <v>13089</v>
      </c>
      <c r="U59" s="1">
        <v>41051</v>
      </c>
      <c r="V59" s="1">
        <v>0</v>
      </c>
      <c r="W59" s="1">
        <v>1</v>
      </c>
    </row>
    <row r="60">
      <c r="A60" s="1">
        <v>2016</v>
      </c>
      <c r="B60" s="1">
        <v>13</v>
      </c>
      <c r="C60" t="s">
        <v>16</v>
      </c>
      <c r="D60" s="1">
        <v>121</v>
      </c>
      <c r="E60" t="s">
        <v>91</v>
      </c>
      <c r="F60" s="1">
        <v>41</v>
      </c>
      <c r="G60" t="s">
        <v>3</v>
      </c>
      <c r="H60" s="1">
        <v>51</v>
      </c>
      <c r="I60" t="s">
        <v>6</v>
      </c>
      <c r="J60" s="1">
        <v>58</v>
      </c>
      <c r="K60" s="1">
        <v>91</v>
      </c>
      <c r="L60" s="1">
        <v>4744</v>
      </c>
      <c r="M60" s="1">
        <v>44300</v>
      </c>
      <c r="N60" s="1">
        <v>80811</v>
      </c>
      <c r="O60" s="1">
        <v>3249859</v>
      </c>
      <c r="P60" s="1">
        <v>369313</v>
      </c>
      <c r="Q60" s="1">
        <v>758885</v>
      </c>
      <c r="R60" s="1">
        <v>42695904</v>
      </c>
      <c r="S60" s="1">
        <v>13121</v>
      </c>
      <c r="T60" s="1">
        <v>13121</v>
      </c>
      <c r="U60" s="1">
        <v>41051</v>
      </c>
      <c r="V60" s="1">
        <v>0</v>
      </c>
      <c r="W60" s="1">
        <v>1</v>
      </c>
    </row>
    <row r="61">
      <c r="A61" s="1">
        <v>2016</v>
      </c>
      <c r="B61" s="1">
        <v>15</v>
      </c>
      <c r="C61" t="s">
        <v>17</v>
      </c>
      <c r="D61" s="1">
        <v>1</v>
      </c>
      <c r="E61" t="s">
        <v>92</v>
      </c>
      <c r="F61" s="1">
        <v>41</v>
      </c>
      <c r="G61" t="s">
        <v>3</v>
      </c>
      <c r="H61" s="1">
        <v>51</v>
      </c>
      <c r="I61" t="s">
        <v>6</v>
      </c>
      <c r="J61" s="1">
        <v>49</v>
      </c>
      <c r="K61" s="1">
        <v>66</v>
      </c>
      <c r="L61" s="1">
        <v>2551</v>
      </c>
      <c r="M61" s="1">
        <v>3321</v>
      </c>
      <c r="N61" s="1">
        <v>5785</v>
      </c>
      <c r="O61" s="1">
        <v>144477</v>
      </c>
      <c r="P61" s="1">
        <v>71731</v>
      </c>
      <c r="Q61" s="1">
        <v>145168</v>
      </c>
      <c r="R61" s="1">
        <v>3958567</v>
      </c>
      <c r="S61" s="1">
        <v>15001</v>
      </c>
      <c r="T61" s="1">
        <v>15001</v>
      </c>
      <c r="U61" s="1">
        <v>41051</v>
      </c>
      <c r="V61" s="1">
        <v>0</v>
      </c>
      <c r="W61" s="1">
        <v>1</v>
      </c>
    </row>
    <row r="62">
      <c r="A62" s="1">
        <v>2016</v>
      </c>
      <c r="B62" s="1">
        <v>15</v>
      </c>
      <c r="C62" t="s">
        <v>17</v>
      </c>
      <c r="D62" s="1">
        <v>3</v>
      </c>
      <c r="E62" t="s">
        <v>93</v>
      </c>
      <c r="F62" s="1">
        <v>41</v>
      </c>
      <c r="G62" t="s">
        <v>3</v>
      </c>
      <c r="H62" s="1">
        <v>51</v>
      </c>
      <c r="I62" t="s">
        <v>6</v>
      </c>
      <c r="J62" s="1">
        <v>176</v>
      </c>
      <c r="K62" s="1">
        <v>294</v>
      </c>
      <c r="L62" s="1">
        <v>9816</v>
      </c>
      <c r="M62" s="1">
        <v>23233</v>
      </c>
      <c r="N62" s="1">
        <v>50194</v>
      </c>
      <c r="O62" s="1">
        <v>1272317</v>
      </c>
      <c r="P62" s="1">
        <v>409901</v>
      </c>
      <c r="Q62" s="1">
        <v>833951</v>
      </c>
      <c r="R62" s="1">
        <v>28864576</v>
      </c>
      <c r="S62" s="1">
        <v>15003</v>
      </c>
      <c r="T62" s="1">
        <v>15003</v>
      </c>
      <c r="U62" s="1">
        <v>41051</v>
      </c>
      <c r="V62" s="1">
        <v>0</v>
      </c>
      <c r="W62" s="1">
        <v>1</v>
      </c>
    </row>
    <row r="63">
      <c r="A63" s="1">
        <v>2016</v>
      </c>
      <c r="B63" s="1">
        <v>15</v>
      </c>
      <c r="C63" t="s">
        <v>17</v>
      </c>
      <c r="D63" s="1">
        <v>7</v>
      </c>
      <c r="E63" t="s">
        <v>185</v>
      </c>
      <c r="F63" s="1">
        <v>41</v>
      </c>
      <c r="G63" t="s">
        <v>3</v>
      </c>
      <c r="H63" s="1">
        <v>51</v>
      </c>
      <c r="I63" t="s">
        <v>6</v>
      </c>
      <c r="J63" s="1">
        <v>20</v>
      </c>
      <c r="K63" s="1">
        <v>31</v>
      </c>
      <c r="L63" s="1">
        <v>508</v>
      </c>
      <c r="M63" s="1">
        <v>1313</v>
      </c>
      <c r="N63" s="1">
        <v>2309</v>
      </c>
      <c r="O63" s="1">
        <v>69216</v>
      </c>
      <c r="P63" s="1">
        <v>29148</v>
      </c>
      <c r="Q63" s="1">
        <v>57928</v>
      </c>
      <c r="R63" s="1">
        <v>1781562</v>
      </c>
      <c r="S63" s="1">
        <v>15007</v>
      </c>
      <c r="T63" s="1">
        <v>15007</v>
      </c>
      <c r="U63" s="1">
        <v>41051</v>
      </c>
      <c r="V63" s="1">
        <v>0</v>
      </c>
      <c r="W63" s="1">
        <v>1</v>
      </c>
    </row>
    <row r="64">
      <c r="A64" s="1">
        <v>2016</v>
      </c>
      <c r="B64" s="1">
        <v>15</v>
      </c>
      <c r="C64" t="s">
        <v>17</v>
      </c>
      <c r="D64" s="1">
        <v>9</v>
      </c>
      <c r="E64" t="s">
        <v>94</v>
      </c>
      <c r="F64" s="1">
        <v>41</v>
      </c>
      <c r="G64" t="s">
        <v>3</v>
      </c>
      <c r="H64" s="1">
        <v>51</v>
      </c>
      <c r="I64" t="s">
        <v>6</v>
      </c>
      <c r="J64" s="1">
        <v>31</v>
      </c>
      <c r="K64" s="1">
        <v>46</v>
      </c>
      <c r="L64" s="1">
        <v>2234</v>
      </c>
      <c r="M64" s="1">
        <v>3035</v>
      </c>
      <c r="N64" s="1">
        <v>5171</v>
      </c>
      <c r="O64" s="1">
        <v>154448</v>
      </c>
      <c r="P64" s="1">
        <v>65733</v>
      </c>
      <c r="Q64" s="1">
        <v>130486</v>
      </c>
      <c r="R64" s="1">
        <v>3933571</v>
      </c>
      <c r="S64" s="1">
        <v>15009</v>
      </c>
      <c r="T64" s="1">
        <v>15009</v>
      </c>
      <c r="U64" s="1">
        <v>41051</v>
      </c>
      <c r="V64" s="1">
        <v>0</v>
      </c>
      <c r="W64" s="1">
        <v>1</v>
      </c>
    </row>
    <row r="65">
      <c r="A65" s="1">
        <v>2016</v>
      </c>
      <c r="B65" s="1">
        <v>16</v>
      </c>
      <c r="C65" t="s">
        <v>18</v>
      </c>
      <c r="D65" s="1">
        <v>1</v>
      </c>
      <c r="E65" t="s">
        <v>95</v>
      </c>
      <c r="F65" s="1">
        <v>41</v>
      </c>
      <c r="G65" t="s">
        <v>3</v>
      </c>
      <c r="H65" s="1">
        <v>51</v>
      </c>
      <c r="I65" t="s">
        <v>6</v>
      </c>
      <c r="J65" s="1">
        <v>153</v>
      </c>
      <c r="K65" s="1">
        <v>219</v>
      </c>
      <c r="L65" s="1">
        <v>5624</v>
      </c>
      <c r="M65" s="1">
        <v>9974</v>
      </c>
      <c r="N65" s="1">
        <v>19514</v>
      </c>
      <c r="O65" s="1">
        <v>533945</v>
      </c>
      <c r="P65" s="1">
        <v>164077</v>
      </c>
      <c r="Q65" s="1">
        <v>358791</v>
      </c>
      <c r="R65" s="1">
        <v>12306786</v>
      </c>
      <c r="S65" s="1">
        <v>16001</v>
      </c>
      <c r="T65" s="1">
        <v>16001</v>
      </c>
      <c r="U65" s="1">
        <v>41051</v>
      </c>
      <c r="V65" s="1">
        <v>0</v>
      </c>
      <c r="W65" s="1">
        <v>1</v>
      </c>
    </row>
    <row r="66">
      <c r="A66" s="1">
        <v>2016</v>
      </c>
      <c r="B66" s="1">
        <v>16</v>
      </c>
      <c r="C66" t="s">
        <v>18</v>
      </c>
      <c r="D66" s="1">
        <v>27</v>
      </c>
      <c r="E66" t="s">
        <v>96</v>
      </c>
      <c r="F66" s="1">
        <v>41</v>
      </c>
      <c r="G66" t="s">
        <v>3</v>
      </c>
      <c r="H66" s="1">
        <v>51</v>
      </c>
      <c r="I66" t="s">
        <v>6</v>
      </c>
      <c r="J66" s="1">
        <v>29</v>
      </c>
      <c r="K66" s="1">
        <v>51</v>
      </c>
      <c r="L66" s="1">
        <v>838</v>
      </c>
      <c r="M66" s="1">
        <v>4887</v>
      </c>
      <c r="N66" s="1">
        <v>10582</v>
      </c>
      <c r="O66" s="1">
        <v>194985</v>
      </c>
      <c r="P66" s="1">
        <v>67172</v>
      </c>
      <c r="Q66" s="1">
        <v>167453</v>
      </c>
      <c r="R66" s="1">
        <v>3311260</v>
      </c>
      <c r="S66" s="1">
        <v>16027</v>
      </c>
      <c r="T66" s="1">
        <v>16027</v>
      </c>
      <c r="U66" s="1">
        <v>41051</v>
      </c>
      <c r="V66" s="1">
        <v>0</v>
      </c>
      <c r="W66" s="1">
        <v>1</v>
      </c>
    </row>
    <row r="67">
      <c r="A67" s="1">
        <v>2016</v>
      </c>
      <c r="B67" s="1">
        <v>16</v>
      </c>
      <c r="C67" t="s">
        <v>18</v>
      </c>
      <c r="D67" s="1">
        <v>55</v>
      </c>
      <c r="E67" t="s">
        <v>97</v>
      </c>
      <c r="F67" s="1">
        <v>41</v>
      </c>
      <c r="G67" t="s">
        <v>3</v>
      </c>
      <c r="H67" s="1">
        <v>51</v>
      </c>
      <c r="I67" t="s">
        <v>6</v>
      </c>
      <c r="J67" s="1">
        <v>25</v>
      </c>
      <c r="K67" s="1">
        <v>36</v>
      </c>
      <c r="L67" s="1">
        <v>740</v>
      </c>
      <c r="M67" s="1">
        <v>3376</v>
      </c>
      <c r="N67" s="1">
        <v>6286</v>
      </c>
      <c r="O67" s="1">
        <v>150288</v>
      </c>
      <c r="P67" s="1">
        <v>58422</v>
      </c>
      <c r="Q67" s="1">
        <v>124502</v>
      </c>
      <c r="R67" s="1">
        <v>3578320</v>
      </c>
      <c r="S67" s="1">
        <v>16055</v>
      </c>
      <c r="T67" s="1">
        <v>16055</v>
      </c>
      <c r="U67" s="1">
        <v>41051</v>
      </c>
      <c r="V67" s="1">
        <v>0</v>
      </c>
      <c r="W67" s="1">
        <v>1</v>
      </c>
    </row>
    <row r="68">
      <c r="A68" s="1">
        <v>2016</v>
      </c>
      <c r="B68" s="1">
        <v>17</v>
      </c>
      <c r="C68" t="s">
        <v>19</v>
      </c>
      <c r="D68" s="1">
        <v>31</v>
      </c>
      <c r="E68" t="s">
        <v>98</v>
      </c>
      <c r="F68" s="1">
        <v>41</v>
      </c>
      <c r="G68" t="s">
        <v>3</v>
      </c>
      <c r="H68" s="1">
        <v>51</v>
      </c>
      <c r="I68" t="s">
        <v>6</v>
      </c>
      <c r="J68" s="1">
        <v>412</v>
      </c>
      <c r="K68" s="1">
        <v>552</v>
      </c>
      <c r="L68" s="1">
        <v>28968</v>
      </c>
      <c r="M68" s="1">
        <v>96453</v>
      </c>
      <c r="N68" s="1">
        <v>176792</v>
      </c>
      <c r="O68" s="1">
        <v>8028185</v>
      </c>
      <c r="P68" s="1">
        <v>2116903</v>
      </c>
      <c r="Q68" s="1">
        <v>4413259</v>
      </c>
      <c r="R68" s="1">
        <v>178541696</v>
      </c>
      <c r="S68" s="1">
        <v>17031</v>
      </c>
      <c r="T68" s="1">
        <v>17031</v>
      </c>
      <c r="U68" s="1">
        <v>41051</v>
      </c>
      <c r="V68" s="1">
        <v>0</v>
      </c>
      <c r="W68" s="1">
        <v>1</v>
      </c>
    </row>
    <row r="69">
      <c r="A69" s="1">
        <v>2016</v>
      </c>
      <c r="B69" s="1">
        <v>17</v>
      </c>
      <c r="C69" t="s">
        <v>19</v>
      </c>
      <c r="D69" s="1">
        <v>43</v>
      </c>
      <c r="E69" t="s">
        <v>187</v>
      </c>
      <c r="F69" s="1">
        <v>41</v>
      </c>
      <c r="G69" t="s">
        <v>3</v>
      </c>
      <c r="H69" s="1">
        <v>51</v>
      </c>
      <c r="I69" t="s">
        <v>6</v>
      </c>
      <c r="J69" s="1">
        <v>30</v>
      </c>
      <c r="K69" s="1">
        <v>45</v>
      </c>
      <c r="L69" s="1">
        <v>1970</v>
      </c>
      <c r="M69" s="1">
        <v>28635</v>
      </c>
      <c r="N69" s="1">
        <v>53321</v>
      </c>
      <c r="O69" s="1">
        <v>2506003</v>
      </c>
      <c r="P69" s="1">
        <v>388716</v>
      </c>
      <c r="Q69" s="1">
        <v>870891</v>
      </c>
      <c r="R69" s="1">
        <v>43184004</v>
      </c>
      <c r="S69" s="1">
        <v>17043</v>
      </c>
      <c r="T69" s="1">
        <v>17043</v>
      </c>
      <c r="U69" s="1">
        <v>41051</v>
      </c>
      <c r="V69" s="1">
        <v>0</v>
      </c>
      <c r="W69" s="1">
        <v>1</v>
      </c>
    </row>
    <row r="70">
      <c r="A70" s="1">
        <v>2016</v>
      </c>
      <c r="B70" s="1">
        <v>17</v>
      </c>
      <c r="C70" t="s">
        <v>19</v>
      </c>
      <c r="D70" s="1">
        <v>97</v>
      </c>
      <c r="E70" t="s">
        <v>232</v>
      </c>
      <c r="F70" s="1">
        <v>41</v>
      </c>
      <c r="G70" t="s">
        <v>3</v>
      </c>
      <c r="H70" s="1">
        <v>51</v>
      </c>
      <c r="I70" t="s">
        <v>6</v>
      </c>
      <c r="J70" s="1">
        <v>20</v>
      </c>
      <c r="K70" s="1">
        <v>30</v>
      </c>
      <c r="L70" s="1">
        <v>2169</v>
      </c>
      <c r="M70" s="1">
        <v>16847</v>
      </c>
      <c r="N70" s="1">
        <v>31302</v>
      </c>
      <c r="O70" s="1">
        <v>1667266</v>
      </c>
      <c r="P70" s="1">
        <v>278510</v>
      </c>
      <c r="Q70" s="1">
        <v>652781</v>
      </c>
      <c r="R70" s="1">
        <v>36183396</v>
      </c>
      <c r="S70" s="1">
        <v>17097</v>
      </c>
      <c r="T70" s="1">
        <v>17097</v>
      </c>
      <c r="U70" s="1">
        <v>41051</v>
      </c>
      <c r="V70" s="1">
        <v>0</v>
      </c>
      <c r="W70" s="1">
        <v>1</v>
      </c>
    </row>
    <row r="71">
      <c r="A71" s="1">
        <v>2016</v>
      </c>
      <c r="B71" s="1">
        <v>18</v>
      </c>
      <c r="C71" t="s">
        <v>20</v>
      </c>
      <c r="D71" s="1">
        <v>97</v>
      </c>
      <c r="E71" t="s">
        <v>99</v>
      </c>
      <c r="F71" s="1">
        <v>41</v>
      </c>
      <c r="G71" t="s">
        <v>3</v>
      </c>
      <c r="H71" s="1">
        <v>51</v>
      </c>
      <c r="I71" t="s">
        <v>6</v>
      </c>
      <c r="J71" s="1">
        <v>45</v>
      </c>
      <c r="K71" s="1">
        <v>62</v>
      </c>
      <c r="L71" s="1">
        <v>2869</v>
      </c>
      <c r="M71" s="1">
        <v>26845</v>
      </c>
      <c r="N71" s="1">
        <v>48301</v>
      </c>
      <c r="O71" s="1">
        <v>1456356</v>
      </c>
      <c r="P71" s="1">
        <v>376045</v>
      </c>
      <c r="Q71" s="1">
        <v>778106</v>
      </c>
      <c r="R71" s="1">
        <v>21847366</v>
      </c>
      <c r="S71" s="1">
        <v>18097</v>
      </c>
      <c r="T71" s="1">
        <v>18097</v>
      </c>
      <c r="U71" s="1">
        <v>41051</v>
      </c>
      <c r="V71" s="1">
        <v>0</v>
      </c>
      <c r="W71" s="1">
        <v>1</v>
      </c>
    </row>
    <row r="72">
      <c r="A72" s="1">
        <v>2016</v>
      </c>
      <c r="B72" s="1">
        <v>18</v>
      </c>
      <c r="C72" t="s">
        <v>20</v>
      </c>
      <c r="D72" s="1">
        <v>105</v>
      </c>
      <c r="E72" t="s">
        <v>203</v>
      </c>
      <c r="F72" s="1">
        <v>41</v>
      </c>
      <c r="G72" t="s">
        <v>3</v>
      </c>
      <c r="H72" s="1">
        <v>51</v>
      </c>
      <c r="I72" t="s">
        <v>6</v>
      </c>
      <c r="J72" s="1">
        <v>20</v>
      </c>
      <c r="K72" s="1">
        <v>28</v>
      </c>
      <c r="L72" s="1">
        <v>981</v>
      </c>
      <c r="M72" s="1">
        <v>4277</v>
      </c>
      <c r="N72" s="1">
        <v>6831</v>
      </c>
      <c r="O72" s="1">
        <v>191675</v>
      </c>
      <c r="P72" s="1">
        <v>47250</v>
      </c>
      <c r="Q72" s="1">
        <v>90883</v>
      </c>
      <c r="R72" s="1">
        <v>3138862</v>
      </c>
      <c r="S72" s="1">
        <v>18105</v>
      </c>
      <c r="T72" s="1">
        <v>18105</v>
      </c>
      <c r="U72" s="1">
        <v>41051</v>
      </c>
      <c r="V72" s="1">
        <v>0</v>
      </c>
      <c r="W72" s="1">
        <v>1</v>
      </c>
    </row>
    <row r="73">
      <c r="A73" s="1">
        <v>2016</v>
      </c>
      <c r="B73" s="1">
        <v>19</v>
      </c>
      <c r="C73" t="s">
        <v>21</v>
      </c>
      <c r="D73" s="1">
        <v>153</v>
      </c>
      <c r="E73" t="s">
        <v>100</v>
      </c>
      <c r="F73" s="1">
        <v>41</v>
      </c>
      <c r="G73" t="s">
        <v>3</v>
      </c>
      <c r="H73" s="1">
        <v>51</v>
      </c>
      <c r="I73" t="s">
        <v>6</v>
      </c>
      <c r="J73" s="1">
        <v>23</v>
      </c>
      <c r="K73" s="1">
        <v>32</v>
      </c>
      <c r="L73" s="1">
        <v>1566</v>
      </c>
      <c r="M73" s="1">
        <v>11640</v>
      </c>
      <c r="N73" s="1">
        <v>21525</v>
      </c>
      <c r="O73" s="1">
        <v>766832</v>
      </c>
      <c r="P73" s="1">
        <v>186647</v>
      </c>
      <c r="Q73" s="1">
        <v>400566</v>
      </c>
      <c r="R73" s="1">
        <v>14677746</v>
      </c>
      <c r="S73" s="1">
        <v>19153</v>
      </c>
      <c r="T73" s="1">
        <v>19153</v>
      </c>
      <c r="U73" s="1">
        <v>41051</v>
      </c>
      <c r="V73" s="1">
        <v>0</v>
      </c>
      <c r="W73" s="1">
        <v>1</v>
      </c>
    </row>
    <row r="74">
      <c r="A74" s="1">
        <v>2016</v>
      </c>
      <c r="B74" s="1">
        <v>20</v>
      </c>
      <c r="C74" t="s">
        <v>42</v>
      </c>
      <c r="D74" s="1">
        <v>91</v>
      </c>
      <c r="E74" t="s">
        <v>188</v>
      </c>
      <c r="F74" s="1">
        <v>41</v>
      </c>
      <c r="G74" t="s">
        <v>3</v>
      </c>
      <c r="H74" s="1">
        <v>51</v>
      </c>
      <c r="I74" t="s">
        <v>6</v>
      </c>
      <c r="J74" s="1">
        <v>32</v>
      </c>
      <c r="K74" s="1">
        <v>47</v>
      </c>
      <c r="L74" s="1">
        <v>4121</v>
      </c>
      <c r="M74" s="1">
        <v>15840</v>
      </c>
      <c r="N74" s="1">
        <v>29029</v>
      </c>
      <c r="O74" s="1">
        <v>1117542</v>
      </c>
      <c r="P74" s="1">
        <v>233721</v>
      </c>
      <c r="Q74" s="1">
        <v>519325</v>
      </c>
      <c r="R74" s="1">
        <v>26396424</v>
      </c>
      <c r="S74" s="1">
        <v>20091</v>
      </c>
      <c r="T74" s="1">
        <v>20091</v>
      </c>
      <c r="U74" s="1">
        <v>41051</v>
      </c>
      <c r="V74" s="1">
        <v>0</v>
      </c>
      <c r="W74" s="1">
        <v>1</v>
      </c>
    </row>
    <row r="75">
      <c r="A75" s="1">
        <v>2016</v>
      </c>
      <c r="B75" s="1">
        <v>21</v>
      </c>
      <c r="C75" t="s">
        <v>43</v>
      </c>
      <c r="D75" s="1">
        <v>111</v>
      </c>
      <c r="E75" t="s">
        <v>83</v>
      </c>
      <c r="F75" s="1">
        <v>41</v>
      </c>
      <c r="G75" t="s">
        <v>3</v>
      </c>
      <c r="H75" s="1">
        <v>51</v>
      </c>
      <c r="I75" t="s">
        <v>6</v>
      </c>
      <c r="J75" s="1">
        <v>32</v>
      </c>
      <c r="K75" s="1">
        <v>39</v>
      </c>
      <c r="L75" s="1">
        <v>1070</v>
      </c>
      <c r="M75" s="1">
        <v>16793</v>
      </c>
      <c r="N75" s="1">
        <v>31775</v>
      </c>
      <c r="O75" s="1">
        <v>970230</v>
      </c>
      <c r="P75" s="1">
        <v>307550</v>
      </c>
      <c r="Q75" s="1">
        <v>616963</v>
      </c>
      <c r="R75" s="1">
        <v>21453860</v>
      </c>
      <c r="S75" s="1">
        <v>21111</v>
      </c>
      <c r="T75" s="1">
        <v>21111</v>
      </c>
      <c r="U75" s="1">
        <v>41051</v>
      </c>
      <c r="V75" s="1">
        <v>0</v>
      </c>
      <c r="W75" s="1">
        <v>1</v>
      </c>
    </row>
    <row r="76">
      <c r="A76" s="1">
        <v>2016</v>
      </c>
      <c r="B76" s="1">
        <v>22</v>
      </c>
      <c r="C76" t="s">
        <v>22</v>
      </c>
      <c r="D76" s="1">
        <v>71</v>
      </c>
      <c r="E76" t="s">
        <v>101</v>
      </c>
      <c r="F76" s="1">
        <v>41</v>
      </c>
      <c r="G76" t="s">
        <v>3</v>
      </c>
      <c r="H76" s="1">
        <v>51</v>
      </c>
      <c r="I76" t="s">
        <v>6</v>
      </c>
      <c r="J76" s="1">
        <v>62</v>
      </c>
      <c r="K76" s="1">
        <v>78</v>
      </c>
      <c r="L76" s="1">
        <v>2580</v>
      </c>
      <c r="M76" s="1">
        <v>12388</v>
      </c>
      <c r="N76" s="1">
        <v>21923</v>
      </c>
      <c r="O76" s="1">
        <v>621128</v>
      </c>
      <c r="P76" s="1">
        <v>131511</v>
      </c>
      <c r="Q76" s="1">
        <v>251624</v>
      </c>
      <c r="R76" s="1">
        <v>8521553</v>
      </c>
      <c r="S76" s="1">
        <v>22071</v>
      </c>
      <c r="T76" s="1">
        <v>22071</v>
      </c>
      <c r="U76" s="1">
        <v>41051</v>
      </c>
      <c r="V76" s="1">
        <v>0</v>
      </c>
      <c r="W76" s="1">
        <v>1</v>
      </c>
    </row>
    <row r="77">
      <c r="A77" s="1">
        <v>2016</v>
      </c>
      <c r="B77" s="1">
        <v>23</v>
      </c>
      <c r="C77" t="s">
        <v>23</v>
      </c>
      <c r="D77" s="1">
        <v>5</v>
      </c>
      <c r="E77" t="s">
        <v>102</v>
      </c>
      <c r="F77" s="1">
        <v>41</v>
      </c>
      <c r="G77" t="s">
        <v>3</v>
      </c>
      <c r="H77" s="1">
        <v>51</v>
      </c>
      <c r="I77" t="s">
        <v>6</v>
      </c>
      <c r="J77" s="1">
        <v>33</v>
      </c>
      <c r="K77" s="1">
        <v>44</v>
      </c>
      <c r="L77" s="1">
        <v>1322</v>
      </c>
      <c r="M77" s="1">
        <v>7774</v>
      </c>
      <c r="N77" s="1">
        <v>12432</v>
      </c>
      <c r="O77" s="1">
        <v>443384</v>
      </c>
      <c r="P77" s="1">
        <v>125440</v>
      </c>
      <c r="Q77" s="1">
        <v>241357</v>
      </c>
      <c r="R77" s="1">
        <v>9969002</v>
      </c>
      <c r="S77" s="1">
        <v>23005</v>
      </c>
      <c r="T77" s="1">
        <v>23005</v>
      </c>
      <c r="U77" s="1">
        <v>41051</v>
      </c>
      <c r="V77" s="1">
        <v>0</v>
      </c>
      <c r="W77" s="1">
        <v>1</v>
      </c>
    </row>
    <row r="78">
      <c r="A78" s="1">
        <v>2016</v>
      </c>
      <c r="B78" s="1">
        <v>24</v>
      </c>
      <c r="C78" t="s">
        <v>24</v>
      </c>
      <c r="D78" s="1">
        <v>31</v>
      </c>
      <c r="E78" t="s">
        <v>103</v>
      </c>
      <c r="F78" s="1">
        <v>41</v>
      </c>
      <c r="G78" t="s">
        <v>3</v>
      </c>
      <c r="H78" s="1">
        <v>51</v>
      </c>
      <c r="I78" t="s">
        <v>6</v>
      </c>
      <c r="J78" s="1">
        <v>67</v>
      </c>
      <c r="K78" s="1">
        <v>104</v>
      </c>
      <c r="L78" s="1">
        <v>5602</v>
      </c>
      <c r="M78" s="1">
        <v>30558</v>
      </c>
      <c r="N78" s="1">
        <v>53273</v>
      </c>
      <c r="O78" s="1">
        <v>2659472</v>
      </c>
      <c r="P78" s="1">
        <v>428939</v>
      </c>
      <c r="Q78" s="1">
        <v>905235</v>
      </c>
      <c r="R78" s="1">
        <v>51669852</v>
      </c>
      <c r="S78" s="1">
        <v>24031</v>
      </c>
      <c r="T78" s="1">
        <v>24031</v>
      </c>
      <c r="U78" s="1">
        <v>41051</v>
      </c>
      <c r="V78" s="1">
        <v>0</v>
      </c>
      <c r="W78" s="1">
        <v>1</v>
      </c>
    </row>
    <row r="79">
      <c r="A79" s="1">
        <v>2016</v>
      </c>
      <c r="B79" s="1">
        <v>24</v>
      </c>
      <c r="C79" t="s">
        <v>24</v>
      </c>
      <c r="D79" s="1">
        <v>510</v>
      </c>
      <c r="E79" t="s">
        <v>190</v>
      </c>
      <c r="F79" s="1">
        <v>41</v>
      </c>
      <c r="G79" t="s">
        <v>3</v>
      </c>
      <c r="H79" s="1">
        <v>51</v>
      </c>
      <c r="I79" t="s">
        <v>6</v>
      </c>
      <c r="J79" s="1">
        <v>34</v>
      </c>
      <c r="K79" s="1">
        <v>44</v>
      </c>
      <c r="L79" s="1">
        <v>2116</v>
      </c>
      <c r="M79" s="1">
        <v>21858</v>
      </c>
      <c r="N79" s="1">
        <v>39396</v>
      </c>
      <c r="O79" s="1">
        <v>1279320</v>
      </c>
      <c r="P79" s="1">
        <v>218464</v>
      </c>
      <c r="Q79" s="1">
        <v>417528</v>
      </c>
      <c r="R79" s="1">
        <v>12612109</v>
      </c>
      <c r="S79" s="1">
        <v>24510</v>
      </c>
      <c r="T79" s="1">
        <v>24510</v>
      </c>
      <c r="U79" s="1">
        <v>41051</v>
      </c>
      <c r="V79" s="1">
        <v>0</v>
      </c>
      <c r="W79" s="1">
        <v>1</v>
      </c>
    </row>
    <row r="80">
      <c r="A80" s="1">
        <v>2016</v>
      </c>
      <c r="B80" s="1">
        <v>25</v>
      </c>
      <c r="C80" t="s">
        <v>25</v>
      </c>
      <c r="D80" s="1">
        <v>9</v>
      </c>
      <c r="E80" t="s">
        <v>305</v>
      </c>
      <c r="F80" s="1">
        <v>41</v>
      </c>
      <c r="G80" t="s">
        <v>3</v>
      </c>
      <c r="H80" s="1">
        <v>51</v>
      </c>
      <c r="I80" t="s">
        <v>6</v>
      </c>
      <c r="J80" s="1">
        <v>27</v>
      </c>
      <c r="K80" s="1">
        <v>38</v>
      </c>
      <c r="L80" s="1">
        <v>1280</v>
      </c>
      <c r="M80" s="1">
        <v>15832</v>
      </c>
      <c r="N80" s="1">
        <v>26302</v>
      </c>
      <c r="O80" s="1">
        <v>1123012</v>
      </c>
      <c r="P80" s="1">
        <v>321045</v>
      </c>
      <c r="Q80" s="1">
        <v>650797</v>
      </c>
      <c r="R80" s="1">
        <v>30368012</v>
      </c>
      <c r="S80" s="1">
        <v>25009</v>
      </c>
      <c r="T80" s="1">
        <v>25009</v>
      </c>
      <c r="U80" s="1">
        <v>41051</v>
      </c>
      <c r="V80" s="1">
        <v>0</v>
      </c>
      <c r="W80" s="1">
        <v>1</v>
      </c>
    </row>
    <row r="81">
      <c r="A81" s="1">
        <v>2016</v>
      </c>
      <c r="B81" s="1">
        <v>25</v>
      </c>
      <c r="C81" t="s">
        <v>25</v>
      </c>
      <c r="D81" s="1">
        <v>15</v>
      </c>
      <c r="E81" t="s">
        <v>191</v>
      </c>
      <c r="F81" s="1">
        <v>41</v>
      </c>
      <c r="G81" t="s">
        <v>3</v>
      </c>
      <c r="H81" s="1">
        <v>51</v>
      </c>
      <c r="I81" t="s">
        <v>6</v>
      </c>
      <c r="J81" s="1">
        <v>27</v>
      </c>
      <c r="K81" s="1">
        <v>38</v>
      </c>
      <c r="L81" s="1">
        <v>1304</v>
      </c>
      <c r="M81" s="1">
        <v>4470</v>
      </c>
      <c r="N81" s="1">
        <v>6605</v>
      </c>
      <c r="O81" s="1">
        <v>232382</v>
      </c>
      <c r="P81" s="1">
        <v>60981</v>
      </c>
      <c r="Q81" s="1">
        <v>114870</v>
      </c>
      <c r="R81" s="1">
        <v>4618229</v>
      </c>
      <c r="S81" s="1">
        <v>25015</v>
      </c>
      <c r="T81" s="1">
        <v>25015</v>
      </c>
      <c r="U81" s="1">
        <v>41051</v>
      </c>
      <c r="V81" s="1">
        <v>0</v>
      </c>
      <c r="W81" s="1">
        <v>1</v>
      </c>
    </row>
    <row r="82">
      <c r="A82" s="1">
        <v>2016</v>
      </c>
      <c r="B82" s="1">
        <v>25</v>
      </c>
      <c r="C82" t="s">
        <v>25</v>
      </c>
      <c r="D82" s="1">
        <v>17</v>
      </c>
      <c r="E82" t="s">
        <v>104</v>
      </c>
      <c r="F82" s="1">
        <v>41</v>
      </c>
      <c r="G82" t="s">
        <v>3</v>
      </c>
      <c r="H82" s="1">
        <v>51</v>
      </c>
      <c r="I82" t="s">
        <v>6</v>
      </c>
      <c r="J82" s="1">
        <v>153</v>
      </c>
      <c r="K82" s="1">
        <v>199</v>
      </c>
      <c r="L82" s="1">
        <v>18857</v>
      </c>
      <c r="M82" s="1">
        <v>45215</v>
      </c>
      <c r="N82" s="1">
        <v>72508</v>
      </c>
      <c r="O82" s="1">
        <v>4436656</v>
      </c>
      <c r="P82" s="1">
        <v>656423</v>
      </c>
      <c r="Q82" s="1">
        <v>1319239</v>
      </c>
      <c r="R82" s="1">
        <v>83549536</v>
      </c>
      <c r="S82" s="1">
        <v>25017</v>
      </c>
      <c r="T82" s="1">
        <v>25017</v>
      </c>
      <c r="U82" s="1">
        <v>41051</v>
      </c>
      <c r="V82" s="1">
        <v>0</v>
      </c>
      <c r="W82" s="1">
        <v>1</v>
      </c>
    </row>
    <row r="83">
      <c r="A83" s="1">
        <v>2016</v>
      </c>
      <c r="B83" s="1">
        <v>25</v>
      </c>
      <c r="C83" t="s">
        <v>25</v>
      </c>
      <c r="D83" s="1">
        <v>21</v>
      </c>
      <c r="E83" t="s">
        <v>192</v>
      </c>
      <c r="F83" s="1">
        <v>41</v>
      </c>
      <c r="G83" t="s">
        <v>3</v>
      </c>
      <c r="H83" s="1">
        <v>51</v>
      </c>
      <c r="I83" t="s">
        <v>6</v>
      </c>
      <c r="J83" s="1">
        <v>29</v>
      </c>
      <c r="K83" s="1">
        <v>40</v>
      </c>
      <c r="L83" s="1">
        <v>2981</v>
      </c>
      <c r="M83" s="1">
        <v>22537</v>
      </c>
      <c r="N83" s="1">
        <v>36202</v>
      </c>
      <c r="O83" s="1">
        <v>2386579</v>
      </c>
      <c r="P83" s="1">
        <v>288581</v>
      </c>
      <c r="Q83" s="1">
        <v>599776</v>
      </c>
      <c r="R83" s="1">
        <v>41360224</v>
      </c>
      <c r="S83" s="1">
        <v>25021</v>
      </c>
      <c r="T83" s="1">
        <v>25021</v>
      </c>
      <c r="U83" s="1">
        <v>41051</v>
      </c>
      <c r="V83" s="1">
        <v>0</v>
      </c>
      <c r="W83" s="1">
        <v>1</v>
      </c>
    </row>
    <row r="84">
      <c r="A84" s="1">
        <v>2016</v>
      </c>
      <c r="B84" s="1">
        <v>25</v>
      </c>
      <c r="C84" t="s">
        <v>25</v>
      </c>
      <c r="D84" s="1">
        <v>25</v>
      </c>
      <c r="E84" t="s">
        <v>105</v>
      </c>
      <c r="F84" s="1">
        <v>41</v>
      </c>
      <c r="G84" t="s">
        <v>3</v>
      </c>
      <c r="H84" s="1">
        <v>51</v>
      </c>
      <c r="I84" t="s">
        <v>6</v>
      </c>
      <c r="J84" s="1">
        <v>94</v>
      </c>
      <c r="K84" s="1">
        <v>114</v>
      </c>
      <c r="L84" s="1">
        <v>6773</v>
      </c>
      <c r="M84" s="1">
        <v>33930</v>
      </c>
      <c r="N84" s="1">
        <v>51189</v>
      </c>
      <c r="O84" s="1">
        <v>3015486</v>
      </c>
      <c r="P84" s="1">
        <v>315328</v>
      </c>
      <c r="Q84" s="1">
        <v>543520</v>
      </c>
      <c r="R84" s="1">
        <v>31980098</v>
      </c>
      <c r="S84" s="1">
        <v>25025</v>
      </c>
      <c r="T84" s="1">
        <v>25025</v>
      </c>
      <c r="U84" s="1">
        <v>41051</v>
      </c>
      <c r="V84" s="1">
        <v>0</v>
      </c>
      <c r="W84" s="1">
        <v>1</v>
      </c>
    </row>
    <row r="85">
      <c r="A85" s="1">
        <v>2016</v>
      </c>
      <c r="B85" s="1">
        <v>26</v>
      </c>
      <c r="C85" t="s">
        <v>26</v>
      </c>
      <c r="D85" s="1">
        <v>81</v>
      </c>
      <c r="E85" t="s">
        <v>193</v>
      </c>
      <c r="F85" s="1">
        <v>41</v>
      </c>
      <c r="G85" t="s">
        <v>3</v>
      </c>
      <c r="H85" s="1">
        <v>51</v>
      </c>
      <c r="I85" t="s">
        <v>6</v>
      </c>
      <c r="J85" s="1">
        <v>49</v>
      </c>
      <c r="K85" s="1">
        <v>62</v>
      </c>
      <c r="L85" s="1">
        <v>1965</v>
      </c>
      <c r="M85" s="1">
        <v>13302</v>
      </c>
      <c r="N85" s="1">
        <v>24280</v>
      </c>
      <c r="O85" s="1">
        <v>721145</v>
      </c>
      <c r="P85" s="1">
        <v>249164</v>
      </c>
      <c r="Q85" s="1">
        <v>540851</v>
      </c>
      <c r="R85" s="1">
        <v>18047280</v>
      </c>
      <c r="S85" s="1">
        <v>26081</v>
      </c>
      <c r="T85" s="1">
        <v>26081</v>
      </c>
      <c r="U85" s="1">
        <v>41051</v>
      </c>
      <c r="V85" s="1">
        <v>0</v>
      </c>
      <c r="W85" s="1">
        <v>1</v>
      </c>
    </row>
    <row r="86">
      <c r="A86" s="1">
        <v>2016</v>
      </c>
      <c r="B86" s="1">
        <v>26</v>
      </c>
      <c r="C86" t="s">
        <v>26</v>
      </c>
      <c r="D86" s="1">
        <v>125</v>
      </c>
      <c r="E86" t="s">
        <v>194</v>
      </c>
      <c r="F86" s="1">
        <v>41</v>
      </c>
      <c r="G86" t="s">
        <v>3</v>
      </c>
      <c r="H86" s="1">
        <v>51</v>
      </c>
      <c r="I86" t="s">
        <v>6</v>
      </c>
      <c r="J86" s="1">
        <v>36</v>
      </c>
      <c r="K86" s="1">
        <v>49</v>
      </c>
      <c r="L86" s="1">
        <v>2381</v>
      </c>
      <c r="M86" s="1">
        <v>30446</v>
      </c>
      <c r="N86" s="1">
        <v>53403</v>
      </c>
      <c r="O86" s="1">
        <v>2181399</v>
      </c>
      <c r="P86" s="1">
        <v>514534</v>
      </c>
      <c r="Q86" s="1">
        <v>1065520</v>
      </c>
      <c r="R86" s="1">
        <v>51534304</v>
      </c>
      <c r="S86" s="1">
        <v>26125</v>
      </c>
      <c r="T86" s="1">
        <v>26125</v>
      </c>
      <c r="U86" s="1">
        <v>41051</v>
      </c>
      <c r="V86" s="1">
        <v>0</v>
      </c>
      <c r="W86" s="1">
        <v>1</v>
      </c>
    </row>
    <row r="87">
      <c r="A87" s="1">
        <v>2016</v>
      </c>
      <c r="B87" s="1">
        <v>26</v>
      </c>
      <c r="C87" t="s">
        <v>26</v>
      </c>
      <c r="D87" s="1">
        <v>161</v>
      </c>
      <c r="E87" t="s">
        <v>106</v>
      </c>
      <c r="F87" s="1">
        <v>41</v>
      </c>
      <c r="G87" t="s">
        <v>3</v>
      </c>
      <c r="H87" s="1">
        <v>51</v>
      </c>
      <c r="I87" t="s">
        <v>6</v>
      </c>
      <c r="J87" s="1">
        <v>49</v>
      </c>
      <c r="K87" s="1">
        <v>71</v>
      </c>
      <c r="L87" s="1">
        <v>2602</v>
      </c>
      <c r="M87" s="1">
        <v>11599</v>
      </c>
      <c r="N87" s="1">
        <v>19141</v>
      </c>
      <c r="O87" s="1">
        <v>761458</v>
      </c>
      <c r="P87" s="1">
        <v>135252</v>
      </c>
      <c r="Q87" s="1">
        <v>272405</v>
      </c>
      <c r="R87" s="1">
        <v>12353166</v>
      </c>
      <c r="S87" s="1">
        <v>26161</v>
      </c>
      <c r="T87" s="1">
        <v>26161</v>
      </c>
      <c r="U87" s="1">
        <v>41051</v>
      </c>
      <c r="V87" s="1">
        <v>0</v>
      </c>
      <c r="W87" s="1">
        <v>1</v>
      </c>
    </row>
    <row r="88">
      <c r="A88" s="1">
        <v>2016</v>
      </c>
      <c r="B88" s="1">
        <v>26</v>
      </c>
      <c r="C88" t="s">
        <v>26</v>
      </c>
      <c r="D88" s="1">
        <v>163</v>
      </c>
      <c r="E88" t="s">
        <v>195</v>
      </c>
      <c r="F88" s="1">
        <v>41</v>
      </c>
      <c r="G88" t="s">
        <v>3</v>
      </c>
      <c r="H88" s="1">
        <v>51</v>
      </c>
      <c r="I88" t="s">
        <v>6</v>
      </c>
      <c r="J88" s="1">
        <v>34</v>
      </c>
      <c r="K88" s="1">
        <v>45</v>
      </c>
      <c r="L88" s="1">
        <v>1546</v>
      </c>
      <c r="M88" s="1">
        <v>31042</v>
      </c>
      <c r="N88" s="1">
        <v>57128</v>
      </c>
      <c r="O88" s="1">
        <v>1608411</v>
      </c>
      <c r="P88" s="1">
        <v>647335</v>
      </c>
      <c r="Q88" s="1">
        <v>1346913</v>
      </c>
      <c r="R88" s="1">
        <v>37174020</v>
      </c>
      <c r="S88" s="1">
        <v>26163</v>
      </c>
      <c r="T88" s="1">
        <v>26163</v>
      </c>
      <c r="U88" s="1">
        <v>41051</v>
      </c>
      <c r="V88" s="1">
        <v>0</v>
      </c>
      <c r="W88" s="1">
        <v>1</v>
      </c>
    </row>
    <row r="89">
      <c r="A89" s="1">
        <v>2016</v>
      </c>
      <c r="B89" s="1">
        <v>27</v>
      </c>
      <c r="C89" t="s">
        <v>27</v>
      </c>
      <c r="D89" s="1">
        <v>53</v>
      </c>
      <c r="E89" t="s">
        <v>107</v>
      </c>
      <c r="F89" s="1">
        <v>41</v>
      </c>
      <c r="G89" t="s">
        <v>3</v>
      </c>
      <c r="H89" s="1">
        <v>51</v>
      </c>
      <c r="I89" t="s">
        <v>6</v>
      </c>
      <c r="J89" s="1">
        <v>151</v>
      </c>
      <c r="K89" s="1">
        <v>212</v>
      </c>
      <c r="L89" s="1">
        <v>10727</v>
      </c>
      <c r="M89" s="1">
        <v>37476</v>
      </c>
      <c r="N89" s="1">
        <v>65198</v>
      </c>
      <c r="O89" s="1">
        <v>2671606</v>
      </c>
      <c r="P89" s="1">
        <v>526774</v>
      </c>
      <c r="Q89" s="1">
        <v>1051579</v>
      </c>
      <c r="R89" s="1">
        <v>53725360</v>
      </c>
      <c r="S89" s="1">
        <v>27053</v>
      </c>
      <c r="T89" s="1">
        <v>27053</v>
      </c>
      <c r="U89" s="1">
        <v>41051</v>
      </c>
      <c r="V89" s="1">
        <v>0</v>
      </c>
      <c r="W89" s="1">
        <v>1</v>
      </c>
    </row>
    <row r="90">
      <c r="A90" s="1">
        <v>2016</v>
      </c>
      <c r="B90" s="1">
        <v>27</v>
      </c>
      <c r="C90" t="s">
        <v>27</v>
      </c>
      <c r="D90" s="1">
        <v>123</v>
      </c>
      <c r="E90" t="s">
        <v>108</v>
      </c>
      <c r="F90" s="1">
        <v>41</v>
      </c>
      <c r="G90" t="s">
        <v>3</v>
      </c>
      <c r="H90" s="1">
        <v>51</v>
      </c>
      <c r="I90" t="s">
        <v>6</v>
      </c>
      <c r="J90" s="1">
        <v>43</v>
      </c>
      <c r="K90" s="1">
        <v>65</v>
      </c>
      <c r="L90" s="1">
        <v>4185</v>
      </c>
      <c r="M90" s="1">
        <v>20259</v>
      </c>
      <c r="N90" s="1">
        <v>34908</v>
      </c>
      <c r="O90" s="1">
        <v>1141713</v>
      </c>
      <c r="P90" s="1">
        <v>221297</v>
      </c>
      <c r="Q90" s="1">
        <v>444208</v>
      </c>
      <c r="R90" s="1">
        <v>16789112</v>
      </c>
      <c r="S90" s="1">
        <v>27123</v>
      </c>
      <c r="T90" s="1">
        <v>27123</v>
      </c>
      <c r="U90" s="1">
        <v>41051</v>
      </c>
      <c r="V90" s="1">
        <v>0</v>
      </c>
      <c r="W90" s="1">
        <v>1</v>
      </c>
    </row>
    <row r="91">
      <c r="A91" s="1">
        <v>2016</v>
      </c>
      <c r="B91" s="1">
        <v>29</v>
      </c>
      <c r="C91" t="s">
        <v>44</v>
      </c>
      <c r="D91" s="1">
        <v>95</v>
      </c>
      <c r="E91" t="s">
        <v>133</v>
      </c>
      <c r="F91" s="1">
        <v>41</v>
      </c>
      <c r="G91" t="s">
        <v>3</v>
      </c>
      <c r="H91" s="1">
        <v>51</v>
      </c>
      <c r="I91" t="s">
        <v>6</v>
      </c>
      <c r="J91" s="1">
        <v>44</v>
      </c>
      <c r="K91" s="1">
        <v>69</v>
      </c>
      <c r="L91" s="1">
        <v>2966</v>
      </c>
      <c r="M91" s="1">
        <v>17474</v>
      </c>
      <c r="N91" s="1">
        <v>31456</v>
      </c>
      <c r="O91" s="1">
        <v>929748</v>
      </c>
      <c r="P91" s="1">
        <v>267334</v>
      </c>
      <c r="Q91" s="1">
        <v>540562</v>
      </c>
      <c r="R91" s="1">
        <v>16672136</v>
      </c>
      <c r="S91" s="1">
        <v>29095</v>
      </c>
      <c r="T91" s="1">
        <v>29095</v>
      </c>
      <c r="U91" s="1">
        <v>41051</v>
      </c>
      <c r="V91" s="1">
        <v>0</v>
      </c>
      <c r="W91" s="1">
        <v>1</v>
      </c>
    </row>
    <row r="92">
      <c r="A92" s="1">
        <v>2016</v>
      </c>
      <c r="B92" s="1">
        <v>29</v>
      </c>
      <c r="C92" t="s">
        <v>44</v>
      </c>
      <c r="D92" s="1">
        <v>189</v>
      </c>
      <c r="E92" t="s">
        <v>197</v>
      </c>
      <c r="F92" s="1">
        <v>41</v>
      </c>
      <c r="G92" t="s">
        <v>3</v>
      </c>
      <c r="H92" s="1">
        <v>51</v>
      </c>
      <c r="I92" t="s">
        <v>6</v>
      </c>
      <c r="J92" s="1">
        <v>30</v>
      </c>
      <c r="K92" s="1">
        <v>50</v>
      </c>
      <c r="L92" s="1">
        <v>2482</v>
      </c>
      <c r="M92" s="1">
        <v>27033</v>
      </c>
      <c r="N92" s="1">
        <v>48785</v>
      </c>
      <c r="O92" s="1">
        <v>1753164</v>
      </c>
      <c r="P92" s="1">
        <v>415121</v>
      </c>
      <c r="Q92" s="1">
        <v>850368</v>
      </c>
      <c r="R92" s="1">
        <v>40509056</v>
      </c>
      <c r="S92" s="1">
        <v>29189</v>
      </c>
      <c r="T92" s="1">
        <v>29189</v>
      </c>
      <c r="U92" s="1">
        <v>41051</v>
      </c>
      <c r="V92" s="1">
        <v>0</v>
      </c>
      <c r="W92" s="1">
        <v>1</v>
      </c>
    </row>
    <row r="93">
      <c r="A93" s="1">
        <v>2016</v>
      </c>
      <c r="B93" s="1">
        <v>29</v>
      </c>
      <c r="C93" t="s">
        <v>44</v>
      </c>
      <c r="D93" s="1">
        <v>510</v>
      </c>
      <c r="E93" t="s">
        <v>198</v>
      </c>
      <c r="F93" s="1">
        <v>41</v>
      </c>
      <c r="G93" t="s">
        <v>3</v>
      </c>
      <c r="H93" s="1">
        <v>51</v>
      </c>
      <c r="I93" t="s">
        <v>6</v>
      </c>
      <c r="J93" s="1">
        <v>22</v>
      </c>
      <c r="K93" s="1">
        <v>29</v>
      </c>
      <c r="L93" s="1">
        <v>1677</v>
      </c>
      <c r="M93" s="1">
        <v>14512</v>
      </c>
      <c r="N93" s="1">
        <v>26033</v>
      </c>
      <c r="O93" s="1">
        <v>929720</v>
      </c>
      <c r="P93" s="1">
        <v>120438</v>
      </c>
      <c r="Q93" s="1">
        <v>218372</v>
      </c>
      <c r="R93" s="1">
        <v>6295269</v>
      </c>
      <c r="S93" s="1">
        <v>29510</v>
      </c>
      <c r="T93" s="1">
        <v>29510</v>
      </c>
      <c r="U93" s="1">
        <v>41051</v>
      </c>
      <c r="V93" s="1">
        <v>0</v>
      </c>
      <c r="W93" s="1">
        <v>1</v>
      </c>
    </row>
    <row r="94">
      <c r="A94" s="1">
        <v>2016</v>
      </c>
      <c r="B94" s="1">
        <v>30</v>
      </c>
      <c r="C94" t="s">
        <v>28</v>
      </c>
      <c r="D94" s="1">
        <v>31</v>
      </c>
      <c r="E94" t="s">
        <v>109</v>
      </c>
      <c r="F94" s="1">
        <v>41</v>
      </c>
      <c r="G94" t="s">
        <v>3</v>
      </c>
      <c r="H94" s="1">
        <v>51</v>
      </c>
      <c r="I94" t="s">
        <v>6</v>
      </c>
      <c r="J94" s="1">
        <v>27</v>
      </c>
      <c r="K94" s="1">
        <v>31</v>
      </c>
      <c r="L94" s="1">
        <v>1240</v>
      </c>
      <c r="M94" s="1">
        <v>3602</v>
      </c>
      <c r="N94" s="1">
        <v>5800</v>
      </c>
      <c r="O94" s="1">
        <v>150533</v>
      </c>
      <c r="P94" s="1">
        <v>42764</v>
      </c>
      <c r="Q94" s="1">
        <v>82735</v>
      </c>
      <c r="R94" s="1">
        <v>3186450</v>
      </c>
      <c r="S94" s="1">
        <v>30031</v>
      </c>
      <c r="T94" s="1">
        <v>30031</v>
      </c>
      <c r="U94" s="1">
        <v>41051</v>
      </c>
      <c r="V94" s="1">
        <v>0</v>
      </c>
      <c r="W94" s="1">
        <v>1</v>
      </c>
    </row>
    <row r="95">
      <c r="A95" s="1">
        <v>2016</v>
      </c>
      <c r="B95" s="1">
        <v>30</v>
      </c>
      <c r="C95" t="s">
        <v>28</v>
      </c>
      <c r="D95" s="1">
        <v>49</v>
      </c>
      <c r="E95" t="s">
        <v>200</v>
      </c>
      <c r="F95" s="1">
        <v>41</v>
      </c>
      <c r="G95" t="s">
        <v>3</v>
      </c>
      <c r="H95" s="1">
        <v>51</v>
      </c>
      <c r="I95" t="s">
        <v>6</v>
      </c>
      <c r="J95" s="1">
        <v>23</v>
      </c>
      <c r="K95" s="1">
        <v>28</v>
      </c>
      <c r="L95" s="1">
        <v>987</v>
      </c>
      <c r="M95" s="1">
        <v>1760</v>
      </c>
      <c r="N95" s="1">
        <v>3039</v>
      </c>
      <c r="O95" s="1">
        <v>86466</v>
      </c>
      <c r="P95" s="1">
        <v>27905</v>
      </c>
      <c r="Q95" s="1">
        <v>55518</v>
      </c>
      <c r="R95" s="1">
        <v>1799113</v>
      </c>
      <c r="S95" s="1">
        <v>30049</v>
      </c>
      <c r="T95" s="1">
        <v>30049</v>
      </c>
      <c r="U95" s="1">
        <v>41051</v>
      </c>
      <c r="V95" s="1">
        <v>0</v>
      </c>
      <c r="W95" s="1">
        <v>1</v>
      </c>
    </row>
    <row r="96">
      <c r="A96" s="1">
        <v>2016</v>
      </c>
      <c r="B96" s="1">
        <v>30</v>
      </c>
      <c r="C96" t="s">
        <v>28</v>
      </c>
      <c r="D96" s="1">
        <v>63</v>
      </c>
      <c r="E96" t="s">
        <v>110</v>
      </c>
      <c r="F96" s="1">
        <v>41</v>
      </c>
      <c r="G96" t="s">
        <v>3</v>
      </c>
      <c r="H96" s="1">
        <v>51</v>
      </c>
      <c r="I96" t="s">
        <v>6</v>
      </c>
      <c r="J96" s="1">
        <v>57</v>
      </c>
      <c r="K96" s="1">
        <v>69</v>
      </c>
      <c r="L96" s="1">
        <v>1682</v>
      </c>
      <c r="M96" s="1">
        <v>3395</v>
      </c>
      <c r="N96" s="1">
        <v>5495</v>
      </c>
      <c r="O96" s="1">
        <v>135339</v>
      </c>
      <c r="P96" s="1">
        <v>46633</v>
      </c>
      <c r="Q96" s="1">
        <v>87944</v>
      </c>
      <c r="R96" s="1">
        <v>3194400</v>
      </c>
      <c r="S96" s="1">
        <v>30063</v>
      </c>
      <c r="T96" s="1">
        <v>30063</v>
      </c>
      <c r="U96" s="1">
        <v>41051</v>
      </c>
      <c r="V96" s="1">
        <v>0</v>
      </c>
      <c r="W96" s="1">
        <v>1</v>
      </c>
    </row>
    <row r="97">
      <c r="A97" s="1">
        <v>2016</v>
      </c>
      <c r="B97" s="1">
        <v>31</v>
      </c>
      <c r="C97" t="s">
        <v>45</v>
      </c>
      <c r="D97" s="1">
        <v>55</v>
      </c>
      <c r="E97" t="s">
        <v>131</v>
      </c>
      <c r="F97" s="1">
        <v>41</v>
      </c>
      <c r="G97" t="s">
        <v>3</v>
      </c>
      <c r="H97" s="1">
        <v>51</v>
      </c>
      <c r="I97" t="s">
        <v>6</v>
      </c>
      <c r="J97" s="1">
        <v>41</v>
      </c>
      <c r="K97" s="1">
        <v>74</v>
      </c>
      <c r="L97" s="1">
        <v>1559</v>
      </c>
      <c r="M97" s="1">
        <v>14310</v>
      </c>
      <c r="N97" s="1">
        <v>27318</v>
      </c>
      <c r="O97" s="1">
        <v>904763</v>
      </c>
      <c r="P97" s="1">
        <v>219376</v>
      </c>
      <c r="Q97" s="1">
        <v>474510</v>
      </c>
      <c r="R97" s="1">
        <v>17808672</v>
      </c>
      <c r="S97" s="1">
        <v>31055</v>
      </c>
      <c r="T97" s="1">
        <v>31055</v>
      </c>
      <c r="U97" s="1">
        <v>41051</v>
      </c>
      <c r="V97" s="1">
        <v>0</v>
      </c>
      <c r="W97" s="1">
        <v>1</v>
      </c>
    </row>
    <row r="98">
      <c r="A98" s="1">
        <v>2016</v>
      </c>
      <c r="B98" s="1">
        <v>32</v>
      </c>
      <c r="C98" t="s">
        <v>29</v>
      </c>
      <c r="D98" s="1">
        <v>3</v>
      </c>
      <c r="E98" t="s">
        <v>112</v>
      </c>
      <c r="F98" s="1">
        <v>41</v>
      </c>
      <c r="G98" t="s">
        <v>3</v>
      </c>
      <c r="H98" s="1">
        <v>51</v>
      </c>
      <c r="I98" t="s">
        <v>6</v>
      </c>
      <c r="J98" s="1">
        <v>228</v>
      </c>
      <c r="K98" s="1">
        <v>337</v>
      </c>
      <c r="L98" s="1">
        <v>9839</v>
      </c>
      <c r="M98" s="1">
        <v>35566</v>
      </c>
      <c r="N98" s="1">
        <v>67572</v>
      </c>
      <c r="O98" s="1">
        <v>2051892</v>
      </c>
      <c r="P98" s="1">
        <v>795637</v>
      </c>
      <c r="Q98" s="1">
        <v>1698547</v>
      </c>
      <c r="R98" s="1">
        <v>53111048</v>
      </c>
      <c r="S98" s="1">
        <v>32003</v>
      </c>
      <c r="T98" s="1">
        <v>32003</v>
      </c>
      <c r="U98" s="1">
        <v>41051</v>
      </c>
      <c r="V98" s="1">
        <v>0</v>
      </c>
      <c r="W98" s="1">
        <v>1</v>
      </c>
    </row>
    <row r="99">
      <c r="A99" s="1">
        <v>2016</v>
      </c>
      <c r="B99" s="1">
        <v>32</v>
      </c>
      <c r="C99" t="s">
        <v>29</v>
      </c>
      <c r="D99" s="1">
        <v>31</v>
      </c>
      <c r="E99" t="s">
        <v>113</v>
      </c>
      <c r="F99" s="1">
        <v>41</v>
      </c>
      <c r="G99" t="s">
        <v>3</v>
      </c>
      <c r="H99" s="1">
        <v>51</v>
      </c>
      <c r="I99" t="s">
        <v>6</v>
      </c>
      <c r="J99" s="1">
        <v>75</v>
      </c>
      <c r="K99" s="1">
        <v>104</v>
      </c>
      <c r="L99" s="1">
        <v>3419</v>
      </c>
      <c r="M99" s="1">
        <v>8911</v>
      </c>
      <c r="N99" s="1">
        <v>15828</v>
      </c>
      <c r="O99" s="1">
        <v>475483</v>
      </c>
      <c r="P99" s="1">
        <v>178030</v>
      </c>
      <c r="Q99" s="1">
        <v>361469</v>
      </c>
      <c r="R99" s="1">
        <v>13710849</v>
      </c>
      <c r="S99" s="1">
        <v>32031</v>
      </c>
      <c r="T99" s="1">
        <v>32031</v>
      </c>
      <c r="U99" s="1">
        <v>41051</v>
      </c>
      <c r="V99" s="1">
        <v>0</v>
      </c>
      <c r="W99" s="1">
        <v>1</v>
      </c>
    </row>
    <row r="100">
      <c r="A100" s="1">
        <v>2016</v>
      </c>
      <c r="B100" s="1">
        <v>34</v>
      </c>
      <c r="C100" t="s">
        <v>46</v>
      </c>
      <c r="D100" s="1">
        <v>17</v>
      </c>
      <c r="E100" t="s">
        <v>201</v>
      </c>
      <c r="F100" s="1">
        <v>41</v>
      </c>
      <c r="G100" t="s">
        <v>3</v>
      </c>
      <c r="H100" s="1">
        <v>51</v>
      </c>
      <c r="I100" t="s">
        <v>6</v>
      </c>
      <c r="J100" s="1">
        <v>32</v>
      </c>
      <c r="K100" s="1">
        <v>42</v>
      </c>
      <c r="L100" s="1">
        <v>2961</v>
      </c>
      <c r="M100" s="1">
        <v>24508</v>
      </c>
      <c r="N100" s="1">
        <v>44832</v>
      </c>
      <c r="O100" s="1">
        <v>2428623</v>
      </c>
      <c r="P100" s="1">
        <v>275278</v>
      </c>
      <c r="Q100" s="1">
        <v>530483</v>
      </c>
      <c r="R100" s="1">
        <v>21257588</v>
      </c>
      <c r="S100" s="1">
        <v>34017</v>
      </c>
      <c r="T100" s="1">
        <v>34017</v>
      </c>
      <c r="U100" s="1">
        <v>41051</v>
      </c>
      <c r="V100" s="1">
        <v>0</v>
      </c>
      <c r="W100" s="1">
        <v>1</v>
      </c>
    </row>
    <row r="101">
      <c r="A101" s="1">
        <v>2016</v>
      </c>
      <c r="B101" s="1">
        <v>35</v>
      </c>
      <c r="C101" t="s">
        <v>30</v>
      </c>
      <c r="D101" s="1">
        <v>1</v>
      </c>
      <c r="E101" t="s">
        <v>114</v>
      </c>
      <c r="F101" s="1">
        <v>41</v>
      </c>
      <c r="G101" t="s">
        <v>3</v>
      </c>
      <c r="H101" s="1">
        <v>51</v>
      </c>
      <c r="I101" t="s">
        <v>6</v>
      </c>
      <c r="J101" s="1">
        <v>77</v>
      </c>
      <c r="K101" s="1">
        <v>131</v>
      </c>
      <c r="L101" s="1">
        <v>3420</v>
      </c>
      <c r="M101" s="1">
        <v>14263</v>
      </c>
      <c r="N101" s="1">
        <v>27097</v>
      </c>
      <c r="O101" s="1">
        <v>775232</v>
      </c>
      <c r="P101" s="1">
        <v>256277</v>
      </c>
      <c r="Q101" s="1">
        <v>518151</v>
      </c>
      <c r="R101" s="1">
        <v>15867306</v>
      </c>
      <c r="S101" s="1">
        <v>35001</v>
      </c>
      <c r="T101" s="1">
        <v>35001</v>
      </c>
      <c r="U101" s="1">
        <v>41051</v>
      </c>
      <c r="V101" s="1">
        <v>0</v>
      </c>
      <c r="W101" s="1">
        <v>1</v>
      </c>
    </row>
    <row r="102">
      <c r="A102" s="1">
        <v>2016</v>
      </c>
      <c r="B102" s="1">
        <v>35</v>
      </c>
      <c r="C102" t="s">
        <v>30</v>
      </c>
      <c r="D102" s="1">
        <v>49</v>
      </c>
      <c r="E102" t="s">
        <v>115</v>
      </c>
      <c r="F102" s="1">
        <v>41</v>
      </c>
      <c r="G102" t="s">
        <v>3</v>
      </c>
      <c r="H102" s="1">
        <v>51</v>
      </c>
      <c r="I102" t="s">
        <v>6</v>
      </c>
      <c r="J102" s="1">
        <v>37</v>
      </c>
      <c r="K102" s="1">
        <v>45</v>
      </c>
      <c r="L102" s="1">
        <v>1608</v>
      </c>
      <c r="M102" s="1">
        <v>3714</v>
      </c>
      <c r="N102" s="1">
        <v>6304</v>
      </c>
      <c r="O102" s="1">
        <v>279256</v>
      </c>
      <c r="P102" s="1">
        <v>63318</v>
      </c>
      <c r="Q102" s="1">
        <v>120090</v>
      </c>
      <c r="R102" s="1">
        <v>4674925</v>
      </c>
      <c r="S102" s="1">
        <v>35049</v>
      </c>
      <c r="T102" s="1">
        <v>35049</v>
      </c>
      <c r="U102" s="1">
        <v>41051</v>
      </c>
      <c r="V102" s="1">
        <v>0</v>
      </c>
      <c r="W102" s="1">
        <v>1</v>
      </c>
    </row>
    <row r="103">
      <c r="A103" s="1">
        <v>2016</v>
      </c>
      <c r="B103" s="1">
        <v>36</v>
      </c>
      <c r="C103" t="s">
        <v>31</v>
      </c>
      <c r="D103" s="1">
        <v>29</v>
      </c>
      <c r="E103" t="s">
        <v>202</v>
      </c>
      <c r="F103" s="1">
        <v>41</v>
      </c>
      <c r="G103" t="s">
        <v>3</v>
      </c>
      <c r="H103" s="1">
        <v>51</v>
      </c>
      <c r="I103" t="s">
        <v>6</v>
      </c>
      <c r="J103" s="1">
        <v>27</v>
      </c>
      <c r="K103" s="1">
        <v>31</v>
      </c>
      <c r="L103" s="1">
        <v>1065</v>
      </c>
      <c r="M103" s="1">
        <v>11791</v>
      </c>
      <c r="N103" s="1">
        <v>20164</v>
      </c>
      <c r="O103" s="1">
        <v>677072</v>
      </c>
      <c r="P103" s="1">
        <v>372818</v>
      </c>
      <c r="Q103" s="1">
        <v>733449</v>
      </c>
      <c r="R103" s="1">
        <v>25340556</v>
      </c>
      <c r="S103" s="1">
        <v>36029</v>
      </c>
      <c r="T103" s="1">
        <v>36029</v>
      </c>
      <c r="U103" s="1">
        <v>41051</v>
      </c>
      <c r="V103" s="1">
        <v>0</v>
      </c>
      <c r="W103" s="1">
        <v>1</v>
      </c>
    </row>
    <row r="104">
      <c r="A104" s="1">
        <v>2016</v>
      </c>
      <c r="B104" s="1">
        <v>36</v>
      </c>
      <c r="C104" t="s">
        <v>31</v>
      </c>
      <c r="D104" s="1">
        <v>47</v>
      </c>
      <c r="E104" t="s">
        <v>116</v>
      </c>
      <c r="F104" s="1">
        <v>41</v>
      </c>
      <c r="G104" t="s">
        <v>3</v>
      </c>
      <c r="H104" s="1">
        <v>51</v>
      </c>
      <c r="I104" t="s">
        <v>6</v>
      </c>
      <c r="J104" s="1">
        <v>346</v>
      </c>
      <c r="K104" s="1">
        <v>478</v>
      </c>
      <c r="L104" s="1">
        <v>27133</v>
      </c>
      <c r="M104" s="1">
        <v>67918</v>
      </c>
      <c r="N104" s="1">
        <v>120144</v>
      </c>
      <c r="O104" s="1">
        <v>4484694</v>
      </c>
      <c r="P104" s="1">
        <v>1021063</v>
      </c>
      <c r="Q104" s="1">
        <v>2038512</v>
      </c>
      <c r="R104" s="1">
        <v>64021008</v>
      </c>
      <c r="S104" s="1">
        <v>36047</v>
      </c>
      <c r="T104" s="1">
        <v>36047</v>
      </c>
      <c r="U104" s="1">
        <v>41051</v>
      </c>
      <c r="V104" s="1">
        <v>0</v>
      </c>
      <c r="W104" s="1">
        <v>1</v>
      </c>
    </row>
    <row r="105">
      <c r="A105" s="1">
        <v>2016</v>
      </c>
      <c r="B105" s="1">
        <v>36</v>
      </c>
      <c r="C105" t="s">
        <v>31</v>
      </c>
      <c r="D105" s="1">
        <v>55</v>
      </c>
      <c r="E105" t="s">
        <v>203</v>
      </c>
      <c r="F105" s="1">
        <v>41</v>
      </c>
      <c r="G105" t="s">
        <v>3</v>
      </c>
      <c r="H105" s="1">
        <v>51</v>
      </c>
      <c r="I105" t="s">
        <v>6</v>
      </c>
      <c r="J105" s="1">
        <v>29</v>
      </c>
      <c r="K105" s="1">
        <v>41</v>
      </c>
      <c r="L105" s="1">
        <v>1680</v>
      </c>
      <c r="M105" s="1">
        <v>11705</v>
      </c>
      <c r="N105" s="1">
        <v>19639</v>
      </c>
      <c r="O105" s="1">
        <v>675000</v>
      </c>
      <c r="P105" s="1">
        <v>303846</v>
      </c>
      <c r="Q105" s="1">
        <v>602276</v>
      </c>
      <c r="R105" s="1">
        <v>21751732</v>
      </c>
      <c r="S105" s="1">
        <v>36055</v>
      </c>
      <c r="T105" s="1">
        <v>36055</v>
      </c>
      <c r="U105" s="1">
        <v>41051</v>
      </c>
      <c r="V105" s="1">
        <v>0</v>
      </c>
      <c r="W105" s="1">
        <v>1</v>
      </c>
    </row>
    <row r="106">
      <c r="A106" s="1">
        <v>2016</v>
      </c>
      <c r="B106" s="1">
        <v>36</v>
      </c>
      <c r="C106" t="s">
        <v>31</v>
      </c>
      <c r="D106" s="1">
        <v>59</v>
      </c>
      <c r="E106" t="s">
        <v>316</v>
      </c>
      <c r="F106" s="1">
        <v>41</v>
      </c>
      <c r="G106" t="s">
        <v>3</v>
      </c>
      <c r="H106" s="1">
        <v>51</v>
      </c>
      <c r="I106" t="s">
        <v>6</v>
      </c>
      <c r="J106" s="1">
        <v>29</v>
      </c>
      <c r="K106" s="1">
        <v>36</v>
      </c>
      <c r="L106" s="1">
        <v>1266</v>
      </c>
      <c r="M106" s="1">
        <v>26758</v>
      </c>
      <c r="N106" s="1">
        <v>45378</v>
      </c>
      <c r="O106" s="1">
        <v>2387340</v>
      </c>
      <c r="P106" s="1">
        <v>588275</v>
      </c>
      <c r="Q106" s="1">
        <v>1240637</v>
      </c>
      <c r="R106" s="1">
        <v>73602064</v>
      </c>
      <c r="S106" s="1">
        <v>36059</v>
      </c>
      <c r="T106" s="1">
        <v>36059</v>
      </c>
      <c r="U106" s="1">
        <v>41051</v>
      </c>
      <c r="V106" s="1">
        <v>0</v>
      </c>
      <c r="W106" s="1">
        <v>1</v>
      </c>
    </row>
    <row r="107">
      <c r="A107" s="1">
        <v>2016</v>
      </c>
      <c r="B107" s="1">
        <v>36</v>
      </c>
      <c r="C107" t="s">
        <v>31</v>
      </c>
      <c r="D107" s="1">
        <v>61</v>
      </c>
      <c r="E107" t="s">
        <v>117</v>
      </c>
      <c r="F107" s="1">
        <v>41</v>
      </c>
      <c r="G107" t="s">
        <v>3</v>
      </c>
      <c r="H107" s="1">
        <v>51</v>
      </c>
      <c r="I107" t="s">
        <v>6</v>
      </c>
      <c r="J107" s="1">
        <v>181</v>
      </c>
      <c r="K107" s="1">
        <v>246</v>
      </c>
      <c r="L107" s="1">
        <v>17226</v>
      </c>
      <c r="M107" s="1">
        <v>75793</v>
      </c>
      <c r="N107" s="1">
        <v>117143</v>
      </c>
      <c r="O107" s="1">
        <v>10850584</v>
      </c>
      <c r="P107" s="1">
        <v>759104</v>
      </c>
      <c r="Q107" s="1">
        <v>1242242</v>
      </c>
      <c r="R107" s="1">
        <v>174441360</v>
      </c>
      <c r="S107" s="1">
        <v>36061</v>
      </c>
      <c r="T107" s="1">
        <v>36061</v>
      </c>
      <c r="U107" s="1">
        <v>41051</v>
      </c>
      <c r="V107" s="1">
        <v>0</v>
      </c>
      <c r="W107" s="1">
        <v>1</v>
      </c>
    </row>
    <row r="108">
      <c r="A108" s="1">
        <v>2016</v>
      </c>
      <c r="B108" s="1">
        <v>36</v>
      </c>
      <c r="C108" t="s">
        <v>31</v>
      </c>
      <c r="D108" s="1">
        <v>81</v>
      </c>
      <c r="E108" t="s">
        <v>118</v>
      </c>
      <c r="F108" s="1">
        <v>41</v>
      </c>
      <c r="G108" t="s">
        <v>3</v>
      </c>
      <c r="H108" s="1">
        <v>51</v>
      </c>
      <c r="I108" t="s">
        <v>6</v>
      </c>
      <c r="J108" s="1">
        <v>81</v>
      </c>
      <c r="K108" s="1">
        <v>99</v>
      </c>
      <c r="L108" s="1">
        <v>4576</v>
      </c>
      <c r="M108" s="1">
        <v>55523</v>
      </c>
      <c r="N108" s="1">
        <v>101090</v>
      </c>
      <c r="O108" s="1">
        <v>3324798</v>
      </c>
      <c r="P108" s="1">
        <v>965711</v>
      </c>
      <c r="Q108" s="1">
        <v>1912278</v>
      </c>
      <c r="R108" s="1">
        <v>53633384</v>
      </c>
      <c r="S108" s="1">
        <v>36081</v>
      </c>
      <c r="T108" s="1">
        <v>36081</v>
      </c>
      <c r="U108" s="1">
        <v>41051</v>
      </c>
      <c r="V108" s="1">
        <v>0</v>
      </c>
      <c r="W108" s="1">
        <v>1</v>
      </c>
    </row>
    <row r="109">
      <c r="A109" s="1">
        <v>2016</v>
      </c>
      <c r="B109" s="1">
        <v>36</v>
      </c>
      <c r="C109" t="s">
        <v>31</v>
      </c>
      <c r="D109" s="1">
        <v>103</v>
      </c>
      <c r="E109" t="s">
        <v>105</v>
      </c>
      <c r="F109" s="1">
        <v>41</v>
      </c>
      <c r="G109" t="s">
        <v>3</v>
      </c>
      <c r="H109" s="1">
        <v>51</v>
      </c>
      <c r="I109" t="s">
        <v>6</v>
      </c>
      <c r="J109" s="1">
        <v>21</v>
      </c>
      <c r="K109" s="1">
        <v>27</v>
      </c>
      <c r="L109" s="1">
        <v>984</v>
      </c>
      <c r="M109" s="1">
        <v>23391</v>
      </c>
      <c r="N109" s="1">
        <v>39613</v>
      </c>
      <c r="O109" s="1">
        <v>2543408</v>
      </c>
      <c r="P109" s="1">
        <v>638551</v>
      </c>
      <c r="Q109" s="1">
        <v>1323688</v>
      </c>
      <c r="R109" s="1">
        <v>63366248</v>
      </c>
      <c r="S109" s="1">
        <v>36103</v>
      </c>
      <c r="T109" s="1">
        <v>36103</v>
      </c>
      <c r="U109" s="1">
        <v>41051</v>
      </c>
      <c r="V109" s="1">
        <v>0</v>
      </c>
      <c r="W109" s="1">
        <v>1</v>
      </c>
    </row>
    <row r="110">
      <c r="A110" s="1">
        <v>2016</v>
      </c>
      <c r="B110" s="1">
        <v>36</v>
      </c>
      <c r="C110" t="s">
        <v>31</v>
      </c>
      <c r="D110" s="1">
        <v>119</v>
      </c>
      <c r="E110" t="s">
        <v>119</v>
      </c>
      <c r="F110" s="1">
        <v>41</v>
      </c>
      <c r="G110" t="s">
        <v>3</v>
      </c>
      <c r="H110" s="1">
        <v>51</v>
      </c>
      <c r="I110" t="s">
        <v>6</v>
      </c>
      <c r="J110" s="1">
        <v>27</v>
      </c>
      <c r="K110" s="1">
        <v>34</v>
      </c>
      <c r="L110" s="1">
        <v>3240</v>
      </c>
      <c r="M110" s="1">
        <v>21269</v>
      </c>
      <c r="N110" s="1">
        <v>37755</v>
      </c>
      <c r="O110" s="1">
        <v>3245063</v>
      </c>
      <c r="P110" s="1">
        <v>397812</v>
      </c>
      <c r="Q110" s="1">
        <v>836248</v>
      </c>
      <c r="R110" s="1">
        <v>67925120</v>
      </c>
      <c r="S110" s="1">
        <v>36119</v>
      </c>
      <c r="T110" s="1">
        <v>36119</v>
      </c>
      <c r="U110" s="1">
        <v>41051</v>
      </c>
      <c r="V110" s="1">
        <v>0</v>
      </c>
      <c r="W110" s="1">
        <v>1</v>
      </c>
    </row>
    <row r="111">
      <c r="A111" s="1">
        <v>2016</v>
      </c>
      <c r="B111" s="1">
        <v>37</v>
      </c>
      <c r="C111" t="s">
        <v>32</v>
      </c>
      <c r="D111" s="1">
        <v>21</v>
      </c>
      <c r="E111" t="s">
        <v>120</v>
      </c>
      <c r="F111" s="1">
        <v>41</v>
      </c>
      <c r="G111" t="s">
        <v>3</v>
      </c>
      <c r="H111" s="1">
        <v>51</v>
      </c>
      <c r="I111" t="s">
        <v>6</v>
      </c>
      <c r="J111" s="1">
        <v>42</v>
      </c>
      <c r="K111" s="1">
        <v>54</v>
      </c>
      <c r="L111" s="1">
        <v>1379</v>
      </c>
      <c r="M111" s="1">
        <v>7188</v>
      </c>
      <c r="N111" s="1">
        <v>12170</v>
      </c>
      <c r="O111" s="1">
        <v>329686</v>
      </c>
      <c r="P111" s="1">
        <v>102153</v>
      </c>
      <c r="Q111" s="1">
        <v>199760</v>
      </c>
      <c r="R111" s="1">
        <v>6358978</v>
      </c>
      <c r="S111" s="1">
        <v>37021</v>
      </c>
      <c r="T111" s="1">
        <v>37021</v>
      </c>
      <c r="U111" s="1">
        <v>41051</v>
      </c>
      <c r="V111" s="1">
        <v>0</v>
      </c>
      <c r="W111" s="1">
        <v>1</v>
      </c>
    </row>
    <row r="112">
      <c r="A112" s="1">
        <v>2016</v>
      </c>
      <c r="B112" s="1">
        <v>37</v>
      </c>
      <c r="C112" t="s">
        <v>32</v>
      </c>
      <c r="D112" s="1">
        <v>119</v>
      </c>
      <c r="E112" t="s">
        <v>121</v>
      </c>
      <c r="F112" s="1">
        <v>41</v>
      </c>
      <c r="G112" t="s">
        <v>3</v>
      </c>
      <c r="H112" s="1">
        <v>51</v>
      </c>
      <c r="I112" t="s">
        <v>6</v>
      </c>
      <c r="J112" s="1">
        <v>42</v>
      </c>
      <c r="K112" s="1">
        <v>69</v>
      </c>
      <c r="L112" s="1">
        <v>3624</v>
      </c>
      <c r="M112" s="1">
        <v>30011</v>
      </c>
      <c r="N112" s="1">
        <v>56825</v>
      </c>
      <c r="O112" s="1">
        <v>2179318</v>
      </c>
      <c r="P112" s="1">
        <v>393228</v>
      </c>
      <c r="Q112" s="1">
        <v>833861</v>
      </c>
      <c r="R112" s="1">
        <v>36153020</v>
      </c>
      <c r="S112" s="1">
        <v>37119</v>
      </c>
      <c r="T112" s="1">
        <v>37119</v>
      </c>
      <c r="U112" s="1">
        <v>41051</v>
      </c>
      <c r="V112" s="1">
        <v>0</v>
      </c>
      <c r="W112" s="1">
        <v>1</v>
      </c>
    </row>
    <row r="113">
      <c r="A113" s="1">
        <v>2016</v>
      </c>
      <c r="B113" s="1">
        <v>37</v>
      </c>
      <c r="C113" t="s">
        <v>32</v>
      </c>
      <c r="D113" s="1">
        <v>135</v>
      </c>
      <c r="E113" t="s">
        <v>64</v>
      </c>
      <c r="F113" s="1">
        <v>41</v>
      </c>
      <c r="G113" t="s">
        <v>3</v>
      </c>
      <c r="H113" s="1">
        <v>51</v>
      </c>
      <c r="I113" t="s">
        <v>6</v>
      </c>
      <c r="J113" s="1">
        <v>22</v>
      </c>
      <c r="K113" s="1">
        <v>33</v>
      </c>
      <c r="L113" s="1">
        <v>1373</v>
      </c>
      <c r="M113" s="1">
        <v>5619</v>
      </c>
      <c r="N113" s="1">
        <v>9622</v>
      </c>
      <c r="O113" s="1">
        <v>379004</v>
      </c>
      <c r="P113" s="1">
        <v>49632</v>
      </c>
      <c r="Q113" s="1">
        <v>105979</v>
      </c>
      <c r="R113" s="1">
        <v>5185361</v>
      </c>
      <c r="S113" s="1">
        <v>37135</v>
      </c>
      <c r="T113" s="1">
        <v>37135</v>
      </c>
      <c r="U113" s="1">
        <v>41051</v>
      </c>
      <c r="V113" s="1">
        <v>0</v>
      </c>
      <c r="W113" s="1">
        <v>1</v>
      </c>
    </row>
    <row r="114">
      <c r="A114" s="1">
        <v>2016</v>
      </c>
      <c r="B114" s="1">
        <v>37</v>
      </c>
      <c r="C114" t="s">
        <v>32</v>
      </c>
      <c r="D114" s="1">
        <v>183</v>
      </c>
      <c r="E114" t="s">
        <v>206</v>
      </c>
      <c r="F114" s="1">
        <v>41</v>
      </c>
      <c r="G114" t="s">
        <v>3</v>
      </c>
      <c r="H114" s="1">
        <v>51</v>
      </c>
      <c r="I114" t="s">
        <v>6</v>
      </c>
      <c r="J114" s="1">
        <v>49</v>
      </c>
      <c r="K114" s="1">
        <v>78</v>
      </c>
      <c r="L114" s="1">
        <v>3321</v>
      </c>
      <c r="M114" s="1">
        <v>26509</v>
      </c>
      <c r="N114" s="1">
        <v>49179</v>
      </c>
      <c r="O114" s="1">
        <v>1774702</v>
      </c>
      <c r="P114" s="1">
        <v>386529</v>
      </c>
      <c r="Q114" s="1">
        <v>858879</v>
      </c>
      <c r="R114" s="1">
        <v>35405188</v>
      </c>
      <c r="S114" s="1">
        <v>37183</v>
      </c>
      <c r="T114" s="1">
        <v>37183</v>
      </c>
      <c r="U114" s="1">
        <v>41051</v>
      </c>
      <c r="V114" s="1">
        <v>0</v>
      </c>
      <c r="W114" s="1">
        <v>1</v>
      </c>
    </row>
    <row r="115">
      <c r="A115" s="1">
        <v>2016</v>
      </c>
      <c r="B115" s="1">
        <v>39</v>
      </c>
      <c r="C115" t="s">
        <v>33</v>
      </c>
      <c r="D115" s="1">
        <v>35</v>
      </c>
      <c r="E115" t="s">
        <v>207</v>
      </c>
      <c r="F115" s="1">
        <v>41</v>
      </c>
      <c r="G115" t="s">
        <v>3</v>
      </c>
      <c r="H115" s="1">
        <v>51</v>
      </c>
      <c r="I115" t="s">
        <v>6</v>
      </c>
      <c r="J115" s="1">
        <v>40</v>
      </c>
      <c r="K115" s="1">
        <v>58</v>
      </c>
      <c r="L115" s="1">
        <v>1554</v>
      </c>
      <c r="M115" s="1">
        <v>22773</v>
      </c>
      <c r="N115" s="1">
        <v>39262</v>
      </c>
      <c r="O115" s="1">
        <v>1581184</v>
      </c>
      <c r="P115" s="1">
        <v>518191</v>
      </c>
      <c r="Q115" s="1">
        <v>994652</v>
      </c>
      <c r="R115" s="1">
        <v>35729284</v>
      </c>
      <c r="S115" s="1">
        <v>39035</v>
      </c>
      <c r="T115" s="1">
        <v>39035</v>
      </c>
      <c r="U115" s="1">
        <v>41051</v>
      </c>
      <c r="V115" s="1">
        <v>0</v>
      </c>
      <c r="W115" s="1">
        <v>1</v>
      </c>
    </row>
    <row r="116">
      <c r="A116" s="1">
        <v>2016</v>
      </c>
      <c r="B116" s="1">
        <v>39</v>
      </c>
      <c r="C116" t="s">
        <v>33</v>
      </c>
      <c r="D116" s="1">
        <v>49</v>
      </c>
      <c r="E116" t="s">
        <v>122</v>
      </c>
      <c r="F116" s="1">
        <v>41</v>
      </c>
      <c r="G116" t="s">
        <v>3</v>
      </c>
      <c r="H116" s="1">
        <v>51</v>
      </c>
      <c r="I116" t="s">
        <v>6</v>
      </c>
      <c r="J116" s="1">
        <v>65</v>
      </c>
      <c r="K116" s="1">
        <v>82</v>
      </c>
      <c r="L116" s="1">
        <v>3477</v>
      </c>
      <c r="M116" s="1">
        <v>30698</v>
      </c>
      <c r="N116" s="1">
        <v>55925</v>
      </c>
      <c r="O116" s="1">
        <v>1966960</v>
      </c>
      <c r="P116" s="1">
        <v>511213</v>
      </c>
      <c r="Q116" s="1">
        <v>1015835</v>
      </c>
      <c r="R116" s="1">
        <v>35526732</v>
      </c>
      <c r="S116" s="1">
        <v>39049</v>
      </c>
      <c r="T116" s="1">
        <v>39049</v>
      </c>
      <c r="U116" s="1">
        <v>41051</v>
      </c>
      <c r="V116" s="1">
        <v>0</v>
      </c>
      <c r="W116" s="1">
        <v>1</v>
      </c>
    </row>
    <row r="117">
      <c r="A117" s="1">
        <v>2016</v>
      </c>
      <c r="B117" s="1">
        <v>39</v>
      </c>
      <c r="C117" t="s">
        <v>33</v>
      </c>
      <c r="D117" s="1">
        <v>61</v>
      </c>
      <c r="E117" t="s">
        <v>208</v>
      </c>
      <c r="F117" s="1">
        <v>41</v>
      </c>
      <c r="G117" t="s">
        <v>3</v>
      </c>
      <c r="H117" s="1">
        <v>51</v>
      </c>
      <c r="I117" t="s">
        <v>6</v>
      </c>
      <c r="J117" s="1">
        <v>44</v>
      </c>
      <c r="K117" s="1">
        <v>56</v>
      </c>
      <c r="L117" s="1">
        <v>2950</v>
      </c>
      <c r="M117" s="1">
        <v>18541</v>
      </c>
      <c r="N117" s="1">
        <v>32505</v>
      </c>
      <c r="O117" s="1">
        <v>1266433</v>
      </c>
      <c r="P117" s="1">
        <v>330622</v>
      </c>
      <c r="Q117" s="1">
        <v>657294</v>
      </c>
      <c r="R117" s="1">
        <v>26245158</v>
      </c>
      <c r="S117" s="1">
        <v>39061</v>
      </c>
      <c r="T117" s="1">
        <v>39061</v>
      </c>
      <c r="U117" s="1">
        <v>41051</v>
      </c>
      <c r="V117" s="1">
        <v>0</v>
      </c>
      <c r="W117" s="1">
        <v>1</v>
      </c>
    </row>
    <row r="118">
      <c r="A118" s="1">
        <v>2016</v>
      </c>
      <c r="B118" s="1">
        <v>40</v>
      </c>
      <c r="C118" t="s">
        <v>47</v>
      </c>
      <c r="D118" s="1">
        <v>109</v>
      </c>
      <c r="E118" t="s">
        <v>209</v>
      </c>
      <c r="F118" s="1">
        <v>41</v>
      </c>
      <c r="G118" t="s">
        <v>3</v>
      </c>
      <c r="H118" s="1">
        <v>51</v>
      </c>
      <c r="I118" t="s">
        <v>6</v>
      </c>
      <c r="J118" s="1">
        <v>28</v>
      </c>
      <c r="K118" s="1">
        <v>33</v>
      </c>
      <c r="L118" s="1">
        <v>1007</v>
      </c>
      <c r="M118" s="1">
        <v>19682</v>
      </c>
      <c r="N118" s="1">
        <v>39054</v>
      </c>
      <c r="O118" s="1">
        <v>1054028</v>
      </c>
      <c r="P118" s="1">
        <v>280769</v>
      </c>
      <c r="Q118" s="1">
        <v>604380</v>
      </c>
      <c r="R118" s="1">
        <v>21728576</v>
      </c>
      <c r="S118" s="1">
        <v>40109</v>
      </c>
      <c r="T118" s="1">
        <v>40109</v>
      </c>
      <c r="U118" s="1">
        <v>41051</v>
      </c>
      <c r="V118" s="1">
        <v>0</v>
      </c>
      <c r="W118" s="1">
        <v>1</v>
      </c>
    </row>
    <row r="119">
      <c r="A119" s="1">
        <v>2016</v>
      </c>
      <c r="B119" s="1">
        <v>40</v>
      </c>
      <c r="C119" t="s">
        <v>47</v>
      </c>
      <c r="D119" s="1">
        <v>143</v>
      </c>
      <c r="E119" t="s">
        <v>233</v>
      </c>
      <c r="F119" s="1">
        <v>41</v>
      </c>
      <c r="G119" t="s">
        <v>3</v>
      </c>
      <c r="H119" s="1">
        <v>51</v>
      </c>
      <c r="I119" t="s">
        <v>6</v>
      </c>
      <c r="J119" s="1">
        <v>32</v>
      </c>
      <c r="K119" s="1">
        <v>47</v>
      </c>
      <c r="L119" s="1">
        <v>1324</v>
      </c>
      <c r="M119" s="1">
        <v>14587</v>
      </c>
      <c r="N119" s="1">
        <v>29363</v>
      </c>
      <c r="O119" s="1">
        <v>861762</v>
      </c>
      <c r="P119" s="1">
        <v>233906</v>
      </c>
      <c r="Q119" s="1">
        <v>516022</v>
      </c>
      <c r="R119" s="1">
        <v>18045164</v>
      </c>
      <c r="S119" s="1">
        <v>40143</v>
      </c>
      <c r="T119" s="1">
        <v>40143</v>
      </c>
      <c r="U119" s="1">
        <v>41051</v>
      </c>
      <c r="V119" s="1">
        <v>0</v>
      </c>
      <c r="W119" s="1">
        <v>1</v>
      </c>
    </row>
    <row r="120">
      <c r="A120" s="1">
        <v>2016</v>
      </c>
      <c r="B120" s="1">
        <v>41</v>
      </c>
      <c r="C120" t="s">
        <v>3</v>
      </c>
      <c r="D120" s="1">
        <v>3</v>
      </c>
      <c r="E120" t="s">
        <v>124</v>
      </c>
      <c r="F120" s="1">
        <v>41</v>
      </c>
      <c r="G120" t="s">
        <v>3</v>
      </c>
      <c r="H120" s="1">
        <v>51</v>
      </c>
      <c r="I120" t="s">
        <v>6</v>
      </c>
      <c r="J120" s="1">
        <v>266</v>
      </c>
      <c r="K120" s="1">
        <v>331</v>
      </c>
      <c r="L120" s="1">
        <v>10217</v>
      </c>
      <c r="M120" s="1">
        <v>3414</v>
      </c>
      <c r="N120" s="1">
        <v>5440</v>
      </c>
      <c r="O120" s="1">
        <v>160113</v>
      </c>
      <c r="P120" s="1">
        <v>31387</v>
      </c>
      <c r="Q120" s="1">
        <v>62594</v>
      </c>
      <c r="R120" s="1">
        <v>2401863</v>
      </c>
      <c r="S120" s="1">
        <v>41003</v>
      </c>
      <c r="T120" s="1">
        <v>41003</v>
      </c>
      <c r="U120" s="1">
        <v>41051</v>
      </c>
      <c r="V120" s="1">
        <v>0</v>
      </c>
      <c r="W120" s="1">
        <v>1</v>
      </c>
    </row>
    <row r="121">
      <c r="A121" s="1">
        <v>2016</v>
      </c>
      <c r="B121" s="1">
        <v>41</v>
      </c>
      <c r="C121" t="s">
        <v>3</v>
      </c>
      <c r="D121" s="1">
        <v>5</v>
      </c>
      <c r="E121" t="s">
        <v>125</v>
      </c>
      <c r="F121" s="1">
        <v>41</v>
      </c>
      <c r="G121" t="s">
        <v>3</v>
      </c>
      <c r="H121" s="1">
        <v>51</v>
      </c>
      <c r="I121" t="s">
        <v>6</v>
      </c>
      <c r="J121" s="1">
        <v>3956</v>
      </c>
      <c r="K121" s="1">
        <v>6347</v>
      </c>
      <c r="L121" s="1">
        <v>197377</v>
      </c>
      <c r="M121" s="1">
        <v>12814</v>
      </c>
      <c r="N121" s="1">
        <v>22376</v>
      </c>
      <c r="O121" s="1">
        <v>784918</v>
      </c>
      <c r="P121" s="1">
        <v>157064</v>
      </c>
      <c r="Q121" s="1">
        <v>333608</v>
      </c>
      <c r="R121" s="1">
        <v>14200643</v>
      </c>
      <c r="S121" s="1">
        <v>41005</v>
      </c>
      <c r="T121" s="1">
        <v>41005</v>
      </c>
      <c r="U121" s="1">
        <v>41051</v>
      </c>
      <c r="V121" s="1">
        <v>0</v>
      </c>
      <c r="W121" s="1">
        <v>1</v>
      </c>
    </row>
    <row r="122">
      <c r="A122" s="1">
        <v>2016</v>
      </c>
      <c r="B122" s="1">
        <v>41</v>
      </c>
      <c r="C122" t="s">
        <v>3</v>
      </c>
      <c r="D122" s="1">
        <v>7</v>
      </c>
      <c r="E122" t="s">
        <v>126</v>
      </c>
      <c r="F122" s="1">
        <v>41</v>
      </c>
      <c r="G122" t="s">
        <v>3</v>
      </c>
      <c r="H122" s="1">
        <v>51</v>
      </c>
      <c r="I122" t="s">
        <v>6</v>
      </c>
      <c r="J122" s="1">
        <v>100</v>
      </c>
      <c r="K122" s="1">
        <v>146</v>
      </c>
      <c r="L122" s="1">
        <v>4359</v>
      </c>
      <c r="M122" s="1">
        <v>1126</v>
      </c>
      <c r="N122" s="1">
        <v>2138</v>
      </c>
      <c r="O122" s="1">
        <v>54932</v>
      </c>
      <c r="P122" s="1">
        <v>14455</v>
      </c>
      <c r="Q122" s="1">
        <v>29056</v>
      </c>
      <c r="R122" s="1">
        <v>821960</v>
      </c>
      <c r="S122" s="1">
        <v>41007</v>
      </c>
      <c r="T122" s="1">
        <v>41007</v>
      </c>
      <c r="U122" s="1">
        <v>41051</v>
      </c>
      <c r="V122" s="1">
        <v>0</v>
      </c>
      <c r="W122" s="1">
        <v>1</v>
      </c>
    </row>
    <row r="123">
      <c r="A123" s="1">
        <v>2016</v>
      </c>
      <c r="B123" s="1">
        <v>41</v>
      </c>
      <c r="C123" t="s">
        <v>3</v>
      </c>
      <c r="D123" s="1">
        <v>9</v>
      </c>
      <c r="E123" t="s">
        <v>127</v>
      </c>
      <c r="F123" s="1">
        <v>41</v>
      </c>
      <c r="G123" t="s">
        <v>3</v>
      </c>
      <c r="H123" s="1">
        <v>51</v>
      </c>
      <c r="I123" t="s">
        <v>6</v>
      </c>
      <c r="J123" s="1">
        <v>138</v>
      </c>
      <c r="K123" s="1">
        <v>239</v>
      </c>
      <c r="L123" s="1">
        <v>5829</v>
      </c>
      <c r="M123" s="1">
        <v>1031</v>
      </c>
      <c r="N123" s="1">
        <v>1968</v>
      </c>
      <c r="O123" s="1">
        <v>48873</v>
      </c>
      <c r="P123" s="1">
        <v>18242</v>
      </c>
      <c r="Q123" s="1">
        <v>38944</v>
      </c>
      <c r="R123" s="1">
        <v>1160560</v>
      </c>
      <c r="S123" s="1">
        <v>41009</v>
      </c>
      <c r="T123" s="1">
        <v>41009</v>
      </c>
      <c r="U123" s="1">
        <v>41051</v>
      </c>
      <c r="V123" s="1">
        <v>0</v>
      </c>
      <c r="W123" s="1">
        <v>1</v>
      </c>
    </row>
    <row r="124">
      <c r="A124" s="1">
        <v>2016</v>
      </c>
      <c r="B124" s="1">
        <v>41</v>
      </c>
      <c r="C124" t="s">
        <v>3</v>
      </c>
      <c r="D124" s="1">
        <v>11</v>
      </c>
      <c r="E124" t="s">
        <v>128</v>
      </c>
      <c r="F124" s="1">
        <v>41</v>
      </c>
      <c r="G124" t="s">
        <v>3</v>
      </c>
      <c r="H124" s="1">
        <v>51</v>
      </c>
      <c r="I124" t="s">
        <v>6</v>
      </c>
      <c r="J124" s="1">
        <v>55</v>
      </c>
      <c r="K124" s="1">
        <v>83</v>
      </c>
      <c r="L124" s="1">
        <v>2212</v>
      </c>
      <c r="M124" s="1">
        <v>1328</v>
      </c>
      <c r="N124" s="1">
        <v>2467</v>
      </c>
      <c r="O124" s="1">
        <v>57624</v>
      </c>
      <c r="P124" s="1">
        <v>22453</v>
      </c>
      <c r="Q124" s="1">
        <v>44744</v>
      </c>
      <c r="R124" s="1">
        <v>1143329</v>
      </c>
      <c r="S124" s="1">
        <v>41011</v>
      </c>
      <c r="T124" s="1">
        <v>41011</v>
      </c>
      <c r="U124" s="1">
        <v>41051</v>
      </c>
      <c r="V124" s="1">
        <v>0</v>
      </c>
      <c r="W124" s="1">
        <v>1</v>
      </c>
    </row>
    <row r="125">
      <c r="A125" s="1">
        <v>2016</v>
      </c>
      <c r="B125" s="1">
        <v>41</v>
      </c>
      <c r="C125" t="s">
        <v>3</v>
      </c>
      <c r="D125" s="1">
        <v>17</v>
      </c>
      <c r="E125" t="s">
        <v>130</v>
      </c>
      <c r="F125" s="1">
        <v>41</v>
      </c>
      <c r="G125" t="s">
        <v>3</v>
      </c>
      <c r="H125" s="1">
        <v>51</v>
      </c>
      <c r="I125" t="s">
        <v>6</v>
      </c>
      <c r="J125" s="1">
        <v>259</v>
      </c>
      <c r="K125" s="1">
        <v>349</v>
      </c>
      <c r="L125" s="1">
        <v>10573</v>
      </c>
      <c r="M125" s="1">
        <v>4278</v>
      </c>
      <c r="N125" s="1">
        <v>7456</v>
      </c>
      <c r="O125" s="1">
        <v>209696</v>
      </c>
      <c r="P125" s="1">
        <v>67873</v>
      </c>
      <c r="Q125" s="1">
        <v>139099</v>
      </c>
      <c r="R125" s="1">
        <v>4930485</v>
      </c>
      <c r="S125" s="1">
        <v>41017</v>
      </c>
      <c r="T125" s="1">
        <v>41017</v>
      </c>
      <c r="U125" s="1">
        <v>41051</v>
      </c>
      <c r="V125" s="1">
        <v>0</v>
      </c>
      <c r="W125" s="1">
        <v>1</v>
      </c>
    </row>
    <row r="126">
      <c r="A126" s="1">
        <v>2016</v>
      </c>
      <c r="B126" s="1">
        <v>41</v>
      </c>
      <c r="C126" t="s">
        <v>3</v>
      </c>
      <c r="D126" s="1">
        <v>19</v>
      </c>
      <c r="E126" t="s">
        <v>131</v>
      </c>
      <c r="F126" s="1">
        <v>41</v>
      </c>
      <c r="G126" t="s">
        <v>3</v>
      </c>
      <c r="H126" s="1">
        <v>51</v>
      </c>
      <c r="I126" t="s">
        <v>6</v>
      </c>
      <c r="J126" s="1">
        <v>63</v>
      </c>
      <c r="K126" s="1">
        <v>99</v>
      </c>
      <c r="L126" s="1">
        <v>2566</v>
      </c>
      <c r="M126" s="1">
        <v>1966</v>
      </c>
      <c r="N126" s="1">
        <v>3666</v>
      </c>
      <c r="O126" s="1">
        <v>83148</v>
      </c>
      <c r="P126" s="1">
        <v>37465</v>
      </c>
      <c r="Q126" s="1">
        <v>77284</v>
      </c>
      <c r="R126" s="1">
        <v>1950044</v>
      </c>
      <c r="S126" s="1">
        <v>41019</v>
      </c>
      <c r="T126" s="1">
        <v>41019</v>
      </c>
      <c r="U126" s="1">
        <v>41051</v>
      </c>
      <c r="V126" s="1">
        <v>0</v>
      </c>
      <c r="W126" s="1">
        <v>1</v>
      </c>
    </row>
    <row r="127">
      <c r="A127" s="1">
        <v>2016</v>
      </c>
      <c r="B127" s="1">
        <v>41</v>
      </c>
      <c r="C127" t="s">
        <v>3</v>
      </c>
      <c r="D127" s="1">
        <v>27</v>
      </c>
      <c r="E127" t="s">
        <v>132</v>
      </c>
      <c r="F127" s="1">
        <v>41</v>
      </c>
      <c r="G127" t="s">
        <v>3</v>
      </c>
      <c r="H127" s="1">
        <v>51</v>
      </c>
      <c r="I127" t="s">
        <v>6</v>
      </c>
      <c r="J127" s="1">
        <v>90</v>
      </c>
      <c r="K127" s="1">
        <v>157</v>
      </c>
      <c r="L127" s="1">
        <v>4371</v>
      </c>
      <c r="M127" s="1">
        <v>641</v>
      </c>
      <c r="N127" s="1">
        <v>1214</v>
      </c>
      <c r="O127" s="1">
        <v>35332</v>
      </c>
      <c r="P127" s="1">
        <v>9535</v>
      </c>
      <c r="Q127" s="1">
        <v>22074</v>
      </c>
      <c r="R127" s="1">
        <v>638836</v>
      </c>
      <c r="S127" s="1">
        <v>41027</v>
      </c>
      <c r="T127" s="1">
        <v>41027</v>
      </c>
      <c r="U127" s="1">
        <v>41051</v>
      </c>
      <c r="V127" s="1">
        <v>0</v>
      </c>
      <c r="W127" s="1">
        <v>1</v>
      </c>
    </row>
    <row r="128">
      <c r="A128" s="1">
        <v>2016</v>
      </c>
      <c r="B128" s="1">
        <v>41</v>
      </c>
      <c r="C128" t="s">
        <v>3</v>
      </c>
      <c r="D128" s="1">
        <v>29</v>
      </c>
      <c r="E128" t="s">
        <v>133</v>
      </c>
      <c r="F128" s="1">
        <v>41</v>
      </c>
      <c r="G128" t="s">
        <v>3</v>
      </c>
      <c r="H128" s="1">
        <v>51</v>
      </c>
      <c r="I128" t="s">
        <v>6</v>
      </c>
      <c r="J128" s="1">
        <v>261</v>
      </c>
      <c r="K128" s="1">
        <v>330</v>
      </c>
      <c r="L128" s="1">
        <v>10361</v>
      </c>
      <c r="M128" s="1">
        <v>4219</v>
      </c>
      <c r="N128" s="1">
        <v>7236</v>
      </c>
      <c r="O128" s="1">
        <v>184251</v>
      </c>
      <c r="P128" s="1">
        <v>81172</v>
      </c>
      <c r="Q128" s="1">
        <v>165431</v>
      </c>
      <c r="R128" s="1">
        <v>4857393</v>
      </c>
      <c r="S128" s="1">
        <v>41029</v>
      </c>
      <c r="T128" s="1">
        <v>41029</v>
      </c>
      <c r="U128" s="1">
        <v>41051</v>
      </c>
      <c r="V128" s="1">
        <v>0</v>
      </c>
      <c r="W128" s="1">
        <v>1</v>
      </c>
    </row>
    <row r="129">
      <c r="A129" s="1">
        <v>2016</v>
      </c>
      <c r="B129" s="1">
        <v>41</v>
      </c>
      <c r="C129" t="s">
        <v>3</v>
      </c>
      <c r="D129" s="1">
        <v>31</v>
      </c>
      <c r="E129" t="s">
        <v>83</v>
      </c>
      <c r="F129" s="1">
        <v>41</v>
      </c>
      <c r="G129" t="s">
        <v>3</v>
      </c>
      <c r="H129" s="1">
        <v>51</v>
      </c>
      <c r="I129" t="s">
        <v>6</v>
      </c>
      <c r="J129" s="1">
        <v>24</v>
      </c>
      <c r="K129" s="1">
        <v>44</v>
      </c>
      <c r="L129" s="1">
        <v>632</v>
      </c>
      <c r="M129" s="1">
        <v>524</v>
      </c>
      <c r="N129" s="1">
        <v>1025</v>
      </c>
      <c r="O129" s="1">
        <v>23084</v>
      </c>
      <c r="P129" s="1">
        <v>7360</v>
      </c>
      <c r="Q129" s="1">
        <v>16778</v>
      </c>
      <c r="R129" s="1">
        <v>347081</v>
      </c>
      <c r="S129" s="1">
        <v>41031</v>
      </c>
      <c r="T129" s="1">
        <v>41031</v>
      </c>
      <c r="U129" s="1">
        <v>41051</v>
      </c>
      <c r="V129" s="1">
        <v>0</v>
      </c>
      <c r="W129" s="1">
        <v>1</v>
      </c>
    </row>
    <row r="130">
      <c r="A130" s="1">
        <v>2016</v>
      </c>
      <c r="B130" s="1">
        <v>41</v>
      </c>
      <c r="C130" t="s">
        <v>3</v>
      </c>
      <c r="D130" s="1">
        <v>33</v>
      </c>
      <c r="E130" t="s">
        <v>134</v>
      </c>
      <c r="F130" s="1">
        <v>41</v>
      </c>
      <c r="G130" t="s">
        <v>3</v>
      </c>
      <c r="H130" s="1">
        <v>51</v>
      </c>
      <c r="I130" t="s">
        <v>6</v>
      </c>
      <c r="J130" s="1">
        <v>56</v>
      </c>
      <c r="K130" s="1">
        <v>73</v>
      </c>
      <c r="L130" s="1">
        <v>1791</v>
      </c>
      <c r="M130" s="1">
        <v>1754</v>
      </c>
      <c r="N130" s="1">
        <v>3166</v>
      </c>
      <c r="O130" s="1">
        <v>70192</v>
      </c>
      <c r="P130" s="1">
        <v>29927</v>
      </c>
      <c r="Q130" s="1">
        <v>60560</v>
      </c>
      <c r="R130" s="1">
        <v>1556756</v>
      </c>
      <c r="S130" s="1">
        <v>41033</v>
      </c>
      <c r="T130" s="1">
        <v>41033</v>
      </c>
      <c r="U130" s="1">
        <v>41051</v>
      </c>
      <c r="V130" s="1">
        <v>0</v>
      </c>
      <c r="W130" s="1">
        <v>1</v>
      </c>
    </row>
    <row r="131">
      <c r="A131" s="1">
        <v>2016</v>
      </c>
      <c r="B131" s="1">
        <v>41</v>
      </c>
      <c r="C131" t="s">
        <v>3</v>
      </c>
      <c r="D131" s="1">
        <v>35</v>
      </c>
      <c r="E131" t="s">
        <v>135</v>
      </c>
      <c r="F131" s="1">
        <v>41</v>
      </c>
      <c r="G131" t="s">
        <v>3</v>
      </c>
      <c r="H131" s="1">
        <v>51</v>
      </c>
      <c r="I131" t="s">
        <v>6</v>
      </c>
      <c r="J131" s="1">
        <v>34</v>
      </c>
      <c r="K131" s="1">
        <v>57</v>
      </c>
      <c r="L131" s="1">
        <v>1128</v>
      </c>
      <c r="M131" s="1">
        <v>1446</v>
      </c>
      <c r="N131" s="1">
        <v>2757</v>
      </c>
      <c r="O131" s="1">
        <v>63886</v>
      </c>
      <c r="P131" s="1">
        <v>22699</v>
      </c>
      <c r="Q131" s="1">
        <v>48182</v>
      </c>
      <c r="R131" s="1">
        <v>1139401</v>
      </c>
      <c r="S131" s="1">
        <v>41035</v>
      </c>
      <c r="T131" s="1">
        <v>41035</v>
      </c>
      <c r="U131" s="1">
        <v>41051</v>
      </c>
      <c r="V131" s="1">
        <v>0</v>
      </c>
      <c r="W131" s="1">
        <v>1</v>
      </c>
    </row>
    <row r="132">
      <c r="A132" s="1">
        <v>2016</v>
      </c>
      <c r="B132" s="1">
        <v>41</v>
      </c>
      <c r="C132" t="s">
        <v>3</v>
      </c>
      <c r="D132" s="1">
        <v>39</v>
      </c>
      <c r="E132" t="s">
        <v>136</v>
      </c>
      <c r="F132" s="1">
        <v>41</v>
      </c>
      <c r="G132" t="s">
        <v>3</v>
      </c>
      <c r="H132" s="1">
        <v>51</v>
      </c>
      <c r="I132" t="s">
        <v>6</v>
      </c>
      <c r="J132" s="1">
        <v>662</v>
      </c>
      <c r="K132" s="1">
        <v>851</v>
      </c>
      <c r="L132" s="1">
        <v>27949</v>
      </c>
      <c r="M132" s="1">
        <v>7257</v>
      </c>
      <c r="N132" s="1">
        <v>11960</v>
      </c>
      <c r="O132" s="1">
        <v>334229</v>
      </c>
      <c r="P132" s="1">
        <v>134921</v>
      </c>
      <c r="Q132" s="1">
        <v>264328</v>
      </c>
      <c r="R132" s="1">
        <v>8614843</v>
      </c>
      <c r="S132" s="1">
        <v>41039</v>
      </c>
      <c r="T132" s="1">
        <v>41039</v>
      </c>
      <c r="U132" s="1">
        <v>41051</v>
      </c>
      <c r="V132" s="1">
        <v>0</v>
      </c>
      <c r="W132" s="1">
        <v>1</v>
      </c>
    </row>
    <row r="133">
      <c r="A133" s="1">
        <v>2016</v>
      </c>
      <c r="B133" s="1">
        <v>41</v>
      </c>
      <c r="C133" t="s">
        <v>3</v>
      </c>
      <c r="D133" s="1">
        <v>41</v>
      </c>
      <c r="E133" t="s">
        <v>137</v>
      </c>
      <c r="F133" s="1">
        <v>41</v>
      </c>
      <c r="G133" t="s">
        <v>3</v>
      </c>
      <c r="H133" s="1">
        <v>51</v>
      </c>
      <c r="I133" t="s">
        <v>6</v>
      </c>
      <c r="J133" s="1">
        <v>81</v>
      </c>
      <c r="K133" s="1">
        <v>115</v>
      </c>
      <c r="L133" s="1">
        <v>3183</v>
      </c>
      <c r="M133" s="1">
        <v>1443</v>
      </c>
      <c r="N133" s="1">
        <v>2497</v>
      </c>
      <c r="O133" s="1">
        <v>62561</v>
      </c>
      <c r="P133" s="1">
        <v>17926</v>
      </c>
      <c r="Q133" s="1">
        <v>34335</v>
      </c>
      <c r="R133" s="1">
        <v>942322</v>
      </c>
      <c r="S133" s="1">
        <v>41041</v>
      </c>
      <c r="T133" s="1">
        <v>41041</v>
      </c>
      <c r="U133" s="1">
        <v>41051</v>
      </c>
      <c r="V133" s="1">
        <v>0</v>
      </c>
      <c r="W133" s="1">
        <v>1</v>
      </c>
    </row>
    <row r="134">
      <c r="A134" s="1">
        <v>2016</v>
      </c>
      <c r="B134" s="1">
        <v>41</v>
      </c>
      <c r="C134" t="s">
        <v>3</v>
      </c>
      <c r="D134" s="1">
        <v>43</v>
      </c>
      <c r="E134" t="s">
        <v>138</v>
      </c>
      <c r="F134" s="1">
        <v>41</v>
      </c>
      <c r="G134" t="s">
        <v>3</v>
      </c>
      <c r="H134" s="1">
        <v>51</v>
      </c>
      <c r="I134" t="s">
        <v>6</v>
      </c>
      <c r="J134" s="1">
        <v>100</v>
      </c>
      <c r="K134" s="1">
        <v>135</v>
      </c>
      <c r="L134" s="1">
        <v>3047</v>
      </c>
      <c r="M134" s="1">
        <v>2805</v>
      </c>
      <c r="N134" s="1">
        <v>5311</v>
      </c>
      <c r="O134" s="1">
        <v>119655</v>
      </c>
      <c r="P134" s="1">
        <v>42901</v>
      </c>
      <c r="Q134" s="1">
        <v>92556</v>
      </c>
      <c r="R134" s="1">
        <v>2365281</v>
      </c>
      <c r="S134" s="1">
        <v>41043</v>
      </c>
      <c r="T134" s="1">
        <v>41043</v>
      </c>
      <c r="U134" s="1">
        <v>41051</v>
      </c>
      <c r="V134" s="1">
        <v>0</v>
      </c>
      <c r="W134" s="1">
        <v>1</v>
      </c>
    </row>
    <row r="135">
      <c r="A135" s="1">
        <v>2016</v>
      </c>
      <c r="B135" s="1">
        <v>41</v>
      </c>
      <c r="C135" t="s">
        <v>3</v>
      </c>
      <c r="D135" s="1">
        <v>47</v>
      </c>
      <c r="E135" t="s">
        <v>99</v>
      </c>
      <c r="F135" s="1">
        <v>41</v>
      </c>
      <c r="G135" t="s">
        <v>3</v>
      </c>
      <c r="H135" s="1">
        <v>51</v>
      </c>
      <c r="I135" t="s">
        <v>6</v>
      </c>
      <c r="J135" s="1">
        <v>461</v>
      </c>
      <c r="K135" s="1">
        <v>722</v>
      </c>
      <c r="L135" s="1">
        <v>21536</v>
      </c>
      <c r="M135" s="1">
        <v>6710</v>
      </c>
      <c r="N135" s="1">
        <v>12800</v>
      </c>
      <c r="O135" s="1">
        <v>316986</v>
      </c>
      <c r="P135" s="1">
        <v>116629</v>
      </c>
      <c r="Q135" s="1">
        <v>264132</v>
      </c>
      <c r="R135" s="1">
        <v>6953938</v>
      </c>
      <c r="S135" s="1">
        <v>41047</v>
      </c>
      <c r="T135" s="1">
        <v>41047</v>
      </c>
      <c r="U135" s="1">
        <v>41051</v>
      </c>
      <c r="V135" s="1">
        <v>0</v>
      </c>
      <c r="W135" s="1">
        <v>1</v>
      </c>
    </row>
    <row r="136">
      <c r="A136" s="1">
        <v>2016</v>
      </c>
      <c r="B136" s="1">
        <v>41</v>
      </c>
      <c r="C136" t="s">
        <v>3</v>
      </c>
      <c r="D136" s="1">
        <v>53</v>
      </c>
      <c r="E136" t="s">
        <v>100</v>
      </c>
      <c r="F136" s="1">
        <v>41</v>
      </c>
      <c r="G136" t="s">
        <v>3</v>
      </c>
      <c r="H136" s="1">
        <v>51</v>
      </c>
      <c r="I136" t="s">
        <v>6</v>
      </c>
      <c r="J136" s="1">
        <v>109</v>
      </c>
      <c r="K136" s="1">
        <v>149</v>
      </c>
      <c r="L136" s="1">
        <v>4828</v>
      </c>
      <c r="M136" s="1">
        <v>2592</v>
      </c>
      <c r="N136" s="1">
        <v>4767</v>
      </c>
      <c r="O136" s="1">
        <v>118469</v>
      </c>
      <c r="P136" s="1">
        <v>28009</v>
      </c>
      <c r="Q136" s="1">
        <v>62134</v>
      </c>
      <c r="R136" s="1">
        <v>1814384</v>
      </c>
      <c r="S136" s="1">
        <v>41053</v>
      </c>
      <c r="T136" s="1">
        <v>41053</v>
      </c>
      <c r="U136" s="1">
        <v>41051</v>
      </c>
      <c r="V136" s="1">
        <v>0</v>
      </c>
      <c r="W136" s="1">
        <v>1</v>
      </c>
    </row>
    <row r="137">
      <c r="A137" s="1">
        <v>2016</v>
      </c>
      <c r="B137" s="1">
        <v>41</v>
      </c>
      <c r="C137" t="s">
        <v>3</v>
      </c>
      <c r="D137" s="1">
        <v>57</v>
      </c>
      <c r="E137" t="s">
        <v>139</v>
      </c>
      <c r="F137" s="1">
        <v>41</v>
      </c>
      <c r="G137" t="s">
        <v>3</v>
      </c>
      <c r="H137" s="1">
        <v>51</v>
      </c>
      <c r="I137" t="s">
        <v>6</v>
      </c>
      <c r="J137" s="1">
        <v>57</v>
      </c>
      <c r="K137" s="1">
        <v>80</v>
      </c>
      <c r="L137" s="1">
        <v>2623</v>
      </c>
      <c r="M137" s="1">
        <v>576</v>
      </c>
      <c r="N137" s="1">
        <v>1017</v>
      </c>
      <c r="O137" s="1">
        <v>24457</v>
      </c>
      <c r="P137" s="1">
        <v>9679</v>
      </c>
      <c r="Q137" s="1">
        <v>19773</v>
      </c>
      <c r="R137" s="1">
        <v>523991</v>
      </c>
      <c r="S137" s="1">
        <v>41057</v>
      </c>
      <c r="T137" s="1">
        <v>41057</v>
      </c>
      <c r="U137" s="1">
        <v>41051</v>
      </c>
      <c r="V137" s="1">
        <v>0</v>
      </c>
      <c r="W137" s="1">
        <v>1</v>
      </c>
    </row>
    <row r="138">
      <c r="A138" s="1">
        <v>2016</v>
      </c>
      <c r="B138" s="1">
        <v>41</v>
      </c>
      <c r="C138" t="s">
        <v>3</v>
      </c>
      <c r="D138" s="1">
        <v>59</v>
      </c>
      <c r="E138" t="s">
        <v>140</v>
      </c>
      <c r="F138" s="1">
        <v>41</v>
      </c>
      <c r="G138" t="s">
        <v>3</v>
      </c>
      <c r="H138" s="1">
        <v>51</v>
      </c>
      <c r="I138" t="s">
        <v>6</v>
      </c>
      <c r="J138" s="1">
        <v>45</v>
      </c>
      <c r="K138" s="1">
        <v>66</v>
      </c>
      <c r="L138" s="1">
        <v>1422</v>
      </c>
      <c r="M138" s="1">
        <v>1564</v>
      </c>
      <c r="N138" s="1">
        <v>3256</v>
      </c>
      <c r="O138" s="1">
        <v>66488</v>
      </c>
      <c r="P138" s="1">
        <v>25945</v>
      </c>
      <c r="Q138" s="1">
        <v>60004</v>
      </c>
      <c r="R138" s="1">
        <v>1383636</v>
      </c>
      <c r="S138" s="1">
        <v>41059</v>
      </c>
      <c r="T138" s="1">
        <v>41059</v>
      </c>
      <c r="U138" s="1">
        <v>41051</v>
      </c>
      <c r="V138" s="1">
        <v>0</v>
      </c>
      <c r="W138" s="1">
        <v>1</v>
      </c>
    </row>
    <row r="139">
      <c r="A139" s="1">
        <v>2016</v>
      </c>
      <c r="B139" s="1">
        <v>41</v>
      </c>
      <c r="C139" t="s">
        <v>3</v>
      </c>
      <c r="D139" s="1">
        <v>65</v>
      </c>
      <c r="E139" t="s">
        <v>142</v>
      </c>
      <c r="F139" s="1">
        <v>41</v>
      </c>
      <c r="G139" t="s">
        <v>3</v>
      </c>
      <c r="H139" s="1">
        <v>51</v>
      </c>
      <c r="I139" t="s">
        <v>6</v>
      </c>
      <c r="J139" s="1">
        <v>55</v>
      </c>
      <c r="K139" s="1">
        <v>84</v>
      </c>
      <c r="L139" s="1">
        <v>1913</v>
      </c>
      <c r="M139" s="1">
        <v>615</v>
      </c>
      <c r="N139" s="1">
        <v>1185</v>
      </c>
      <c r="O139" s="1">
        <v>35066</v>
      </c>
      <c r="P139" s="1">
        <v>9223</v>
      </c>
      <c r="Q139" s="1">
        <v>19786</v>
      </c>
      <c r="R139" s="1">
        <v>501766</v>
      </c>
      <c r="S139" s="1">
        <v>41065</v>
      </c>
      <c r="T139" s="1">
        <v>41065</v>
      </c>
      <c r="U139" s="1">
        <v>41051</v>
      </c>
      <c r="V139" s="1">
        <v>0</v>
      </c>
      <c r="W139" s="1">
        <v>1</v>
      </c>
    </row>
    <row r="140">
      <c r="A140" s="1">
        <v>2016</v>
      </c>
      <c r="B140" s="1">
        <v>41</v>
      </c>
      <c r="C140" t="s">
        <v>3</v>
      </c>
      <c r="D140" s="1">
        <v>67</v>
      </c>
      <c r="E140" t="s">
        <v>143</v>
      </c>
      <c r="F140" s="1">
        <v>41</v>
      </c>
      <c r="G140" t="s">
        <v>3</v>
      </c>
      <c r="H140" s="1">
        <v>51</v>
      </c>
      <c r="I140" t="s">
        <v>6</v>
      </c>
      <c r="J140" s="1">
        <v>4375</v>
      </c>
      <c r="K140" s="1">
        <v>6229</v>
      </c>
      <c r="L140" s="1">
        <v>302776</v>
      </c>
      <c r="M140" s="1">
        <v>17870</v>
      </c>
      <c r="N140" s="1">
        <v>32064</v>
      </c>
      <c r="O140" s="1">
        <v>1229312</v>
      </c>
      <c r="P140" s="1">
        <v>223282</v>
      </c>
      <c r="Q140" s="1">
        <v>485417</v>
      </c>
      <c r="R140" s="1">
        <v>19711708</v>
      </c>
      <c r="S140" s="1">
        <v>41067</v>
      </c>
      <c r="T140" s="1">
        <v>41067</v>
      </c>
      <c r="U140" s="1">
        <v>41051</v>
      </c>
      <c r="V140" s="1">
        <v>0</v>
      </c>
      <c r="W140" s="1">
        <v>1</v>
      </c>
    </row>
    <row r="141">
      <c r="A141" s="1">
        <v>2016</v>
      </c>
      <c r="B141" s="1">
        <v>41</v>
      </c>
      <c r="C141" t="s">
        <v>3</v>
      </c>
      <c r="D141" s="1">
        <v>71</v>
      </c>
      <c r="E141" t="s">
        <v>144</v>
      </c>
      <c r="F141" s="1">
        <v>41</v>
      </c>
      <c r="G141" t="s">
        <v>3</v>
      </c>
      <c r="H141" s="1">
        <v>51</v>
      </c>
      <c r="I141" t="s">
        <v>6</v>
      </c>
      <c r="J141" s="1">
        <v>173</v>
      </c>
      <c r="K141" s="1">
        <v>254</v>
      </c>
      <c r="L141" s="1">
        <v>8153</v>
      </c>
      <c r="M141" s="1">
        <v>2436</v>
      </c>
      <c r="N141" s="1">
        <v>4585</v>
      </c>
      <c r="O141" s="1">
        <v>104015</v>
      </c>
      <c r="P141" s="1">
        <v>35718</v>
      </c>
      <c r="Q141" s="1">
        <v>80294</v>
      </c>
      <c r="R141" s="1">
        <v>2338856</v>
      </c>
      <c r="S141" s="1">
        <v>41071</v>
      </c>
      <c r="T141" s="1">
        <v>41071</v>
      </c>
      <c r="U141" s="1">
        <v>41051</v>
      </c>
      <c r="V141" s="1">
        <v>0</v>
      </c>
      <c r="W141" s="1">
        <v>1</v>
      </c>
    </row>
    <row r="142">
      <c r="A142" s="1">
        <v>2016</v>
      </c>
      <c r="B142" s="1">
        <v>42</v>
      </c>
      <c r="C142" t="s">
        <v>34</v>
      </c>
      <c r="D142" s="1">
        <v>3</v>
      </c>
      <c r="E142" t="s">
        <v>145</v>
      </c>
      <c r="F142" s="1">
        <v>41</v>
      </c>
      <c r="G142" t="s">
        <v>3</v>
      </c>
      <c r="H142" s="1">
        <v>51</v>
      </c>
      <c r="I142" t="s">
        <v>6</v>
      </c>
      <c r="J142" s="1">
        <v>52</v>
      </c>
      <c r="K142" s="1">
        <v>81</v>
      </c>
      <c r="L142" s="1">
        <v>4173</v>
      </c>
      <c r="M142" s="1">
        <v>22919</v>
      </c>
      <c r="N142" s="1">
        <v>38262</v>
      </c>
      <c r="O142" s="1">
        <v>2232816</v>
      </c>
      <c r="P142" s="1">
        <v>527781</v>
      </c>
      <c r="Q142" s="1">
        <v>1008123</v>
      </c>
      <c r="R142" s="1">
        <v>43376120</v>
      </c>
      <c r="S142" s="1">
        <v>42003</v>
      </c>
      <c r="T142" s="1">
        <v>42003</v>
      </c>
      <c r="U142" s="1">
        <v>41051</v>
      </c>
      <c r="V142" s="1">
        <v>0</v>
      </c>
      <c r="W142" s="1">
        <v>1</v>
      </c>
    </row>
    <row r="143">
      <c r="A143" s="1">
        <v>2016</v>
      </c>
      <c r="B143" s="1">
        <v>42</v>
      </c>
      <c r="C143" t="s">
        <v>34</v>
      </c>
      <c r="D143" s="1">
        <v>91</v>
      </c>
      <c r="E143" t="s">
        <v>103</v>
      </c>
      <c r="F143" s="1">
        <v>41</v>
      </c>
      <c r="G143" t="s">
        <v>3</v>
      </c>
      <c r="H143" s="1">
        <v>51</v>
      </c>
      <c r="I143" t="s">
        <v>6</v>
      </c>
      <c r="J143" s="1">
        <v>22</v>
      </c>
      <c r="K143" s="1">
        <v>27</v>
      </c>
      <c r="L143" s="1">
        <v>1752</v>
      </c>
      <c r="M143" s="1">
        <v>19705</v>
      </c>
      <c r="N143" s="1">
        <v>33759</v>
      </c>
      <c r="O143" s="1">
        <v>1796970</v>
      </c>
      <c r="P143" s="1">
        <v>342375</v>
      </c>
      <c r="Q143" s="1">
        <v>722554</v>
      </c>
      <c r="R143" s="1">
        <v>42215320</v>
      </c>
      <c r="S143" s="1">
        <v>42091</v>
      </c>
      <c r="T143" s="1">
        <v>42091</v>
      </c>
      <c r="U143" s="1">
        <v>41051</v>
      </c>
      <c r="V143" s="1">
        <v>0</v>
      </c>
      <c r="W143" s="1">
        <v>1</v>
      </c>
    </row>
    <row r="144">
      <c r="A144" s="1">
        <v>2016</v>
      </c>
      <c r="B144" s="1">
        <v>42</v>
      </c>
      <c r="C144" t="s">
        <v>34</v>
      </c>
      <c r="D144" s="1">
        <v>101</v>
      </c>
      <c r="E144" t="s">
        <v>146</v>
      </c>
      <c r="F144" s="1">
        <v>41</v>
      </c>
      <c r="G144" t="s">
        <v>3</v>
      </c>
      <c r="H144" s="1">
        <v>51</v>
      </c>
      <c r="I144" t="s">
        <v>6</v>
      </c>
      <c r="J144" s="1">
        <v>86</v>
      </c>
      <c r="K144" s="1">
        <v>118</v>
      </c>
      <c r="L144" s="1">
        <v>5893</v>
      </c>
      <c r="M144" s="1">
        <v>32899</v>
      </c>
      <c r="N144" s="1">
        <v>56953</v>
      </c>
      <c r="O144" s="1">
        <v>2136163</v>
      </c>
      <c r="P144" s="1">
        <v>549250</v>
      </c>
      <c r="Q144" s="1">
        <v>1061563</v>
      </c>
      <c r="R144" s="1">
        <v>30379790</v>
      </c>
      <c r="S144" s="1">
        <v>42101</v>
      </c>
      <c r="T144" s="1">
        <v>42101</v>
      </c>
      <c r="U144" s="1">
        <v>41051</v>
      </c>
      <c r="V144" s="1">
        <v>0</v>
      </c>
      <c r="W144" s="1">
        <v>1</v>
      </c>
    </row>
    <row r="145">
      <c r="A145" s="1">
        <v>2016</v>
      </c>
      <c r="B145" s="1">
        <v>44</v>
      </c>
      <c r="C145" t="s">
        <v>48</v>
      </c>
      <c r="D145" s="1">
        <v>7</v>
      </c>
      <c r="E145" t="s">
        <v>212</v>
      </c>
      <c r="F145" s="1">
        <v>41</v>
      </c>
      <c r="G145" t="s">
        <v>3</v>
      </c>
      <c r="H145" s="1">
        <v>51</v>
      </c>
      <c r="I145" t="s">
        <v>6</v>
      </c>
      <c r="J145" s="1">
        <v>22</v>
      </c>
      <c r="K145" s="1">
        <v>39</v>
      </c>
      <c r="L145" s="1">
        <v>1229</v>
      </c>
      <c r="M145" s="1">
        <v>12781</v>
      </c>
      <c r="N145" s="1">
        <v>21154</v>
      </c>
      <c r="O145" s="1">
        <v>792028</v>
      </c>
      <c r="P145" s="1">
        <v>252369</v>
      </c>
      <c r="Q145" s="1">
        <v>491764</v>
      </c>
      <c r="R145" s="1">
        <v>15649773</v>
      </c>
      <c r="S145" s="1">
        <v>44007</v>
      </c>
      <c r="T145" s="1">
        <v>44007</v>
      </c>
      <c r="U145" s="1">
        <v>41051</v>
      </c>
      <c r="V145" s="1">
        <v>0</v>
      </c>
      <c r="W145" s="1">
        <v>1</v>
      </c>
    </row>
    <row r="146">
      <c r="A146" s="1">
        <v>2016</v>
      </c>
      <c r="B146" s="1">
        <v>47</v>
      </c>
      <c r="C146" t="s">
        <v>35</v>
      </c>
      <c r="D146" s="1">
        <v>37</v>
      </c>
      <c r="E146" t="s">
        <v>147</v>
      </c>
      <c r="F146" s="1">
        <v>41</v>
      </c>
      <c r="G146" t="s">
        <v>3</v>
      </c>
      <c r="H146" s="1">
        <v>51</v>
      </c>
      <c r="I146" t="s">
        <v>6</v>
      </c>
      <c r="J146" s="1">
        <v>66</v>
      </c>
      <c r="K146" s="1">
        <v>88</v>
      </c>
      <c r="L146" s="1">
        <v>3988</v>
      </c>
      <c r="M146" s="1">
        <v>25764</v>
      </c>
      <c r="N146" s="1">
        <v>46748</v>
      </c>
      <c r="O146" s="1">
        <v>1436465</v>
      </c>
      <c r="P146" s="1">
        <v>280774</v>
      </c>
      <c r="Q146" s="1">
        <v>542667</v>
      </c>
      <c r="R146" s="1">
        <v>21466830</v>
      </c>
      <c r="S146" s="1">
        <v>47037</v>
      </c>
      <c r="T146" s="1">
        <v>47037</v>
      </c>
      <c r="U146" s="1">
        <v>41051</v>
      </c>
      <c r="V146" s="1">
        <v>0</v>
      </c>
      <c r="W146" s="1">
        <v>1</v>
      </c>
    </row>
    <row r="147">
      <c r="A147" s="1">
        <v>2016</v>
      </c>
      <c r="B147" s="1">
        <v>47</v>
      </c>
      <c r="C147" t="s">
        <v>35</v>
      </c>
      <c r="D147" s="1">
        <v>93</v>
      </c>
      <c r="E147" t="s">
        <v>148</v>
      </c>
      <c r="F147" s="1">
        <v>41</v>
      </c>
      <c r="G147" t="s">
        <v>3</v>
      </c>
      <c r="H147" s="1">
        <v>51</v>
      </c>
      <c r="I147" t="s">
        <v>6</v>
      </c>
      <c r="J147" s="1">
        <v>20</v>
      </c>
      <c r="K147" s="1">
        <v>29</v>
      </c>
      <c r="L147" s="1">
        <v>1817</v>
      </c>
      <c r="M147" s="1">
        <v>10305</v>
      </c>
      <c r="N147" s="1">
        <v>18781</v>
      </c>
      <c r="O147" s="1">
        <v>582335</v>
      </c>
      <c r="P147" s="1">
        <v>168733</v>
      </c>
      <c r="Q147" s="1">
        <v>354062</v>
      </c>
      <c r="R147" s="1">
        <v>12945089</v>
      </c>
      <c r="S147" s="1">
        <v>47093</v>
      </c>
      <c r="T147" s="1">
        <v>47093</v>
      </c>
      <c r="U147" s="1">
        <v>41051</v>
      </c>
      <c r="V147" s="1">
        <v>0</v>
      </c>
      <c r="W147" s="1">
        <v>1</v>
      </c>
    </row>
    <row r="148">
      <c r="A148" s="1">
        <v>2016</v>
      </c>
      <c r="B148" s="1">
        <v>47</v>
      </c>
      <c r="C148" t="s">
        <v>35</v>
      </c>
      <c r="D148" s="1">
        <v>157</v>
      </c>
      <c r="E148" t="s">
        <v>215</v>
      </c>
      <c r="F148" s="1">
        <v>41</v>
      </c>
      <c r="G148" t="s">
        <v>3</v>
      </c>
      <c r="H148" s="1">
        <v>51</v>
      </c>
      <c r="I148" t="s">
        <v>6</v>
      </c>
      <c r="J148" s="1">
        <v>22</v>
      </c>
      <c r="K148" s="1">
        <v>32</v>
      </c>
      <c r="L148" s="1">
        <v>943</v>
      </c>
      <c r="M148" s="1">
        <v>17084</v>
      </c>
      <c r="N148" s="1">
        <v>34235</v>
      </c>
      <c r="O148" s="1">
        <v>1032640</v>
      </c>
      <c r="P148" s="1">
        <v>359980</v>
      </c>
      <c r="Q148" s="1">
        <v>772535</v>
      </c>
      <c r="R148" s="1">
        <v>23999018</v>
      </c>
      <c r="S148" s="1">
        <v>47157</v>
      </c>
      <c r="T148" s="1">
        <v>47157</v>
      </c>
      <c r="U148" s="1">
        <v>41051</v>
      </c>
      <c r="V148" s="1">
        <v>0</v>
      </c>
      <c r="W148" s="1">
        <v>1</v>
      </c>
    </row>
    <row r="149">
      <c r="A149" s="1">
        <v>2016</v>
      </c>
      <c r="B149" s="1">
        <v>48</v>
      </c>
      <c r="C149" t="s">
        <v>36</v>
      </c>
      <c r="D149" s="1">
        <v>29</v>
      </c>
      <c r="E149" t="s">
        <v>149</v>
      </c>
      <c r="F149" s="1">
        <v>41</v>
      </c>
      <c r="G149" t="s">
        <v>3</v>
      </c>
      <c r="H149" s="1">
        <v>51</v>
      </c>
      <c r="I149" t="s">
        <v>6</v>
      </c>
      <c r="J149" s="1">
        <v>57</v>
      </c>
      <c r="K149" s="1">
        <v>83</v>
      </c>
      <c r="L149" s="1">
        <v>3133</v>
      </c>
      <c r="M149" s="1">
        <v>34954</v>
      </c>
      <c r="N149" s="1">
        <v>70196</v>
      </c>
      <c r="O149" s="1">
        <v>2078519</v>
      </c>
      <c r="P149" s="1">
        <v>692523</v>
      </c>
      <c r="Q149" s="1">
        <v>1500649</v>
      </c>
      <c r="R149" s="1">
        <v>45239148</v>
      </c>
      <c r="S149" s="1">
        <v>48029</v>
      </c>
      <c r="T149" s="1">
        <v>48029</v>
      </c>
      <c r="U149" s="1">
        <v>41051</v>
      </c>
      <c r="V149" s="1">
        <v>0</v>
      </c>
      <c r="W149" s="1">
        <v>1</v>
      </c>
    </row>
    <row r="150">
      <c r="A150" s="1">
        <v>2016</v>
      </c>
      <c r="B150" s="1">
        <v>48</v>
      </c>
      <c r="C150" t="s">
        <v>36</v>
      </c>
      <c r="D150" s="1">
        <v>85</v>
      </c>
      <c r="E150" t="s">
        <v>216</v>
      </c>
      <c r="F150" s="1">
        <v>41</v>
      </c>
      <c r="G150" t="s">
        <v>3</v>
      </c>
      <c r="H150" s="1">
        <v>51</v>
      </c>
      <c r="I150" t="s">
        <v>6</v>
      </c>
      <c r="J150" s="1">
        <v>20</v>
      </c>
      <c r="K150" s="1">
        <v>27</v>
      </c>
      <c r="L150" s="1">
        <v>882</v>
      </c>
      <c r="M150" s="1">
        <v>30063</v>
      </c>
      <c r="N150" s="1">
        <v>58270</v>
      </c>
      <c r="O150" s="1">
        <v>2406499</v>
      </c>
      <c r="P150" s="1">
        <v>331944</v>
      </c>
      <c r="Q150" s="1">
        <v>795223</v>
      </c>
      <c r="R150" s="1">
        <v>36840856</v>
      </c>
      <c r="S150" s="1">
        <v>48085</v>
      </c>
      <c r="T150" s="1">
        <v>48085</v>
      </c>
      <c r="U150" s="1">
        <v>41051</v>
      </c>
      <c r="V150" s="1">
        <v>0</v>
      </c>
      <c r="W150" s="1">
        <v>1</v>
      </c>
    </row>
    <row r="151">
      <c r="A151" s="1">
        <v>2016</v>
      </c>
      <c r="B151" s="1">
        <v>48</v>
      </c>
      <c r="C151" t="s">
        <v>36</v>
      </c>
      <c r="D151" s="1">
        <v>113</v>
      </c>
      <c r="E151" t="s">
        <v>150</v>
      </c>
      <c r="F151" s="1">
        <v>41</v>
      </c>
      <c r="G151" t="s">
        <v>3</v>
      </c>
      <c r="H151" s="1">
        <v>51</v>
      </c>
      <c r="I151" t="s">
        <v>6</v>
      </c>
      <c r="J151" s="1">
        <v>99</v>
      </c>
      <c r="K151" s="1">
        <v>164</v>
      </c>
      <c r="L151" s="1">
        <v>6924</v>
      </c>
      <c r="M151" s="1">
        <v>66572</v>
      </c>
      <c r="N151" s="1">
        <v>127526</v>
      </c>
      <c r="O151" s="1">
        <v>4530172</v>
      </c>
      <c r="P151" s="1">
        <v>946564</v>
      </c>
      <c r="Q151" s="1">
        <v>2105252</v>
      </c>
      <c r="R151" s="1">
        <v>77567320</v>
      </c>
      <c r="S151" s="1">
        <v>48113</v>
      </c>
      <c r="T151" s="1">
        <v>48113</v>
      </c>
      <c r="U151" s="1">
        <v>41051</v>
      </c>
      <c r="V151" s="1">
        <v>0</v>
      </c>
      <c r="W151" s="1">
        <v>1</v>
      </c>
    </row>
    <row r="152">
      <c r="A152" s="1">
        <v>2016</v>
      </c>
      <c r="B152" s="1">
        <v>48</v>
      </c>
      <c r="C152" t="s">
        <v>36</v>
      </c>
      <c r="D152" s="1">
        <v>141</v>
      </c>
      <c r="E152" t="s">
        <v>82</v>
      </c>
      <c r="F152" s="1">
        <v>41</v>
      </c>
      <c r="G152" t="s">
        <v>3</v>
      </c>
      <c r="H152" s="1">
        <v>51</v>
      </c>
      <c r="I152" t="s">
        <v>6</v>
      </c>
      <c r="J152" s="1">
        <v>21</v>
      </c>
      <c r="K152" s="1">
        <v>29</v>
      </c>
      <c r="L152" s="1">
        <v>615</v>
      </c>
      <c r="M152" s="1">
        <v>15759</v>
      </c>
      <c r="N152" s="1">
        <v>36551</v>
      </c>
      <c r="O152" s="1">
        <v>710098</v>
      </c>
      <c r="P152" s="1">
        <v>297473</v>
      </c>
      <c r="Q152" s="1">
        <v>703780</v>
      </c>
      <c r="R152" s="1">
        <v>14020452</v>
      </c>
      <c r="S152" s="1">
        <v>48141</v>
      </c>
      <c r="T152" s="1">
        <v>48141</v>
      </c>
      <c r="U152" s="1">
        <v>41051</v>
      </c>
      <c r="V152" s="1">
        <v>0</v>
      </c>
      <c r="W152" s="1">
        <v>1</v>
      </c>
    </row>
    <row r="153">
      <c r="A153" s="1">
        <v>2016</v>
      </c>
      <c r="B153" s="1">
        <v>48</v>
      </c>
      <c r="C153" t="s">
        <v>36</v>
      </c>
      <c r="D153" s="1">
        <v>201</v>
      </c>
      <c r="E153" t="s">
        <v>151</v>
      </c>
      <c r="F153" s="1">
        <v>41</v>
      </c>
      <c r="G153" t="s">
        <v>3</v>
      </c>
      <c r="H153" s="1">
        <v>51</v>
      </c>
      <c r="I153" t="s">
        <v>6</v>
      </c>
      <c r="J153" s="1">
        <v>127</v>
      </c>
      <c r="K153" s="1">
        <v>207</v>
      </c>
      <c r="L153" s="1">
        <v>9664</v>
      </c>
      <c r="M153" s="1">
        <v>86075</v>
      </c>
      <c r="N153" s="1">
        <v>172831</v>
      </c>
      <c r="O153" s="1">
        <v>6715673</v>
      </c>
      <c r="P153" s="1">
        <v>1628792</v>
      </c>
      <c r="Q153" s="1">
        <v>3682347</v>
      </c>
      <c r="R153" s="1">
        <v>139352944</v>
      </c>
      <c r="S153" s="1">
        <v>48201</v>
      </c>
      <c r="T153" s="1">
        <v>48201</v>
      </c>
      <c r="U153" s="1">
        <v>41051</v>
      </c>
      <c r="V153" s="1">
        <v>0</v>
      </c>
      <c r="W153" s="1">
        <v>1</v>
      </c>
    </row>
    <row r="154">
      <c r="A154" s="1">
        <v>2016</v>
      </c>
      <c r="B154" s="1">
        <v>48</v>
      </c>
      <c r="C154" t="s">
        <v>36</v>
      </c>
      <c r="D154" s="1">
        <v>439</v>
      </c>
      <c r="E154" t="s">
        <v>152</v>
      </c>
      <c r="F154" s="1">
        <v>41</v>
      </c>
      <c r="G154" t="s">
        <v>3</v>
      </c>
      <c r="H154" s="1">
        <v>51</v>
      </c>
      <c r="I154" t="s">
        <v>6</v>
      </c>
      <c r="J154" s="1">
        <v>52</v>
      </c>
      <c r="K154" s="1">
        <v>78</v>
      </c>
      <c r="L154" s="1">
        <v>2570</v>
      </c>
      <c r="M154" s="1">
        <v>46131</v>
      </c>
      <c r="N154" s="1">
        <v>90449</v>
      </c>
      <c r="O154" s="1">
        <v>2899548</v>
      </c>
      <c r="P154" s="1">
        <v>736098</v>
      </c>
      <c r="Q154" s="1">
        <v>1663045</v>
      </c>
      <c r="R154" s="1">
        <v>56795392</v>
      </c>
      <c r="S154" s="1">
        <v>48439</v>
      </c>
      <c r="T154" s="1">
        <v>48439</v>
      </c>
      <c r="U154" s="1">
        <v>41051</v>
      </c>
      <c r="V154" s="1">
        <v>0</v>
      </c>
      <c r="W154" s="1">
        <v>1</v>
      </c>
    </row>
    <row r="155">
      <c r="A155" s="1">
        <v>2016</v>
      </c>
      <c r="B155" s="1">
        <v>48</v>
      </c>
      <c r="C155" t="s">
        <v>36</v>
      </c>
      <c r="D155" s="1">
        <v>453</v>
      </c>
      <c r="E155" t="s">
        <v>153</v>
      </c>
      <c r="F155" s="1">
        <v>41</v>
      </c>
      <c r="G155" t="s">
        <v>3</v>
      </c>
      <c r="H155" s="1">
        <v>51</v>
      </c>
      <c r="I155" t="s">
        <v>6</v>
      </c>
      <c r="J155" s="1">
        <v>274</v>
      </c>
      <c r="K155" s="1">
        <v>421</v>
      </c>
      <c r="L155" s="1">
        <v>17170</v>
      </c>
      <c r="M155" s="1">
        <v>77114</v>
      </c>
      <c r="N155" s="1">
        <v>144283</v>
      </c>
      <c r="O155" s="1">
        <v>4610727</v>
      </c>
      <c r="P155" s="1">
        <v>493964</v>
      </c>
      <c r="Q155" s="1">
        <v>1000776</v>
      </c>
      <c r="R155" s="1">
        <v>48194496</v>
      </c>
      <c r="S155" s="1">
        <v>48453</v>
      </c>
      <c r="T155" s="1">
        <v>48453</v>
      </c>
      <c r="U155" s="1">
        <v>41051</v>
      </c>
      <c r="V155" s="1">
        <v>0</v>
      </c>
      <c r="W155" s="1">
        <v>1</v>
      </c>
    </row>
    <row r="156">
      <c r="A156" s="1">
        <v>2016</v>
      </c>
      <c r="B156" s="1">
        <v>48</v>
      </c>
      <c r="C156" t="s">
        <v>36</v>
      </c>
      <c r="D156" s="1">
        <v>491</v>
      </c>
      <c r="E156" t="s">
        <v>217</v>
      </c>
      <c r="F156" s="1">
        <v>41</v>
      </c>
      <c r="G156" t="s">
        <v>3</v>
      </c>
      <c r="H156" s="1">
        <v>51</v>
      </c>
      <c r="I156" t="s">
        <v>6</v>
      </c>
      <c r="J156" s="1">
        <v>22</v>
      </c>
      <c r="K156" s="1">
        <v>30</v>
      </c>
      <c r="L156" s="1">
        <v>1399</v>
      </c>
      <c r="M156" s="1">
        <v>16968</v>
      </c>
      <c r="N156" s="1">
        <v>32033</v>
      </c>
      <c r="O156" s="1">
        <v>1052643</v>
      </c>
      <c r="P156" s="1">
        <v>187975</v>
      </c>
      <c r="Q156" s="1">
        <v>430480</v>
      </c>
      <c r="R156" s="1">
        <v>15647973</v>
      </c>
      <c r="S156" s="1">
        <v>48491</v>
      </c>
      <c r="T156" s="1">
        <v>48491</v>
      </c>
      <c r="U156" s="1">
        <v>41051</v>
      </c>
      <c r="V156" s="1">
        <v>0</v>
      </c>
      <c r="W156" s="1">
        <v>1</v>
      </c>
    </row>
    <row r="157">
      <c r="A157" s="1">
        <v>2016</v>
      </c>
      <c r="B157" s="1">
        <v>49</v>
      </c>
      <c r="C157" t="s">
        <v>37</v>
      </c>
      <c r="D157" s="1">
        <v>35</v>
      </c>
      <c r="E157" t="s">
        <v>154</v>
      </c>
      <c r="F157" s="1">
        <v>41</v>
      </c>
      <c r="G157" t="s">
        <v>3</v>
      </c>
      <c r="H157" s="1">
        <v>51</v>
      </c>
      <c r="I157" t="s">
        <v>6</v>
      </c>
      <c r="J157" s="1">
        <v>150</v>
      </c>
      <c r="K157" s="1">
        <v>211</v>
      </c>
      <c r="L157" s="1">
        <v>7116</v>
      </c>
      <c r="M157" s="1">
        <v>21797</v>
      </c>
      <c r="N157" s="1">
        <v>46112</v>
      </c>
      <c r="O157" s="1">
        <v>1290956</v>
      </c>
      <c r="P157" s="1">
        <v>403161</v>
      </c>
      <c r="Q157" s="1">
        <v>955292</v>
      </c>
      <c r="R157" s="1">
        <v>29984792</v>
      </c>
      <c r="S157" s="1">
        <v>49035</v>
      </c>
      <c r="T157" s="1">
        <v>49035</v>
      </c>
      <c r="U157" s="1">
        <v>41051</v>
      </c>
      <c r="V157" s="1">
        <v>0</v>
      </c>
      <c r="W157" s="1">
        <v>1</v>
      </c>
    </row>
    <row r="158">
      <c r="A158" s="1">
        <v>2016</v>
      </c>
      <c r="B158" s="1">
        <v>49</v>
      </c>
      <c r="C158" t="s">
        <v>37</v>
      </c>
      <c r="D158" s="1">
        <v>49</v>
      </c>
      <c r="E158" t="s">
        <v>219</v>
      </c>
      <c r="F158" s="1">
        <v>41</v>
      </c>
      <c r="G158" t="s">
        <v>3</v>
      </c>
      <c r="H158" s="1">
        <v>51</v>
      </c>
      <c r="I158" t="s">
        <v>6</v>
      </c>
      <c r="J158" s="1">
        <v>23</v>
      </c>
      <c r="K158" s="1">
        <v>34</v>
      </c>
      <c r="L158" s="1">
        <v>644</v>
      </c>
      <c r="M158" s="1">
        <v>11635</v>
      </c>
      <c r="N158" s="1">
        <v>27803</v>
      </c>
      <c r="O158" s="1">
        <v>576867</v>
      </c>
      <c r="P158" s="1">
        <v>167975</v>
      </c>
      <c r="Q158" s="1">
        <v>491601</v>
      </c>
      <c r="R158" s="1">
        <v>12675055</v>
      </c>
      <c r="S158" s="1">
        <v>49049</v>
      </c>
      <c r="T158" s="1">
        <v>49049</v>
      </c>
      <c r="U158" s="1">
        <v>41051</v>
      </c>
      <c r="V158" s="1">
        <v>0</v>
      </c>
      <c r="W158" s="1">
        <v>1</v>
      </c>
    </row>
    <row r="159">
      <c r="A159" s="1">
        <v>2016</v>
      </c>
      <c r="B159" s="1">
        <v>49</v>
      </c>
      <c r="C159" t="s">
        <v>37</v>
      </c>
      <c r="D159" s="1">
        <v>57</v>
      </c>
      <c r="E159" t="s">
        <v>220</v>
      </c>
      <c r="F159" s="1">
        <v>41</v>
      </c>
      <c r="G159" t="s">
        <v>3</v>
      </c>
      <c r="H159" s="1">
        <v>51</v>
      </c>
      <c r="I159" t="s">
        <v>6</v>
      </c>
      <c r="J159" s="1">
        <v>22</v>
      </c>
      <c r="K159" s="1">
        <v>40</v>
      </c>
      <c r="L159" s="1">
        <v>630</v>
      </c>
      <c r="M159" s="1">
        <v>5719</v>
      </c>
      <c r="N159" s="1">
        <v>12404</v>
      </c>
      <c r="O159" s="1">
        <v>269473</v>
      </c>
      <c r="P159" s="1">
        <v>86453</v>
      </c>
      <c r="Q159" s="1">
        <v>207096</v>
      </c>
      <c r="R159" s="1">
        <v>5312292</v>
      </c>
      <c r="S159" s="1">
        <v>49057</v>
      </c>
      <c r="T159" s="1">
        <v>49057</v>
      </c>
      <c r="U159" s="1">
        <v>41051</v>
      </c>
      <c r="V159" s="1">
        <v>0</v>
      </c>
      <c r="W159" s="1">
        <v>1</v>
      </c>
    </row>
    <row r="160">
      <c r="A160" s="1">
        <v>2016</v>
      </c>
      <c r="B160" s="1">
        <v>50</v>
      </c>
      <c r="C160" t="s">
        <v>38</v>
      </c>
      <c r="D160" s="1">
        <v>7</v>
      </c>
      <c r="E160" t="s">
        <v>155</v>
      </c>
      <c r="F160" s="1">
        <v>41</v>
      </c>
      <c r="G160" t="s">
        <v>3</v>
      </c>
      <c r="H160" s="1">
        <v>51</v>
      </c>
      <c r="I160" t="s">
        <v>6</v>
      </c>
      <c r="J160" s="1">
        <v>40</v>
      </c>
      <c r="K160" s="1">
        <v>56</v>
      </c>
      <c r="L160" s="1">
        <v>1925</v>
      </c>
      <c r="M160" s="1">
        <v>4983</v>
      </c>
      <c r="N160" s="1">
        <v>7626</v>
      </c>
      <c r="O160" s="1">
        <v>286636</v>
      </c>
      <c r="P160" s="1">
        <v>71403</v>
      </c>
      <c r="Q160" s="1">
        <v>134852</v>
      </c>
      <c r="R160" s="1">
        <v>5797972</v>
      </c>
      <c r="S160" s="1">
        <v>50007</v>
      </c>
      <c r="T160" s="1">
        <v>50007</v>
      </c>
      <c r="U160" s="1">
        <v>41051</v>
      </c>
      <c r="V160" s="1">
        <v>0</v>
      </c>
      <c r="W160" s="1">
        <v>1</v>
      </c>
    </row>
    <row r="161">
      <c r="A161" s="1">
        <v>2016</v>
      </c>
      <c r="B161" s="1">
        <v>51</v>
      </c>
      <c r="C161" t="s">
        <v>39</v>
      </c>
      <c r="D161" s="1">
        <v>13</v>
      </c>
      <c r="E161" t="s">
        <v>221</v>
      </c>
      <c r="F161" s="1">
        <v>41</v>
      </c>
      <c r="G161" t="s">
        <v>3</v>
      </c>
      <c r="H161" s="1">
        <v>51</v>
      </c>
      <c r="I161" t="s">
        <v>6</v>
      </c>
      <c r="J161" s="1">
        <v>27</v>
      </c>
      <c r="K161" s="1">
        <v>42</v>
      </c>
      <c r="L161" s="1">
        <v>3320</v>
      </c>
      <c r="M161" s="1">
        <v>18121</v>
      </c>
      <c r="N161" s="1">
        <v>26894</v>
      </c>
      <c r="O161" s="1">
        <v>1712868</v>
      </c>
      <c r="P161" s="1">
        <v>108758</v>
      </c>
      <c r="Q161" s="1">
        <v>187180</v>
      </c>
      <c r="R161" s="1">
        <v>13721487</v>
      </c>
      <c r="S161" s="1">
        <v>51013</v>
      </c>
      <c r="T161" s="1">
        <v>51013</v>
      </c>
      <c r="U161" s="1">
        <v>41051</v>
      </c>
      <c r="V161" s="1">
        <v>0</v>
      </c>
      <c r="W161" s="1">
        <v>1</v>
      </c>
    </row>
    <row r="162">
      <c r="A162" s="1">
        <v>2016</v>
      </c>
      <c r="B162" s="1">
        <v>51</v>
      </c>
      <c r="C162" t="s">
        <v>39</v>
      </c>
      <c r="D162" s="1">
        <v>59</v>
      </c>
      <c r="E162" t="s">
        <v>156</v>
      </c>
      <c r="F162" s="1">
        <v>41</v>
      </c>
      <c r="G162" t="s">
        <v>3</v>
      </c>
      <c r="H162" s="1">
        <v>51</v>
      </c>
      <c r="I162" t="s">
        <v>6</v>
      </c>
      <c r="J162" s="1">
        <v>57</v>
      </c>
      <c r="K162" s="1">
        <v>85</v>
      </c>
      <c r="L162" s="1">
        <v>4500</v>
      </c>
      <c r="M162" s="1">
        <v>44217</v>
      </c>
      <c r="N162" s="1">
        <v>83415</v>
      </c>
      <c r="O162" s="1">
        <v>4096485</v>
      </c>
      <c r="P162" s="1">
        <v>460273</v>
      </c>
      <c r="Q162" s="1">
        <v>1002678</v>
      </c>
      <c r="R162" s="1">
        <v>60505956</v>
      </c>
      <c r="S162" s="1">
        <v>51059</v>
      </c>
      <c r="T162" s="1">
        <v>51059</v>
      </c>
      <c r="U162" s="1">
        <v>41051</v>
      </c>
      <c r="V162" s="1">
        <v>0</v>
      </c>
      <c r="W162" s="1">
        <v>1</v>
      </c>
    </row>
    <row r="163">
      <c r="A163" s="1">
        <v>2016</v>
      </c>
      <c r="B163" s="1">
        <v>51</v>
      </c>
      <c r="C163" t="s">
        <v>39</v>
      </c>
      <c r="D163" s="1">
        <v>760</v>
      </c>
      <c r="E163" t="s">
        <v>227</v>
      </c>
      <c r="F163" s="1">
        <v>41</v>
      </c>
      <c r="G163" t="s">
        <v>3</v>
      </c>
      <c r="H163" s="1">
        <v>51</v>
      </c>
      <c r="I163" t="s">
        <v>6</v>
      </c>
      <c r="J163" s="1">
        <v>25</v>
      </c>
      <c r="K163" s="1">
        <v>34</v>
      </c>
      <c r="L163" s="1">
        <v>1405</v>
      </c>
      <c r="M163" s="1">
        <v>10764</v>
      </c>
      <c r="N163" s="1">
        <v>18241</v>
      </c>
      <c r="O163" s="1">
        <v>536706</v>
      </c>
      <c r="P163" s="1">
        <v>81987</v>
      </c>
      <c r="Q163" s="1">
        <v>146595</v>
      </c>
      <c r="R163" s="1">
        <v>5785657</v>
      </c>
      <c r="S163" s="1">
        <v>51760</v>
      </c>
      <c r="T163" s="1">
        <v>51760</v>
      </c>
      <c r="U163" s="1">
        <v>41051</v>
      </c>
      <c r="V163" s="1">
        <v>0</v>
      </c>
      <c r="W163" s="1">
        <v>1</v>
      </c>
    </row>
    <row r="164">
      <c r="A164" s="1">
        <v>2016</v>
      </c>
      <c r="B164" s="1">
        <v>53</v>
      </c>
      <c r="C164" t="s">
        <v>40</v>
      </c>
      <c r="D164" s="1">
        <v>5</v>
      </c>
      <c r="E164" t="s">
        <v>124</v>
      </c>
      <c r="F164" s="1">
        <v>41</v>
      </c>
      <c r="G164" t="s">
        <v>3</v>
      </c>
      <c r="H164" s="1">
        <v>51</v>
      </c>
      <c r="I164" t="s">
        <v>6</v>
      </c>
      <c r="J164" s="1">
        <v>46</v>
      </c>
      <c r="K164" s="1">
        <v>72</v>
      </c>
      <c r="L164" s="1">
        <v>3043</v>
      </c>
      <c r="M164" s="1">
        <v>4884</v>
      </c>
      <c r="N164" s="1">
        <v>10217</v>
      </c>
      <c r="O164" s="1">
        <v>276983</v>
      </c>
      <c r="P164" s="1">
        <v>69936</v>
      </c>
      <c r="Q164" s="1">
        <v>161880</v>
      </c>
      <c r="R164" s="1">
        <v>5143727</v>
      </c>
      <c r="S164" s="1">
        <v>53005</v>
      </c>
      <c r="T164" s="1">
        <v>53005</v>
      </c>
      <c r="U164" s="1">
        <v>41051</v>
      </c>
      <c r="V164" s="1">
        <v>0</v>
      </c>
      <c r="W164" s="1">
        <v>1</v>
      </c>
    </row>
    <row r="165">
      <c r="A165" s="1">
        <v>2016</v>
      </c>
      <c r="B165" s="1">
        <v>53</v>
      </c>
      <c r="C165" t="s">
        <v>40</v>
      </c>
      <c r="D165" s="1">
        <v>11</v>
      </c>
      <c r="E165" t="s">
        <v>112</v>
      </c>
      <c r="F165" s="1">
        <v>41</v>
      </c>
      <c r="G165" t="s">
        <v>3</v>
      </c>
      <c r="H165" s="1">
        <v>51</v>
      </c>
      <c r="I165" t="s">
        <v>6</v>
      </c>
      <c r="J165" s="1">
        <v>1672</v>
      </c>
      <c r="K165" s="1">
        <v>2859</v>
      </c>
      <c r="L165" s="1">
        <v>86378</v>
      </c>
      <c r="M165" s="1">
        <v>10110</v>
      </c>
      <c r="N165" s="1">
        <v>19528</v>
      </c>
      <c r="O165" s="1">
        <v>597729</v>
      </c>
      <c r="P165" s="1">
        <v>175146</v>
      </c>
      <c r="Q165" s="1">
        <v>389173</v>
      </c>
      <c r="R165" s="1">
        <v>13949572</v>
      </c>
      <c r="S165" s="1">
        <v>53011</v>
      </c>
      <c r="T165" s="1">
        <v>53011</v>
      </c>
      <c r="U165" s="1">
        <v>41051</v>
      </c>
      <c r="V165" s="1">
        <v>0</v>
      </c>
      <c r="W165" s="1">
        <v>1</v>
      </c>
    </row>
    <row r="166">
      <c r="A166" s="1">
        <v>2016</v>
      </c>
      <c r="B166" s="1">
        <v>53</v>
      </c>
      <c r="C166" t="s">
        <v>40</v>
      </c>
      <c r="D166" s="1">
        <v>15</v>
      </c>
      <c r="E166" t="s">
        <v>157</v>
      </c>
      <c r="F166" s="1">
        <v>41</v>
      </c>
      <c r="G166" t="s">
        <v>3</v>
      </c>
      <c r="H166" s="1">
        <v>51</v>
      </c>
      <c r="I166" t="s">
        <v>6</v>
      </c>
      <c r="J166" s="1">
        <v>68</v>
      </c>
      <c r="K166" s="1">
        <v>118</v>
      </c>
      <c r="L166" s="1">
        <v>4579</v>
      </c>
      <c r="M166" s="1">
        <v>2183</v>
      </c>
      <c r="N166" s="1">
        <v>4193</v>
      </c>
      <c r="O166" s="1">
        <v>116830</v>
      </c>
      <c r="P166" s="1">
        <v>37424</v>
      </c>
      <c r="Q166" s="1">
        <v>81100</v>
      </c>
      <c r="R166" s="1">
        <v>2232118</v>
      </c>
      <c r="S166" s="1">
        <v>53015</v>
      </c>
      <c r="T166" s="1">
        <v>53015</v>
      </c>
      <c r="U166" s="1">
        <v>41051</v>
      </c>
      <c r="V166" s="1">
        <v>0</v>
      </c>
      <c r="W166" s="1">
        <v>1</v>
      </c>
    </row>
    <row r="167">
      <c r="A167" s="1">
        <v>2016</v>
      </c>
      <c r="B167" s="1">
        <v>53</v>
      </c>
      <c r="C167" t="s">
        <v>40</v>
      </c>
      <c r="D167" s="1">
        <v>33</v>
      </c>
      <c r="E167" t="s">
        <v>160</v>
      </c>
      <c r="F167" s="1">
        <v>41</v>
      </c>
      <c r="G167" t="s">
        <v>3</v>
      </c>
      <c r="H167" s="1">
        <v>51</v>
      </c>
      <c r="I167" t="s">
        <v>6</v>
      </c>
      <c r="J167" s="1">
        <v>828</v>
      </c>
      <c r="K167" s="1">
        <v>1176</v>
      </c>
      <c r="L167" s="1">
        <v>61185</v>
      </c>
      <c r="M167" s="1">
        <v>54474</v>
      </c>
      <c r="N167" s="1">
        <v>94764</v>
      </c>
      <c r="O167" s="1">
        <v>4272902</v>
      </c>
      <c r="P167" s="1">
        <v>893478</v>
      </c>
      <c r="Q167" s="1">
        <v>1794214</v>
      </c>
      <c r="R167" s="1">
        <v>106301544</v>
      </c>
      <c r="S167" s="1">
        <v>53033</v>
      </c>
      <c r="T167" s="1">
        <v>53033</v>
      </c>
      <c r="U167" s="1">
        <v>41051</v>
      </c>
      <c r="V167" s="1">
        <v>0</v>
      </c>
      <c r="W167" s="1">
        <v>1</v>
      </c>
    </row>
    <row r="168">
      <c r="A168" s="1">
        <v>2016</v>
      </c>
      <c r="B168" s="1">
        <v>53</v>
      </c>
      <c r="C168" t="s">
        <v>40</v>
      </c>
      <c r="D168" s="1">
        <v>35</v>
      </c>
      <c r="E168" t="s">
        <v>161</v>
      </c>
      <c r="F168" s="1">
        <v>41</v>
      </c>
      <c r="G168" t="s">
        <v>3</v>
      </c>
      <c r="H168" s="1">
        <v>51</v>
      </c>
      <c r="I168" t="s">
        <v>6</v>
      </c>
      <c r="J168" s="1">
        <v>55</v>
      </c>
      <c r="K168" s="1">
        <v>76</v>
      </c>
      <c r="L168" s="1">
        <v>3764</v>
      </c>
      <c r="M168" s="1">
        <v>7370</v>
      </c>
      <c r="N168" s="1">
        <v>14187</v>
      </c>
      <c r="O168" s="1">
        <v>400750</v>
      </c>
      <c r="P168" s="1">
        <v>102612</v>
      </c>
      <c r="Q168" s="1">
        <v>214183</v>
      </c>
      <c r="R168" s="1">
        <v>7935086</v>
      </c>
      <c r="S168" s="1">
        <v>53035</v>
      </c>
      <c r="T168" s="1">
        <v>53035</v>
      </c>
      <c r="U168" s="1">
        <v>41051</v>
      </c>
      <c r="V168" s="1">
        <v>0</v>
      </c>
      <c r="W168" s="1">
        <v>1</v>
      </c>
    </row>
    <row r="169">
      <c r="A169" s="1">
        <v>2016</v>
      </c>
      <c r="B169" s="1">
        <v>53</v>
      </c>
      <c r="C169" t="s">
        <v>40</v>
      </c>
      <c r="D169" s="1">
        <v>39</v>
      </c>
      <c r="E169" t="s">
        <v>162</v>
      </c>
      <c r="F169" s="1">
        <v>41</v>
      </c>
      <c r="G169" t="s">
        <v>3</v>
      </c>
      <c r="H169" s="1">
        <v>51</v>
      </c>
      <c r="I169" t="s">
        <v>6</v>
      </c>
      <c r="J169" s="1">
        <v>21</v>
      </c>
      <c r="K169" s="1">
        <v>33</v>
      </c>
      <c r="L169" s="1">
        <v>826</v>
      </c>
      <c r="M169" s="1">
        <v>546</v>
      </c>
      <c r="N169" s="1">
        <v>1031</v>
      </c>
      <c r="O169" s="1">
        <v>25387</v>
      </c>
      <c r="P169" s="1">
        <v>8030</v>
      </c>
      <c r="Q169" s="1">
        <v>17349</v>
      </c>
      <c r="R169" s="1">
        <v>511715</v>
      </c>
      <c r="S169" s="1">
        <v>53039</v>
      </c>
      <c r="T169" s="1">
        <v>53039</v>
      </c>
      <c r="U169" s="1">
        <v>41051</v>
      </c>
      <c r="V169" s="1">
        <v>0</v>
      </c>
      <c r="W169" s="1">
        <v>1</v>
      </c>
    </row>
    <row r="170">
      <c r="A170" s="1">
        <v>2016</v>
      </c>
      <c r="B170" s="1">
        <v>53</v>
      </c>
      <c r="C170" t="s">
        <v>40</v>
      </c>
      <c r="D170" s="1">
        <v>49</v>
      </c>
      <c r="E170" t="s">
        <v>164</v>
      </c>
      <c r="F170" s="1">
        <v>41</v>
      </c>
      <c r="G170" t="s">
        <v>3</v>
      </c>
      <c r="H170" s="1">
        <v>51</v>
      </c>
      <c r="I170" t="s">
        <v>6</v>
      </c>
      <c r="J170" s="1">
        <v>20</v>
      </c>
      <c r="K170" s="1">
        <v>29</v>
      </c>
      <c r="L170" s="1">
        <v>1241</v>
      </c>
      <c r="M170" s="1">
        <v>514</v>
      </c>
      <c r="N170" s="1">
        <v>927</v>
      </c>
      <c r="O170" s="1">
        <v>23093</v>
      </c>
      <c r="P170" s="1">
        <v>7836</v>
      </c>
      <c r="Q170" s="1">
        <v>15881</v>
      </c>
      <c r="R170" s="1">
        <v>410319</v>
      </c>
      <c r="S170" s="1">
        <v>53049</v>
      </c>
      <c r="T170" s="1">
        <v>53049</v>
      </c>
      <c r="U170" s="1">
        <v>41051</v>
      </c>
      <c r="V170" s="1">
        <v>0</v>
      </c>
      <c r="W170" s="1">
        <v>1</v>
      </c>
    </row>
    <row r="171">
      <c r="A171" s="1">
        <v>2016</v>
      </c>
      <c r="B171" s="1">
        <v>53</v>
      </c>
      <c r="C171" t="s">
        <v>40</v>
      </c>
      <c r="D171" s="1">
        <v>53</v>
      </c>
      <c r="E171" t="s">
        <v>165</v>
      </c>
      <c r="F171" s="1">
        <v>41</v>
      </c>
      <c r="G171" t="s">
        <v>3</v>
      </c>
      <c r="H171" s="1">
        <v>51</v>
      </c>
      <c r="I171" t="s">
        <v>6</v>
      </c>
      <c r="J171" s="1">
        <v>165</v>
      </c>
      <c r="K171" s="1">
        <v>259</v>
      </c>
      <c r="L171" s="1">
        <v>7929</v>
      </c>
      <c r="M171" s="1">
        <v>22901</v>
      </c>
      <c r="N171" s="1">
        <v>45576</v>
      </c>
      <c r="O171" s="1">
        <v>1165054</v>
      </c>
      <c r="P171" s="1">
        <v>325854</v>
      </c>
      <c r="Q171" s="1">
        <v>697846</v>
      </c>
      <c r="R171" s="1">
        <v>22925276</v>
      </c>
      <c r="S171" s="1">
        <v>53053</v>
      </c>
      <c r="T171" s="1">
        <v>53053</v>
      </c>
      <c r="U171" s="1">
        <v>41051</v>
      </c>
      <c r="V171" s="1">
        <v>0</v>
      </c>
      <c r="W171" s="1">
        <v>1</v>
      </c>
    </row>
    <row r="172">
      <c r="A172" s="1">
        <v>2016</v>
      </c>
      <c r="B172" s="1">
        <v>53</v>
      </c>
      <c r="C172" t="s">
        <v>40</v>
      </c>
      <c r="D172" s="1">
        <v>57</v>
      </c>
      <c r="E172" t="s">
        <v>223</v>
      </c>
      <c r="F172" s="1">
        <v>41</v>
      </c>
      <c r="G172" t="s">
        <v>3</v>
      </c>
      <c r="H172" s="1">
        <v>51</v>
      </c>
      <c r="I172" t="s">
        <v>6</v>
      </c>
      <c r="J172" s="1">
        <v>28</v>
      </c>
      <c r="K172" s="1">
        <v>33</v>
      </c>
      <c r="L172" s="1">
        <v>1071</v>
      </c>
      <c r="M172" s="1">
        <v>2808</v>
      </c>
      <c r="N172" s="1">
        <v>5267</v>
      </c>
      <c r="O172" s="1">
        <v>143629</v>
      </c>
      <c r="P172" s="1">
        <v>47615</v>
      </c>
      <c r="Q172" s="1">
        <v>101582</v>
      </c>
      <c r="R172" s="1">
        <v>3224812</v>
      </c>
      <c r="S172" s="1">
        <v>53057</v>
      </c>
      <c r="T172" s="1">
        <v>53057</v>
      </c>
      <c r="U172" s="1">
        <v>41051</v>
      </c>
      <c r="V172" s="1">
        <v>0</v>
      </c>
      <c r="W172" s="1">
        <v>1</v>
      </c>
    </row>
    <row r="173">
      <c r="A173" s="1">
        <v>2016</v>
      </c>
      <c r="B173" s="1">
        <v>53</v>
      </c>
      <c r="C173" t="s">
        <v>40</v>
      </c>
      <c r="D173" s="1">
        <v>59</v>
      </c>
      <c r="E173" t="s">
        <v>166</v>
      </c>
      <c r="F173" s="1">
        <v>41</v>
      </c>
      <c r="G173" t="s">
        <v>3</v>
      </c>
      <c r="H173" s="1">
        <v>51</v>
      </c>
      <c r="I173" t="s">
        <v>6</v>
      </c>
      <c r="J173" s="1">
        <v>25</v>
      </c>
      <c r="K173" s="1">
        <v>49</v>
      </c>
      <c r="L173" s="1">
        <v>1079</v>
      </c>
      <c r="M173" s="1">
        <v>280</v>
      </c>
      <c r="N173" s="1">
        <v>542</v>
      </c>
      <c r="O173" s="1">
        <v>14314</v>
      </c>
      <c r="P173" s="1">
        <v>3938</v>
      </c>
      <c r="Q173" s="1">
        <v>8246</v>
      </c>
      <c r="R173" s="1">
        <v>305255</v>
      </c>
      <c r="S173" s="1">
        <v>53059</v>
      </c>
      <c r="T173" s="1">
        <v>53059</v>
      </c>
      <c r="U173" s="1">
        <v>41051</v>
      </c>
      <c r="V173" s="1">
        <v>0</v>
      </c>
      <c r="W173" s="1">
        <v>1</v>
      </c>
    </row>
    <row r="174">
      <c r="A174" s="1">
        <v>2016</v>
      </c>
      <c r="B174" s="1">
        <v>53</v>
      </c>
      <c r="C174" t="s">
        <v>40</v>
      </c>
      <c r="D174" s="1">
        <v>61</v>
      </c>
      <c r="E174" t="s">
        <v>167</v>
      </c>
      <c r="F174" s="1">
        <v>41</v>
      </c>
      <c r="G174" t="s">
        <v>3</v>
      </c>
      <c r="H174" s="1">
        <v>51</v>
      </c>
      <c r="I174" t="s">
        <v>6</v>
      </c>
      <c r="J174" s="1">
        <v>94</v>
      </c>
      <c r="K174" s="1">
        <v>141</v>
      </c>
      <c r="L174" s="1">
        <v>4427</v>
      </c>
      <c r="M174" s="1">
        <v>17970</v>
      </c>
      <c r="N174" s="1">
        <v>32219</v>
      </c>
      <c r="O174" s="1">
        <v>1151648</v>
      </c>
      <c r="P174" s="1">
        <v>302540</v>
      </c>
      <c r="Q174" s="1">
        <v>647763</v>
      </c>
      <c r="R174" s="1">
        <v>24289450</v>
      </c>
      <c r="S174" s="1">
        <v>53061</v>
      </c>
      <c r="T174" s="1">
        <v>53061</v>
      </c>
      <c r="U174" s="1">
        <v>41051</v>
      </c>
      <c r="V174" s="1">
        <v>0</v>
      </c>
      <c r="W174" s="1">
        <v>1</v>
      </c>
    </row>
    <row r="175">
      <c r="A175" s="1">
        <v>2016</v>
      </c>
      <c r="B175" s="1">
        <v>53</v>
      </c>
      <c r="C175" t="s">
        <v>40</v>
      </c>
      <c r="D175" s="1">
        <v>63</v>
      </c>
      <c r="E175" t="s">
        <v>168</v>
      </c>
      <c r="F175" s="1">
        <v>41</v>
      </c>
      <c r="G175" t="s">
        <v>3</v>
      </c>
      <c r="H175" s="1">
        <v>51</v>
      </c>
      <c r="I175" t="s">
        <v>6</v>
      </c>
      <c r="J175" s="1">
        <v>113</v>
      </c>
      <c r="K175" s="1">
        <v>162</v>
      </c>
      <c r="L175" s="1">
        <v>4547</v>
      </c>
      <c r="M175" s="1">
        <v>8865</v>
      </c>
      <c r="N175" s="1">
        <v>16417</v>
      </c>
      <c r="O175" s="1">
        <v>440798</v>
      </c>
      <c r="P175" s="1">
        <v>186603</v>
      </c>
      <c r="Q175" s="1">
        <v>390045</v>
      </c>
      <c r="R175" s="1">
        <v>12151486</v>
      </c>
      <c r="S175" s="1">
        <v>53063</v>
      </c>
      <c r="T175" s="1">
        <v>53063</v>
      </c>
      <c r="U175" s="1">
        <v>41051</v>
      </c>
      <c r="V175" s="1">
        <v>0</v>
      </c>
      <c r="W175" s="1">
        <v>1</v>
      </c>
    </row>
    <row r="176">
      <c r="A176" s="1">
        <v>2016</v>
      </c>
      <c r="B176" s="1">
        <v>53</v>
      </c>
      <c r="C176" t="s">
        <v>40</v>
      </c>
      <c r="D176" s="1">
        <v>67</v>
      </c>
      <c r="E176" t="s">
        <v>169</v>
      </c>
      <c r="F176" s="1">
        <v>41</v>
      </c>
      <c r="G176" t="s">
        <v>3</v>
      </c>
      <c r="H176" s="1">
        <v>51</v>
      </c>
      <c r="I176" t="s">
        <v>6</v>
      </c>
      <c r="J176" s="1">
        <v>97</v>
      </c>
      <c r="K176" s="1">
        <v>135</v>
      </c>
      <c r="L176" s="1">
        <v>3988</v>
      </c>
      <c r="M176" s="1">
        <v>8232</v>
      </c>
      <c r="N176" s="1">
        <v>16236</v>
      </c>
      <c r="O176" s="1">
        <v>426264</v>
      </c>
      <c r="P176" s="1">
        <v>108155</v>
      </c>
      <c r="Q176" s="1">
        <v>223970</v>
      </c>
      <c r="R176" s="1">
        <v>7358601</v>
      </c>
      <c r="S176" s="1">
        <v>53067</v>
      </c>
      <c r="T176" s="1">
        <v>53067</v>
      </c>
      <c r="U176" s="1">
        <v>41051</v>
      </c>
      <c r="V176" s="1">
        <v>0</v>
      </c>
      <c r="W176" s="1">
        <v>1</v>
      </c>
    </row>
    <row r="177">
      <c r="A177" s="1">
        <v>2016</v>
      </c>
      <c r="B177" s="1">
        <v>53</v>
      </c>
      <c r="C177" t="s">
        <v>40</v>
      </c>
      <c r="D177" s="1">
        <v>71</v>
      </c>
      <c r="E177" t="s">
        <v>170</v>
      </c>
      <c r="F177" s="1">
        <v>41</v>
      </c>
      <c r="G177" t="s">
        <v>3</v>
      </c>
      <c r="H177" s="1">
        <v>51</v>
      </c>
      <c r="I177" t="s">
        <v>6</v>
      </c>
      <c r="J177" s="1">
        <v>20</v>
      </c>
      <c r="K177" s="1">
        <v>21</v>
      </c>
      <c r="L177" s="1">
        <v>697</v>
      </c>
      <c r="M177" s="1">
        <v>1370</v>
      </c>
      <c r="N177" s="1">
        <v>2560</v>
      </c>
      <c r="O177" s="1">
        <v>62605</v>
      </c>
      <c r="P177" s="1">
        <v>21050</v>
      </c>
      <c r="Q177" s="1">
        <v>46511</v>
      </c>
      <c r="R177" s="1">
        <v>1329999</v>
      </c>
      <c r="S177" s="1">
        <v>53071</v>
      </c>
      <c r="T177" s="1">
        <v>53071</v>
      </c>
      <c r="U177" s="1">
        <v>41051</v>
      </c>
      <c r="V177" s="1">
        <v>0</v>
      </c>
      <c r="W177" s="1">
        <v>1</v>
      </c>
    </row>
    <row r="178">
      <c r="A178" s="1">
        <v>2016</v>
      </c>
      <c r="B178" s="1">
        <v>53</v>
      </c>
      <c r="C178" t="s">
        <v>40</v>
      </c>
      <c r="D178" s="1">
        <v>73</v>
      </c>
      <c r="E178" t="s">
        <v>171</v>
      </c>
      <c r="F178" s="1">
        <v>41</v>
      </c>
      <c r="G178" t="s">
        <v>3</v>
      </c>
      <c r="H178" s="1">
        <v>51</v>
      </c>
      <c r="I178" t="s">
        <v>6</v>
      </c>
      <c r="J178" s="1">
        <v>70</v>
      </c>
      <c r="K178" s="1">
        <v>87</v>
      </c>
      <c r="L178" s="1">
        <v>1770</v>
      </c>
      <c r="M178" s="1">
        <v>4465</v>
      </c>
      <c r="N178" s="1">
        <v>7254</v>
      </c>
      <c r="O178" s="1">
        <v>210749</v>
      </c>
      <c r="P178" s="1">
        <v>81589</v>
      </c>
      <c r="Q178" s="1">
        <v>165733</v>
      </c>
      <c r="R178" s="1">
        <v>5701676</v>
      </c>
      <c r="S178" s="1">
        <v>53073</v>
      </c>
      <c r="T178" s="1">
        <v>53073</v>
      </c>
      <c r="U178" s="1">
        <v>41051</v>
      </c>
      <c r="V178" s="1">
        <v>0</v>
      </c>
      <c r="W178" s="1">
        <v>1</v>
      </c>
    </row>
    <row r="179">
      <c r="A179" s="1">
        <v>2016</v>
      </c>
      <c r="B179" s="1">
        <v>53</v>
      </c>
      <c r="C179" t="s">
        <v>40</v>
      </c>
      <c r="D179" s="1">
        <v>77</v>
      </c>
      <c r="E179" t="s">
        <v>172</v>
      </c>
      <c r="F179" s="1">
        <v>41</v>
      </c>
      <c r="G179" t="s">
        <v>3</v>
      </c>
      <c r="H179" s="1">
        <v>51</v>
      </c>
      <c r="I179" t="s">
        <v>6</v>
      </c>
      <c r="J179" s="1">
        <v>41</v>
      </c>
      <c r="K179" s="1">
        <v>57</v>
      </c>
      <c r="L179" s="1">
        <v>2452</v>
      </c>
      <c r="M179" s="1">
        <v>3507</v>
      </c>
      <c r="N179" s="1">
        <v>7132</v>
      </c>
      <c r="O179" s="1">
        <v>159198</v>
      </c>
      <c r="P179" s="1">
        <v>89129</v>
      </c>
      <c r="Q179" s="1">
        <v>221178</v>
      </c>
      <c r="R179" s="1">
        <v>4812521</v>
      </c>
      <c r="S179" s="1">
        <v>53077</v>
      </c>
      <c r="T179" s="1">
        <v>53077</v>
      </c>
      <c r="U179" s="1">
        <v>41051</v>
      </c>
      <c r="V179" s="1">
        <v>0</v>
      </c>
      <c r="W179" s="1">
        <v>1</v>
      </c>
    </row>
    <row r="180">
      <c r="A180" s="1">
        <v>2016</v>
      </c>
      <c r="B180" s="1">
        <v>55</v>
      </c>
      <c r="C180" t="s">
        <v>41</v>
      </c>
      <c r="D180" s="1">
        <v>25</v>
      </c>
      <c r="E180" t="s">
        <v>173</v>
      </c>
      <c r="F180" s="1">
        <v>41</v>
      </c>
      <c r="G180" t="s">
        <v>3</v>
      </c>
      <c r="H180" s="1">
        <v>51</v>
      </c>
      <c r="I180" t="s">
        <v>6</v>
      </c>
      <c r="J180" s="1">
        <v>70</v>
      </c>
      <c r="K180" s="1">
        <v>96</v>
      </c>
      <c r="L180" s="1">
        <v>3401</v>
      </c>
      <c r="M180" s="1">
        <v>13430</v>
      </c>
      <c r="N180" s="1">
        <v>21715</v>
      </c>
      <c r="O180" s="1">
        <v>827255</v>
      </c>
      <c r="P180" s="1">
        <v>224570</v>
      </c>
      <c r="Q180" s="1">
        <v>445737</v>
      </c>
      <c r="R180" s="1">
        <v>19282264</v>
      </c>
      <c r="S180" s="1">
        <v>55025</v>
      </c>
      <c r="T180" s="1">
        <v>55025</v>
      </c>
      <c r="U180" s="1">
        <v>41051</v>
      </c>
      <c r="V180" s="1">
        <v>0</v>
      </c>
      <c r="W180" s="1">
        <v>1</v>
      </c>
    </row>
    <row r="181">
      <c r="A181" s="1">
        <v>2016</v>
      </c>
      <c r="B181" s="1">
        <v>55</v>
      </c>
      <c r="C181" t="s">
        <v>41</v>
      </c>
      <c r="D181" s="1">
        <v>79</v>
      </c>
      <c r="E181" t="s">
        <v>174</v>
      </c>
      <c r="F181" s="1">
        <v>41</v>
      </c>
      <c r="G181" t="s">
        <v>3</v>
      </c>
      <c r="H181" s="1">
        <v>51</v>
      </c>
      <c r="I181" t="s">
        <v>6</v>
      </c>
      <c r="J181" s="1">
        <v>60</v>
      </c>
      <c r="K181" s="1">
        <v>82</v>
      </c>
      <c r="L181" s="1">
        <v>2735</v>
      </c>
      <c r="M181" s="1">
        <v>20691</v>
      </c>
      <c r="N181" s="1">
        <v>37252</v>
      </c>
      <c r="O181" s="1">
        <v>1313678</v>
      </c>
      <c r="P181" s="1">
        <v>374261</v>
      </c>
      <c r="Q181" s="1">
        <v>762151</v>
      </c>
      <c r="R181" s="1">
        <v>23086126</v>
      </c>
      <c r="S181" s="1">
        <v>55079</v>
      </c>
      <c r="T181" s="1">
        <v>55079</v>
      </c>
      <c r="U181" s="1">
        <v>41051</v>
      </c>
      <c r="V181" s="1">
        <v>0</v>
      </c>
      <c r="W181" s="1">
        <v>1</v>
      </c>
    </row>
    <row r="182">
      <c r="A182" s="1">
        <v>2017</v>
      </c>
      <c r="B182" s="1">
        <v>2</v>
      </c>
      <c r="C182" t="s">
        <v>9</v>
      </c>
      <c r="D182" s="1">
        <v>20</v>
      </c>
      <c r="E182" t="s">
        <v>52</v>
      </c>
      <c r="F182" s="1">
        <v>41</v>
      </c>
      <c r="G182" t="s">
        <v>3</v>
      </c>
      <c r="H182" s="1">
        <v>51</v>
      </c>
      <c r="I182" t="s">
        <v>6</v>
      </c>
      <c r="J182" s="1">
        <v>136</v>
      </c>
      <c r="K182" s="1">
        <v>200</v>
      </c>
      <c r="L182" s="1">
        <v>7297</v>
      </c>
      <c r="M182" s="1">
        <v>14246</v>
      </c>
      <c r="N182" s="1">
        <v>29448</v>
      </c>
      <c r="O182" s="1">
        <v>958159</v>
      </c>
      <c r="P182" s="1">
        <v>123962</v>
      </c>
      <c r="Q182" s="1">
        <v>251184</v>
      </c>
      <c r="R182" s="1">
        <v>10574441</v>
      </c>
      <c r="S182" s="1">
        <v>2020</v>
      </c>
      <c r="T182" s="1">
        <v>2020</v>
      </c>
      <c r="U182" s="1">
        <v>41051</v>
      </c>
      <c r="V182" s="1">
        <v>0</v>
      </c>
      <c r="W182" s="1">
        <v>1</v>
      </c>
    </row>
    <row r="183">
      <c r="A183" s="1">
        <v>2017</v>
      </c>
      <c r="B183" s="1">
        <v>2</v>
      </c>
      <c r="C183" t="s">
        <v>9</v>
      </c>
      <c r="D183" s="1">
        <v>90</v>
      </c>
      <c r="E183" t="s">
        <v>344</v>
      </c>
      <c r="F183" s="1">
        <v>41</v>
      </c>
      <c r="G183" t="s">
        <v>3</v>
      </c>
      <c r="H183" s="1">
        <v>51</v>
      </c>
      <c r="I183" t="s">
        <v>6</v>
      </c>
      <c r="J183" s="1">
        <v>30</v>
      </c>
      <c r="K183" s="1">
        <v>44</v>
      </c>
      <c r="L183" s="1">
        <v>1546</v>
      </c>
      <c r="M183" s="1">
        <v>6215</v>
      </c>
      <c r="N183" s="1">
        <v>14024</v>
      </c>
      <c r="O183" s="1">
        <v>332638</v>
      </c>
      <c r="P183" s="1">
        <v>39534</v>
      </c>
      <c r="Q183" s="1">
        <v>82316</v>
      </c>
      <c r="R183" s="1">
        <v>2923236</v>
      </c>
      <c r="S183" s="1">
        <v>2090</v>
      </c>
      <c r="T183" s="1">
        <v>2090</v>
      </c>
      <c r="U183" s="1">
        <v>41051</v>
      </c>
      <c r="V183" s="1">
        <v>0</v>
      </c>
      <c r="W183" s="1">
        <v>1</v>
      </c>
    </row>
    <row r="184">
      <c r="A184" s="1">
        <v>2017</v>
      </c>
      <c r="B184" s="1">
        <v>2</v>
      </c>
      <c r="C184" t="s">
        <v>9</v>
      </c>
      <c r="D184" s="1">
        <v>110</v>
      </c>
      <c r="E184" t="s">
        <v>346</v>
      </c>
      <c r="F184" s="1">
        <v>41</v>
      </c>
      <c r="G184" t="s">
        <v>3</v>
      </c>
      <c r="H184" s="1">
        <v>51</v>
      </c>
      <c r="I184" t="s">
        <v>6</v>
      </c>
      <c r="J184" s="1">
        <v>26</v>
      </c>
      <c r="K184" s="1">
        <v>35</v>
      </c>
      <c r="L184" s="1">
        <v>1507</v>
      </c>
      <c r="M184" s="1">
        <v>1420</v>
      </c>
      <c r="N184" s="1">
        <v>2549</v>
      </c>
      <c r="O184" s="1">
        <v>92415</v>
      </c>
      <c r="P184" s="1">
        <v>13933</v>
      </c>
      <c r="Q184" s="1">
        <v>26807</v>
      </c>
      <c r="R184" s="1">
        <v>1158143</v>
      </c>
      <c r="S184" s="1">
        <v>2110</v>
      </c>
      <c r="T184" s="1">
        <v>2110</v>
      </c>
      <c r="U184" s="1">
        <v>41051</v>
      </c>
      <c r="V184" s="1">
        <v>0</v>
      </c>
      <c r="W184" s="1">
        <v>1</v>
      </c>
    </row>
    <row r="185">
      <c r="A185" s="1">
        <v>2017</v>
      </c>
      <c r="B185" s="1">
        <v>2</v>
      </c>
      <c r="C185" t="s">
        <v>9</v>
      </c>
      <c r="D185" s="1">
        <v>122</v>
      </c>
      <c r="E185" t="s">
        <v>347</v>
      </c>
      <c r="F185" s="1">
        <v>41</v>
      </c>
      <c r="G185" t="s">
        <v>3</v>
      </c>
      <c r="H185" s="1">
        <v>51</v>
      </c>
      <c r="I185" t="s">
        <v>6</v>
      </c>
      <c r="J185" s="1">
        <v>23</v>
      </c>
      <c r="K185" s="1">
        <v>39</v>
      </c>
      <c r="L185" s="1">
        <v>840</v>
      </c>
      <c r="M185" s="1">
        <v>1903</v>
      </c>
      <c r="N185" s="1">
        <v>3635</v>
      </c>
      <c r="O185" s="1">
        <v>109290</v>
      </c>
      <c r="P185" s="1">
        <v>23086</v>
      </c>
      <c r="Q185" s="1">
        <v>47571</v>
      </c>
      <c r="R185" s="1">
        <v>1691184</v>
      </c>
      <c r="S185" s="1">
        <v>2122</v>
      </c>
      <c r="T185" s="1">
        <v>2122</v>
      </c>
      <c r="U185" s="1">
        <v>41051</v>
      </c>
      <c r="V185" s="1">
        <v>0</v>
      </c>
      <c r="W185" s="1">
        <v>1</v>
      </c>
    </row>
    <row r="186">
      <c r="A186" s="1">
        <v>2017</v>
      </c>
      <c r="B186" s="1">
        <v>4</v>
      </c>
      <c r="C186" t="s">
        <v>10</v>
      </c>
      <c r="D186" s="1">
        <v>5</v>
      </c>
      <c r="E186" t="s">
        <v>175</v>
      </c>
      <c r="F186" s="1">
        <v>41</v>
      </c>
      <c r="G186" t="s">
        <v>3</v>
      </c>
      <c r="H186" s="1">
        <v>51</v>
      </c>
      <c r="I186" t="s">
        <v>6</v>
      </c>
      <c r="J186" s="1">
        <v>43</v>
      </c>
      <c r="K186" s="1">
        <v>59</v>
      </c>
      <c r="L186" s="1">
        <v>1541</v>
      </c>
      <c r="M186" s="1">
        <v>6105</v>
      </c>
      <c r="N186" s="1">
        <v>10662</v>
      </c>
      <c r="O186" s="1">
        <v>308554</v>
      </c>
      <c r="P186" s="1">
        <v>48869</v>
      </c>
      <c r="Q186" s="1">
        <v>101108</v>
      </c>
      <c r="R186" s="1">
        <v>3121483</v>
      </c>
      <c r="S186" s="1">
        <v>4005</v>
      </c>
      <c r="T186" s="1">
        <v>4005</v>
      </c>
      <c r="U186" s="1">
        <v>41051</v>
      </c>
      <c r="V186" s="1">
        <v>0</v>
      </c>
      <c r="W186" s="1">
        <v>1</v>
      </c>
    </row>
    <row r="187">
      <c r="A187" s="1">
        <v>2017</v>
      </c>
      <c r="B187" s="1">
        <v>4</v>
      </c>
      <c r="C187" t="s">
        <v>10</v>
      </c>
      <c r="D187" s="1">
        <v>13</v>
      </c>
      <c r="E187" t="s">
        <v>53</v>
      </c>
      <c r="F187" s="1">
        <v>41</v>
      </c>
      <c r="G187" t="s">
        <v>3</v>
      </c>
      <c r="H187" s="1">
        <v>51</v>
      </c>
      <c r="I187" t="s">
        <v>6</v>
      </c>
      <c r="J187" s="1">
        <v>481</v>
      </c>
      <c r="K187" s="1">
        <v>733</v>
      </c>
      <c r="L187" s="1">
        <v>30994</v>
      </c>
      <c r="M187" s="1">
        <v>85115</v>
      </c>
      <c r="N187" s="1">
        <v>163548</v>
      </c>
      <c r="O187" s="1">
        <v>5250777</v>
      </c>
      <c r="P187" s="1">
        <v>1503822</v>
      </c>
      <c r="Q187" s="1">
        <v>3259198</v>
      </c>
      <c r="R187" s="1">
        <v>110202216</v>
      </c>
      <c r="S187" s="1">
        <v>4013</v>
      </c>
      <c r="T187" s="1">
        <v>4013</v>
      </c>
      <c r="U187" s="1">
        <v>41051</v>
      </c>
      <c r="V187" s="1">
        <v>0</v>
      </c>
      <c r="W187" s="1">
        <v>1</v>
      </c>
    </row>
    <row r="188">
      <c r="A188" s="1">
        <v>2017</v>
      </c>
      <c r="B188" s="1">
        <v>4</v>
      </c>
      <c r="C188" t="s">
        <v>10</v>
      </c>
      <c r="D188" s="1">
        <v>19</v>
      </c>
      <c r="E188" t="s">
        <v>54</v>
      </c>
      <c r="F188" s="1">
        <v>41</v>
      </c>
      <c r="G188" t="s">
        <v>3</v>
      </c>
      <c r="H188" s="1">
        <v>51</v>
      </c>
      <c r="I188" t="s">
        <v>6</v>
      </c>
      <c r="J188" s="1">
        <v>131</v>
      </c>
      <c r="K188" s="1">
        <v>217</v>
      </c>
      <c r="L188" s="1">
        <v>5558</v>
      </c>
      <c r="M188" s="1">
        <v>22962</v>
      </c>
      <c r="N188" s="1">
        <v>43076</v>
      </c>
      <c r="O188" s="1">
        <v>1279230</v>
      </c>
      <c r="P188" s="1">
        <v>369587</v>
      </c>
      <c r="Q188" s="1">
        <v>761205</v>
      </c>
      <c r="R188" s="1">
        <v>22721676</v>
      </c>
      <c r="S188" s="1">
        <v>4019</v>
      </c>
      <c r="T188" s="1">
        <v>4019</v>
      </c>
      <c r="U188" s="1">
        <v>41051</v>
      </c>
      <c r="V188" s="1">
        <v>0</v>
      </c>
      <c r="W188" s="1">
        <v>1</v>
      </c>
    </row>
    <row r="189">
      <c r="A189" s="1">
        <v>2017</v>
      </c>
      <c r="B189" s="1">
        <v>4</v>
      </c>
      <c r="C189" t="s">
        <v>10</v>
      </c>
      <c r="D189" s="1">
        <v>25</v>
      </c>
      <c r="E189" t="s">
        <v>176</v>
      </c>
      <c r="F189" s="1">
        <v>41</v>
      </c>
      <c r="G189" t="s">
        <v>3</v>
      </c>
      <c r="H189" s="1">
        <v>51</v>
      </c>
      <c r="I189" t="s">
        <v>6</v>
      </c>
      <c r="J189" s="1">
        <v>36</v>
      </c>
      <c r="K189" s="1">
        <v>47</v>
      </c>
      <c r="L189" s="1">
        <v>1347</v>
      </c>
      <c r="M189" s="1">
        <v>7400</v>
      </c>
      <c r="N189" s="1">
        <v>13119</v>
      </c>
      <c r="O189" s="1">
        <v>341002</v>
      </c>
      <c r="P189" s="1">
        <v>87177</v>
      </c>
      <c r="Q189" s="1">
        <v>168981</v>
      </c>
      <c r="R189" s="1">
        <v>4816289</v>
      </c>
      <c r="S189" s="1">
        <v>4025</v>
      </c>
      <c r="T189" s="1">
        <v>4025</v>
      </c>
      <c r="U189" s="1">
        <v>41051</v>
      </c>
      <c r="V189" s="1">
        <v>0</v>
      </c>
      <c r="W189" s="1">
        <v>1</v>
      </c>
    </row>
    <row r="190">
      <c r="A190" s="1">
        <v>2017</v>
      </c>
      <c r="B190" s="1">
        <v>6</v>
      </c>
      <c r="C190" t="s">
        <v>11</v>
      </c>
      <c r="D190" s="1">
        <v>1</v>
      </c>
      <c r="E190" t="s">
        <v>56</v>
      </c>
      <c r="F190" s="1">
        <v>41</v>
      </c>
      <c r="G190" t="s">
        <v>3</v>
      </c>
      <c r="H190" s="1">
        <v>51</v>
      </c>
      <c r="I190" t="s">
        <v>6</v>
      </c>
      <c r="J190" s="1">
        <v>592</v>
      </c>
      <c r="K190" s="1">
        <v>880</v>
      </c>
      <c r="L190" s="1">
        <v>55988</v>
      </c>
      <c r="M190" s="1">
        <v>61480</v>
      </c>
      <c r="N190" s="1">
        <v>111008</v>
      </c>
      <c r="O190" s="1">
        <v>5595446</v>
      </c>
      <c r="P190" s="1">
        <v>661588</v>
      </c>
      <c r="Q190" s="1">
        <v>1385186</v>
      </c>
      <c r="R190" s="1">
        <v>69051296</v>
      </c>
      <c r="S190" s="1">
        <v>6001</v>
      </c>
      <c r="T190" s="1">
        <v>6001</v>
      </c>
      <c r="U190" s="1">
        <v>41051</v>
      </c>
      <c r="V190" s="1">
        <v>0</v>
      </c>
      <c r="W190" s="1">
        <v>1</v>
      </c>
    </row>
    <row r="191">
      <c r="A191" s="1">
        <v>2017</v>
      </c>
      <c r="B191" s="1">
        <v>6</v>
      </c>
      <c r="C191" t="s">
        <v>11</v>
      </c>
      <c r="D191" s="1">
        <v>7</v>
      </c>
      <c r="E191" t="s">
        <v>177</v>
      </c>
      <c r="F191" s="1">
        <v>41</v>
      </c>
      <c r="G191" t="s">
        <v>3</v>
      </c>
      <c r="H191" s="1">
        <v>51</v>
      </c>
      <c r="I191" t="s">
        <v>6</v>
      </c>
      <c r="J191" s="1">
        <v>41</v>
      </c>
      <c r="K191" s="1">
        <v>54</v>
      </c>
      <c r="L191" s="1">
        <v>1840</v>
      </c>
      <c r="M191" s="1">
        <v>5433</v>
      </c>
      <c r="N191" s="1">
        <v>9275</v>
      </c>
      <c r="O191" s="1">
        <v>234002</v>
      </c>
      <c r="P191" s="1">
        <v>77258</v>
      </c>
      <c r="Q191" s="1">
        <v>158408</v>
      </c>
      <c r="R191" s="1">
        <v>4665614</v>
      </c>
      <c r="S191" s="1">
        <v>6007</v>
      </c>
      <c r="T191" s="1">
        <v>6007</v>
      </c>
      <c r="U191" s="1">
        <v>41051</v>
      </c>
      <c r="V191" s="1">
        <v>0</v>
      </c>
      <c r="W191" s="1">
        <v>1</v>
      </c>
    </row>
    <row r="192">
      <c r="A192" s="1">
        <v>2017</v>
      </c>
      <c r="B192" s="1">
        <v>6</v>
      </c>
      <c r="C192" t="s">
        <v>11</v>
      </c>
      <c r="D192" s="1">
        <v>13</v>
      </c>
      <c r="E192" t="s">
        <v>57</v>
      </c>
      <c r="F192" s="1">
        <v>41</v>
      </c>
      <c r="G192" t="s">
        <v>3</v>
      </c>
      <c r="H192" s="1">
        <v>51</v>
      </c>
      <c r="I192" t="s">
        <v>6</v>
      </c>
      <c r="J192" s="1">
        <v>201</v>
      </c>
      <c r="K192" s="1">
        <v>305</v>
      </c>
      <c r="L192" s="1">
        <v>11459</v>
      </c>
      <c r="M192" s="1">
        <v>35577</v>
      </c>
      <c r="N192" s="1">
        <v>65632</v>
      </c>
      <c r="O192" s="1">
        <v>3311459</v>
      </c>
      <c r="P192" s="1">
        <v>451558</v>
      </c>
      <c r="Q192" s="1">
        <v>986543</v>
      </c>
      <c r="R192" s="1">
        <v>55130224</v>
      </c>
      <c r="S192" s="1">
        <v>6013</v>
      </c>
      <c r="T192" s="1">
        <v>6013</v>
      </c>
      <c r="U192" s="1">
        <v>41051</v>
      </c>
      <c r="V192" s="1">
        <v>0</v>
      </c>
      <c r="W192" s="1">
        <v>1</v>
      </c>
    </row>
    <row r="193">
      <c r="A193" s="1">
        <v>2017</v>
      </c>
      <c r="B193" s="1">
        <v>6</v>
      </c>
      <c r="C193" t="s">
        <v>11</v>
      </c>
      <c r="D193" s="1">
        <v>19</v>
      </c>
      <c r="E193" t="s">
        <v>58</v>
      </c>
      <c r="F193" s="1">
        <v>41</v>
      </c>
      <c r="G193" t="s">
        <v>3</v>
      </c>
      <c r="H193" s="1">
        <v>51</v>
      </c>
      <c r="I193" t="s">
        <v>6</v>
      </c>
      <c r="J193" s="1">
        <v>67</v>
      </c>
      <c r="K193" s="1">
        <v>98</v>
      </c>
      <c r="L193" s="1">
        <v>3495</v>
      </c>
      <c r="M193" s="1">
        <v>14104</v>
      </c>
      <c r="N193" s="1">
        <v>29018</v>
      </c>
      <c r="O193" s="1">
        <v>751153</v>
      </c>
      <c r="P193" s="1">
        <v>322169</v>
      </c>
      <c r="Q193" s="1">
        <v>779875</v>
      </c>
      <c r="R193" s="1">
        <v>18968658</v>
      </c>
      <c r="S193" s="1">
        <v>6019</v>
      </c>
      <c r="T193" s="1">
        <v>6019</v>
      </c>
      <c r="U193" s="1">
        <v>41051</v>
      </c>
      <c r="V193" s="1">
        <v>0</v>
      </c>
      <c r="W193" s="1">
        <v>1</v>
      </c>
    </row>
    <row r="194">
      <c r="A194" s="1">
        <v>2017</v>
      </c>
      <c r="B194" s="1">
        <v>6</v>
      </c>
      <c r="C194" t="s">
        <v>11</v>
      </c>
      <c r="D194" s="1">
        <v>23</v>
      </c>
      <c r="E194" t="s">
        <v>59</v>
      </c>
      <c r="F194" s="1">
        <v>41</v>
      </c>
      <c r="G194" t="s">
        <v>3</v>
      </c>
      <c r="H194" s="1">
        <v>51</v>
      </c>
      <c r="I194" t="s">
        <v>6</v>
      </c>
      <c r="J194" s="1">
        <v>68</v>
      </c>
      <c r="K194" s="1">
        <v>81</v>
      </c>
      <c r="L194" s="1">
        <v>2838</v>
      </c>
      <c r="M194" s="1">
        <v>3529</v>
      </c>
      <c r="N194" s="1">
        <v>6008</v>
      </c>
      <c r="O194" s="1">
        <v>169271</v>
      </c>
      <c r="P194" s="1">
        <v>46945</v>
      </c>
      <c r="Q194" s="1">
        <v>91637</v>
      </c>
      <c r="R194" s="1">
        <v>2675210</v>
      </c>
      <c r="S194" s="1">
        <v>6023</v>
      </c>
      <c r="T194" s="1">
        <v>6023</v>
      </c>
      <c r="U194" s="1">
        <v>41051</v>
      </c>
      <c r="V194" s="1">
        <v>0</v>
      </c>
      <c r="W194" s="1">
        <v>1</v>
      </c>
    </row>
    <row r="195">
      <c r="A195" s="1">
        <v>2017</v>
      </c>
      <c r="B195" s="1">
        <v>6</v>
      </c>
      <c r="C195" t="s">
        <v>11</v>
      </c>
      <c r="D195" s="1">
        <v>29</v>
      </c>
      <c r="E195" t="s">
        <v>60</v>
      </c>
      <c r="F195" s="1">
        <v>41</v>
      </c>
      <c r="G195" t="s">
        <v>3</v>
      </c>
      <c r="H195" s="1">
        <v>51</v>
      </c>
      <c r="I195" t="s">
        <v>6</v>
      </c>
      <c r="J195" s="1">
        <v>49</v>
      </c>
      <c r="K195" s="1">
        <v>82</v>
      </c>
      <c r="L195" s="1">
        <v>2174</v>
      </c>
      <c r="M195" s="1">
        <v>14571</v>
      </c>
      <c r="N195" s="1">
        <v>31837</v>
      </c>
      <c r="O195" s="1">
        <v>831978</v>
      </c>
      <c r="P195" s="1">
        <v>277657</v>
      </c>
      <c r="Q195" s="1">
        <v>691115</v>
      </c>
      <c r="R195" s="1">
        <v>15994713</v>
      </c>
      <c r="S195" s="1">
        <v>6029</v>
      </c>
      <c r="T195" s="1">
        <v>6029</v>
      </c>
      <c r="U195" s="1">
        <v>41051</v>
      </c>
      <c r="V195" s="1">
        <v>0</v>
      </c>
      <c r="W195" s="1">
        <v>1</v>
      </c>
    </row>
    <row r="196">
      <c r="A196" s="1">
        <v>2017</v>
      </c>
      <c r="B196" s="1">
        <v>6</v>
      </c>
      <c r="C196" t="s">
        <v>11</v>
      </c>
      <c r="D196" s="1">
        <v>37</v>
      </c>
      <c r="E196" t="s">
        <v>61</v>
      </c>
      <c r="F196" s="1">
        <v>41</v>
      </c>
      <c r="G196" t="s">
        <v>3</v>
      </c>
      <c r="H196" s="1">
        <v>51</v>
      </c>
      <c r="I196" t="s">
        <v>6</v>
      </c>
      <c r="J196" s="1">
        <v>1201</v>
      </c>
      <c r="K196" s="1">
        <v>1693</v>
      </c>
      <c r="L196" s="1">
        <v>85379</v>
      </c>
      <c r="M196" s="1">
        <v>184648</v>
      </c>
      <c r="N196" s="1">
        <v>340909</v>
      </c>
      <c r="O196" s="1">
        <v>13377292</v>
      </c>
      <c r="P196" s="1">
        <v>3857902</v>
      </c>
      <c r="Q196" s="1">
        <v>8086871</v>
      </c>
      <c r="R196" s="1">
        <v>316155552</v>
      </c>
      <c r="S196" s="1">
        <v>6037</v>
      </c>
      <c r="T196" s="1">
        <v>6037</v>
      </c>
      <c r="U196" s="1">
        <v>41051</v>
      </c>
      <c r="V196" s="1">
        <v>0</v>
      </c>
      <c r="W196" s="1">
        <v>1</v>
      </c>
    </row>
    <row r="197">
      <c r="A197" s="1">
        <v>2017</v>
      </c>
      <c r="B197" s="1">
        <v>6</v>
      </c>
      <c r="C197" t="s">
        <v>11</v>
      </c>
      <c r="D197" s="1">
        <v>41</v>
      </c>
      <c r="E197" t="s">
        <v>62</v>
      </c>
      <c r="F197" s="1">
        <v>41</v>
      </c>
      <c r="G197" t="s">
        <v>3</v>
      </c>
      <c r="H197" s="1">
        <v>51</v>
      </c>
      <c r="I197" t="s">
        <v>6</v>
      </c>
      <c r="J197" s="1">
        <v>94</v>
      </c>
      <c r="K197" s="1">
        <v>145</v>
      </c>
      <c r="L197" s="1">
        <v>9063</v>
      </c>
      <c r="M197" s="1">
        <v>8974</v>
      </c>
      <c r="N197" s="1">
        <v>14896</v>
      </c>
      <c r="O197" s="1">
        <v>1166033</v>
      </c>
      <c r="P197" s="1">
        <v>110991</v>
      </c>
      <c r="Q197" s="1">
        <v>222063</v>
      </c>
      <c r="R197" s="1">
        <v>20309764</v>
      </c>
      <c r="S197" s="1">
        <v>6041</v>
      </c>
      <c r="T197" s="1">
        <v>6041</v>
      </c>
      <c r="U197" s="1">
        <v>41051</v>
      </c>
      <c r="V197" s="1">
        <v>0</v>
      </c>
      <c r="W197" s="1">
        <v>1</v>
      </c>
    </row>
    <row r="198">
      <c r="A198" s="1">
        <v>2017</v>
      </c>
      <c r="B198" s="1">
        <v>6</v>
      </c>
      <c r="C198" t="s">
        <v>11</v>
      </c>
      <c r="D198" s="1">
        <v>53</v>
      </c>
      <c r="E198" t="s">
        <v>63</v>
      </c>
      <c r="F198" s="1">
        <v>41</v>
      </c>
      <c r="G198" t="s">
        <v>3</v>
      </c>
      <c r="H198" s="1">
        <v>51</v>
      </c>
      <c r="I198" t="s">
        <v>6</v>
      </c>
      <c r="J198" s="1">
        <v>50</v>
      </c>
      <c r="K198" s="1">
        <v>70</v>
      </c>
      <c r="L198" s="1">
        <v>3670</v>
      </c>
      <c r="M198" s="1">
        <v>11187</v>
      </c>
      <c r="N198" s="1">
        <v>22355</v>
      </c>
      <c r="O198" s="1">
        <v>666690</v>
      </c>
      <c r="P198" s="1">
        <v>162352</v>
      </c>
      <c r="Q198" s="1">
        <v>399387</v>
      </c>
      <c r="R198" s="1">
        <v>11412808</v>
      </c>
      <c r="S198" s="1">
        <v>6053</v>
      </c>
      <c r="T198" s="1">
        <v>6053</v>
      </c>
      <c r="U198" s="1">
        <v>41051</v>
      </c>
      <c r="V198" s="1">
        <v>0</v>
      </c>
      <c r="W198" s="1">
        <v>1</v>
      </c>
    </row>
    <row r="199">
      <c r="A199" s="1">
        <v>2017</v>
      </c>
      <c r="B199" s="1">
        <v>6</v>
      </c>
      <c r="C199" t="s">
        <v>11</v>
      </c>
      <c r="D199" s="1">
        <v>55</v>
      </c>
      <c r="E199" t="s">
        <v>299</v>
      </c>
      <c r="F199" s="1">
        <v>41</v>
      </c>
      <c r="G199" t="s">
        <v>3</v>
      </c>
      <c r="H199" s="1">
        <v>51</v>
      </c>
      <c r="I199" t="s">
        <v>6</v>
      </c>
      <c r="J199" s="1">
        <v>29</v>
      </c>
      <c r="K199" s="1">
        <v>36</v>
      </c>
      <c r="L199" s="1">
        <v>2026</v>
      </c>
      <c r="M199" s="1">
        <v>4576</v>
      </c>
      <c r="N199" s="1">
        <v>8135</v>
      </c>
      <c r="O199" s="1">
        <v>335449</v>
      </c>
      <c r="P199" s="1">
        <v>56570</v>
      </c>
      <c r="Q199" s="1">
        <v>124671</v>
      </c>
      <c r="R199" s="1">
        <v>5501285</v>
      </c>
      <c r="S199" s="1">
        <v>6055</v>
      </c>
      <c r="T199" s="1">
        <v>6055</v>
      </c>
      <c r="U199" s="1">
        <v>41051</v>
      </c>
      <c r="V199" s="1">
        <v>0</v>
      </c>
      <c r="W199" s="1">
        <v>1</v>
      </c>
    </row>
    <row r="200">
      <c r="A200" s="1">
        <v>2017</v>
      </c>
      <c r="B200" s="1">
        <v>6</v>
      </c>
      <c r="C200" t="s">
        <v>11</v>
      </c>
      <c r="D200" s="1">
        <v>57</v>
      </c>
      <c r="E200" t="s">
        <v>230</v>
      </c>
      <c r="F200" s="1">
        <v>41</v>
      </c>
      <c r="G200" t="s">
        <v>3</v>
      </c>
      <c r="H200" s="1">
        <v>51</v>
      </c>
      <c r="I200" t="s">
        <v>6</v>
      </c>
      <c r="J200" s="1">
        <v>22</v>
      </c>
      <c r="K200" s="1">
        <v>32</v>
      </c>
      <c r="L200" s="1">
        <v>883</v>
      </c>
      <c r="M200" s="1">
        <v>3447</v>
      </c>
      <c r="N200" s="1">
        <v>5919</v>
      </c>
      <c r="O200" s="1">
        <v>217070</v>
      </c>
      <c r="P200" s="1">
        <v>41028</v>
      </c>
      <c r="Q200" s="1">
        <v>80253</v>
      </c>
      <c r="R200" s="1">
        <v>2977256</v>
      </c>
      <c r="S200" s="1">
        <v>6057</v>
      </c>
      <c r="T200" s="1">
        <v>6057</v>
      </c>
      <c r="U200" s="1">
        <v>41051</v>
      </c>
      <c r="V200" s="1">
        <v>0</v>
      </c>
      <c r="W200" s="1">
        <v>1</v>
      </c>
    </row>
    <row r="201">
      <c r="A201" s="1">
        <v>2017</v>
      </c>
      <c r="B201" s="1">
        <v>6</v>
      </c>
      <c r="C201" t="s">
        <v>11</v>
      </c>
      <c r="D201" s="1">
        <v>59</v>
      </c>
      <c r="E201" t="s">
        <v>64</v>
      </c>
      <c r="F201" s="1">
        <v>41</v>
      </c>
      <c r="G201" t="s">
        <v>3</v>
      </c>
      <c r="H201" s="1">
        <v>51</v>
      </c>
      <c r="I201" t="s">
        <v>6</v>
      </c>
      <c r="J201" s="1">
        <v>429</v>
      </c>
      <c r="K201" s="1">
        <v>635</v>
      </c>
      <c r="L201" s="1">
        <v>32037</v>
      </c>
      <c r="M201" s="1">
        <v>81044</v>
      </c>
      <c r="N201" s="1">
        <v>151110</v>
      </c>
      <c r="O201" s="1">
        <v>6106423</v>
      </c>
      <c r="P201" s="1">
        <v>1246895</v>
      </c>
      <c r="Q201" s="1">
        <v>2721833</v>
      </c>
      <c r="R201" s="1">
        <v>122423536</v>
      </c>
      <c r="S201" s="1">
        <v>6059</v>
      </c>
      <c r="T201" s="1">
        <v>6059</v>
      </c>
      <c r="U201" s="1">
        <v>41051</v>
      </c>
      <c r="V201" s="1">
        <v>0</v>
      </c>
      <c r="W201" s="1">
        <v>1</v>
      </c>
    </row>
    <row r="202">
      <c r="A202" s="1">
        <v>2017</v>
      </c>
      <c r="B202" s="1">
        <v>6</v>
      </c>
      <c r="C202" t="s">
        <v>11</v>
      </c>
      <c r="D202" s="1">
        <v>61</v>
      </c>
      <c r="E202" t="s">
        <v>65</v>
      </c>
      <c r="F202" s="1">
        <v>41</v>
      </c>
      <c r="G202" t="s">
        <v>3</v>
      </c>
      <c r="H202" s="1">
        <v>51</v>
      </c>
      <c r="I202" t="s">
        <v>6</v>
      </c>
      <c r="J202" s="1">
        <v>45</v>
      </c>
      <c r="K202" s="1">
        <v>59</v>
      </c>
      <c r="L202" s="1">
        <v>2329</v>
      </c>
      <c r="M202" s="1">
        <v>13944</v>
      </c>
      <c r="N202" s="1">
        <v>25628</v>
      </c>
      <c r="O202" s="1">
        <v>977710</v>
      </c>
      <c r="P202" s="1">
        <v>148121</v>
      </c>
      <c r="Q202" s="1">
        <v>324081</v>
      </c>
      <c r="R202" s="1">
        <v>14451163</v>
      </c>
      <c r="S202" s="1">
        <v>6061</v>
      </c>
      <c r="T202" s="1">
        <v>6061</v>
      </c>
      <c r="U202" s="1">
        <v>41051</v>
      </c>
      <c r="V202" s="1">
        <v>0</v>
      </c>
      <c r="W202" s="1">
        <v>1</v>
      </c>
    </row>
    <row r="203">
      <c r="A203" s="1">
        <v>2017</v>
      </c>
      <c r="B203" s="1">
        <v>6</v>
      </c>
      <c r="C203" t="s">
        <v>11</v>
      </c>
      <c r="D203" s="1">
        <v>65</v>
      </c>
      <c r="E203" t="s">
        <v>66</v>
      </c>
      <c r="F203" s="1">
        <v>41</v>
      </c>
      <c r="G203" t="s">
        <v>3</v>
      </c>
      <c r="H203" s="1">
        <v>51</v>
      </c>
      <c r="I203" t="s">
        <v>6</v>
      </c>
      <c r="J203" s="1">
        <v>122</v>
      </c>
      <c r="K203" s="1">
        <v>183</v>
      </c>
      <c r="L203" s="1">
        <v>4692</v>
      </c>
      <c r="M203" s="1">
        <v>57130</v>
      </c>
      <c r="N203" s="1">
        <v>116393</v>
      </c>
      <c r="O203" s="1">
        <v>3512599</v>
      </c>
      <c r="P203" s="1">
        <v>797907</v>
      </c>
      <c r="Q203" s="1">
        <v>1871791</v>
      </c>
      <c r="R203" s="1">
        <v>50011308</v>
      </c>
      <c r="S203" s="1">
        <v>6065</v>
      </c>
      <c r="T203" s="1">
        <v>6065</v>
      </c>
      <c r="U203" s="1">
        <v>41051</v>
      </c>
      <c r="V203" s="1">
        <v>0</v>
      </c>
      <c r="W203" s="1">
        <v>1</v>
      </c>
    </row>
    <row r="204">
      <c r="A204" s="1">
        <v>2017</v>
      </c>
      <c r="B204" s="1">
        <v>6</v>
      </c>
      <c r="C204" t="s">
        <v>11</v>
      </c>
      <c r="D204" s="1">
        <v>67</v>
      </c>
      <c r="E204" t="s">
        <v>67</v>
      </c>
      <c r="F204" s="1">
        <v>41</v>
      </c>
      <c r="G204" t="s">
        <v>3</v>
      </c>
      <c r="H204" s="1">
        <v>51</v>
      </c>
      <c r="I204" t="s">
        <v>6</v>
      </c>
      <c r="J204" s="1">
        <v>199</v>
      </c>
      <c r="K204" s="1">
        <v>312</v>
      </c>
      <c r="L204" s="1">
        <v>11387</v>
      </c>
      <c r="M204" s="1">
        <v>38059</v>
      </c>
      <c r="N204" s="1">
        <v>71320</v>
      </c>
      <c r="O204" s="1">
        <v>2317190</v>
      </c>
      <c r="P204" s="1">
        <v>563236</v>
      </c>
      <c r="Q204" s="1">
        <v>1216304</v>
      </c>
      <c r="R204" s="1">
        <v>38578528</v>
      </c>
      <c r="S204" s="1">
        <v>6067</v>
      </c>
      <c r="T204" s="1">
        <v>6067</v>
      </c>
      <c r="U204" s="1">
        <v>41051</v>
      </c>
      <c r="V204" s="1">
        <v>0</v>
      </c>
      <c r="W204" s="1">
        <v>1</v>
      </c>
    </row>
    <row r="205">
      <c r="A205" s="1">
        <v>2017</v>
      </c>
      <c r="B205" s="1">
        <v>6</v>
      </c>
      <c r="C205" t="s">
        <v>11</v>
      </c>
      <c r="D205" s="1">
        <v>71</v>
      </c>
      <c r="E205" t="s">
        <v>68</v>
      </c>
      <c r="F205" s="1">
        <v>41</v>
      </c>
      <c r="G205" t="s">
        <v>3</v>
      </c>
      <c r="H205" s="1">
        <v>51</v>
      </c>
      <c r="I205" t="s">
        <v>6</v>
      </c>
      <c r="J205" s="1">
        <v>143</v>
      </c>
      <c r="K205" s="1">
        <v>228</v>
      </c>
      <c r="L205" s="1">
        <v>7088</v>
      </c>
      <c r="M205" s="1">
        <v>55002</v>
      </c>
      <c r="N205" s="1">
        <v>115423</v>
      </c>
      <c r="O205" s="1">
        <v>2979528</v>
      </c>
      <c r="P205" s="1">
        <v>730251</v>
      </c>
      <c r="Q205" s="1">
        <v>1705330</v>
      </c>
      <c r="R205" s="1">
        <v>42798368</v>
      </c>
      <c r="S205" s="1">
        <v>6071</v>
      </c>
      <c r="T205" s="1">
        <v>6071</v>
      </c>
      <c r="U205" s="1">
        <v>41051</v>
      </c>
      <c r="V205" s="1">
        <v>0</v>
      </c>
      <c r="W205" s="1">
        <v>1</v>
      </c>
    </row>
    <row r="206">
      <c r="A206" s="1">
        <v>2017</v>
      </c>
      <c r="B206" s="1">
        <v>6</v>
      </c>
      <c r="C206" t="s">
        <v>11</v>
      </c>
      <c r="D206" s="1">
        <v>73</v>
      </c>
      <c r="E206" t="s">
        <v>69</v>
      </c>
      <c r="F206" s="1">
        <v>41</v>
      </c>
      <c r="G206" t="s">
        <v>3</v>
      </c>
      <c r="H206" s="1">
        <v>51</v>
      </c>
      <c r="I206" t="s">
        <v>6</v>
      </c>
      <c r="J206" s="1">
        <v>528</v>
      </c>
      <c r="K206" s="1">
        <v>765</v>
      </c>
      <c r="L206" s="1">
        <v>31816</v>
      </c>
      <c r="M206" s="1">
        <v>88269</v>
      </c>
      <c r="N206" s="1">
        <v>170580</v>
      </c>
      <c r="O206" s="1">
        <v>5635884</v>
      </c>
      <c r="P206" s="1">
        <v>1306998</v>
      </c>
      <c r="Q206" s="1">
        <v>2772052</v>
      </c>
      <c r="R206" s="1">
        <v>108296384</v>
      </c>
      <c r="S206" s="1">
        <v>6073</v>
      </c>
      <c r="T206" s="1">
        <v>6073</v>
      </c>
      <c r="U206" s="1">
        <v>41051</v>
      </c>
      <c r="V206" s="1">
        <v>0</v>
      </c>
      <c r="W206" s="1">
        <v>1</v>
      </c>
    </row>
    <row r="207">
      <c r="A207" s="1">
        <v>2017</v>
      </c>
      <c r="B207" s="1">
        <v>6</v>
      </c>
      <c r="C207" t="s">
        <v>11</v>
      </c>
      <c r="D207" s="1">
        <v>75</v>
      </c>
      <c r="E207" t="s">
        <v>70</v>
      </c>
      <c r="F207" s="1">
        <v>41</v>
      </c>
      <c r="G207" t="s">
        <v>3</v>
      </c>
      <c r="H207" s="1">
        <v>51</v>
      </c>
      <c r="I207" t="s">
        <v>6</v>
      </c>
      <c r="J207" s="1">
        <v>717</v>
      </c>
      <c r="K207" s="1">
        <v>1028</v>
      </c>
      <c r="L207" s="1">
        <v>87992</v>
      </c>
      <c r="M207" s="1">
        <v>46477</v>
      </c>
      <c r="N207" s="1">
        <v>69128</v>
      </c>
      <c r="O207" s="1">
        <v>6873337</v>
      </c>
      <c r="P207" s="1">
        <v>416512</v>
      </c>
      <c r="Q207" s="1">
        <v>695550</v>
      </c>
      <c r="R207" s="1">
        <v>64194116</v>
      </c>
      <c r="S207" s="1">
        <v>6075</v>
      </c>
      <c r="T207" s="1">
        <v>6075</v>
      </c>
      <c r="U207" s="1">
        <v>41051</v>
      </c>
      <c r="V207" s="1">
        <v>0</v>
      </c>
      <c r="W207" s="1">
        <v>1</v>
      </c>
    </row>
    <row r="208">
      <c r="A208" s="1">
        <v>2017</v>
      </c>
      <c r="B208" s="1">
        <v>6</v>
      </c>
      <c r="C208" t="s">
        <v>11</v>
      </c>
      <c r="D208" s="1">
        <v>77</v>
      </c>
      <c r="E208" t="s">
        <v>179</v>
      </c>
      <c r="F208" s="1">
        <v>41</v>
      </c>
      <c r="G208" t="s">
        <v>3</v>
      </c>
      <c r="H208" s="1">
        <v>51</v>
      </c>
      <c r="I208" t="s">
        <v>6</v>
      </c>
      <c r="J208" s="1">
        <v>47</v>
      </c>
      <c r="K208" s="1">
        <v>83</v>
      </c>
      <c r="L208" s="1">
        <v>2303</v>
      </c>
      <c r="M208" s="1">
        <v>15739</v>
      </c>
      <c r="N208" s="1">
        <v>32363</v>
      </c>
      <c r="O208" s="1">
        <v>935545</v>
      </c>
      <c r="P208" s="1">
        <v>250289</v>
      </c>
      <c r="Q208" s="1">
        <v>605408</v>
      </c>
      <c r="R208" s="1">
        <v>16009726</v>
      </c>
      <c r="S208" s="1">
        <v>6077</v>
      </c>
      <c r="T208" s="1">
        <v>6077</v>
      </c>
      <c r="U208" s="1">
        <v>41051</v>
      </c>
      <c r="V208" s="1">
        <v>0</v>
      </c>
      <c r="W208" s="1">
        <v>1</v>
      </c>
    </row>
    <row r="209">
      <c r="A209" s="1">
        <v>2017</v>
      </c>
      <c r="B209" s="1">
        <v>6</v>
      </c>
      <c r="C209" t="s">
        <v>11</v>
      </c>
      <c r="D209" s="1">
        <v>79</v>
      </c>
      <c r="E209" t="s">
        <v>71</v>
      </c>
      <c r="F209" s="1">
        <v>41</v>
      </c>
      <c r="G209" t="s">
        <v>3</v>
      </c>
      <c r="H209" s="1">
        <v>51</v>
      </c>
      <c r="I209" t="s">
        <v>6</v>
      </c>
      <c r="J209" s="1">
        <v>66</v>
      </c>
      <c r="K209" s="1">
        <v>85</v>
      </c>
      <c r="L209" s="1">
        <v>2706</v>
      </c>
      <c r="M209" s="1">
        <v>8036</v>
      </c>
      <c r="N209" s="1">
        <v>13592</v>
      </c>
      <c r="O209" s="1">
        <v>457417</v>
      </c>
      <c r="P209" s="1">
        <v>109167</v>
      </c>
      <c r="Q209" s="1">
        <v>220314</v>
      </c>
      <c r="R209" s="1">
        <v>8373925</v>
      </c>
      <c r="S209" s="1">
        <v>6079</v>
      </c>
      <c r="T209" s="1">
        <v>6079</v>
      </c>
      <c r="U209" s="1">
        <v>41051</v>
      </c>
      <c r="V209" s="1">
        <v>0</v>
      </c>
      <c r="W209" s="1">
        <v>1</v>
      </c>
    </row>
    <row r="210">
      <c r="A210" s="1">
        <v>2017</v>
      </c>
      <c r="B210" s="1">
        <v>6</v>
      </c>
      <c r="C210" t="s">
        <v>11</v>
      </c>
      <c r="D210" s="1">
        <v>81</v>
      </c>
      <c r="E210" t="s">
        <v>72</v>
      </c>
      <c r="F210" s="1">
        <v>41</v>
      </c>
      <c r="G210" t="s">
        <v>3</v>
      </c>
      <c r="H210" s="1">
        <v>51</v>
      </c>
      <c r="I210" t="s">
        <v>6</v>
      </c>
      <c r="J210" s="1">
        <v>211</v>
      </c>
      <c r="K210" s="1">
        <v>343</v>
      </c>
      <c r="L210" s="1">
        <v>27969</v>
      </c>
      <c r="M210" s="1">
        <v>31975</v>
      </c>
      <c r="N210" s="1">
        <v>56956</v>
      </c>
      <c r="O210" s="1">
        <v>4335401</v>
      </c>
      <c r="P210" s="1">
        <v>329764</v>
      </c>
      <c r="Q210" s="1">
        <v>681761</v>
      </c>
      <c r="R210" s="1">
        <v>56613544</v>
      </c>
      <c r="S210" s="1">
        <v>6081</v>
      </c>
      <c r="T210" s="1">
        <v>6081</v>
      </c>
      <c r="U210" s="1">
        <v>41051</v>
      </c>
      <c r="V210" s="1">
        <v>0</v>
      </c>
      <c r="W210" s="1">
        <v>1</v>
      </c>
    </row>
    <row r="211">
      <c r="A211" s="1">
        <v>2017</v>
      </c>
      <c r="B211" s="1">
        <v>6</v>
      </c>
      <c r="C211" t="s">
        <v>11</v>
      </c>
      <c r="D211" s="1">
        <v>83</v>
      </c>
      <c r="E211" t="s">
        <v>73</v>
      </c>
      <c r="F211" s="1">
        <v>41</v>
      </c>
      <c r="G211" t="s">
        <v>3</v>
      </c>
      <c r="H211" s="1">
        <v>51</v>
      </c>
      <c r="I211" t="s">
        <v>6</v>
      </c>
      <c r="J211" s="1">
        <v>113</v>
      </c>
      <c r="K211" s="1">
        <v>153</v>
      </c>
      <c r="L211" s="1">
        <v>6502</v>
      </c>
      <c r="M211" s="1">
        <v>11992</v>
      </c>
      <c r="N211" s="1">
        <v>21374</v>
      </c>
      <c r="O211" s="1">
        <v>738630</v>
      </c>
      <c r="P211" s="1">
        <v>168541</v>
      </c>
      <c r="Q211" s="1">
        <v>371778</v>
      </c>
      <c r="R211" s="1">
        <v>13735610</v>
      </c>
      <c r="S211" s="1">
        <v>6083</v>
      </c>
      <c r="T211" s="1">
        <v>6083</v>
      </c>
      <c r="U211" s="1">
        <v>41051</v>
      </c>
      <c r="V211" s="1">
        <v>0</v>
      </c>
      <c r="W211" s="1">
        <v>1</v>
      </c>
    </row>
    <row r="212">
      <c r="A212" s="1">
        <v>2017</v>
      </c>
      <c r="B212" s="1">
        <v>6</v>
      </c>
      <c r="C212" t="s">
        <v>11</v>
      </c>
      <c r="D212" s="1">
        <v>85</v>
      </c>
      <c r="E212" t="s">
        <v>74</v>
      </c>
      <c r="F212" s="1">
        <v>41</v>
      </c>
      <c r="G212" t="s">
        <v>3</v>
      </c>
      <c r="H212" s="1">
        <v>51</v>
      </c>
      <c r="I212" t="s">
        <v>6</v>
      </c>
      <c r="J212" s="1">
        <v>397</v>
      </c>
      <c r="K212" s="1">
        <v>613</v>
      </c>
      <c r="L212" s="1">
        <v>50885</v>
      </c>
      <c r="M212" s="1">
        <v>63371</v>
      </c>
      <c r="N212" s="1">
        <v>119631</v>
      </c>
      <c r="O212" s="1">
        <v>7972212</v>
      </c>
      <c r="P212" s="1">
        <v>787734</v>
      </c>
      <c r="Q212" s="1">
        <v>1723946</v>
      </c>
      <c r="R212" s="1">
        <v>135151136</v>
      </c>
      <c r="S212" s="1">
        <v>6085</v>
      </c>
      <c r="T212" s="1">
        <v>6085</v>
      </c>
      <c r="U212" s="1">
        <v>41051</v>
      </c>
      <c r="V212" s="1">
        <v>0</v>
      </c>
      <c r="W212" s="1">
        <v>1</v>
      </c>
    </row>
    <row r="213">
      <c r="A213" s="1">
        <v>2017</v>
      </c>
      <c r="B213" s="1">
        <v>6</v>
      </c>
      <c r="C213" t="s">
        <v>11</v>
      </c>
      <c r="D213" s="1">
        <v>87</v>
      </c>
      <c r="E213" t="s">
        <v>75</v>
      </c>
      <c r="F213" s="1">
        <v>41</v>
      </c>
      <c r="G213" t="s">
        <v>3</v>
      </c>
      <c r="H213" s="1">
        <v>51</v>
      </c>
      <c r="I213" t="s">
        <v>6</v>
      </c>
      <c r="J213" s="1">
        <v>94</v>
      </c>
      <c r="K213" s="1">
        <v>131</v>
      </c>
      <c r="L213" s="1">
        <v>5686</v>
      </c>
      <c r="M213" s="1">
        <v>8424</v>
      </c>
      <c r="N213" s="1">
        <v>14341</v>
      </c>
      <c r="O213" s="1">
        <v>564963</v>
      </c>
      <c r="P213" s="1">
        <v>109301</v>
      </c>
      <c r="Q213" s="1">
        <v>228309</v>
      </c>
      <c r="R213" s="1">
        <v>9739614</v>
      </c>
      <c r="S213" s="1">
        <v>6087</v>
      </c>
      <c r="T213" s="1">
        <v>6087</v>
      </c>
      <c r="U213" s="1">
        <v>41051</v>
      </c>
      <c r="V213" s="1">
        <v>0</v>
      </c>
      <c r="W213" s="1">
        <v>1</v>
      </c>
    </row>
    <row r="214">
      <c r="A214" s="1">
        <v>2017</v>
      </c>
      <c r="B214" s="1">
        <v>6</v>
      </c>
      <c r="C214" t="s">
        <v>11</v>
      </c>
      <c r="D214" s="1">
        <v>89</v>
      </c>
      <c r="E214" t="s">
        <v>76</v>
      </c>
      <c r="F214" s="1">
        <v>41</v>
      </c>
      <c r="G214" t="s">
        <v>3</v>
      </c>
      <c r="H214" s="1">
        <v>51</v>
      </c>
      <c r="I214" t="s">
        <v>6</v>
      </c>
      <c r="J214" s="1">
        <v>45</v>
      </c>
      <c r="K214" s="1">
        <v>62</v>
      </c>
      <c r="L214" s="1">
        <v>1890</v>
      </c>
      <c r="M214" s="1">
        <v>4707</v>
      </c>
      <c r="N214" s="1">
        <v>8694</v>
      </c>
      <c r="O214" s="1">
        <v>219898</v>
      </c>
      <c r="P214" s="1">
        <v>63833</v>
      </c>
      <c r="Q214" s="1">
        <v>132855</v>
      </c>
      <c r="R214" s="1">
        <v>3780959</v>
      </c>
      <c r="S214" s="1">
        <v>6089</v>
      </c>
      <c r="T214" s="1">
        <v>6089</v>
      </c>
      <c r="U214" s="1">
        <v>41051</v>
      </c>
      <c r="V214" s="1">
        <v>0</v>
      </c>
      <c r="W214" s="1">
        <v>1</v>
      </c>
    </row>
    <row r="215">
      <c r="A215" s="1">
        <v>2017</v>
      </c>
      <c r="B215" s="1">
        <v>6</v>
      </c>
      <c r="C215" t="s">
        <v>11</v>
      </c>
      <c r="D215" s="1">
        <v>95</v>
      </c>
      <c r="E215" t="s">
        <v>180</v>
      </c>
      <c r="F215" s="1">
        <v>41</v>
      </c>
      <c r="G215" t="s">
        <v>3</v>
      </c>
      <c r="H215" s="1">
        <v>51</v>
      </c>
      <c r="I215" t="s">
        <v>6</v>
      </c>
      <c r="J215" s="1">
        <v>34</v>
      </c>
      <c r="K215" s="1">
        <v>53</v>
      </c>
      <c r="L215" s="1">
        <v>1995</v>
      </c>
      <c r="M215" s="1">
        <v>14301</v>
      </c>
      <c r="N215" s="1">
        <v>28024</v>
      </c>
      <c r="O215" s="1">
        <v>886544</v>
      </c>
      <c r="P215" s="1">
        <v>170359</v>
      </c>
      <c r="Q215" s="1">
        <v>365361</v>
      </c>
      <c r="R215" s="1">
        <v>12421778</v>
      </c>
      <c r="S215" s="1">
        <v>6095</v>
      </c>
      <c r="T215" s="1">
        <v>6095</v>
      </c>
      <c r="U215" s="1">
        <v>41051</v>
      </c>
      <c r="V215" s="1">
        <v>0</v>
      </c>
      <c r="W215" s="1">
        <v>1</v>
      </c>
    </row>
    <row r="216">
      <c r="A216" s="1">
        <v>2017</v>
      </c>
      <c r="B216" s="1">
        <v>6</v>
      </c>
      <c r="C216" t="s">
        <v>11</v>
      </c>
      <c r="D216" s="1">
        <v>97</v>
      </c>
      <c r="E216" t="s">
        <v>77</v>
      </c>
      <c r="F216" s="1">
        <v>41</v>
      </c>
      <c r="G216" t="s">
        <v>3</v>
      </c>
      <c r="H216" s="1">
        <v>51</v>
      </c>
      <c r="I216" t="s">
        <v>6</v>
      </c>
      <c r="J216" s="1">
        <v>133</v>
      </c>
      <c r="K216" s="1">
        <v>182</v>
      </c>
      <c r="L216" s="1">
        <v>7179</v>
      </c>
      <c r="M216" s="1">
        <v>12655</v>
      </c>
      <c r="N216" s="1">
        <v>21462</v>
      </c>
      <c r="O216" s="1">
        <v>891817</v>
      </c>
      <c r="P216" s="1">
        <v>204806</v>
      </c>
      <c r="Q216" s="1">
        <v>419111</v>
      </c>
      <c r="R216" s="1">
        <v>16737796</v>
      </c>
      <c r="S216" s="1">
        <v>6097</v>
      </c>
      <c r="T216" s="1">
        <v>6097</v>
      </c>
      <c r="U216" s="1">
        <v>41051</v>
      </c>
      <c r="V216" s="1">
        <v>0</v>
      </c>
      <c r="W216" s="1">
        <v>1</v>
      </c>
    </row>
    <row r="217">
      <c r="A217" s="1">
        <v>2017</v>
      </c>
      <c r="B217" s="1">
        <v>6</v>
      </c>
      <c r="C217" t="s">
        <v>11</v>
      </c>
      <c r="D217" s="1">
        <v>99</v>
      </c>
      <c r="E217" t="s">
        <v>325</v>
      </c>
      <c r="F217" s="1">
        <v>41</v>
      </c>
      <c r="G217" t="s">
        <v>3</v>
      </c>
      <c r="H217" s="1">
        <v>51</v>
      </c>
      <c r="I217" t="s">
        <v>6</v>
      </c>
      <c r="J217" s="1">
        <v>32</v>
      </c>
      <c r="K217" s="1">
        <v>49</v>
      </c>
      <c r="L217" s="1">
        <v>1141</v>
      </c>
      <c r="M217" s="1">
        <v>10892</v>
      </c>
      <c r="N217" s="1">
        <v>22507</v>
      </c>
      <c r="O217" s="1">
        <v>591220</v>
      </c>
      <c r="P217" s="1">
        <v>183855</v>
      </c>
      <c r="Q217" s="1">
        <v>442304</v>
      </c>
      <c r="R217" s="1">
        <v>11080905</v>
      </c>
      <c r="S217" s="1">
        <v>6099</v>
      </c>
      <c r="T217" s="1">
        <v>6099</v>
      </c>
      <c r="U217" s="1">
        <v>41051</v>
      </c>
      <c r="V217" s="1">
        <v>0</v>
      </c>
      <c r="W217" s="1">
        <v>1</v>
      </c>
    </row>
    <row r="218">
      <c r="A218" s="1">
        <v>2017</v>
      </c>
      <c r="B218" s="1">
        <v>6</v>
      </c>
      <c r="C218" t="s">
        <v>11</v>
      </c>
      <c r="D218" s="1">
        <v>111</v>
      </c>
      <c r="E218" t="s">
        <v>78</v>
      </c>
      <c r="F218" s="1">
        <v>41</v>
      </c>
      <c r="G218" t="s">
        <v>3</v>
      </c>
      <c r="H218" s="1">
        <v>51</v>
      </c>
      <c r="I218" t="s">
        <v>6</v>
      </c>
      <c r="J218" s="1">
        <v>102</v>
      </c>
      <c r="K218" s="1">
        <v>170</v>
      </c>
      <c r="L218" s="1">
        <v>6355</v>
      </c>
      <c r="M218" s="1">
        <v>20707</v>
      </c>
      <c r="N218" s="1">
        <v>39608</v>
      </c>
      <c r="O218" s="1">
        <v>1680856</v>
      </c>
      <c r="P218" s="1">
        <v>332805</v>
      </c>
      <c r="Q218" s="1">
        <v>749181</v>
      </c>
      <c r="R218" s="1">
        <v>29131156</v>
      </c>
      <c r="S218" s="1">
        <v>6111</v>
      </c>
      <c r="T218" s="1">
        <v>6111</v>
      </c>
      <c r="U218" s="1">
        <v>41051</v>
      </c>
      <c r="V218" s="1">
        <v>0</v>
      </c>
      <c r="W218" s="1">
        <v>1</v>
      </c>
    </row>
    <row r="219">
      <c r="A219" s="1">
        <v>2017</v>
      </c>
      <c r="B219" s="1">
        <v>6</v>
      </c>
      <c r="C219" t="s">
        <v>11</v>
      </c>
      <c r="D219" s="1">
        <v>113</v>
      </c>
      <c r="E219" t="s">
        <v>181</v>
      </c>
      <c r="F219" s="1">
        <v>41</v>
      </c>
      <c r="G219" t="s">
        <v>3</v>
      </c>
      <c r="H219" s="1">
        <v>51</v>
      </c>
      <c r="I219" t="s">
        <v>6</v>
      </c>
      <c r="J219" s="1">
        <v>41</v>
      </c>
      <c r="K219" s="1">
        <v>60</v>
      </c>
      <c r="L219" s="1">
        <v>1848</v>
      </c>
      <c r="M219" s="1">
        <v>8223</v>
      </c>
      <c r="N219" s="1">
        <v>14271</v>
      </c>
      <c r="O219" s="1">
        <v>482458</v>
      </c>
      <c r="P219" s="1">
        <v>74275</v>
      </c>
      <c r="Q219" s="1">
        <v>163089</v>
      </c>
      <c r="R219" s="1">
        <v>6037206</v>
      </c>
      <c r="S219" s="1">
        <v>6113</v>
      </c>
      <c r="T219" s="1">
        <v>6113</v>
      </c>
      <c r="U219" s="1">
        <v>41051</v>
      </c>
      <c r="V219" s="1">
        <v>0</v>
      </c>
      <c r="W219" s="1">
        <v>1</v>
      </c>
    </row>
    <row r="220">
      <c r="A220" s="1">
        <v>2017</v>
      </c>
      <c r="B220" s="1">
        <v>8</v>
      </c>
      <c r="C220" t="s">
        <v>12</v>
      </c>
      <c r="D220" s="1">
        <v>1</v>
      </c>
      <c r="E220" t="s">
        <v>225</v>
      </c>
      <c r="F220" s="1">
        <v>41</v>
      </c>
      <c r="G220" t="s">
        <v>3</v>
      </c>
      <c r="H220" s="1">
        <v>51</v>
      </c>
      <c r="I220" t="s">
        <v>6</v>
      </c>
      <c r="J220" s="1">
        <v>27</v>
      </c>
      <c r="K220" s="1">
        <v>58</v>
      </c>
      <c r="L220" s="1">
        <v>1758</v>
      </c>
      <c r="M220" s="1">
        <v>25829</v>
      </c>
      <c r="N220" s="1">
        <v>51681</v>
      </c>
      <c r="O220" s="1">
        <v>1380956</v>
      </c>
      <c r="P220" s="1">
        <v>186711</v>
      </c>
      <c r="Q220" s="1">
        <v>417008</v>
      </c>
      <c r="R220" s="1">
        <v>11569792</v>
      </c>
      <c r="S220" s="1">
        <v>8001</v>
      </c>
      <c r="T220" s="1">
        <v>8001</v>
      </c>
      <c r="U220" s="1">
        <v>41051</v>
      </c>
      <c r="V220" s="1">
        <v>0</v>
      </c>
      <c r="W220" s="1">
        <v>1</v>
      </c>
    </row>
    <row r="221">
      <c r="A221" s="1">
        <v>2017</v>
      </c>
      <c r="B221" s="1">
        <v>8</v>
      </c>
      <c r="C221" t="s">
        <v>12</v>
      </c>
      <c r="D221" s="1">
        <v>5</v>
      </c>
      <c r="E221" t="s">
        <v>79</v>
      </c>
      <c r="F221" s="1">
        <v>41</v>
      </c>
      <c r="G221" t="s">
        <v>3</v>
      </c>
      <c r="H221" s="1">
        <v>51</v>
      </c>
      <c r="I221" t="s">
        <v>6</v>
      </c>
      <c r="J221" s="1">
        <v>64</v>
      </c>
      <c r="K221" s="1">
        <v>97</v>
      </c>
      <c r="L221" s="1">
        <v>3943</v>
      </c>
      <c r="M221" s="1">
        <v>39688</v>
      </c>
      <c r="N221" s="1">
        <v>73540</v>
      </c>
      <c r="O221" s="1">
        <v>2537467</v>
      </c>
      <c r="P221" s="1">
        <v>256065</v>
      </c>
      <c r="Q221" s="1">
        <v>537405</v>
      </c>
      <c r="R221" s="1">
        <v>22662676</v>
      </c>
      <c r="S221" s="1">
        <v>8005</v>
      </c>
      <c r="T221" s="1">
        <v>8005</v>
      </c>
      <c r="U221" s="1">
        <v>41051</v>
      </c>
      <c r="V221" s="1">
        <v>0</v>
      </c>
      <c r="W221" s="1">
        <v>1</v>
      </c>
    </row>
    <row r="222">
      <c r="A222" s="1">
        <v>2017</v>
      </c>
      <c r="B222" s="1">
        <v>8</v>
      </c>
      <c r="C222" t="s">
        <v>12</v>
      </c>
      <c r="D222" s="1">
        <v>13</v>
      </c>
      <c r="E222" t="s">
        <v>80</v>
      </c>
      <c r="F222" s="1">
        <v>41</v>
      </c>
      <c r="G222" t="s">
        <v>3</v>
      </c>
      <c r="H222" s="1">
        <v>51</v>
      </c>
      <c r="I222" t="s">
        <v>6</v>
      </c>
      <c r="J222" s="1">
        <v>90</v>
      </c>
      <c r="K222" s="1">
        <v>106</v>
      </c>
      <c r="L222" s="1">
        <v>3970</v>
      </c>
      <c r="M222" s="1">
        <v>17550</v>
      </c>
      <c r="N222" s="1">
        <v>28295</v>
      </c>
      <c r="O222" s="1">
        <v>1174054</v>
      </c>
      <c r="P222" s="1">
        <v>131561</v>
      </c>
      <c r="Q222" s="1">
        <v>259717</v>
      </c>
      <c r="R222" s="1">
        <v>13951517</v>
      </c>
      <c r="S222" s="1">
        <v>8013</v>
      </c>
      <c r="T222" s="1">
        <v>8013</v>
      </c>
      <c r="U222" s="1">
        <v>41051</v>
      </c>
      <c r="V222" s="1">
        <v>0</v>
      </c>
      <c r="W222" s="1">
        <v>1</v>
      </c>
    </row>
    <row r="223">
      <c r="A223" s="1">
        <v>2017</v>
      </c>
      <c r="B223" s="1">
        <v>8</v>
      </c>
      <c r="C223" t="s">
        <v>12</v>
      </c>
      <c r="D223" s="1">
        <v>31</v>
      </c>
      <c r="E223" t="s">
        <v>81</v>
      </c>
      <c r="F223" s="1">
        <v>41</v>
      </c>
      <c r="G223" t="s">
        <v>3</v>
      </c>
      <c r="H223" s="1">
        <v>51</v>
      </c>
      <c r="I223" t="s">
        <v>6</v>
      </c>
      <c r="J223" s="1">
        <v>216</v>
      </c>
      <c r="K223" s="1">
        <v>286</v>
      </c>
      <c r="L223" s="1">
        <v>13313</v>
      </c>
      <c r="M223" s="1">
        <v>52894</v>
      </c>
      <c r="N223" s="1">
        <v>88185</v>
      </c>
      <c r="O223" s="1">
        <v>3557293</v>
      </c>
      <c r="P223" s="1">
        <v>292266</v>
      </c>
      <c r="Q223" s="1">
        <v>541507</v>
      </c>
      <c r="R223" s="1">
        <v>26676158</v>
      </c>
      <c r="S223" s="1">
        <v>8031</v>
      </c>
      <c r="T223" s="1">
        <v>8031</v>
      </c>
      <c r="U223" s="1">
        <v>41051</v>
      </c>
      <c r="V223" s="1">
        <v>0</v>
      </c>
      <c r="W223" s="1">
        <v>1</v>
      </c>
    </row>
    <row r="224">
      <c r="A224" s="1">
        <v>2017</v>
      </c>
      <c r="B224" s="1">
        <v>8</v>
      </c>
      <c r="C224" t="s">
        <v>12</v>
      </c>
      <c r="D224" s="1">
        <v>41</v>
      </c>
      <c r="E224" t="s">
        <v>82</v>
      </c>
      <c r="F224" s="1">
        <v>41</v>
      </c>
      <c r="G224" t="s">
        <v>3</v>
      </c>
      <c r="H224" s="1">
        <v>51</v>
      </c>
      <c r="I224" t="s">
        <v>6</v>
      </c>
      <c r="J224" s="1">
        <v>48</v>
      </c>
      <c r="K224" s="1">
        <v>78</v>
      </c>
      <c r="L224" s="1">
        <v>3298</v>
      </c>
      <c r="M224" s="1">
        <v>31547</v>
      </c>
      <c r="N224" s="1">
        <v>68228</v>
      </c>
      <c r="O224" s="1">
        <v>1711034</v>
      </c>
      <c r="P224" s="1">
        <v>262483</v>
      </c>
      <c r="Q224" s="1">
        <v>569875</v>
      </c>
      <c r="R224" s="1">
        <v>18214054</v>
      </c>
      <c r="S224" s="1">
        <v>8041</v>
      </c>
      <c r="T224" s="1">
        <v>8041</v>
      </c>
      <c r="U224" s="1">
        <v>41051</v>
      </c>
      <c r="V224" s="1">
        <v>0</v>
      </c>
      <c r="W224" s="1">
        <v>1</v>
      </c>
    </row>
    <row r="225">
      <c r="A225" s="1">
        <v>2017</v>
      </c>
      <c r="B225" s="1">
        <v>8</v>
      </c>
      <c r="C225" t="s">
        <v>12</v>
      </c>
      <c r="D225" s="1">
        <v>59</v>
      </c>
      <c r="E225" t="s">
        <v>83</v>
      </c>
      <c r="F225" s="1">
        <v>41</v>
      </c>
      <c r="G225" t="s">
        <v>3</v>
      </c>
      <c r="H225" s="1">
        <v>51</v>
      </c>
      <c r="I225" t="s">
        <v>6</v>
      </c>
      <c r="J225" s="1">
        <v>75</v>
      </c>
      <c r="K225" s="1">
        <v>109</v>
      </c>
      <c r="L225" s="1">
        <v>4275</v>
      </c>
      <c r="M225" s="1">
        <v>32475</v>
      </c>
      <c r="N225" s="1">
        <v>56146</v>
      </c>
      <c r="O225" s="1">
        <v>2161575</v>
      </c>
      <c r="P225" s="1">
        <v>244394</v>
      </c>
      <c r="Q225" s="1">
        <v>481750</v>
      </c>
      <c r="R225" s="1">
        <v>21849804</v>
      </c>
      <c r="S225" s="1">
        <v>8059</v>
      </c>
      <c r="T225" s="1">
        <v>8059</v>
      </c>
      <c r="U225" s="1">
        <v>41051</v>
      </c>
      <c r="V225" s="1">
        <v>0</v>
      </c>
      <c r="W225" s="1">
        <v>1</v>
      </c>
    </row>
    <row r="226">
      <c r="A226" s="1">
        <v>2017</v>
      </c>
      <c r="B226" s="1">
        <v>8</v>
      </c>
      <c r="C226" t="s">
        <v>12</v>
      </c>
      <c r="D226" s="1">
        <v>69</v>
      </c>
      <c r="E226" t="s">
        <v>84</v>
      </c>
      <c r="F226" s="1">
        <v>41</v>
      </c>
      <c r="G226" t="s">
        <v>3</v>
      </c>
      <c r="H226" s="1">
        <v>51</v>
      </c>
      <c r="I226" t="s">
        <v>6</v>
      </c>
      <c r="J226" s="1">
        <v>54</v>
      </c>
      <c r="K226" s="1">
        <v>76</v>
      </c>
      <c r="L226" s="1">
        <v>3224</v>
      </c>
      <c r="M226" s="1">
        <v>15448</v>
      </c>
      <c r="N226" s="1">
        <v>26459</v>
      </c>
      <c r="O226" s="1">
        <v>850887</v>
      </c>
      <c r="P226" s="1">
        <v>135906</v>
      </c>
      <c r="Q226" s="1">
        <v>272260</v>
      </c>
      <c r="R226" s="1">
        <v>10832853</v>
      </c>
      <c r="S226" s="1">
        <v>8069</v>
      </c>
      <c r="T226" s="1">
        <v>8069</v>
      </c>
      <c r="U226" s="1">
        <v>41051</v>
      </c>
      <c r="V226" s="1">
        <v>0</v>
      </c>
      <c r="W226" s="1">
        <v>1</v>
      </c>
    </row>
    <row r="227">
      <c r="A227" s="1">
        <v>2017</v>
      </c>
      <c r="B227" s="1">
        <v>8</v>
      </c>
      <c r="C227" t="s">
        <v>12</v>
      </c>
      <c r="D227" s="1">
        <v>123</v>
      </c>
      <c r="E227" t="s">
        <v>348</v>
      </c>
      <c r="F227" s="1">
        <v>41</v>
      </c>
      <c r="G227" t="s">
        <v>3</v>
      </c>
      <c r="H227" s="1">
        <v>51</v>
      </c>
      <c r="I227" t="s">
        <v>6</v>
      </c>
      <c r="J227" s="1">
        <v>21</v>
      </c>
      <c r="K227" s="1">
        <v>34</v>
      </c>
      <c r="L227" s="1">
        <v>999</v>
      </c>
      <c r="M227" s="1">
        <v>11336</v>
      </c>
      <c r="N227" s="1">
        <v>22912</v>
      </c>
      <c r="O227" s="1">
        <v>645572</v>
      </c>
      <c r="P227" s="1">
        <v>105168</v>
      </c>
      <c r="Q227" s="1">
        <v>242611</v>
      </c>
      <c r="R227" s="1">
        <v>7296135</v>
      </c>
      <c r="S227" s="1">
        <v>8123</v>
      </c>
      <c r="T227" s="1">
        <v>8123</v>
      </c>
      <c r="U227" s="1">
        <v>41051</v>
      </c>
      <c r="V227" s="1">
        <v>0</v>
      </c>
      <c r="W227" s="1">
        <v>1</v>
      </c>
    </row>
    <row r="228">
      <c r="A228" s="1">
        <v>2017</v>
      </c>
      <c r="B228" s="1">
        <v>9</v>
      </c>
      <c r="C228" t="s">
        <v>13</v>
      </c>
      <c r="D228" s="1">
        <v>1</v>
      </c>
      <c r="E228" t="s">
        <v>241</v>
      </c>
      <c r="F228" s="1">
        <v>41</v>
      </c>
      <c r="G228" t="s">
        <v>3</v>
      </c>
      <c r="H228" s="1">
        <v>51</v>
      </c>
      <c r="I228" t="s">
        <v>6</v>
      </c>
      <c r="J228" s="1">
        <v>35</v>
      </c>
      <c r="K228" s="1">
        <v>48</v>
      </c>
      <c r="L228" s="1">
        <v>2908</v>
      </c>
      <c r="M228" s="1">
        <v>25425</v>
      </c>
      <c r="N228" s="1">
        <v>44754</v>
      </c>
      <c r="O228" s="1">
        <v>3628087</v>
      </c>
      <c r="P228" s="1">
        <v>376542</v>
      </c>
      <c r="Q228" s="1">
        <v>794966</v>
      </c>
      <c r="R228" s="1">
        <v>64370040</v>
      </c>
      <c r="S228" s="1">
        <v>9001</v>
      </c>
      <c r="T228" s="1">
        <v>9001</v>
      </c>
      <c r="U228" s="1">
        <v>41051</v>
      </c>
      <c r="V228" s="1">
        <v>0</v>
      </c>
      <c r="W228" s="1">
        <v>1</v>
      </c>
    </row>
    <row r="229">
      <c r="A229" s="1">
        <v>2017</v>
      </c>
      <c r="B229" s="1">
        <v>9</v>
      </c>
      <c r="C229" t="s">
        <v>13</v>
      </c>
      <c r="D229" s="1">
        <v>3</v>
      </c>
      <c r="E229" t="s">
        <v>182</v>
      </c>
      <c r="F229" s="1">
        <v>41</v>
      </c>
      <c r="G229" t="s">
        <v>3</v>
      </c>
      <c r="H229" s="1">
        <v>51</v>
      </c>
      <c r="I229" t="s">
        <v>6</v>
      </c>
      <c r="J229" s="1">
        <v>34</v>
      </c>
      <c r="K229" s="1">
        <v>41</v>
      </c>
      <c r="L229" s="1">
        <v>2121</v>
      </c>
      <c r="M229" s="1">
        <v>24139</v>
      </c>
      <c r="N229" s="1">
        <v>41299</v>
      </c>
      <c r="O229" s="1">
        <v>2007268</v>
      </c>
      <c r="P229" s="1">
        <v>375243</v>
      </c>
      <c r="Q229" s="1">
        <v>744505</v>
      </c>
      <c r="R229" s="1">
        <v>32064660</v>
      </c>
      <c r="S229" s="1">
        <v>9003</v>
      </c>
      <c r="T229" s="1">
        <v>9003</v>
      </c>
      <c r="U229" s="1">
        <v>41051</v>
      </c>
      <c r="V229" s="1">
        <v>0</v>
      </c>
      <c r="W229" s="1">
        <v>1</v>
      </c>
    </row>
    <row r="230">
      <c r="A230" s="1">
        <v>2017</v>
      </c>
      <c r="B230" s="1">
        <v>9</v>
      </c>
      <c r="C230" t="s">
        <v>13</v>
      </c>
      <c r="D230" s="1">
        <v>9</v>
      </c>
      <c r="E230" t="s">
        <v>85</v>
      </c>
      <c r="F230" s="1">
        <v>41</v>
      </c>
      <c r="G230" t="s">
        <v>3</v>
      </c>
      <c r="H230" s="1">
        <v>51</v>
      </c>
      <c r="I230" t="s">
        <v>6</v>
      </c>
      <c r="J230" s="1">
        <v>42</v>
      </c>
      <c r="K230" s="1">
        <v>62</v>
      </c>
      <c r="L230" s="1">
        <v>2601</v>
      </c>
      <c r="M230" s="1">
        <v>22736</v>
      </c>
      <c r="N230" s="1">
        <v>38569</v>
      </c>
      <c r="O230" s="1">
        <v>1661026</v>
      </c>
      <c r="P230" s="1">
        <v>346479</v>
      </c>
      <c r="Q230" s="1">
        <v>683432</v>
      </c>
      <c r="R230" s="1">
        <v>27583446</v>
      </c>
      <c r="S230" s="1">
        <v>9009</v>
      </c>
      <c r="T230" s="1">
        <v>9009</v>
      </c>
      <c r="U230" s="1">
        <v>41051</v>
      </c>
      <c r="V230" s="1">
        <v>0</v>
      </c>
      <c r="W230" s="1">
        <v>1</v>
      </c>
    </row>
    <row r="231">
      <c r="A231" s="1">
        <v>2017</v>
      </c>
      <c r="B231" s="1">
        <v>10</v>
      </c>
      <c r="C231" t="s">
        <v>343</v>
      </c>
      <c r="D231" s="1">
        <v>3</v>
      </c>
      <c r="E231" t="s">
        <v>349</v>
      </c>
      <c r="F231" s="1">
        <v>41</v>
      </c>
      <c r="G231" t="s">
        <v>3</v>
      </c>
      <c r="H231" s="1">
        <v>51</v>
      </c>
      <c r="I231" t="s">
        <v>6</v>
      </c>
      <c r="J231" s="1">
        <v>21</v>
      </c>
      <c r="K231" s="1">
        <v>34</v>
      </c>
      <c r="L231" s="1">
        <v>1289</v>
      </c>
      <c r="M231" s="1">
        <v>14334</v>
      </c>
      <c r="N231" s="1">
        <v>26057</v>
      </c>
      <c r="O231" s="1">
        <v>1077303</v>
      </c>
      <c r="P231" s="1">
        <v>219682</v>
      </c>
      <c r="Q231" s="1">
        <v>449216</v>
      </c>
      <c r="R231" s="1">
        <v>17502016</v>
      </c>
      <c r="S231" s="1">
        <v>10003</v>
      </c>
      <c r="T231" s="1">
        <v>10003</v>
      </c>
      <c r="U231" s="1">
        <v>41051</v>
      </c>
      <c r="V231" s="1">
        <v>0</v>
      </c>
      <c r="W231" s="1">
        <v>1</v>
      </c>
    </row>
    <row r="232">
      <c r="A232" s="1">
        <v>2017</v>
      </c>
      <c r="B232" s="1">
        <v>11</v>
      </c>
      <c r="C232" t="s">
        <v>14</v>
      </c>
      <c r="D232" s="1">
        <v>1</v>
      </c>
      <c r="E232" t="s">
        <v>14</v>
      </c>
      <c r="F232" s="1">
        <v>41</v>
      </c>
      <c r="G232" t="s">
        <v>3</v>
      </c>
      <c r="H232" s="1">
        <v>51</v>
      </c>
      <c r="I232" t="s">
        <v>6</v>
      </c>
      <c r="J232" s="1">
        <v>161</v>
      </c>
      <c r="K232" s="1">
        <v>215</v>
      </c>
      <c r="L232" s="1">
        <v>14700</v>
      </c>
      <c r="M232" s="1">
        <v>40180</v>
      </c>
      <c r="N232" s="1">
        <v>60002</v>
      </c>
      <c r="O232" s="1">
        <v>3631386</v>
      </c>
      <c r="P232" s="1">
        <v>293741</v>
      </c>
      <c r="Q232" s="1">
        <v>483714</v>
      </c>
      <c r="R232" s="1">
        <v>30278012</v>
      </c>
      <c r="S232" s="1">
        <v>11001</v>
      </c>
      <c r="T232" s="1">
        <v>11001</v>
      </c>
      <c r="U232" s="1">
        <v>41051</v>
      </c>
      <c r="V232" s="1">
        <v>0</v>
      </c>
      <c r="W232" s="1">
        <v>1</v>
      </c>
    </row>
    <row r="233">
      <c r="A233" s="1">
        <v>2017</v>
      </c>
      <c r="B233" s="1">
        <v>12</v>
      </c>
      <c r="C233" t="s">
        <v>15</v>
      </c>
      <c r="D233" s="1">
        <v>1</v>
      </c>
      <c r="E233" t="s">
        <v>350</v>
      </c>
      <c r="F233" s="1">
        <v>41</v>
      </c>
      <c r="G233" t="s">
        <v>3</v>
      </c>
      <c r="H233" s="1">
        <v>51</v>
      </c>
      <c r="I233" t="s">
        <v>6</v>
      </c>
      <c r="J233" s="1">
        <v>30</v>
      </c>
      <c r="K233" s="1">
        <v>42</v>
      </c>
      <c r="L233" s="1">
        <v>1487</v>
      </c>
      <c r="M233" s="1">
        <v>11068</v>
      </c>
      <c r="N233" s="1">
        <v>18769</v>
      </c>
      <c r="O233" s="1">
        <v>575988</v>
      </c>
      <c r="P233" s="1">
        <v>93156</v>
      </c>
      <c r="Q233" s="1">
        <v>179755</v>
      </c>
      <c r="R233" s="1">
        <v>6071038</v>
      </c>
      <c r="S233" s="1">
        <v>12001</v>
      </c>
      <c r="T233" s="1">
        <v>12001</v>
      </c>
      <c r="U233" s="1">
        <v>41051</v>
      </c>
      <c r="V233" s="1">
        <v>0</v>
      </c>
      <c r="W233" s="1">
        <v>1</v>
      </c>
    </row>
    <row r="234">
      <c r="A234" s="1">
        <v>2017</v>
      </c>
      <c r="B234" s="1">
        <v>12</v>
      </c>
      <c r="C234" t="s">
        <v>15</v>
      </c>
      <c r="D234" s="1">
        <v>11</v>
      </c>
      <c r="E234" t="s">
        <v>183</v>
      </c>
      <c r="F234" s="1">
        <v>41</v>
      </c>
      <c r="G234" t="s">
        <v>3</v>
      </c>
      <c r="H234" s="1">
        <v>51</v>
      </c>
      <c r="I234" t="s">
        <v>6</v>
      </c>
      <c r="J234" s="1">
        <v>63</v>
      </c>
      <c r="K234" s="1">
        <v>83</v>
      </c>
      <c r="L234" s="1">
        <v>4646</v>
      </c>
      <c r="M234" s="1">
        <v>60130</v>
      </c>
      <c r="N234" s="1">
        <v>108352</v>
      </c>
      <c r="O234" s="1">
        <v>3587091</v>
      </c>
      <c r="P234" s="1">
        <v>759305</v>
      </c>
      <c r="Q234" s="1">
        <v>1483318</v>
      </c>
      <c r="R234" s="1">
        <v>51610744</v>
      </c>
      <c r="S234" s="1">
        <v>12011</v>
      </c>
      <c r="T234" s="1">
        <v>12011</v>
      </c>
      <c r="U234" s="1">
        <v>41051</v>
      </c>
      <c r="V234" s="1">
        <v>0</v>
      </c>
      <c r="W234" s="1">
        <v>1</v>
      </c>
    </row>
    <row r="235">
      <c r="A235" s="1">
        <v>2017</v>
      </c>
      <c r="B235" s="1">
        <v>12</v>
      </c>
      <c r="C235" t="s">
        <v>15</v>
      </c>
      <c r="D235" s="1">
        <v>31</v>
      </c>
      <c r="E235" t="s">
        <v>184</v>
      </c>
      <c r="F235" s="1">
        <v>41</v>
      </c>
      <c r="G235" t="s">
        <v>3</v>
      </c>
      <c r="H235" s="1">
        <v>51</v>
      </c>
      <c r="I235" t="s">
        <v>6</v>
      </c>
      <c r="J235" s="1">
        <v>38</v>
      </c>
      <c r="K235" s="1">
        <v>59</v>
      </c>
      <c r="L235" s="1">
        <v>1689</v>
      </c>
      <c r="M235" s="1">
        <v>32181</v>
      </c>
      <c r="N235" s="1">
        <v>62658</v>
      </c>
      <c r="O235" s="1">
        <v>1840246</v>
      </c>
      <c r="P235" s="1">
        <v>364240</v>
      </c>
      <c r="Q235" s="1">
        <v>727222</v>
      </c>
      <c r="R235" s="1">
        <v>22464646</v>
      </c>
      <c r="S235" s="1">
        <v>12031</v>
      </c>
      <c r="T235" s="1">
        <v>12031</v>
      </c>
      <c r="U235" s="1">
        <v>41051</v>
      </c>
      <c r="V235" s="1">
        <v>0</v>
      </c>
      <c r="W235" s="1">
        <v>1</v>
      </c>
    </row>
    <row r="236">
      <c r="A236" s="1">
        <v>2017</v>
      </c>
      <c r="B236" s="1">
        <v>12</v>
      </c>
      <c r="C236" t="s">
        <v>15</v>
      </c>
      <c r="D236" s="1">
        <v>57</v>
      </c>
      <c r="E236" t="s">
        <v>86</v>
      </c>
      <c r="F236" s="1">
        <v>41</v>
      </c>
      <c r="G236" t="s">
        <v>3</v>
      </c>
      <c r="H236" s="1">
        <v>51</v>
      </c>
      <c r="I236" t="s">
        <v>6</v>
      </c>
      <c r="J236" s="1">
        <v>57</v>
      </c>
      <c r="K236" s="1">
        <v>79</v>
      </c>
      <c r="L236" s="1">
        <v>2474</v>
      </c>
      <c r="M236" s="1">
        <v>48454</v>
      </c>
      <c r="N236" s="1">
        <v>90424</v>
      </c>
      <c r="O236" s="1">
        <v>2971994</v>
      </c>
      <c r="P236" s="1">
        <v>520858</v>
      </c>
      <c r="Q236" s="1">
        <v>1067905</v>
      </c>
      <c r="R236" s="1">
        <v>36032356</v>
      </c>
      <c r="S236" s="1">
        <v>12057</v>
      </c>
      <c r="T236" s="1">
        <v>12057</v>
      </c>
      <c r="U236" s="1">
        <v>41051</v>
      </c>
      <c r="V236" s="1">
        <v>0</v>
      </c>
      <c r="W236" s="1">
        <v>1</v>
      </c>
    </row>
    <row r="237">
      <c r="A237" s="1">
        <v>2017</v>
      </c>
      <c r="B237" s="1">
        <v>12</v>
      </c>
      <c r="C237" t="s">
        <v>15</v>
      </c>
      <c r="D237" s="1">
        <v>71</v>
      </c>
      <c r="E237" t="s">
        <v>226</v>
      </c>
      <c r="F237" s="1">
        <v>41</v>
      </c>
      <c r="G237" t="s">
        <v>3</v>
      </c>
      <c r="H237" s="1">
        <v>51</v>
      </c>
      <c r="I237" t="s">
        <v>6</v>
      </c>
      <c r="J237" s="1">
        <v>23</v>
      </c>
      <c r="K237" s="1">
        <v>35</v>
      </c>
      <c r="L237" s="1">
        <v>938</v>
      </c>
      <c r="M237" s="1">
        <v>22089</v>
      </c>
      <c r="N237" s="1">
        <v>38700</v>
      </c>
      <c r="O237" s="1">
        <v>1412219</v>
      </c>
      <c r="P237" s="1">
        <v>276676</v>
      </c>
      <c r="Q237" s="1">
        <v>538722</v>
      </c>
      <c r="R237" s="1">
        <v>20917400</v>
      </c>
      <c r="S237" s="1">
        <v>12071</v>
      </c>
      <c r="T237" s="1">
        <v>12071</v>
      </c>
      <c r="U237" s="1">
        <v>41051</v>
      </c>
      <c r="V237" s="1">
        <v>0</v>
      </c>
      <c r="W237" s="1">
        <v>1</v>
      </c>
    </row>
    <row r="238">
      <c r="A238" s="1">
        <v>2017</v>
      </c>
      <c r="B238" s="1">
        <v>12</v>
      </c>
      <c r="C238" t="s">
        <v>15</v>
      </c>
      <c r="D238" s="1">
        <v>86</v>
      </c>
      <c r="E238" t="s">
        <v>87</v>
      </c>
      <c r="F238" s="1">
        <v>41</v>
      </c>
      <c r="G238" t="s">
        <v>3</v>
      </c>
      <c r="H238" s="1">
        <v>51</v>
      </c>
      <c r="I238" t="s">
        <v>6</v>
      </c>
      <c r="J238" s="1">
        <v>74</v>
      </c>
      <c r="K238" s="1">
        <v>97</v>
      </c>
      <c r="L238" s="1">
        <v>3301</v>
      </c>
      <c r="M238" s="1">
        <v>63395</v>
      </c>
      <c r="N238" s="1">
        <v>113788</v>
      </c>
      <c r="O238" s="1">
        <v>3438740</v>
      </c>
      <c r="P238" s="1">
        <v>1061825</v>
      </c>
      <c r="Q238" s="1">
        <v>2046662</v>
      </c>
      <c r="R238" s="1">
        <v>63537784</v>
      </c>
      <c r="S238" s="1">
        <v>12086</v>
      </c>
      <c r="T238" s="1">
        <v>12086</v>
      </c>
      <c r="U238" s="1">
        <v>41051</v>
      </c>
      <c r="V238" s="1">
        <v>0</v>
      </c>
      <c r="W238" s="1">
        <v>1</v>
      </c>
    </row>
    <row r="239">
      <c r="A239" s="1">
        <v>2017</v>
      </c>
      <c r="B239" s="1">
        <v>12</v>
      </c>
      <c r="C239" t="s">
        <v>15</v>
      </c>
      <c r="D239" s="1">
        <v>95</v>
      </c>
      <c r="E239" t="s">
        <v>64</v>
      </c>
      <c r="F239" s="1">
        <v>41</v>
      </c>
      <c r="G239" t="s">
        <v>3</v>
      </c>
      <c r="H239" s="1">
        <v>51</v>
      </c>
      <c r="I239" t="s">
        <v>6</v>
      </c>
      <c r="J239" s="1">
        <v>73</v>
      </c>
      <c r="K239" s="1">
        <v>93</v>
      </c>
      <c r="L239" s="1">
        <v>4302</v>
      </c>
      <c r="M239" s="1">
        <v>58248</v>
      </c>
      <c r="N239" s="1">
        <v>105434</v>
      </c>
      <c r="O239" s="1">
        <v>2846700</v>
      </c>
      <c r="P239" s="1">
        <v>512050</v>
      </c>
      <c r="Q239" s="1">
        <v>1033322</v>
      </c>
      <c r="R239" s="1">
        <v>31820784</v>
      </c>
      <c r="S239" s="1">
        <v>12095</v>
      </c>
      <c r="T239" s="1">
        <v>12095</v>
      </c>
      <c r="U239" s="1">
        <v>41051</v>
      </c>
      <c r="V239" s="1">
        <v>0</v>
      </c>
      <c r="W239" s="1">
        <v>1</v>
      </c>
    </row>
    <row r="240">
      <c r="A240" s="1">
        <v>2017</v>
      </c>
      <c r="B240" s="1">
        <v>12</v>
      </c>
      <c r="C240" t="s">
        <v>15</v>
      </c>
      <c r="D240" s="1">
        <v>99</v>
      </c>
      <c r="E240" t="s">
        <v>88</v>
      </c>
      <c r="F240" s="1">
        <v>41</v>
      </c>
      <c r="G240" t="s">
        <v>3</v>
      </c>
      <c r="H240" s="1">
        <v>51</v>
      </c>
      <c r="I240" t="s">
        <v>6</v>
      </c>
      <c r="J240" s="1">
        <v>59</v>
      </c>
      <c r="K240" s="1">
        <v>80</v>
      </c>
      <c r="L240" s="1">
        <v>2873</v>
      </c>
      <c r="M240" s="1">
        <v>42010</v>
      </c>
      <c r="N240" s="1">
        <v>71986</v>
      </c>
      <c r="O240" s="1">
        <v>2922872</v>
      </c>
      <c r="P240" s="1">
        <v>576359</v>
      </c>
      <c r="Q240" s="1">
        <v>1108283</v>
      </c>
      <c r="R240" s="1">
        <v>55781024</v>
      </c>
      <c r="S240" s="1">
        <v>12099</v>
      </c>
      <c r="T240" s="1">
        <v>12099</v>
      </c>
      <c r="U240" s="1">
        <v>41051</v>
      </c>
      <c r="V240" s="1">
        <v>0</v>
      </c>
      <c r="W240" s="1">
        <v>1</v>
      </c>
    </row>
    <row r="241">
      <c r="A241" s="1">
        <v>2017</v>
      </c>
      <c r="B241" s="1">
        <v>12</v>
      </c>
      <c r="C241" t="s">
        <v>15</v>
      </c>
      <c r="D241" s="1">
        <v>103</v>
      </c>
      <c r="E241" t="s">
        <v>89</v>
      </c>
      <c r="F241" s="1">
        <v>41</v>
      </c>
      <c r="G241" t="s">
        <v>3</v>
      </c>
      <c r="H241" s="1">
        <v>51</v>
      </c>
      <c r="I241" t="s">
        <v>6</v>
      </c>
      <c r="J241" s="1">
        <v>45</v>
      </c>
      <c r="K241" s="1">
        <v>54</v>
      </c>
      <c r="L241" s="1">
        <v>2764</v>
      </c>
      <c r="M241" s="1">
        <v>31949</v>
      </c>
      <c r="N241" s="1">
        <v>54252</v>
      </c>
      <c r="O241" s="1">
        <v>1801741</v>
      </c>
      <c r="P241" s="1">
        <v>388474</v>
      </c>
      <c r="Q241" s="1">
        <v>705740</v>
      </c>
      <c r="R241" s="1">
        <v>26736264</v>
      </c>
      <c r="S241" s="1">
        <v>12103</v>
      </c>
      <c r="T241" s="1">
        <v>12103</v>
      </c>
      <c r="U241" s="1">
        <v>41051</v>
      </c>
      <c r="V241" s="1">
        <v>0</v>
      </c>
      <c r="W241" s="1">
        <v>1</v>
      </c>
    </row>
    <row r="242">
      <c r="A242" s="1">
        <v>2017</v>
      </c>
      <c r="B242" s="1">
        <v>13</v>
      </c>
      <c r="C242" t="s">
        <v>16</v>
      </c>
      <c r="D242" s="1">
        <v>51</v>
      </c>
      <c r="E242" t="s">
        <v>327</v>
      </c>
      <c r="F242" s="1">
        <v>41</v>
      </c>
      <c r="G242" t="s">
        <v>3</v>
      </c>
      <c r="H242" s="1">
        <v>51</v>
      </c>
      <c r="I242" t="s">
        <v>6</v>
      </c>
      <c r="J242" s="1">
        <v>25</v>
      </c>
      <c r="K242" s="1">
        <v>38</v>
      </c>
      <c r="L242" s="1">
        <v>1054</v>
      </c>
      <c r="M242" s="1">
        <v>12390</v>
      </c>
      <c r="N242" s="1">
        <v>24828</v>
      </c>
      <c r="O242" s="1">
        <v>666702</v>
      </c>
      <c r="P242" s="1">
        <v>102567</v>
      </c>
      <c r="Q242" s="1">
        <v>208465</v>
      </c>
      <c r="R242" s="1">
        <v>6626424</v>
      </c>
      <c r="S242" s="1">
        <v>13051</v>
      </c>
      <c r="T242" s="1">
        <v>13051</v>
      </c>
      <c r="U242" s="1">
        <v>41051</v>
      </c>
      <c r="V242" s="1">
        <v>0</v>
      </c>
      <c r="W242" s="1">
        <v>1</v>
      </c>
    </row>
    <row r="243">
      <c r="A243" s="1">
        <v>2017</v>
      </c>
      <c r="B243" s="1">
        <v>13</v>
      </c>
      <c r="C243" t="s">
        <v>16</v>
      </c>
      <c r="D243" s="1">
        <v>67</v>
      </c>
      <c r="E243" t="s">
        <v>243</v>
      </c>
      <c r="F243" s="1">
        <v>41</v>
      </c>
      <c r="G243" t="s">
        <v>3</v>
      </c>
      <c r="H243" s="1">
        <v>51</v>
      </c>
      <c r="I243" t="s">
        <v>6</v>
      </c>
      <c r="J243" s="1">
        <v>30</v>
      </c>
      <c r="K243" s="1">
        <v>47</v>
      </c>
      <c r="L243" s="1">
        <v>1491</v>
      </c>
      <c r="M243" s="1">
        <v>37678</v>
      </c>
      <c r="N243" s="1">
        <v>71675</v>
      </c>
      <c r="O243" s="1">
        <v>2486747</v>
      </c>
      <c r="P243" s="1">
        <v>284437</v>
      </c>
      <c r="Q243" s="1">
        <v>615758</v>
      </c>
      <c r="R243" s="1">
        <v>24979012</v>
      </c>
      <c r="S243" s="1">
        <v>13067</v>
      </c>
      <c r="T243" s="1">
        <v>13067</v>
      </c>
      <c r="U243" s="1">
        <v>41051</v>
      </c>
      <c r="V243" s="1">
        <v>0</v>
      </c>
      <c r="W243" s="1">
        <v>1</v>
      </c>
    </row>
    <row r="244">
      <c r="A244" s="1">
        <v>2017</v>
      </c>
      <c r="B244" s="1">
        <v>13</v>
      </c>
      <c r="C244" t="s">
        <v>16</v>
      </c>
      <c r="D244" s="1">
        <v>89</v>
      </c>
      <c r="E244" t="s">
        <v>90</v>
      </c>
      <c r="F244" s="1">
        <v>41</v>
      </c>
      <c r="G244" t="s">
        <v>3</v>
      </c>
      <c r="H244" s="1">
        <v>51</v>
      </c>
      <c r="I244" t="s">
        <v>6</v>
      </c>
      <c r="J244" s="1">
        <v>49</v>
      </c>
      <c r="K244" s="1">
        <v>76</v>
      </c>
      <c r="L244" s="1">
        <v>3014</v>
      </c>
      <c r="M244" s="1">
        <v>42044</v>
      </c>
      <c r="N244" s="1">
        <v>79028</v>
      </c>
      <c r="O244" s="1">
        <v>2673543</v>
      </c>
      <c r="P244" s="1">
        <v>281909</v>
      </c>
      <c r="Q244" s="1">
        <v>572040</v>
      </c>
      <c r="R244" s="1">
        <v>20494930</v>
      </c>
      <c r="S244" s="1">
        <v>13089</v>
      </c>
      <c r="T244" s="1">
        <v>13089</v>
      </c>
      <c r="U244" s="1">
        <v>41051</v>
      </c>
      <c r="V244" s="1">
        <v>0</v>
      </c>
      <c r="W244" s="1">
        <v>1</v>
      </c>
    </row>
    <row r="245">
      <c r="A245" s="1">
        <v>2017</v>
      </c>
      <c r="B245" s="1">
        <v>13</v>
      </c>
      <c r="C245" t="s">
        <v>16</v>
      </c>
      <c r="D245" s="1">
        <v>121</v>
      </c>
      <c r="E245" t="s">
        <v>91</v>
      </c>
      <c r="F245" s="1">
        <v>41</v>
      </c>
      <c r="G245" t="s">
        <v>3</v>
      </c>
      <c r="H245" s="1">
        <v>51</v>
      </c>
      <c r="I245" t="s">
        <v>6</v>
      </c>
      <c r="J245" s="1">
        <v>79</v>
      </c>
      <c r="K245" s="1">
        <v>108</v>
      </c>
      <c r="L245" s="1">
        <v>5876</v>
      </c>
      <c r="M245" s="1">
        <v>57724</v>
      </c>
      <c r="N245" s="1">
        <v>103967</v>
      </c>
      <c r="O245" s="1">
        <v>4499943</v>
      </c>
      <c r="P245" s="1">
        <v>417091</v>
      </c>
      <c r="Q245" s="1">
        <v>800058</v>
      </c>
      <c r="R245" s="1">
        <v>43090624</v>
      </c>
      <c r="S245" s="1">
        <v>13121</v>
      </c>
      <c r="T245" s="1">
        <v>13121</v>
      </c>
      <c r="U245" s="1">
        <v>41051</v>
      </c>
      <c r="V245" s="1">
        <v>0</v>
      </c>
      <c r="W245" s="1">
        <v>1</v>
      </c>
    </row>
    <row r="246">
      <c r="A246" s="1">
        <v>2017</v>
      </c>
      <c r="B246" s="1">
        <v>13</v>
      </c>
      <c r="C246" t="s">
        <v>16</v>
      </c>
      <c r="D246" s="1">
        <v>135</v>
      </c>
      <c r="E246" t="s">
        <v>251</v>
      </c>
      <c r="F246" s="1">
        <v>41</v>
      </c>
      <c r="G246" t="s">
        <v>3</v>
      </c>
      <c r="H246" s="1">
        <v>51</v>
      </c>
      <c r="I246" t="s">
        <v>6</v>
      </c>
      <c r="J246" s="1">
        <v>20</v>
      </c>
      <c r="K246" s="1">
        <v>36</v>
      </c>
      <c r="L246" s="1">
        <v>1102</v>
      </c>
      <c r="M246" s="1">
        <v>36445</v>
      </c>
      <c r="N246" s="1">
        <v>73503</v>
      </c>
      <c r="O246" s="1">
        <v>2172788</v>
      </c>
      <c r="P246" s="1">
        <v>325776</v>
      </c>
      <c r="Q246" s="1">
        <v>755292</v>
      </c>
      <c r="R246" s="1">
        <v>21771192</v>
      </c>
      <c r="S246" s="1">
        <v>13135</v>
      </c>
      <c r="T246" s="1">
        <v>13135</v>
      </c>
      <c r="U246" s="1">
        <v>41051</v>
      </c>
      <c r="V246" s="1">
        <v>0</v>
      </c>
      <c r="W246" s="1">
        <v>1</v>
      </c>
    </row>
    <row r="247">
      <c r="A247" s="1">
        <v>2017</v>
      </c>
      <c r="B247" s="1">
        <v>15</v>
      </c>
      <c r="C247" t="s">
        <v>17</v>
      </c>
      <c r="D247" s="1">
        <v>1</v>
      </c>
      <c r="E247" t="s">
        <v>92</v>
      </c>
      <c r="F247" s="1">
        <v>41</v>
      </c>
      <c r="G247" t="s">
        <v>3</v>
      </c>
      <c r="H247" s="1">
        <v>51</v>
      </c>
      <c r="I247" t="s">
        <v>6</v>
      </c>
      <c r="J247" s="1">
        <v>46</v>
      </c>
      <c r="K247" s="1">
        <v>67</v>
      </c>
      <c r="L247" s="1">
        <v>1620</v>
      </c>
      <c r="M247" s="1">
        <v>4046</v>
      </c>
      <c r="N247" s="1">
        <v>7256</v>
      </c>
      <c r="O247" s="1">
        <v>198799</v>
      </c>
      <c r="P247" s="1">
        <v>73096</v>
      </c>
      <c r="Q247" s="1">
        <v>147114</v>
      </c>
      <c r="R247" s="1">
        <v>4223469</v>
      </c>
      <c r="S247" s="1">
        <v>15001</v>
      </c>
      <c r="T247" s="1">
        <v>15001</v>
      </c>
      <c r="U247" s="1">
        <v>41051</v>
      </c>
      <c r="V247" s="1">
        <v>0</v>
      </c>
      <c r="W247" s="1">
        <v>1</v>
      </c>
    </row>
    <row r="248">
      <c r="A248" s="1">
        <v>2017</v>
      </c>
      <c r="B248" s="1">
        <v>15</v>
      </c>
      <c r="C248" t="s">
        <v>17</v>
      </c>
      <c r="D248" s="1">
        <v>3</v>
      </c>
      <c r="E248" t="s">
        <v>93</v>
      </c>
      <c r="F248" s="1">
        <v>41</v>
      </c>
      <c r="G248" t="s">
        <v>3</v>
      </c>
      <c r="H248" s="1">
        <v>51</v>
      </c>
      <c r="I248" t="s">
        <v>6</v>
      </c>
      <c r="J248" s="1">
        <v>200</v>
      </c>
      <c r="K248" s="1">
        <v>287</v>
      </c>
      <c r="L248" s="1">
        <v>12093</v>
      </c>
      <c r="M248" s="1">
        <v>32563</v>
      </c>
      <c r="N248" s="1">
        <v>73605</v>
      </c>
      <c r="O248" s="1">
        <v>1922843</v>
      </c>
      <c r="P248" s="1">
        <v>413847</v>
      </c>
      <c r="Q248" s="1">
        <v>833537</v>
      </c>
      <c r="R248" s="1">
        <v>29972068</v>
      </c>
      <c r="S248" s="1">
        <v>15003</v>
      </c>
      <c r="T248" s="1">
        <v>15003</v>
      </c>
      <c r="U248" s="1">
        <v>41051</v>
      </c>
      <c r="V248" s="1">
        <v>0</v>
      </c>
      <c r="W248" s="1">
        <v>1</v>
      </c>
    </row>
    <row r="249">
      <c r="A249" s="1">
        <v>2017</v>
      </c>
      <c r="B249" s="1">
        <v>15</v>
      </c>
      <c r="C249" t="s">
        <v>17</v>
      </c>
      <c r="D249" s="1">
        <v>9</v>
      </c>
      <c r="E249" t="s">
        <v>94</v>
      </c>
      <c r="F249" s="1">
        <v>41</v>
      </c>
      <c r="G249" t="s">
        <v>3</v>
      </c>
      <c r="H249" s="1">
        <v>51</v>
      </c>
      <c r="I249" t="s">
        <v>6</v>
      </c>
      <c r="J249" s="1">
        <v>53</v>
      </c>
      <c r="K249" s="1">
        <v>79</v>
      </c>
      <c r="L249" s="1">
        <v>2634</v>
      </c>
      <c r="M249" s="1">
        <v>3904</v>
      </c>
      <c r="N249" s="1">
        <v>6773</v>
      </c>
      <c r="O249" s="1">
        <v>231328</v>
      </c>
      <c r="P249" s="1">
        <v>67032</v>
      </c>
      <c r="Q249" s="1">
        <v>131557</v>
      </c>
      <c r="R249" s="1">
        <v>4144140</v>
      </c>
      <c r="S249" s="1">
        <v>15009</v>
      </c>
      <c r="T249" s="1">
        <v>15009</v>
      </c>
      <c r="U249" s="1">
        <v>41051</v>
      </c>
      <c r="V249" s="1">
        <v>0</v>
      </c>
      <c r="W249" s="1">
        <v>1</v>
      </c>
    </row>
    <row r="250">
      <c r="A250" s="1">
        <v>2017</v>
      </c>
      <c r="B250" s="1">
        <v>16</v>
      </c>
      <c r="C250" t="s">
        <v>18</v>
      </c>
      <c r="D250" s="1">
        <v>1</v>
      </c>
      <c r="E250" t="s">
        <v>95</v>
      </c>
      <c r="F250" s="1">
        <v>41</v>
      </c>
      <c r="G250" t="s">
        <v>3</v>
      </c>
      <c r="H250" s="1">
        <v>51</v>
      </c>
      <c r="I250" t="s">
        <v>6</v>
      </c>
      <c r="J250" s="1">
        <v>143</v>
      </c>
      <c r="K250" s="1">
        <v>201</v>
      </c>
      <c r="L250" s="1">
        <v>6027</v>
      </c>
      <c r="M250" s="1">
        <v>13944</v>
      </c>
      <c r="N250" s="1">
        <v>27493</v>
      </c>
      <c r="O250" s="1">
        <v>722269</v>
      </c>
      <c r="P250" s="1">
        <v>169262</v>
      </c>
      <c r="Q250" s="1">
        <v>367195</v>
      </c>
      <c r="R250" s="1">
        <v>13309136</v>
      </c>
      <c r="S250" s="1">
        <v>16001</v>
      </c>
      <c r="T250" s="1">
        <v>16001</v>
      </c>
      <c r="U250" s="1">
        <v>41051</v>
      </c>
      <c r="V250" s="1">
        <v>0</v>
      </c>
      <c r="W250" s="1">
        <v>1</v>
      </c>
    </row>
    <row r="251">
      <c r="A251" s="1">
        <v>2017</v>
      </c>
      <c r="B251" s="1">
        <v>16</v>
      </c>
      <c r="C251" t="s">
        <v>18</v>
      </c>
      <c r="D251" s="1">
        <v>27</v>
      </c>
      <c r="E251" t="s">
        <v>96</v>
      </c>
      <c r="F251" s="1">
        <v>41</v>
      </c>
      <c r="G251" t="s">
        <v>3</v>
      </c>
      <c r="H251" s="1">
        <v>51</v>
      </c>
      <c r="I251" t="s">
        <v>6</v>
      </c>
      <c r="J251" s="1">
        <v>33</v>
      </c>
      <c r="K251" s="1">
        <v>60</v>
      </c>
      <c r="L251" s="1">
        <v>1012</v>
      </c>
      <c r="M251" s="1">
        <v>6529</v>
      </c>
      <c r="N251" s="1">
        <v>14434</v>
      </c>
      <c r="O251" s="1">
        <v>280827</v>
      </c>
      <c r="P251" s="1">
        <v>68898</v>
      </c>
      <c r="Q251" s="1">
        <v>169810</v>
      </c>
      <c r="R251" s="1">
        <v>3483191</v>
      </c>
      <c r="S251" s="1">
        <v>16027</v>
      </c>
      <c r="T251" s="1">
        <v>16027</v>
      </c>
      <c r="U251" s="1">
        <v>41051</v>
      </c>
      <c r="V251" s="1">
        <v>0</v>
      </c>
      <c r="W251" s="1">
        <v>1</v>
      </c>
    </row>
    <row r="252">
      <c r="A252" s="1">
        <v>2017</v>
      </c>
      <c r="B252" s="1">
        <v>16</v>
      </c>
      <c r="C252" t="s">
        <v>18</v>
      </c>
      <c r="D252" s="1">
        <v>55</v>
      </c>
      <c r="E252" t="s">
        <v>97</v>
      </c>
      <c r="F252" s="1">
        <v>41</v>
      </c>
      <c r="G252" t="s">
        <v>3</v>
      </c>
      <c r="H252" s="1">
        <v>51</v>
      </c>
      <c r="I252" t="s">
        <v>6</v>
      </c>
      <c r="J252" s="1">
        <v>35</v>
      </c>
      <c r="K252" s="1">
        <v>54</v>
      </c>
      <c r="L252" s="1">
        <v>1591</v>
      </c>
      <c r="M252" s="1">
        <v>4458</v>
      </c>
      <c r="N252" s="1">
        <v>8547</v>
      </c>
      <c r="O252" s="1">
        <v>214467</v>
      </c>
      <c r="P252" s="1">
        <v>59861</v>
      </c>
      <c r="Q252" s="1">
        <v>126895</v>
      </c>
      <c r="R252" s="1">
        <v>3655995</v>
      </c>
      <c r="S252" s="1">
        <v>16055</v>
      </c>
      <c r="T252" s="1">
        <v>16055</v>
      </c>
      <c r="U252" s="1">
        <v>41051</v>
      </c>
      <c r="V252" s="1">
        <v>0</v>
      </c>
      <c r="W252" s="1">
        <v>1</v>
      </c>
    </row>
    <row r="253">
      <c r="A253" s="1">
        <v>2017</v>
      </c>
      <c r="B253" s="1">
        <v>17</v>
      </c>
      <c r="C253" t="s">
        <v>19</v>
      </c>
      <c r="D253" s="1">
        <v>19</v>
      </c>
      <c r="E253" t="s">
        <v>351</v>
      </c>
      <c r="F253" s="1">
        <v>41</v>
      </c>
      <c r="G253" t="s">
        <v>3</v>
      </c>
      <c r="H253" s="1">
        <v>51</v>
      </c>
      <c r="I253" t="s">
        <v>6</v>
      </c>
      <c r="J253" s="1">
        <v>22</v>
      </c>
      <c r="K253" s="1">
        <v>29</v>
      </c>
      <c r="L253" s="1">
        <v>1119</v>
      </c>
      <c r="M253" s="1">
        <v>8110</v>
      </c>
      <c r="N253" s="1">
        <v>13778</v>
      </c>
      <c r="O253" s="1">
        <v>465705</v>
      </c>
      <c r="P253" s="1">
        <v>74160</v>
      </c>
      <c r="Q253" s="1">
        <v>148072</v>
      </c>
      <c r="R253" s="1">
        <v>5272623</v>
      </c>
      <c r="S253" s="1">
        <v>17019</v>
      </c>
      <c r="T253" s="1">
        <v>17019</v>
      </c>
      <c r="U253" s="1">
        <v>41051</v>
      </c>
      <c r="V253" s="1">
        <v>0</v>
      </c>
      <c r="W253" s="1">
        <v>1</v>
      </c>
    </row>
    <row r="254">
      <c r="A254" s="1">
        <v>2017</v>
      </c>
      <c r="B254" s="1">
        <v>17</v>
      </c>
      <c r="C254" t="s">
        <v>19</v>
      </c>
      <c r="D254" s="1">
        <v>31</v>
      </c>
      <c r="E254" t="s">
        <v>98</v>
      </c>
      <c r="F254" s="1">
        <v>41</v>
      </c>
      <c r="G254" t="s">
        <v>3</v>
      </c>
      <c r="H254" s="1">
        <v>51</v>
      </c>
      <c r="I254" t="s">
        <v>6</v>
      </c>
      <c r="J254" s="1">
        <v>553</v>
      </c>
      <c r="K254" s="1">
        <v>740</v>
      </c>
      <c r="L254" s="1">
        <v>42504</v>
      </c>
      <c r="M254" s="1">
        <v>131067</v>
      </c>
      <c r="N254" s="1">
        <v>238547</v>
      </c>
      <c r="O254" s="1">
        <v>10496629</v>
      </c>
      <c r="P254" s="1">
        <v>2125106</v>
      </c>
      <c r="Q254" s="1">
        <v>4375587</v>
      </c>
      <c r="R254" s="1">
        <v>177785920</v>
      </c>
      <c r="S254" s="1">
        <v>17031</v>
      </c>
      <c r="T254" s="1">
        <v>17031</v>
      </c>
      <c r="U254" s="1">
        <v>41051</v>
      </c>
      <c r="V254" s="1">
        <v>0</v>
      </c>
      <c r="W254" s="1">
        <v>1</v>
      </c>
    </row>
    <row r="255">
      <c r="A255" s="1">
        <v>2017</v>
      </c>
      <c r="B255" s="1">
        <v>17</v>
      </c>
      <c r="C255" t="s">
        <v>19</v>
      </c>
      <c r="D255" s="1">
        <v>43</v>
      </c>
      <c r="E255" t="s">
        <v>187</v>
      </c>
      <c r="F255" s="1">
        <v>41</v>
      </c>
      <c r="G255" t="s">
        <v>3</v>
      </c>
      <c r="H255" s="1">
        <v>51</v>
      </c>
      <c r="I255" t="s">
        <v>6</v>
      </c>
      <c r="J255" s="1">
        <v>35</v>
      </c>
      <c r="K255" s="1">
        <v>37</v>
      </c>
      <c r="L255" s="1">
        <v>1413</v>
      </c>
      <c r="M255" s="1">
        <v>38285</v>
      </c>
      <c r="N255" s="1">
        <v>72136</v>
      </c>
      <c r="O255" s="1">
        <v>3387861</v>
      </c>
      <c r="P255" s="1">
        <v>390012</v>
      </c>
      <c r="Q255" s="1">
        <v>866140</v>
      </c>
      <c r="R255" s="1">
        <v>42149748</v>
      </c>
      <c r="S255" s="1">
        <v>17043</v>
      </c>
      <c r="T255" s="1">
        <v>17043</v>
      </c>
      <c r="U255" s="1">
        <v>41051</v>
      </c>
      <c r="V255" s="1">
        <v>0</v>
      </c>
      <c r="W255" s="1">
        <v>1</v>
      </c>
    </row>
    <row r="256">
      <c r="A256" s="1">
        <v>2017</v>
      </c>
      <c r="B256" s="1">
        <v>17</v>
      </c>
      <c r="C256" t="s">
        <v>19</v>
      </c>
      <c r="D256" s="1">
        <v>97</v>
      </c>
      <c r="E256" t="s">
        <v>232</v>
      </c>
      <c r="F256" s="1">
        <v>41</v>
      </c>
      <c r="G256" t="s">
        <v>3</v>
      </c>
      <c r="H256" s="1">
        <v>51</v>
      </c>
      <c r="I256" t="s">
        <v>6</v>
      </c>
      <c r="J256" s="1">
        <v>30</v>
      </c>
      <c r="K256" s="1">
        <v>49</v>
      </c>
      <c r="L256" s="1">
        <v>2634</v>
      </c>
      <c r="M256" s="1">
        <v>23108</v>
      </c>
      <c r="N256" s="1">
        <v>44145</v>
      </c>
      <c r="O256" s="1">
        <v>2594552</v>
      </c>
      <c r="P256" s="1">
        <v>280076</v>
      </c>
      <c r="Q256" s="1">
        <v>648345</v>
      </c>
      <c r="R256" s="1">
        <v>36497336</v>
      </c>
      <c r="S256" s="1">
        <v>17097</v>
      </c>
      <c r="T256" s="1">
        <v>17097</v>
      </c>
      <c r="U256" s="1">
        <v>41051</v>
      </c>
      <c r="V256" s="1">
        <v>0</v>
      </c>
      <c r="W256" s="1">
        <v>1</v>
      </c>
    </row>
    <row r="257">
      <c r="A257" s="1">
        <v>2017</v>
      </c>
      <c r="B257" s="1">
        <v>18</v>
      </c>
      <c r="C257" t="s">
        <v>20</v>
      </c>
      <c r="D257" s="1">
        <v>97</v>
      </c>
      <c r="E257" t="s">
        <v>99</v>
      </c>
      <c r="F257" s="1">
        <v>41</v>
      </c>
      <c r="G257" t="s">
        <v>3</v>
      </c>
      <c r="H257" s="1">
        <v>51</v>
      </c>
      <c r="I257" t="s">
        <v>6</v>
      </c>
      <c r="J257" s="1">
        <v>72</v>
      </c>
      <c r="K257" s="1">
        <v>95</v>
      </c>
      <c r="L257" s="1">
        <v>4084</v>
      </c>
      <c r="M257" s="1">
        <v>35946</v>
      </c>
      <c r="N257" s="1">
        <v>65874</v>
      </c>
      <c r="O257" s="1">
        <v>2101265</v>
      </c>
      <c r="P257" s="1">
        <v>376899</v>
      </c>
      <c r="Q257" s="1">
        <v>769580</v>
      </c>
      <c r="R257" s="1">
        <v>22634272</v>
      </c>
      <c r="S257" s="1">
        <v>18097</v>
      </c>
      <c r="T257" s="1">
        <v>18097</v>
      </c>
      <c r="U257" s="1">
        <v>41051</v>
      </c>
      <c r="V257" s="1">
        <v>0</v>
      </c>
      <c r="W257" s="1">
        <v>1</v>
      </c>
    </row>
    <row r="258">
      <c r="A258" s="1">
        <v>2017</v>
      </c>
      <c r="B258" s="1">
        <v>18</v>
      </c>
      <c r="C258" t="s">
        <v>20</v>
      </c>
      <c r="D258" s="1">
        <v>105</v>
      </c>
      <c r="E258" t="s">
        <v>203</v>
      </c>
      <c r="F258" s="1">
        <v>41</v>
      </c>
      <c r="G258" t="s">
        <v>3</v>
      </c>
      <c r="H258" s="1">
        <v>51</v>
      </c>
      <c r="I258" t="s">
        <v>6</v>
      </c>
      <c r="J258" s="1">
        <v>22</v>
      </c>
      <c r="K258" s="1">
        <v>30</v>
      </c>
      <c r="L258" s="1">
        <v>898</v>
      </c>
      <c r="M258" s="1">
        <v>6129</v>
      </c>
      <c r="N258" s="1">
        <v>9810</v>
      </c>
      <c r="O258" s="1">
        <v>299523</v>
      </c>
      <c r="P258" s="1">
        <v>48343</v>
      </c>
      <c r="Q258" s="1">
        <v>91873</v>
      </c>
      <c r="R258" s="1">
        <v>3273672</v>
      </c>
      <c r="S258" s="1">
        <v>18105</v>
      </c>
      <c r="T258" s="1">
        <v>18105</v>
      </c>
      <c r="U258" s="1">
        <v>41051</v>
      </c>
      <c r="V258" s="1">
        <v>0</v>
      </c>
      <c r="W258" s="1">
        <v>1</v>
      </c>
    </row>
    <row r="259">
      <c r="A259" s="1">
        <v>2017</v>
      </c>
      <c r="B259" s="1">
        <v>19</v>
      </c>
      <c r="C259" t="s">
        <v>21</v>
      </c>
      <c r="D259" s="1">
        <v>103</v>
      </c>
      <c r="E259" t="s">
        <v>188</v>
      </c>
      <c r="F259" s="1">
        <v>41</v>
      </c>
      <c r="G259" t="s">
        <v>3</v>
      </c>
      <c r="H259" s="1">
        <v>51</v>
      </c>
      <c r="I259" t="s">
        <v>6</v>
      </c>
      <c r="J259" s="1">
        <v>24</v>
      </c>
      <c r="K259" s="1">
        <v>35</v>
      </c>
      <c r="L259" s="1">
        <v>1694</v>
      </c>
      <c r="M259" s="1">
        <v>6973</v>
      </c>
      <c r="N259" s="1">
        <v>11674</v>
      </c>
      <c r="O259" s="1">
        <v>397838</v>
      </c>
      <c r="P259" s="1">
        <v>54613</v>
      </c>
      <c r="Q259" s="1">
        <v>110094</v>
      </c>
      <c r="R259" s="1">
        <v>4462922</v>
      </c>
      <c r="S259" s="1">
        <v>19103</v>
      </c>
      <c r="T259" s="1">
        <v>19103</v>
      </c>
      <c r="U259" s="1">
        <v>41051</v>
      </c>
      <c r="V259" s="1">
        <v>0</v>
      </c>
      <c r="W259" s="1">
        <v>1</v>
      </c>
    </row>
    <row r="260">
      <c r="A260" s="1">
        <v>2017</v>
      </c>
      <c r="B260" s="1">
        <v>19</v>
      </c>
      <c r="C260" t="s">
        <v>21</v>
      </c>
      <c r="D260" s="1">
        <v>153</v>
      </c>
      <c r="E260" t="s">
        <v>100</v>
      </c>
      <c r="F260" s="1">
        <v>41</v>
      </c>
      <c r="G260" t="s">
        <v>3</v>
      </c>
      <c r="H260" s="1">
        <v>51</v>
      </c>
      <c r="I260" t="s">
        <v>6</v>
      </c>
      <c r="J260" s="1">
        <v>23</v>
      </c>
      <c r="K260" s="1">
        <v>38</v>
      </c>
      <c r="L260" s="1">
        <v>1222</v>
      </c>
      <c r="M260" s="1">
        <v>15779</v>
      </c>
      <c r="N260" s="1">
        <v>29696</v>
      </c>
      <c r="O260" s="1">
        <v>1009746</v>
      </c>
      <c r="P260" s="1">
        <v>189646</v>
      </c>
      <c r="Q260" s="1">
        <v>405249</v>
      </c>
      <c r="R260" s="1">
        <v>14995119</v>
      </c>
      <c r="S260" s="1">
        <v>19153</v>
      </c>
      <c r="T260" s="1">
        <v>19153</v>
      </c>
      <c r="U260" s="1">
        <v>41051</v>
      </c>
      <c r="V260" s="1">
        <v>0</v>
      </c>
      <c r="W260" s="1">
        <v>1</v>
      </c>
    </row>
    <row r="261">
      <c r="A261" s="1">
        <v>2017</v>
      </c>
      <c r="B261" s="1">
        <v>20</v>
      </c>
      <c r="C261" t="s">
        <v>42</v>
      </c>
      <c r="D261" s="1">
        <v>45</v>
      </c>
      <c r="E261" t="s">
        <v>131</v>
      </c>
      <c r="F261" s="1">
        <v>41</v>
      </c>
      <c r="G261" t="s">
        <v>3</v>
      </c>
      <c r="H261" s="1">
        <v>51</v>
      </c>
      <c r="I261" t="s">
        <v>6</v>
      </c>
      <c r="J261" s="1">
        <v>22</v>
      </c>
      <c r="K261" s="1">
        <v>26</v>
      </c>
      <c r="L261" s="1">
        <v>662</v>
      </c>
      <c r="M261" s="1">
        <v>5403</v>
      </c>
      <c r="N261" s="1">
        <v>9061</v>
      </c>
      <c r="O261" s="1">
        <v>274392</v>
      </c>
      <c r="P261" s="1">
        <v>42610</v>
      </c>
      <c r="Q261" s="1">
        <v>83342</v>
      </c>
      <c r="R261" s="1">
        <v>2992672</v>
      </c>
      <c r="S261" s="1">
        <v>20045</v>
      </c>
      <c r="T261" s="1">
        <v>20045</v>
      </c>
      <c r="U261" s="1">
        <v>41051</v>
      </c>
      <c r="V261" s="1">
        <v>0</v>
      </c>
      <c r="W261" s="1">
        <v>1</v>
      </c>
    </row>
    <row r="262">
      <c r="A262" s="1">
        <v>2017</v>
      </c>
      <c r="B262" s="1">
        <v>20</v>
      </c>
      <c r="C262" t="s">
        <v>42</v>
      </c>
      <c r="D262" s="1">
        <v>91</v>
      </c>
      <c r="E262" t="s">
        <v>188</v>
      </c>
      <c r="F262" s="1">
        <v>41</v>
      </c>
      <c r="G262" t="s">
        <v>3</v>
      </c>
      <c r="H262" s="1">
        <v>51</v>
      </c>
      <c r="I262" t="s">
        <v>6</v>
      </c>
      <c r="J262" s="1">
        <v>37</v>
      </c>
      <c r="K262" s="1">
        <v>52</v>
      </c>
      <c r="L262" s="1">
        <v>2203</v>
      </c>
      <c r="M262" s="1">
        <v>21386</v>
      </c>
      <c r="N262" s="1">
        <v>39754</v>
      </c>
      <c r="O262" s="1">
        <v>1646850</v>
      </c>
      <c r="P262" s="1">
        <v>236556</v>
      </c>
      <c r="Q262" s="1">
        <v>522634</v>
      </c>
      <c r="R262" s="1">
        <v>26073476</v>
      </c>
      <c r="S262" s="1">
        <v>20091</v>
      </c>
      <c r="T262" s="1">
        <v>20091</v>
      </c>
      <c r="U262" s="1">
        <v>41051</v>
      </c>
      <c r="V262" s="1">
        <v>0</v>
      </c>
      <c r="W262" s="1">
        <v>1</v>
      </c>
    </row>
    <row r="263">
      <c r="A263" s="1">
        <v>2017</v>
      </c>
      <c r="B263" s="1">
        <v>20</v>
      </c>
      <c r="C263" t="s">
        <v>42</v>
      </c>
      <c r="D263" s="1">
        <v>173</v>
      </c>
      <c r="E263" t="s">
        <v>352</v>
      </c>
      <c r="F263" s="1">
        <v>41</v>
      </c>
      <c r="G263" t="s">
        <v>3</v>
      </c>
      <c r="H263" s="1">
        <v>51</v>
      </c>
      <c r="I263" t="s">
        <v>6</v>
      </c>
      <c r="J263" s="1">
        <v>22</v>
      </c>
      <c r="K263" s="1">
        <v>31</v>
      </c>
      <c r="L263" s="1">
        <v>616</v>
      </c>
      <c r="M263" s="1">
        <v>13476</v>
      </c>
      <c r="N263" s="1">
        <v>26993</v>
      </c>
      <c r="O263" s="1">
        <v>764959</v>
      </c>
      <c r="P263" s="1">
        <v>195165</v>
      </c>
      <c r="Q263" s="1">
        <v>425086</v>
      </c>
      <c r="R263" s="1">
        <v>13526784</v>
      </c>
      <c r="S263" s="1">
        <v>20173</v>
      </c>
      <c r="T263" s="1">
        <v>20173</v>
      </c>
      <c r="U263" s="1">
        <v>41051</v>
      </c>
      <c r="V263" s="1">
        <v>0</v>
      </c>
      <c r="W263" s="1">
        <v>1</v>
      </c>
    </row>
    <row r="264">
      <c r="A264" s="1">
        <v>2017</v>
      </c>
      <c r="B264" s="1">
        <v>21</v>
      </c>
      <c r="C264" t="s">
        <v>43</v>
      </c>
      <c r="D264" s="1">
        <v>111</v>
      </c>
      <c r="E264" t="s">
        <v>83</v>
      </c>
      <c r="F264" s="1">
        <v>41</v>
      </c>
      <c r="G264" t="s">
        <v>3</v>
      </c>
      <c r="H264" s="1">
        <v>51</v>
      </c>
      <c r="I264" t="s">
        <v>6</v>
      </c>
      <c r="J264" s="1">
        <v>29</v>
      </c>
      <c r="K264" s="1">
        <v>42</v>
      </c>
      <c r="L264" s="1">
        <v>1845</v>
      </c>
      <c r="M264" s="1">
        <v>22352</v>
      </c>
      <c r="N264" s="1">
        <v>42730</v>
      </c>
      <c r="O264" s="1">
        <v>1353014</v>
      </c>
      <c r="P264" s="1">
        <v>308787</v>
      </c>
      <c r="Q264" s="1">
        <v>613150</v>
      </c>
      <c r="R264" s="1">
        <v>21628280</v>
      </c>
      <c r="S264" s="1">
        <v>21111</v>
      </c>
      <c r="T264" s="1">
        <v>21111</v>
      </c>
      <c r="U264" s="1">
        <v>41051</v>
      </c>
      <c r="V264" s="1">
        <v>0</v>
      </c>
      <c r="W264" s="1">
        <v>1</v>
      </c>
    </row>
    <row r="265">
      <c r="A265" s="1">
        <v>2017</v>
      </c>
      <c r="B265" s="1">
        <v>22</v>
      </c>
      <c r="C265" t="s">
        <v>22</v>
      </c>
      <c r="D265" s="1">
        <v>71</v>
      </c>
      <c r="E265" t="s">
        <v>101</v>
      </c>
      <c r="F265" s="1">
        <v>41</v>
      </c>
      <c r="G265" t="s">
        <v>3</v>
      </c>
      <c r="H265" s="1">
        <v>51</v>
      </c>
      <c r="I265" t="s">
        <v>6</v>
      </c>
      <c r="J265" s="1">
        <v>46</v>
      </c>
      <c r="K265" s="1">
        <v>59</v>
      </c>
      <c r="L265" s="1">
        <v>2399</v>
      </c>
      <c r="M265" s="1">
        <v>14646</v>
      </c>
      <c r="N265" s="1">
        <v>25365</v>
      </c>
      <c r="O265" s="1">
        <v>776553</v>
      </c>
      <c r="P265" s="1">
        <v>131239</v>
      </c>
      <c r="Q265" s="1">
        <v>249067</v>
      </c>
      <c r="R265" s="1">
        <v>8363756</v>
      </c>
      <c r="S265" s="1">
        <v>22071</v>
      </c>
      <c r="T265" s="1">
        <v>22071</v>
      </c>
      <c r="U265" s="1">
        <v>41051</v>
      </c>
      <c r="V265" s="1">
        <v>0</v>
      </c>
      <c r="W265" s="1">
        <v>1</v>
      </c>
    </row>
    <row r="266">
      <c r="A266" s="1">
        <v>2017</v>
      </c>
      <c r="B266" s="1">
        <v>23</v>
      </c>
      <c r="C266" t="s">
        <v>23</v>
      </c>
      <c r="D266" s="1">
        <v>5</v>
      </c>
      <c r="E266" t="s">
        <v>102</v>
      </c>
      <c r="F266" s="1">
        <v>41</v>
      </c>
      <c r="G266" t="s">
        <v>3</v>
      </c>
      <c r="H266" s="1">
        <v>51</v>
      </c>
      <c r="I266" t="s">
        <v>6</v>
      </c>
      <c r="J266" s="1">
        <v>34</v>
      </c>
      <c r="K266" s="1">
        <v>44</v>
      </c>
      <c r="L266" s="1">
        <v>3210</v>
      </c>
      <c r="M266" s="1">
        <v>10472</v>
      </c>
      <c r="N266" s="1">
        <v>17008</v>
      </c>
      <c r="O266" s="1">
        <v>616380</v>
      </c>
      <c r="P266" s="1">
        <v>127194</v>
      </c>
      <c r="Q266" s="1">
        <v>243213</v>
      </c>
      <c r="R266" s="1">
        <v>10501924</v>
      </c>
      <c r="S266" s="1">
        <v>23005</v>
      </c>
      <c r="T266" s="1">
        <v>23005</v>
      </c>
      <c r="U266" s="1">
        <v>41051</v>
      </c>
      <c r="V266" s="1">
        <v>0</v>
      </c>
      <c r="W266" s="1">
        <v>1</v>
      </c>
    </row>
    <row r="267">
      <c r="A267" s="1">
        <v>2017</v>
      </c>
      <c r="B267" s="1">
        <v>24</v>
      </c>
      <c r="C267" t="s">
        <v>24</v>
      </c>
      <c r="D267" s="1">
        <v>5</v>
      </c>
      <c r="E267" t="s">
        <v>284</v>
      </c>
      <c r="F267" s="1">
        <v>41</v>
      </c>
      <c r="G267" t="s">
        <v>3</v>
      </c>
      <c r="H267" s="1">
        <v>51</v>
      </c>
      <c r="I267" t="s">
        <v>6</v>
      </c>
      <c r="J267" s="1">
        <v>30</v>
      </c>
      <c r="K267" s="1">
        <v>45</v>
      </c>
      <c r="L267" s="1">
        <v>2550</v>
      </c>
      <c r="M267" s="1">
        <v>31421</v>
      </c>
      <c r="N267" s="1">
        <v>58245</v>
      </c>
      <c r="O267" s="1">
        <v>2012193</v>
      </c>
      <c r="P267" s="1">
        <v>341014</v>
      </c>
      <c r="Q267" s="1">
        <v>687618</v>
      </c>
      <c r="R267" s="1">
        <v>28912452</v>
      </c>
      <c r="S267" s="1">
        <v>24005</v>
      </c>
      <c r="T267" s="1">
        <v>24005</v>
      </c>
      <c r="U267" s="1">
        <v>41051</v>
      </c>
      <c r="V267" s="1">
        <v>0</v>
      </c>
      <c r="W267" s="1">
        <v>1</v>
      </c>
    </row>
    <row r="268">
      <c r="A268" s="1">
        <v>2017</v>
      </c>
      <c r="B268" s="1">
        <v>24</v>
      </c>
      <c r="C268" t="s">
        <v>24</v>
      </c>
      <c r="D268" s="1">
        <v>27</v>
      </c>
      <c r="E268" t="s">
        <v>353</v>
      </c>
      <c r="F268" s="1">
        <v>41</v>
      </c>
      <c r="G268" t="s">
        <v>3</v>
      </c>
      <c r="H268" s="1">
        <v>51</v>
      </c>
      <c r="I268" t="s">
        <v>6</v>
      </c>
      <c r="J268" s="1">
        <v>23</v>
      </c>
      <c r="K268" s="1">
        <v>32</v>
      </c>
      <c r="L268" s="1">
        <v>1835</v>
      </c>
      <c r="M268" s="1">
        <v>15003</v>
      </c>
      <c r="N268" s="1">
        <v>27641</v>
      </c>
      <c r="O268" s="1">
        <v>1356782</v>
      </c>
      <c r="P268" s="1">
        <v>125460</v>
      </c>
      <c r="Q268" s="1">
        <v>282333</v>
      </c>
      <c r="R268" s="1">
        <v>15294755</v>
      </c>
      <c r="S268" s="1">
        <v>24027</v>
      </c>
      <c r="T268" s="1">
        <v>24027</v>
      </c>
      <c r="U268" s="1">
        <v>41051</v>
      </c>
      <c r="V268" s="1">
        <v>0</v>
      </c>
      <c r="W268" s="1">
        <v>1</v>
      </c>
    </row>
    <row r="269">
      <c r="A269" s="1">
        <v>2017</v>
      </c>
      <c r="B269" s="1">
        <v>24</v>
      </c>
      <c r="C269" t="s">
        <v>24</v>
      </c>
      <c r="D269" s="1">
        <v>31</v>
      </c>
      <c r="E269" t="s">
        <v>103</v>
      </c>
      <c r="F269" s="1">
        <v>41</v>
      </c>
      <c r="G269" t="s">
        <v>3</v>
      </c>
      <c r="H269" s="1">
        <v>51</v>
      </c>
      <c r="I269" t="s">
        <v>6</v>
      </c>
      <c r="J269" s="1">
        <v>61</v>
      </c>
      <c r="K269" s="1">
        <v>95</v>
      </c>
      <c r="L269" s="1">
        <v>4893</v>
      </c>
      <c r="M269" s="1">
        <v>39908</v>
      </c>
      <c r="N269" s="1">
        <v>71055</v>
      </c>
      <c r="O269" s="1">
        <v>3416381</v>
      </c>
      <c r="P269" s="1">
        <v>434566</v>
      </c>
      <c r="Q269" s="1">
        <v>911924</v>
      </c>
      <c r="R269" s="1">
        <v>52502284</v>
      </c>
      <c r="S269" s="1">
        <v>24031</v>
      </c>
      <c r="T269" s="1">
        <v>24031</v>
      </c>
      <c r="U269" s="1">
        <v>41051</v>
      </c>
      <c r="V269" s="1">
        <v>0</v>
      </c>
      <c r="W269" s="1">
        <v>1</v>
      </c>
    </row>
    <row r="270">
      <c r="A270" s="1">
        <v>2017</v>
      </c>
      <c r="B270" s="1">
        <v>24</v>
      </c>
      <c r="C270" t="s">
        <v>24</v>
      </c>
      <c r="D270" s="1">
        <v>510</v>
      </c>
      <c r="E270" t="s">
        <v>190</v>
      </c>
      <c r="F270" s="1">
        <v>41</v>
      </c>
      <c r="G270" t="s">
        <v>3</v>
      </c>
      <c r="H270" s="1">
        <v>51</v>
      </c>
      <c r="I270" t="s">
        <v>6</v>
      </c>
      <c r="J270" s="1">
        <v>56</v>
      </c>
      <c r="K270" s="1">
        <v>85</v>
      </c>
      <c r="L270" s="1">
        <v>4212</v>
      </c>
      <c r="M270" s="1">
        <v>28749</v>
      </c>
      <c r="N270" s="1">
        <v>51682</v>
      </c>
      <c r="O270" s="1">
        <v>1757839</v>
      </c>
      <c r="P270" s="1">
        <v>215639</v>
      </c>
      <c r="Q270" s="1">
        <v>405342</v>
      </c>
      <c r="R270" s="1">
        <v>12766432</v>
      </c>
      <c r="S270" s="1">
        <v>24510</v>
      </c>
      <c r="T270" s="1">
        <v>24510</v>
      </c>
      <c r="U270" s="1">
        <v>41051</v>
      </c>
      <c r="V270" s="1">
        <v>0</v>
      </c>
      <c r="W270" s="1">
        <v>1</v>
      </c>
    </row>
    <row r="271">
      <c r="A271" s="1">
        <v>2017</v>
      </c>
      <c r="B271" s="1">
        <v>25</v>
      </c>
      <c r="C271" t="s">
        <v>25</v>
      </c>
      <c r="D271" s="1">
        <v>15</v>
      </c>
      <c r="E271" t="s">
        <v>191</v>
      </c>
      <c r="F271" s="1">
        <v>41</v>
      </c>
      <c r="G271" t="s">
        <v>3</v>
      </c>
      <c r="H271" s="1">
        <v>51</v>
      </c>
      <c r="I271" t="s">
        <v>6</v>
      </c>
      <c r="J271" s="1">
        <v>29</v>
      </c>
      <c r="K271" s="1">
        <v>42</v>
      </c>
      <c r="L271" s="1">
        <v>1356</v>
      </c>
      <c r="M271" s="1">
        <v>6074</v>
      </c>
      <c r="N271" s="1">
        <v>9133</v>
      </c>
      <c r="O271" s="1">
        <v>327879</v>
      </c>
      <c r="P271" s="1">
        <v>62117</v>
      </c>
      <c r="Q271" s="1">
        <v>115639</v>
      </c>
      <c r="R271" s="1">
        <v>4739379</v>
      </c>
      <c r="S271" s="1">
        <v>25015</v>
      </c>
      <c r="T271" s="1">
        <v>25015</v>
      </c>
      <c r="U271" s="1">
        <v>41051</v>
      </c>
      <c r="V271" s="1">
        <v>0</v>
      </c>
      <c r="W271" s="1">
        <v>1</v>
      </c>
    </row>
    <row r="272">
      <c r="A272" s="1">
        <v>2017</v>
      </c>
      <c r="B272" s="1">
        <v>25</v>
      </c>
      <c r="C272" t="s">
        <v>25</v>
      </c>
      <c r="D272" s="1">
        <v>17</v>
      </c>
      <c r="E272" t="s">
        <v>104</v>
      </c>
      <c r="F272" s="1">
        <v>41</v>
      </c>
      <c r="G272" t="s">
        <v>3</v>
      </c>
      <c r="H272" s="1">
        <v>51</v>
      </c>
      <c r="I272" t="s">
        <v>6</v>
      </c>
      <c r="J272" s="1">
        <v>160</v>
      </c>
      <c r="K272" s="1">
        <v>222</v>
      </c>
      <c r="L272" s="1">
        <v>15292</v>
      </c>
      <c r="M272" s="1">
        <v>63019</v>
      </c>
      <c r="N272" s="1">
        <v>101843</v>
      </c>
      <c r="O272" s="1">
        <v>5912720</v>
      </c>
      <c r="P272" s="1">
        <v>669369</v>
      </c>
      <c r="Q272" s="1">
        <v>1332324</v>
      </c>
      <c r="R272" s="1">
        <v>84955856</v>
      </c>
      <c r="S272" s="1">
        <v>25017</v>
      </c>
      <c r="T272" s="1">
        <v>25017</v>
      </c>
      <c r="U272" s="1">
        <v>41051</v>
      </c>
      <c r="V272" s="1">
        <v>0</v>
      </c>
      <c r="W272" s="1">
        <v>1</v>
      </c>
    </row>
    <row r="273">
      <c r="A273" s="1">
        <v>2017</v>
      </c>
      <c r="B273" s="1">
        <v>25</v>
      </c>
      <c r="C273" t="s">
        <v>25</v>
      </c>
      <c r="D273" s="1">
        <v>21</v>
      </c>
      <c r="E273" t="s">
        <v>192</v>
      </c>
      <c r="F273" s="1">
        <v>41</v>
      </c>
      <c r="G273" t="s">
        <v>3</v>
      </c>
      <c r="H273" s="1">
        <v>51</v>
      </c>
      <c r="I273" t="s">
        <v>6</v>
      </c>
      <c r="J273" s="1">
        <v>52</v>
      </c>
      <c r="K273" s="1">
        <v>74</v>
      </c>
      <c r="L273" s="1">
        <v>5075</v>
      </c>
      <c r="M273" s="1">
        <v>30143</v>
      </c>
      <c r="N273" s="1">
        <v>49816</v>
      </c>
      <c r="O273" s="1">
        <v>2943786</v>
      </c>
      <c r="P273" s="1">
        <v>291716</v>
      </c>
      <c r="Q273" s="1">
        <v>603297</v>
      </c>
      <c r="R273" s="1">
        <v>41752676</v>
      </c>
      <c r="S273" s="1">
        <v>25021</v>
      </c>
      <c r="T273" s="1">
        <v>25021</v>
      </c>
      <c r="U273" s="1">
        <v>41051</v>
      </c>
      <c r="V273" s="1">
        <v>0</v>
      </c>
      <c r="W273" s="1">
        <v>1</v>
      </c>
    </row>
    <row r="274">
      <c r="A274" s="1">
        <v>2017</v>
      </c>
      <c r="B274" s="1">
        <v>25</v>
      </c>
      <c r="C274" t="s">
        <v>25</v>
      </c>
      <c r="D274" s="1">
        <v>25</v>
      </c>
      <c r="E274" t="s">
        <v>105</v>
      </c>
      <c r="F274" s="1">
        <v>41</v>
      </c>
      <c r="G274" t="s">
        <v>3</v>
      </c>
      <c r="H274" s="1">
        <v>51</v>
      </c>
      <c r="I274" t="s">
        <v>6</v>
      </c>
      <c r="J274" s="1">
        <v>118</v>
      </c>
      <c r="K274" s="1">
        <v>148</v>
      </c>
      <c r="L274" s="1">
        <v>10323</v>
      </c>
      <c r="M274" s="1">
        <v>47701</v>
      </c>
      <c r="N274" s="1">
        <v>71698</v>
      </c>
      <c r="O274" s="1">
        <v>4114664</v>
      </c>
      <c r="P274" s="1">
        <v>325102</v>
      </c>
      <c r="Q274" s="1">
        <v>553146</v>
      </c>
      <c r="R274" s="1">
        <v>32640530</v>
      </c>
      <c r="S274" s="1">
        <v>25025</v>
      </c>
      <c r="T274" s="1">
        <v>25025</v>
      </c>
      <c r="U274" s="1">
        <v>41051</v>
      </c>
      <c r="V274" s="1">
        <v>0</v>
      </c>
      <c r="W274" s="1">
        <v>1</v>
      </c>
    </row>
    <row r="275">
      <c r="A275" s="1">
        <v>2017</v>
      </c>
      <c r="B275" s="1">
        <v>25</v>
      </c>
      <c r="C275" t="s">
        <v>25</v>
      </c>
      <c r="D275" s="1">
        <v>27</v>
      </c>
      <c r="E275" t="s">
        <v>354</v>
      </c>
      <c r="F275" s="1">
        <v>41</v>
      </c>
      <c r="G275" t="s">
        <v>3</v>
      </c>
      <c r="H275" s="1">
        <v>51</v>
      </c>
      <c r="I275" t="s">
        <v>6</v>
      </c>
      <c r="J275" s="1">
        <v>26</v>
      </c>
      <c r="K275" s="1">
        <v>38</v>
      </c>
      <c r="L275" s="1">
        <v>1484</v>
      </c>
      <c r="M275" s="1">
        <v>19013</v>
      </c>
      <c r="N275" s="1">
        <v>32885</v>
      </c>
      <c r="O275" s="1">
        <v>1428181</v>
      </c>
      <c r="P275" s="1">
        <v>330335</v>
      </c>
      <c r="Q275" s="1">
        <v>677254</v>
      </c>
      <c r="R275" s="1">
        <v>27106486</v>
      </c>
      <c r="S275" s="1">
        <v>25027</v>
      </c>
      <c r="T275" s="1">
        <v>25027</v>
      </c>
      <c r="U275" s="1">
        <v>41051</v>
      </c>
      <c r="V275" s="1">
        <v>0</v>
      </c>
      <c r="W275" s="1">
        <v>1</v>
      </c>
    </row>
    <row r="276">
      <c r="A276" s="1">
        <v>2017</v>
      </c>
      <c r="B276" s="1">
        <v>26</v>
      </c>
      <c r="C276" t="s">
        <v>26</v>
      </c>
      <c r="D276" s="1">
        <v>65</v>
      </c>
      <c r="E276" t="s">
        <v>355</v>
      </c>
      <c r="F276" s="1">
        <v>41</v>
      </c>
      <c r="G276" t="s">
        <v>3</v>
      </c>
      <c r="H276" s="1">
        <v>51</v>
      </c>
      <c r="I276" t="s">
        <v>6</v>
      </c>
      <c r="J276" s="1">
        <v>23</v>
      </c>
      <c r="K276" s="1">
        <v>29</v>
      </c>
      <c r="L276" s="1">
        <v>1250</v>
      </c>
      <c r="M276" s="1">
        <v>11766</v>
      </c>
      <c r="N276" s="1">
        <v>20516</v>
      </c>
      <c r="O276" s="1">
        <v>602751</v>
      </c>
      <c r="P276" s="1">
        <v>103687</v>
      </c>
      <c r="Q276" s="1">
        <v>204958</v>
      </c>
      <c r="R276" s="1">
        <v>6746943</v>
      </c>
      <c r="S276" s="1">
        <v>26065</v>
      </c>
      <c r="T276" s="1">
        <v>26065</v>
      </c>
      <c r="U276" s="1">
        <v>41051</v>
      </c>
      <c r="V276" s="1">
        <v>0</v>
      </c>
      <c r="W276" s="1">
        <v>1</v>
      </c>
    </row>
    <row r="277">
      <c r="A277" s="1">
        <v>2017</v>
      </c>
      <c r="B277" s="1">
        <v>26</v>
      </c>
      <c r="C277" t="s">
        <v>26</v>
      </c>
      <c r="D277" s="1">
        <v>81</v>
      </c>
      <c r="E277" t="s">
        <v>193</v>
      </c>
      <c r="F277" s="1">
        <v>41</v>
      </c>
      <c r="G277" t="s">
        <v>3</v>
      </c>
      <c r="H277" s="1">
        <v>51</v>
      </c>
      <c r="I277" t="s">
        <v>6</v>
      </c>
      <c r="J277" s="1">
        <v>38</v>
      </c>
      <c r="K277" s="1">
        <v>45</v>
      </c>
      <c r="L277" s="1">
        <v>2224</v>
      </c>
      <c r="M277" s="1">
        <v>18367</v>
      </c>
      <c r="N277" s="1">
        <v>34593</v>
      </c>
      <c r="O277" s="1">
        <v>1022159</v>
      </c>
      <c r="P277" s="1">
        <v>252713</v>
      </c>
      <c r="Q277" s="1">
        <v>543596</v>
      </c>
      <c r="R277" s="1">
        <v>18768868</v>
      </c>
      <c r="S277" s="1">
        <v>26081</v>
      </c>
      <c r="T277" s="1">
        <v>26081</v>
      </c>
      <c r="U277" s="1">
        <v>41051</v>
      </c>
      <c r="V277" s="1">
        <v>0</v>
      </c>
      <c r="W277" s="1">
        <v>1</v>
      </c>
    </row>
    <row r="278">
      <c r="A278" s="1">
        <v>2017</v>
      </c>
      <c r="B278" s="1">
        <v>26</v>
      </c>
      <c r="C278" t="s">
        <v>26</v>
      </c>
      <c r="D278" s="1">
        <v>125</v>
      </c>
      <c r="E278" t="s">
        <v>194</v>
      </c>
      <c r="F278" s="1">
        <v>41</v>
      </c>
      <c r="G278" t="s">
        <v>3</v>
      </c>
      <c r="H278" s="1">
        <v>51</v>
      </c>
      <c r="I278" t="s">
        <v>6</v>
      </c>
      <c r="J278" s="1">
        <v>58</v>
      </c>
      <c r="K278" s="1">
        <v>72</v>
      </c>
      <c r="L278" s="1">
        <v>3473</v>
      </c>
      <c r="M278" s="1">
        <v>42258</v>
      </c>
      <c r="N278" s="1">
        <v>75278</v>
      </c>
      <c r="O278" s="1">
        <v>3125457</v>
      </c>
      <c r="P278" s="1">
        <v>520790</v>
      </c>
      <c r="Q278" s="1">
        <v>1070551</v>
      </c>
      <c r="R278" s="1">
        <v>53341408</v>
      </c>
      <c r="S278" s="1">
        <v>26125</v>
      </c>
      <c r="T278" s="1">
        <v>26125</v>
      </c>
      <c r="U278" s="1">
        <v>41051</v>
      </c>
      <c r="V278" s="1">
        <v>0</v>
      </c>
      <c r="W278" s="1">
        <v>1</v>
      </c>
    </row>
    <row r="279">
      <c r="A279" s="1">
        <v>2017</v>
      </c>
      <c r="B279" s="1">
        <v>26</v>
      </c>
      <c r="C279" t="s">
        <v>26</v>
      </c>
      <c r="D279" s="1">
        <v>161</v>
      </c>
      <c r="E279" t="s">
        <v>106</v>
      </c>
      <c r="F279" s="1">
        <v>41</v>
      </c>
      <c r="G279" t="s">
        <v>3</v>
      </c>
      <c r="H279" s="1">
        <v>51</v>
      </c>
      <c r="I279" t="s">
        <v>6</v>
      </c>
      <c r="J279" s="1">
        <v>56</v>
      </c>
      <c r="K279" s="1">
        <v>87</v>
      </c>
      <c r="L279" s="1">
        <v>4278</v>
      </c>
      <c r="M279" s="1">
        <v>16526</v>
      </c>
      <c r="N279" s="1">
        <v>26969</v>
      </c>
      <c r="O279" s="1">
        <v>1182795</v>
      </c>
      <c r="P279" s="1">
        <v>138446</v>
      </c>
      <c r="Q279" s="1">
        <v>274876</v>
      </c>
      <c r="R279" s="1">
        <v>12667087</v>
      </c>
      <c r="S279" s="1">
        <v>26161</v>
      </c>
      <c r="T279" s="1">
        <v>26161</v>
      </c>
      <c r="U279" s="1">
        <v>41051</v>
      </c>
      <c r="V279" s="1">
        <v>0</v>
      </c>
      <c r="W279" s="1">
        <v>1</v>
      </c>
    </row>
    <row r="280">
      <c r="A280" s="1">
        <v>2017</v>
      </c>
      <c r="B280" s="1">
        <v>26</v>
      </c>
      <c r="C280" t="s">
        <v>26</v>
      </c>
      <c r="D280" s="1">
        <v>163</v>
      </c>
      <c r="E280" t="s">
        <v>195</v>
      </c>
      <c r="F280" s="1">
        <v>41</v>
      </c>
      <c r="G280" t="s">
        <v>3</v>
      </c>
      <c r="H280" s="1">
        <v>51</v>
      </c>
      <c r="I280" t="s">
        <v>6</v>
      </c>
      <c r="J280" s="1">
        <v>32</v>
      </c>
      <c r="K280" s="1">
        <v>40</v>
      </c>
      <c r="L280" s="1">
        <v>2419</v>
      </c>
      <c r="M280" s="1">
        <v>40323</v>
      </c>
      <c r="N280" s="1">
        <v>75016</v>
      </c>
      <c r="O280" s="1">
        <v>2303993</v>
      </c>
      <c r="P280" s="1">
        <v>646587</v>
      </c>
      <c r="Q280" s="1">
        <v>1337320</v>
      </c>
      <c r="R280" s="1">
        <v>38796320</v>
      </c>
      <c r="S280" s="1">
        <v>26163</v>
      </c>
      <c r="T280" s="1">
        <v>26163</v>
      </c>
      <c r="U280" s="1">
        <v>41051</v>
      </c>
      <c r="V280" s="1">
        <v>0</v>
      </c>
      <c r="W280" s="1">
        <v>1</v>
      </c>
    </row>
    <row r="281">
      <c r="A281" s="1">
        <v>2017</v>
      </c>
      <c r="B281" s="1">
        <v>27</v>
      </c>
      <c r="C281" t="s">
        <v>27</v>
      </c>
      <c r="D281" s="1">
        <v>53</v>
      </c>
      <c r="E281" t="s">
        <v>107</v>
      </c>
      <c r="F281" s="1">
        <v>41</v>
      </c>
      <c r="G281" t="s">
        <v>3</v>
      </c>
      <c r="H281" s="1">
        <v>51</v>
      </c>
      <c r="I281" t="s">
        <v>6</v>
      </c>
      <c r="J281" s="1">
        <v>174</v>
      </c>
      <c r="K281" s="1">
        <v>228</v>
      </c>
      <c r="L281" s="1">
        <v>10037</v>
      </c>
      <c r="M281" s="1">
        <v>52206</v>
      </c>
      <c r="N281" s="1">
        <v>90484</v>
      </c>
      <c r="O281" s="1">
        <v>3721094</v>
      </c>
      <c r="P281" s="1">
        <v>535402</v>
      </c>
      <c r="Q281" s="1">
        <v>1060971</v>
      </c>
      <c r="R281" s="1">
        <v>55136128</v>
      </c>
      <c r="S281" s="1">
        <v>27053</v>
      </c>
      <c r="T281" s="1">
        <v>27053</v>
      </c>
      <c r="U281" s="1">
        <v>41051</v>
      </c>
      <c r="V281" s="1">
        <v>0</v>
      </c>
      <c r="W281" s="1">
        <v>1</v>
      </c>
    </row>
    <row r="282">
      <c r="A282" s="1">
        <v>2017</v>
      </c>
      <c r="B282" s="1">
        <v>27</v>
      </c>
      <c r="C282" t="s">
        <v>27</v>
      </c>
      <c r="D282" s="1">
        <v>123</v>
      </c>
      <c r="E282" t="s">
        <v>108</v>
      </c>
      <c r="F282" s="1">
        <v>41</v>
      </c>
      <c r="G282" t="s">
        <v>3</v>
      </c>
      <c r="H282" s="1">
        <v>51</v>
      </c>
      <c r="I282" t="s">
        <v>6</v>
      </c>
      <c r="J282" s="1">
        <v>57</v>
      </c>
      <c r="K282" s="1">
        <v>79</v>
      </c>
      <c r="L282" s="1">
        <v>2883</v>
      </c>
      <c r="M282" s="1">
        <v>28102</v>
      </c>
      <c r="N282" s="1">
        <v>49171</v>
      </c>
      <c r="O282" s="1">
        <v>1652500</v>
      </c>
      <c r="P282" s="1">
        <v>224583</v>
      </c>
      <c r="Q282" s="1">
        <v>447896</v>
      </c>
      <c r="R282" s="1">
        <v>16714578</v>
      </c>
      <c r="S282" s="1">
        <v>27123</v>
      </c>
      <c r="T282" s="1">
        <v>27123</v>
      </c>
      <c r="U282" s="1">
        <v>41051</v>
      </c>
      <c r="V282" s="1">
        <v>0</v>
      </c>
      <c r="W282" s="1">
        <v>1</v>
      </c>
    </row>
    <row r="283">
      <c r="A283" s="1">
        <v>2017</v>
      </c>
      <c r="B283" s="1">
        <v>29</v>
      </c>
      <c r="C283" t="s">
        <v>44</v>
      </c>
      <c r="D283" s="1">
        <v>77</v>
      </c>
      <c r="E283" t="s">
        <v>196</v>
      </c>
      <c r="F283" s="1">
        <v>41</v>
      </c>
      <c r="G283" t="s">
        <v>3</v>
      </c>
      <c r="H283" s="1">
        <v>51</v>
      </c>
      <c r="I283" t="s">
        <v>6</v>
      </c>
      <c r="J283" s="1">
        <v>30</v>
      </c>
      <c r="K283" s="1">
        <v>32</v>
      </c>
      <c r="L283" s="1">
        <v>867</v>
      </c>
      <c r="M283" s="1">
        <v>10455</v>
      </c>
      <c r="N283" s="1">
        <v>19806</v>
      </c>
      <c r="O283" s="1">
        <v>487563</v>
      </c>
      <c r="P283" s="1">
        <v>107843</v>
      </c>
      <c r="Q283" s="1">
        <v>218159</v>
      </c>
      <c r="R283" s="1">
        <v>6880096</v>
      </c>
      <c r="S283" s="1">
        <v>29077</v>
      </c>
      <c r="T283" s="1">
        <v>29077</v>
      </c>
      <c r="U283" s="1">
        <v>41051</v>
      </c>
      <c r="V283" s="1">
        <v>0</v>
      </c>
      <c r="W283" s="1">
        <v>1</v>
      </c>
    </row>
    <row r="284">
      <c r="A284" s="1">
        <v>2017</v>
      </c>
      <c r="B284" s="1">
        <v>29</v>
      </c>
      <c r="C284" t="s">
        <v>44</v>
      </c>
      <c r="D284" s="1">
        <v>95</v>
      </c>
      <c r="E284" t="s">
        <v>133</v>
      </c>
      <c r="F284" s="1">
        <v>41</v>
      </c>
      <c r="G284" t="s">
        <v>3</v>
      </c>
      <c r="H284" s="1">
        <v>51</v>
      </c>
      <c r="I284" t="s">
        <v>6</v>
      </c>
      <c r="J284" s="1">
        <v>35</v>
      </c>
      <c r="K284" s="1">
        <v>47</v>
      </c>
      <c r="L284" s="1">
        <v>1600</v>
      </c>
      <c r="M284" s="1">
        <v>24398</v>
      </c>
      <c r="N284" s="1">
        <v>43771</v>
      </c>
      <c r="O284" s="1">
        <v>1463434</v>
      </c>
      <c r="P284" s="1">
        <v>269922</v>
      </c>
      <c r="Q284" s="1">
        <v>541516</v>
      </c>
      <c r="R284" s="1">
        <v>17104052</v>
      </c>
      <c r="S284" s="1">
        <v>29095</v>
      </c>
      <c r="T284" s="1">
        <v>29095</v>
      </c>
      <c r="U284" s="1">
        <v>41051</v>
      </c>
      <c r="V284" s="1">
        <v>0</v>
      </c>
      <c r="W284" s="1">
        <v>1</v>
      </c>
    </row>
    <row r="285">
      <c r="A285" s="1">
        <v>2017</v>
      </c>
      <c r="B285" s="1">
        <v>29</v>
      </c>
      <c r="C285" t="s">
        <v>44</v>
      </c>
      <c r="D285" s="1">
        <v>189</v>
      </c>
      <c r="E285" t="s">
        <v>197</v>
      </c>
      <c r="F285" s="1">
        <v>41</v>
      </c>
      <c r="G285" t="s">
        <v>3</v>
      </c>
      <c r="H285" s="1">
        <v>51</v>
      </c>
      <c r="I285" t="s">
        <v>6</v>
      </c>
      <c r="J285" s="1">
        <v>49</v>
      </c>
      <c r="K285" s="1">
        <v>74</v>
      </c>
      <c r="L285" s="1">
        <v>2206</v>
      </c>
      <c r="M285" s="1">
        <v>34676</v>
      </c>
      <c r="N285" s="1">
        <v>63880</v>
      </c>
      <c r="O285" s="1">
        <v>2393031</v>
      </c>
      <c r="P285" s="1">
        <v>413880</v>
      </c>
      <c r="Q285" s="1">
        <v>845120</v>
      </c>
      <c r="R285" s="1">
        <v>40318360</v>
      </c>
      <c r="S285" s="1">
        <v>29189</v>
      </c>
      <c r="T285" s="1">
        <v>29189</v>
      </c>
      <c r="U285" s="1">
        <v>41051</v>
      </c>
      <c r="V285" s="1">
        <v>0</v>
      </c>
      <c r="W285" s="1">
        <v>1</v>
      </c>
    </row>
    <row r="286">
      <c r="A286" s="1">
        <v>2017</v>
      </c>
      <c r="B286" s="1">
        <v>29</v>
      </c>
      <c r="C286" t="s">
        <v>44</v>
      </c>
      <c r="D286" s="1">
        <v>510</v>
      </c>
      <c r="E286" t="s">
        <v>198</v>
      </c>
      <c r="F286" s="1">
        <v>41</v>
      </c>
      <c r="G286" t="s">
        <v>3</v>
      </c>
      <c r="H286" s="1">
        <v>51</v>
      </c>
      <c r="I286" t="s">
        <v>6</v>
      </c>
      <c r="J286" s="1">
        <v>55</v>
      </c>
      <c r="K286" s="1">
        <v>69</v>
      </c>
      <c r="L286" s="1">
        <v>2690</v>
      </c>
      <c r="M286" s="1">
        <v>19231</v>
      </c>
      <c r="N286" s="1">
        <v>33767</v>
      </c>
      <c r="O286" s="1">
        <v>1015923</v>
      </c>
      <c r="P286" s="1">
        <v>120128</v>
      </c>
      <c r="Q286" s="1">
        <v>214992</v>
      </c>
      <c r="R286" s="1">
        <v>6314976</v>
      </c>
      <c r="S286" s="1">
        <v>29510</v>
      </c>
      <c r="T286" s="1">
        <v>29510</v>
      </c>
      <c r="U286" s="1">
        <v>41051</v>
      </c>
      <c r="V286" s="1">
        <v>0</v>
      </c>
      <c r="W286" s="1">
        <v>1</v>
      </c>
    </row>
    <row r="287">
      <c r="A287" s="1">
        <v>2017</v>
      </c>
      <c r="B287" s="1">
        <v>30</v>
      </c>
      <c r="C287" t="s">
        <v>28</v>
      </c>
      <c r="D287" s="1">
        <v>31</v>
      </c>
      <c r="E287" t="s">
        <v>109</v>
      </c>
      <c r="F287" s="1">
        <v>41</v>
      </c>
      <c r="G287" t="s">
        <v>3</v>
      </c>
      <c r="H287" s="1">
        <v>51</v>
      </c>
      <c r="I287" t="s">
        <v>6</v>
      </c>
      <c r="J287" s="1">
        <v>49</v>
      </c>
      <c r="K287" s="1">
        <v>59</v>
      </c>
      <c r="L287" s="1">
        <v>1614</v>
      </c>
      <c r="M287" s="1">
        <v>4945</v>
      </c>
      <c r="N287" s="1">
        <v>8002</v>
      </c>
      <c r="O287" s="1">
        <v>233991</v>
      </c>
      <c r="P287" s="1">
        <v>44561</v>
      </c>
      <c r="Q287" s="1">
        <v>85646</v>
      </c>
      <c r="R287" s="1">
        <v>3350411</v>
      </c>
      <c r="S287" s="1">
        <v>30031</v>
      </c>
      <c r="T287" s="1">
        <v>30031</v>
      </c>
      <c r="U287" s="1">
        <v>41051</v>
      </c>
      <c r="V287" s="1">
        <v>0</v>
      </c>
      <c r="W287" s="1">
        <v>1</v>
      </c>
    </row>
    <row r="288">
      <c r="A288" s="1">
        <v>2017</v>
      </c>
      <c r="B288" s="1">
        <v>30</v>
      </c>
      <c r="C288" t="s">
        <v>28</v>
      </c>
      <c r="D288" s="1">
        <v>63</v>
      </c>
      <c r="E288" t="s">
        <v>110</v>
      </c>
      <c r="F288" s="1">
        <v>41</v>
      </c>
      <c r="G288" t="s">
        <v>3</v>
      </c>
      <c r="H288" s="1">
        <v>51</v>
      </c>
      <c r="I288" t="s">
        <v>6</v>
      </c>
      <c r="J288" s="1">
        <v>73</v>
      </c>
      <c r="K288" s="1">
        <v>93</v>
      </c>
      <c r="L288" s="1">
        <v>2358</v>
      </c>
      <c r="M288" s="1">
        <v>4794</v>
      </c>
      <c r="N288" s="1">
        <v>7961</v>
      </c>
      <c r="O288" s="1">
        <v>198743</v>
      </c>
      <c r="P288" s="1">
        <v>47568</v>
      </c>
      <c r="Q288" s="1">
        <v>89143</v>
      </c>
      <c r="R288" s="1">
        <v>3156952</v>
      </c>
      <c r="S288" s="1">
        <v>30063</v>
      </c>
      <c r="T288" s="1">
        <v>30063</v>
      </c>
      <c r="U288" s="1">
        <v>41051</v>
      </c>
      <c r="V288" s="1">
        <v>0</v>
      </c>
      <c r="W288" s="1">
        <v>1</v>
      </c>
    </row>
    <row r="289">
      <c r="A289" s="1">
        <v>2017</v>
      </c>
      <c r="B289" s="1">
        <v>30</v>
      </c>
      <c r="C289" t="s">
        <v>28</v>
      </c>
      <c r="D289" s="1">
        <v>111</v>
      </c>
      <c r="E289" t="s">
        <v>111</v>
      </c>
      <c r="F289" s="1">
        <v>41</v>
      </c>
      <c r="G289" t="s">
        <v>3</v>
      </c>
      <c r="H289" s="1">
        <v>51</v>
      </c>
      <c r="I289" t="s">
        <v>6</v>
      </c>
      <c r="J289" s="1">
        <v>21</v>
      </c>
      <c r="K289" s="1">
        <v>32</v>
      </c>
      <c r="L289" s="1">
        <v>890</v>
      </c>
      <c r="M289" s="1">
        <v>4813</v>
      </c>
      <c r="N289" s="1">
        <v>8998</v>
      </c>
      <c r="O289" s="1">
        <v>261881</v>
      </c>
      <c r="P289" s="1">
        <v>64791</v>
      </c>
      <c r="Q289" s="1">
        <v>131215</v>
      </c>
      <c r="R289" s="1">
        <v>4491576</v>
      </c>
      <c r="S289" s="1">
        <v>30111</v>
      </c>
      <c r="T289" s="1">
        <v>30111</v>
      </c>
      <c r="U289" s="1">
        <v>41051</v>
      </c>
      <c r="V289" s="1">
        <v>0</v>
      </c>
      <c r="W289" s="1">
        <v>1</v>
      </c>
    </row>
    <row r="290">
      <c r="A290" s="1">
        <v>2017</v>
      </c>
      <c r="B290" s="1">
        <v>31</v>
      </c>
      <c r="C290" t="s">
        <v>45</v>
      </c>
      <c r="D290" s="1">
        <v>55</v>
      </c>
      <c r="E290" t="s">
        <v>131</v>
      </c>
      <c r="F290" s="1">
        <v>41</v>
      </c>
      <c r="G290" t="s">
        <v>3</v>
      </c>
      <c r="H290" s="1">
        <v>51</v>
      </c>
      <c r="I290" t="s">
        <v>6</v>
      </c>
      <c r="J290" s="1">
        <v>43</v>
      </c>
      <c r="K290" s="1">
        <v>55</v>
      </c>
      <c r="L290" s="1">
        <v>2798</v>
      </c>
      <c r="M290" s="1">
        <v>18764</v>
      </c>
      <c r="N290" s="1">
        <v>36248</v>
      </c>
      <c r="O290" s="1">
        <v>1270322</v>
      </c>
      <c r="P290" s="1">
        <v>221613</v>
      </c>
      <c r="Q290" s="1">
        <v>477504</v>
      </c>
      <c r="R290" s="1">
        <v>18322386</v>
      </c>
      <c r="S290" s="1">
        <v>31055</v>
      </c>
      <c r="T290" s="1">
        <v>31055</v>
      </c>
      <c r="U290" s="1">
        <v>41051</v>
      </c>
      <c r="V290" s="1">
        <v>0</v>
      </c>
      <c r="W290" s="1">
        <v>1</v>
      </c>
    </row>
    <row r="291">
      <c r="A291" s="1">
        <v>2017</v>
      </c>
      <c r="B291" s="1">
        <v>31</v>
      </c>
      <c r="C291" t="s">
        <v>45</v>
      </c>
      <c r="D291" s="1">
        <v>109</v>
      </c>
      <c r="E291" t="s">
        <v>356</v>
      </c>
      <c r="F291" s="1">
        <v>41</v>
      </c>
      <c r="G291" t="s">
        <v>3</v>
      </c>
      <c r="H291" s="1">
        <v>51</v>
      </c>
      <c r="I291" t="s">
        <v>6</v>
      </c>
      <c r="J291" s="1">
        <v>24</v>
      </c>
      <c r="K291" s="1">
        <v>34</v>
      </c>
      <c r="L291" s="1">
        <v>1019</v>
      </c>
      <c r="M291" s="1">
        <v>9097</v>
      </c>
      <c r="N291" s="1">
        <v>16394</v>
      </c>
      <c r="O291" s="1">
        <v>511069</v>
      </c>
      <c r="P291" s="1">
        <v>120612</v>
      </c>
      <c r="Q291" s="1">
        <v>251535</v>
      </c>
      <c r="R291" s="1">
        <v>8644531</v>
      </c>
      <c r="S291" s="1">
        <v>31109</v>
      </c>
      <c r="T291" s="1">
        <v>31109</v>
      </c>
      <c r="U291" s="1">
        <v>41051</v>
      </c>
      <c r="V291" s="1">
        <v>0</v>
      </c>
      <c r="W291" s="1">
        <v>1</v>
      </c>
    </row>
    <row r="292">
      <c r="A292" s="1">
        <v>2017</v>
      </c>
      <c r="B292" s="1">
        <v>32</v>
      </c>
      <c r="C292" t="s">
        <v>29</v>
      </c>
      <c r="D292" s="1">
        <v>3</v>
      </c>
      <c r="E292" t="s">
        <v>112</v>
      </c>
      <c r="F292" s="1">
        <v>41</v>
      </c>
      <c r="G292" t="s">
        <v>3</v>
      </c>
      <c r="H292" s="1">
        <v>51</v>
      </c>
      <c r="I292" t="s">
        <v>6</v>
      </c>
      <c r="J292" s="1">
        <v>256</v>
      </c>
      <c r="K292" s="1">
        <v>400</v>
      </c>
      <c r="L292" s="1">
        <v>9619</v>
      </c>
      <c r="M292" s="1">
        <v>46663</v>
      </c>
      <c r="N292" s="1">
        <v>89186</v>
      </c>
      <c r="O292" s="1">
        <v>2661966</v>
      </c>
      <c r="P292" s="1">
        <v>813305</v>
      </c>
      <c r="Q292" s="1">
        <v>1713763</v>
      </c>
      <c r="R292" s="1">
        <v>57730568</v>
      </c>
      <c r="S292" s="1">
        <v>32003</v>
      </c>
      <c r="T292" s="1">
        <v>32003</v>
      </c>
      <c r="U292" s="1">
        <v>41051</v>
      </c>
      <c r="V292" s="1">
        <v>0</v>
      </c>
      <c r="W292" s="1">
        <v>1</v>
      </c>
    </row>
    <row r="293">
      <c r="A293" s="1">
        <v>2017</v>
      </c>
      <c r="B293" s="1">
        <v>32</v>
      </c>
      <c r="C293" t="s">
        <v>29</v>
      </c>
      <c r="D293" s="1">
        <v>31</v>
      </c>
      <c r="E293" t="s">
        <v>113</v>
      </c>
      <c r="F293" s="1">
        <v>41</v>
      </c>
      <c r="G293" t="s">
        <v>3</v>
      </c>
      <c r="H293" s="1">
        <v>51</v>
      </c>
      <c r="I293" t="s">
        <v>6</v>
      </c>
      <c r="J293" s="1">
        <v>87</v>
      </c>
      <c r="K293" s="1">
        <v>132</v>
      </c>
      <c r="L293" s="1">
        <v>5782</v>
      </c>
      <c r="M293" s="1">
        <v>12235</v>
      </c>
      <c r="N293" s="1">
        <v>22204</v>
      </c>
      <c r="O293" s="1">
        <v>765541</v>
      </c>
      <c r="P293" s="1">
        <v>183059</v>
      </c>
      <c r="Q293" s="1">
        <v>368204</v>
      </c>
      <c r="R293" s="1">
        <v>14938488</v>
      </c>
      <c r="S293" s="1">
        <v>32031</v>
      </c>
      <c r="T293" s="1">
        <v>32031</v>
      </c>
      <c r="U293" s="1">
        <v>41051</v>
      </c>
      <c r="V293" s="1">
        <v>0</v>
      </c>
      <c r="W293" s="1">
        <v>1</v>
      </c>
    </row>
    <row r="294">
      <c r="A294" s="1">
        <v>2017</v>
      </c>
      <c r="B294" s="1">
        <v>33</v>
      </c>
      <c r="C294" t="s">
        <v>269</v>
      </c>
      <c r="D294" s="1">
        <v>11</v>
      </c>
      <c r="E294" t="s">
        <v>86</v>
      </c>
      <c r="F294" s="1">
        <v>41</v>
      </c>
      <c r="G294" t="s">
        <v>3</v>
      </c>
      <c r="H294" s="1">
        <v>51</v>
      </c>
      <c r="I294" t="s">
        <v>6</v>
      </c>
      <c r="J294" s="1">
        <v>22</v>
      </c>
      <c r="K294" s="1">
        <v>30</v>
      </c>
      <c r="L294" s="1">
        <v>1116</v>
      </c>
      <c r="M294" s="1">
        <v>14652</v>
      </c>
      <c r="N294" s="1">
        <v>25118</v>
      </c>
      <c r="O294" s="1">
        <v>999028</v>
      </c>
      <c r="P294" s="1">
        <v>176649</v>
      </c>
      <c r="Q294" s="1">
        <v>351269</v>
      </c>
      <c r="R294" s="1">
        <v>14868941</v>
      </c>
      <c r="S294" s="1">
        <v>33011</v>
      </c>
      <c r="T294" s="1">
        <v>33011</v>
      </c>
      <c r="U294" s="1">
        <v>41051</v>
      </c>
      <c r="V294" s="1">
        <v>0</v>
      </c>
      <c r="W294" s="1">
        <v>1</v>
      </c>
    </row>
    <row r="295">
      <c r="A295" s="1">
        <v>2017</v>
      </c>
      <c r="B295" s="1">
        <v>34</v>
      </c>
      <c r="C295" t="s">
        <v>46</v>
      </c>
      <c r="D295" s="1">
        <v>3</v>
      </c>
      <c r="E295" t="s">
        <v>357</v>
      </c>
      <c r="F295" s="1">
        <v>41</v>
      </c>
      <c r="G295" t="s">
        <v>3</v>
      </c>
      <c r="H295" s="1">
        <v>51</v>
      </c>
      <c r="I295" t="s">
        <v>6</v>
      </c>
      <c r="J295" s="1">
        <v>22</v>
      </c>
      <c r="K295" s="1">
        <v>27</v>
      </c>
      <c r="L295" s="1">
        <v>1175</v>
      </c>
      <c r="M295" s="1">
        <v>27448</v>
      </c>
      <c r="N295" s="1">
        <v>48704</v>
      </c>
      <c r="O295" s="1">
        <v>2509892</v>
      </c>
      <c r="P295" s="1">
        <v>385535</v>
      </c>
      <c r="Q295" s="1">
        <v>816899</v>
      </c>
      <c r="R295" s="1">
        <v>47799008</v>
      </c>
      <c r="S295" s="1">
        <v>34003</v>
      </c>
      <c r="T295" s="1">
        <v>34003</v>
      </c>
      <c r="U295" s="1">
        <v>41051</v>
      </c>
      <c r="V295" s="1">
        <v>0</v>
      </c>
      <c r="W295" s="1">
        <v>1</v>
      </c>
    </row>
    <row r="296">
      <c r="A296" s="1">
        <v>2017</v>
      </c>
      <c r="B296" s="1">
        <v>34</v>
      </c>
      <c r="C296" t="s">
        <v>46</v>
      </c>
      <c r="D296" s="1">
        <v>13</v>
      </c>
      <c r="E296" t="s">
        <v>305</v>
      </c>
      <c r="F296" s="1">
        <v>41</v>
      </c>
      <c r="G296" t="s">
        <v>3</v>
      </c>
      <c r="H296" s="1">
        <v>51</v>
      </c>
      <c r="I296" t="s">
        <v>6</v>
      </c>
      <c r="J296" s="1">
        <v>20</v>
      </c>
      <c r="K296" s="1">
        <v>32</v>
      </c>
      <c r="L296" s="1">
        <v>1850</v>
      </c>
      <c r="M296" s="1">
        <v>24319</v>
      </c>
      <c r="N296" s="1">
        <v>44961</v>
      </c>
      <c r="O296" s="1">
        <v>2043302</v>
      </c>
      <c r="P296" s="1">
        <v>302998</v>
      </c>
      <c r="Q296" s="1">
        <v>629469</v>
      </c>
      <c r="R296" s="1">
        <v>29838732</v>
      </c>
      <c r="S296" s="1">
        <v>34013</v>
      </c>
      <c r="T296" s="1">
        <v>34013</v>
      </c>
      <c r="U296" s="1">
        <v>41051</v>
      </c>
      <c r="V296" s="1">
        <v>0</v>
      </c>
      <c r="W296" s="1">
        <v>1</v>
      </c>
    </row>
    <row r="297">
      <c r="A297" s="1">
        <v>2017</v>
      </c>
      <c r="B297" s="1">
        <v>34</v>
      </c>
      <c r="C297" t="s">
        <v>46</v>
      </c>
      <c r="D297" s="1">
        <v>17</v>
      </c>
      <c r="E297" t="s">
        <v>201</v>
      </c>
      <c r="F297" s="1">
        <v>41</v>
      </c>
      <c r="G297" t="s">
        <v>3</v>
      </c>
      <c r="H297" s="1">
        <v>51</v>
      </c>
      <c r="I297" t="s">
        <v>6</v>
      </c>
      <c r="J297" s="1">
        <v>38</v>
      </c>
      <c r="K297" s="1">
        <v>56</v>
      </c>
      <c r="L297" s="1">
        <v>3543</v>
      </c>
      <c r="M297" s="1">
        <v>33711</v>
      </c>
      <c r="N297" s="1">
        <v>61226</v>
      </c>
      <c r="O297" s="1">
        <v>3372142</v>
      </c>
      <c r="P297" s="1">
        <v>283812</v>
      </c>
      <c r="Q297" s="1">
        <v>540727</v>
      </c>
      <c r="R297" s="1">
        <v>22333456</v>
      </c>
      <c r="S297" s="1">
        <v>34017</v>
      </c>
      <c r="T297" s="1">
        <v>34017</v>
      </c>
      <c r="U297" s="1">
        <v>41051</v>
      </c>
      <c r="V297" s="1">
        <v>0</v>
      </c>
      <c r="W297" s="1">
        <v>1</v>
      </c>
    </row>
    <row r="298">
      <c r="A298" s="1">
        <v>2017</v>
      </c>
      <c r="B298" s="1">
        <v>35</v>
      </c>
      <c r="C298" t="s">
        <v>30</v>
      </c>
      <c r="D298" s="1">
        <v>1</v>
      </c>
      <c r="E298" t="s">
        <v>114</v>
      </c>
      <c r="F298" s="1">
        <v>41</v>
      </c>
      <c r="G298" t="s">
        <v>3</v>
      </c>
      <c r="H298" s="1">
        <v>51</v>
      </c>
      <c r="I298" t="s">
        <v>6</v>
      </c>
      <c r="J298" s="1">
        <v>86</v>
      </c>
      <c r="K298" s="1">
        <v>125</v>
      </c>
      <c r="L298" s="1">
        <v>4592</v>
      </c>
      <c r="M298" s="1">
        <v>18732</v>
      </c>
      <c r="N298" s="1">
        <v>36013</v>
      </c>
      <c r="O298" s="1">
        <v>1064008</v>
      </c>
      <c r="P298" s="1">
        <v>257588</v>
      </c>
      <c r="Q298" s="1">
        <v>516210</v>
      </c>
      <c r="R298" s="1">
        <v>16006309</v>
      </c>
      <c r="S298" s="1">
        <v>35001</v>
      </c>
      <c r="T298" s="1">
        <v>35001</v>
      </c>
      <c r="U298" s="1">
        <v>41051</v>
      </c>
      <c r="V298" s="1">
        <v>0</v>
      </c>
      <c r="W298" s="1">
        <v>1</v>
      </c>
    </row>
    <row r="299">
      <c r="A299" s="1">
        <v>2017</v>
      </c>
      <c r="B299" s="1">
        <v>35</v>
      </c>
      <c r="C299" t="s">
        <v>30</v>
      </c>
      <c r="D299" s="1">
        <v>49</v>
      </c>
      <c r="E299" t="s">
        <v>115</v>
      </c>
      <c r="F299" s="1">
        <v>41</v>
      </c>
      <c r="G299" t="s">
        <v>3</v>
      </c>
      <c r="H299" s="1">
        <v>51</v>
      </c>
      <c r="I299" t="s">
        <v>6</v>
      </c>
      <c r="J299" s="1">
        <v>37</v>
      </c>
      <c r="K299" s="1">
        <v>51</v>
      </c>
      <c r="L299" s="1">
        <v>2545</v>
      </c>
      <c r="M299" s="1">
        <v>4816</v>
      </c>
      <c r="N299" s="1">
        <v>8304</v>
      </c>
      <c r="O299" s="1">
        <v>329533</v>
      </c>
      <c r="P299" s="1">
        <v>63604</v>
      </c>
      <c r="Q299" s="1">
        <v>119435</v>
      </c>
      <c r="R299" s="1">
        <v>4785782</v>
      </c>
      <c r="S299" s="1">
        <v>35049</v>
      </c>
      <c r="T299" s="1">
        <v>35049</v>
      </c>
      <c r="U299" s="1">
        <v>41051</v>
      </c>
      <c r="V299" s="1">
        <v>0</v>
      </c>
      <c r="W299" s="1">
        <v>1</v>
      </c>
    </row>
    <row r="300">
      <c r="A300" s="1">
        <v>2017</v>
      </c>
      <c r="B300" s="1">
        <v>36</v>
      </c>
      <c r="C300" t="s">
        <v>31</v>
      </c>
      <c r="D300" s="1">
        <v>29</v>
      </c>
      <c r="E300" t="s">
        <v>202</v>
      </c>
      <c r="F300" s="1">
        <v>41</v>
      </c>
      <c r="G300" t="s">
        <v>3</v>
      </c>
      <c r="H300" s="1">
        <v>51</v>
      </c>
      <c r="I300" t="s">
        <v>6</v>
      </c>
      <c r="J300" s="1">
        <v>29</v>
      </c>
      <c r="K300" s="1">
        <v>34</v>
      </c>
      <c r="L300" s="1">
        <v>1168</v>
      </c>
      <c r="M300" s="1">
        <v>15105</v>
      </c>
      <c r="N300" s="1">
        <v>25887</v>
      </c>
      <c r="O300" s="1">
        <v>895705</v>
      </c>
      <c r="P300" s="1">
        <v>374847</v>
      </c>
      <c r="Q300" s="1">
        <v>732856</v>
      </c>
      <c r="R300" s="1">
        <v>25767212</v>
      </c>
      <c r="S300" s="1">
        <v>36029</v>
      </c>
      <c r="T300" s="1">
        <v>36029</v>
      </c>
      <c r="U300" s="1">
        <v>41051</v>
      </c>
      <c r="V300" s="1">
        <v>0</v>
      </c>
      <c r="W300" s="1">
        <v>1</v>
      </c>
    </row>
    <row r="301">
      <c r="A301" s="1">
        <v>2017</v>
      </c>
      <c r="B301" s="1">
        <v>36</v>
      </c>
      <c r="C301" t="s">
        <v>31</v>
      </c>
      <c r="D301" s="1">
        <v>47</v>
      </c>
      <c r="E301" t="s">
        <v>116</v>
      </c>
      <c r="F301" s="1">
        <v>41</v>
      </c>
      <c r="G301" t="s">
        <v>3</v>
      </c>
      <c r="H301" s="1">
        <v>51</v>
      </c>
      <c r="I301" t="s">
        <v>6</v>
      </c>
      <c r="J301" s="1">
        <v>363</v>
      </c>
      <c r="K301" s="1">
        <v>492</v>
      </c>
      <c r="L301" s="1">
        <v>32353</v>
      </c>
      <c r="M301" s="1">
        <v>88085</v>
      </c>
      <c r="N301" s="1">
        <v>156155</v>
      </c>
      <c r="O301" s="1">
        <v>6030332</v>
      </c>
      <c r="P301" s="1">
        <v>1038139</v>
      </c>
      <c r="Q301" s="1">
        <v>2050056</v>
      </c>
      <c r="R301" s="1">
        <v>66662240</v>
      </c>
      <c r="S301" s="1">
        <v>36047</v>
      </c>
      <c r="T301" s="1">
        <v>36047</v>
      </c>
      <c r="U301" s="1">
        <v>41051</v>
      </c>
      <c r="V301" s="1">
        <v>0</v>
      </c>
      <c r="W301" s="1">
        <v>1</v>
      </c>
    </row>
    <row r="302">
      <c r="A302" s="1">
        <v>2017</v>
      </c>
      <c r="B302" s="1">
        <v>36</v>
      </c>
      <c r="C302" t="s">
        <v>31</v>
      </c>
      <c r="D302" s="1">
        <v>55</v>
      </c>
      <c r="E302" t="s">
        <v>203</v>
      </c>
      <c r="F302" s="1">
        <v>41</v>
      </c>
      <c r="G302" t="s">
        <v>3</v>
      </c>
      <c r="H302" s="1">
        <v>51</v>
      </c>
      <c r="I302" t="s">
        <v>6</v>
      </c>
      <c r="J302" s="1">
        <v>37</v>
      </c>
      <c r="K302" s="1">
        <v>46</v>
      </c>
      <c r="L302" s="1">
        <v>1782</v>
      </c>
      <c r="M302" s="1">
        <v>15894</v>
      </c>
      <c r="N302" s="1">
        <v>26894</v>
      </c>
      <c r="O302" s="1">
        <v>959970</v>
      </c>
      <c r="P302" s="1">
        <v>306057</v>
      </c>
      <c r="Q302" s="1">
        <v>601052</v>
      </c>
      <c r="R302" s="1">
        <v>21226064</v>
      </c>
      <c r="S302" s="1">
        <v>36055</v>
      </c>
      <c r="T302" s="1">
        <v>36055</v>
      </c>
      <c r="U302" s="1">
        <v>41051</v>
      </c>
      <c r="V302" s="1">
        <v>0</v>
      </c>
      <c r="W302" s="1">
        <v>1</v>
      </c>
    </row>
    <row r="303">
      <c r="A303" s="1">
        <v>2017</v>
      </c>
      <c r="B303" s="1">
        <v>36</v>
      </c>
      <c r="C303" t="s">
        <v>31</v>
      </c>
      <c r="D303" s="1">
        <v>59</v>
      </c>
      <c r="E303" t="s">
        <v>316</v>
      </c>
      <c r="F303" s="1">
        <v>41</v>
      </c>
      <c r="G303" t="s">
        <v>3</v>
      </c>
      <c r="H303" s="1">
        <v>51</v>
      </c>
      <c r="I303" t="s">
        <v>6</v>
      </c>
      <c r="J303" s="1">
        <v>27</v>
      </c>
      <c r="K303" s="1">
        <v>36</v>
      </c>
      <c r="L303" s="1">
        <v>1885</v>
      </c>
      <c r="M303" s="1">
        <v>35398</v>
      </c>
      <c r="N303" s="1">
        <v>61494</v>
      </c>
      <c r="O303" s="1">
        <v>3462553</v>
      </c>
      <c r="P303" s="1">
        <v>593560</v>
      </c>
      <c r="Q303" s="1">
        <v>1243210</v>
      </c>
      <c r="R303" s="1">
        <v>76084712</v>
      </c>
      <c r="S303" s="1">
        <v>36059</v>
      </c>
      <c r="T303" s="1">
        <v>36059</v>
      </c>
      <c r="U303" s="1">
        <v>41051</v>
      </c>
      <c r="V303" s="1">
        <v>0</v>
      </c>
      <c r="W303" s="1">
        <v>1</v>
      </c>
    </row>
    <row r="304">
      <c r="A304" s="1">
        <v>2017</v>
      </c>
      <c r="B304" s="1">
        <v>36</v>
      </c>
      <c r="C304" t="s">
        <v>31</v>
      </c>
      <c r="D304" s="1">
        <v>61</v>
      </c>
      <c r="E304" t="s">
        <v>117</v>
      </c>
      <c r="F304" s="1">
        <v>41</v>
      </c>
      <c r="G304" t="s">
        <v>3</v>
      </c>
      <c r="H304" s="1">
        <v>51</v>
      </c>
      <c r="I304" t="s">
        <v>6</v>
      </c>
      <c r="J304" s="1">
        <v>245</v>
      </c>
      <c r="K304" s="1">
        <v>327</v>
      </c>
      <c r="L304" s="1">
        <v>30888</v>
      </c>
      <c r="M304" s="1">
        <v>99019</v>
      </c>
      <c r="N304" s="1">
        <v>149686</v>
      </c>
      <c r="O304" s="1">
        <v>13334116</v>
      </c>
      <c r="P304" s="1">
        <v>772376</v>
      </c>
      <c r="Q304" s="1">
        <v>1253044</v>
      </c>
      <c r="R304" s="1">
        <v>163599680</v>
      </c>
      <c r="S304" s="1">
        <v>36061</v>
      </c>
      <c r="T304" s="1">
        <v>36061</v>
      </c>
      <c r="U304" s="1">
        <v>41051</v>
      </c>
      <c r="V304" s="1">
        <v>0</v>
      </c>
      <c r="W304" s="1">
        <v>1</v>
      </c>
    </row>
    <row r="305">
      <c r="A305" s="1">
        <v>2017</v>
      </c>
      <c r="B305" s="1">
        <v>36</v>
      </c>
      <c r="C305" t="s">
        <v>31</v>
      </c>
      <c r="D305" s="1">
        <v>67</v>
      </c>
      <c r="E305" t="s">
        <v>204</v>
      </c>
      <c r="F305" s="1">
        <v>41</v>
      </c>
      <c r="G305" t="s">
        <v>3</v>
      </c>
      <c r="H305" s="1">
        <v>51</v>
      </c>
      <c r="I305" t="s">
        <v>6</v>
      </c>
      <c r="J305" s="1">
        <v>25</v>
      </c>
      <c r="K305" s="1">
        <v>34</v>
      </c>
      <c r="L305" s="1">
        <v>1369</v>
      </c>
      <c r="M305" s="1">
        <v>11803</v>
      </c>
      <c r="N305" s="1">
        <v>20108</v>
      </c>
      <c r="O305" s="1">
        <v>696822</v>
      </c>
      <c r="P305" s="1">
        <v>188688</v>
      </c>
      <c r="Q305" s="1">
        <v>375288</v>
      </c>
      <c r="R305" s="1">
        <v>13470551</v>
      </c>
      <c r="S305" s="1">
        <v>36067</v>
      </c>
      <c r="T305" s="1">
        <v>36067</v>
      </c>
      <c r="U305" s="1">
        <v>41051</v>
      </c>
      <c r="V305" s="1">
        <v>0</v>
      </c>
      <c r="W305" s="1">
        <v>1</v>
      </c>
    </row>
    <row r="306">
      <c r="A306" s="1">
        <v>2017</v>
      </c>
      <c r="B306" s="1">
        <v>36</v>
      </c>
      <c r="C306" t="s">
        <v>31</v>
      </c>
      <c r="D306" s="1">
        <v>81</v>
      </c>
      <c r="E306" t="s">
        <v>118</v>
      </c>
      <c r="F306" s="1">
        <v>41</v>
      </c>
      <c r="G306" t="s">
        <v>3</v>
      </c>
      <c r="H306" s="1">
        <v>51</v>
      </c>
      <c r="I306" t="s">
        <v>6</v>
      </c>
      <c r="J306" s="1">
        <v>82</v>
      </c>
      <c r="K306" s="1">
        <v>105</v>
      </c>
      <c r="L306" s="1">
        <v>4714</v>
      </c>
      <c r="M306" s="1">
        <v>71689</v>
      </c>
      <c r="N306" s="1">
        <v>131057</v>
      </c>
      <c r="O306" s="1">
        <v>4573669</v>
      </c>
      <c r="P306" s="1">
        <v>981976</v>
      </c>
      <c r="Q306" s="1">
        <v>1927284</v>
      </c>
      <c r="R306" s="1">
        <v>55176336</v>
      </c>
      <c r="S306" s="1">
        <v>36081</v>
      </c>
      <c r="T306" s="1">
        <v>36081</v>
      </c>
      <c r="U306" s="1">
        <v>41051</v>
      </c>
      <c r="V306" s="1">
        <v>0</v>
      </c>
      <c r="W306" s="1">
        <v>1</v>
      </c>
    </row>
    <row r="307">
      <c r="A307" s="1">
        <v>2017</v>
      </c>
      <c r="B307" s="1">
        <v>36</v>
      </c>
      <c r="C307" t="s">
        <v>31</v>
      </c>
      <c r="D307" s="1">
        <v>103</v>
      </c>
      <c r="E307" t="s">
        <v>105</v>
      </c>
      <c r="F307" s="1">
        <v>41</v>
      </c>
      <c r="G307" t="s">
        <v>3</v>
      </c>
      <c r="H307" s="1">
        <v>51</v>
      </c>
      <c r="I307" t="s">
        <v>6</v>
      </c>
      <c r="J307" s="1">
        <v>31</v>
      </c>
      <c r="K307" s="1">
        <v>42</v>
      </c>
      <c r="L307" s="1">
        <v>2562</v>
      </c>
      <c r="M307" s="1">
        <v>30670</v>
      </c>
      <c r="N307" s="1">
        <v>52421</v>
      </c>
      <c r="O307" s="1">
        <v>2501636</v>
      </c>
      <c r="P307" s="1">
        <v>644159</v>
      </c>
      <c r="Q307" s="1">
        <v>1320986</v>
      </c>
      <c r="R307" s="1">
        <v>64218344</v>
      </c>
      <c r="S307" s="1">
        <v>36103</v>
      </c>
      <c r="T307" s="1">
        <v>36103</v>
      </c>
      <c r="U307" s="1">
        <v>41051</v>
      </c>
      <c r="V307" s="1">
        <v>0</v>
      </c>
      <c r="W307" s="1">
        <v>1</v>
      </c>
    </row>
    <row r="308">
      <c r="A308" s="1">
        <v>2017</v>
      </c>
      <c r="B308" s="1">
        <v>36</v>
      </c>
      <c r="C308" t="s">
        <v>31</v>
      </c>
      <c r="D308" s="1">
        <v>119</v>
      </c>
      <c r="E308" t="s">
        <v>119</v>
      </c>
      <c r="F308" s="1">
        <v>41</v>
      </c>
      <c r="G308" t="s">
        <v>3</v>
      </c>
      <c r="H308" s="1">
        <v>51</v>
      </c>
      <c r="I308" t="s">
        <v>6</v>
      </c>
      <c r="J308" s="1">
        <v>42</v>
      </c>
      <c r="K308" s="1">
        <v>66</v>
      </c>
      <c r="L308" s="1">
        <v>4550</v>
      </c>
      <c r="M308" s="1">
        <v>27410</v>
      </c>
      <c r="N308" s="1">
        <v>49765</v>
      </c>
      <c r="O308" s="1">
        <v>3437171</v>
      </c>
      <c r="P308" s="1">
        <v>402287</v>
      </c>
      <c r="Q308" s="1">
        <v>838674</v>
      </c>
      <c r="R308" s="1">
        <v>65402076</v>
      </c>
      <c r="S308" s="1">
        <v>36119</v>
      </c>
      <c r="T308" s="1">
        <v>36119</v>
      </c>
      <c r="U308" s="1">
        <v>41051</v>
      </c>
      <c r="V308" s="1">
        <v>0</v>
      </c>
      <c r="W308" s="1">
        <v>1</v>
      </c>
    </row>
    <row r="309">
      <c r="A309" s="1">
        <v>2017</v>
      </c>
      <c r="B309" s="1">
        <v>37</v>
      </c>
      <c r="C309" t="s">
        <v>32</v>
      </c>
      <c r="D309" s="1">
        <v>21</v>
      </c>
      <c r="E309" t="s">
        <v>120</v>
      </c>
      <c r="F309" s="1">
        <v>41</v>
      </c>
      <c r="G309" t="s">
        <v>3</v>
      </c>
      <c r="H309" s="1">
        <v>51</v>
      </c>
      <c r="I309" t="s">
        <v>6</v>
      </c>
      <c r="J309" s="1">
        <v>43</v>
      </c>
      <c r="K309" s="1">
        <v>53</v>
      </c>
      <c r="L309" s="1">
        <v>1514</v>
      </c>
      <c r="M309" s="1">
        <v>9815</v>
      </c>
      <c r="N309" s="1">
        <v>16609</v>
      </c>
      <c r="O309" s="1">
        <v>473941</v>
      </c>
      <c r="P309" s="1">
        <v>104226</v>
      </c>
      <c r="Q309" s="1">
        <v>201566</v>
      </c>
      <c r="R309" s="1">
        <v>6625044</v>
      </c>
      <c r="S309" s="1">
        <v>37021</v>
      </c>
      <c r="T309" s="1">
        <v>37021</v>
      </c>
      <c r="U309" s="1">
        <v>41051</v>
      </c>
      <c r="V309" s="1">
        <v>0</v>
      </c>
      <c r="W309" s="1">
        <v>1</v>
      </c>
    </row>
    <row r="310">
      <c r="A310" s="1">
        <v>2017</v>
      </c>
      <c r="B310" s="1">
        <v>37</v>
      </c>
      <c r="C310" t="s">
        <v>32</v>
      </c>
      <c r="D310" s="1">
        <v>63</v>
      </c>
      <c r="E310" t="s">
        <v>205</v>
      </c>
      <c r="F310" s="1">
        <v>41</v>
      </c>
      <c r="G310" t="s">
        <v>3</v>
      </c>
      <c r="H310" s="1">
        <v>51</v>
      </c>
      <c r="I310" t="s">
        <v>6</v>
      </c>
      <c r="J310" s="1">
        <v>28</v>
      </c>
      <c r="K310" s="1">
        <v>42</v>
      </c>
      <c r="L310" s="1">
        <v>1781</v>
      </c>
      <c r="M310" s="1">
        <v>16493</v>
      </c>
      <c r="N310" s="1">
        <v>29328</v>
      </c>
      <c r="O310" s="1">
        <v>1041322</v>
      </c>
      <c r="P310" s="1">
        <v>118471</v>
      </c>
      <c r="Q310" s="1">
        <v>238427</v>
      </c>
      <c r="R310" s="1">
        <v>8437622</v>
      </c>
      <c r="S310" s="1">
        <v>37063</v>
      </c>
      <c r="T310" s="1">
        <v>37063</v>
      </c>
      <c r="U310" s="1">
        <v>41051</v>
      </c>
      <c r="V310" s="1">
        <v>0</v>
      </c>
      <c r="W310" s="1">
        <v>1</v>
      </c>
    </row>
    <row r="311">
      <c r="A311" s="1">
        <v>2017</v>
      </c>
      <c r="B311" s="1">
        <v>37</v>
      </c>
      <c r="C311" t="s">
        <v>32</v>
      </c>
      <c r="D311" s="1">
        <v>119</v>
      </c>
      <c r="E311" t="s">
        <v>121</v>
      </c>
      <c r="F311" s="1">
        <v>41</v>
      </c>
      <c r="G311" t="s">
        <v>3</v>
      </c>
      <c r="H311" s="1">
        <v>51</v>
      </c>
      <c r="I311" t="s">
        <v>6</v>
      </c>
      <c r="J311" s="1">
        <v>51</v>
      </c>
      <c r="K311" s="1">
        <v>68</v>
      </c>
      <c r="L311" s="1">
        <v>3226</v>
      </c>
      <c r="M311" s="1">
        <v>42918</v>
      </c>
      <c r="N311" s="1">
        <v>81752</v>
      </c>
      <c r="O311" s="1">
        <v>3149456</v>
      </c>
      <c r="P311" s="1">
        <v>402595</v>
      </c>
      <c r="Q311" s="1">
        <v>843875</v>
      </c>
      <c r="R311" s="1">
        <v>36448680</v>
      </c>
      <c r="S311" s="1">
        <v>37119</v>
      </c>
      <c r="T311" s="1">
        <v>37119</v>
      </c>
      <c r="U311" s="1">
        <v>41051</v>
      </c>
      <c r="V311" s="1">
        <v>0</v>
      </c>
      <c r="W311" s="1">
        <v>1</v>
      </c>
    </row>
    <row r="312">
      <c r="A312" s="1">
        <v>2017</v>
      </c>
      <c r="B312" s="1">
        <v>37</v>
      </c>
      <c r="C312" t="s">
        <v>32</v>
      </c>
      <c r="D312" s="1">
        <v>135</v>
      </c>
      <c r="E312" t="s">
        <v>64</v>
      </c>
      <c r="F312" s="1">
        <v>41</v>
      </c>
      <c r="G312" t="s">
        <v>3</v>
      </c>
      <c r="H312" s="1">
        <v>51</v>
      </c>
      <c r="I312" t="s">
        <v>6</v>
      </c>
      <c r="J312" s="1">
        <v>28</v>
      </c>
      <c r="K312" s="1">
        <v>47</v>
      </c>
      <c r="L312" s="1">
        <v>2160</v>
      </c>
      <c r="M312" s="1">
        <v>7784</v>
      </c>
      <c r="N312" s="1">
        <v>13290</v>
      </c>
      <c r="O312" s="1">
        <v>532048</v>
      </c>
      <c r="P312" s="1">
        <v>50663</v>
      </c>
      <c r="Q312" s="1">
        <v>106948</v>
      </c>
      <c r="R312" s="1">
        <v>5328361</v>
      </c>
      <c r="S312" s="1">
        <v>37135</v>
      </c>
      <c r="T312" s="1">
        <v>37135</v>
      </c>
      <c r="U312" s="1">
        <v>41051</v>
      </c>
      <c r="V312" s="1">
        <v>0</v>
      </c>
      <c r="W312" s="1">
        <v>1</v>
      </c>
    </row>
    <row r="313">
      <c r="A313" s="1">
        <v>2017</v>
      </c>
      <c r="B313" s="1">
        <v>37</v>
      </c>
      <c r="C313" t="s">
        <v>32</v>
      </c>
      <c r="D313" s="1">
        <v>183</v>
      </c>
      <c r="E313" t="s">
        <v>206</v>
      </c>
      <c r="F313" s="1">
        <v>41</v>
      </c>
      <c r="G313" t="s">
        <v>3</v>
      </c>
      <c r="H313" s="1">
        <v>51</v>
      </c>
      <c r="I313" t="s">
        <v>6</v>
      </c>
      <c r="J313" s="1">
        <v>61</v>
      </c>
      <c r="K313" s="1">
        <v>99</v>
      </c>
      <c r="L313" s="1">
        <v>3563</v>
      </c>
      <c r="M313" s="1">
        <v>37646</v>
      </c>
      <c r="N313" s="1">
        <v>69962</v>
      </c>
      <c r="O313" s="1">
        <v>2570917</v>
      </c>
      <c r="P313" s="1">
        <v>398545</v>
      </c>
      <c r="Q313" s="1">
        <v>877129</v>
      </c>
      <c r="R313" s="1">
        <v>37521712</v>
      </c>
      <c r="S313" s="1">
        <v>37183</v>
      </c>
      <c r="T313" s="1">
        <v>37183</v>
      </c>
      <c r="U313" s="1">
        <v>41051</v>
      </c>
      <c r="V313" s="1">
        <v>0</v>
      </c>
      <c r="W313" s="1">
        <v>1</v>
      </c>
    </row>
    <row r="314">
      <c r="A314" s="1">
        <v>2017</v>
      </c>
      <c r="B314" s="1">
        <v>38</v>
      </c>
      <c r="C314" t="s">
        <v>273</v>
      </c>
      <c r="D314" s="1">
        <v>17</v>
      </c>
      <c r="E314" t="s">
        <v>358</v>
      </c>
      <c r="F314" s="1">
        <v>41</v>
      </c>
      <c r="G314" t="s">
        <v>3</v>
      </c>
      <c r="H314" s="1">
        <v>51</v>
      </c>
      <c r="I314" t="s">
        <v>6</v>
      </c>
      <c r="J314" s="1">
        <v>22</v>
      </c>
      <c r="K314" s="1">
        <v>30</v>
      </c>
      <c r="L314" s="1">
        <v>1021</v>
      </c>
      <c r="M314" s="1">
        <v>7763</v>
      </c>
      <c r="N314" s="1">
        <v>13395</v>
      </c>
      <c r="O314" s="1">
        <v>408002</v>
      </c>
      <c r="P314" s="1">
        <v>73118</v>
      </c>
      <c r="Q314" s="1">
        <v>145193</v>
      </c>
      <c r="R314" s="1">
        <v>6077422</v>
      </c>
      <c r="S314" s="1">
        <v>38017</v>
      </c>
      <c r="T314" s="1">
        <v>38017</v>
      </c>
      <c r="U314" s="1">
        <v>41051</v>
      </c>
      <c r="V314" s="1">
        <v>0</v>
      </c>
      <c r="W314" s="1">
        <v>1</v>
      </c>
    </row>
    <row r="315">
      <c r="A315" s="1">
        <v>2017</v>
      </c>
      <c r="B315" s="1">
        <v>39</v>
      </c>
      <c r="C315" t="s">
        <v>33</v>
      </c>
      <c r="D315" s="1">
        <v>35</v>
      </c>
      <c r="E315" t="s">
        <v>207</v>
      </c>
      <c r="F315" s="1">
        <v>41</v>
      </c>
      <c r="G315" t="s">
        <v>3</v>
      </c>
      <c r="H315" s="1">
        <v>51</v>
      </c>
      <c r="I315" t="s">
        <v>6</v>
      </c>
      <c r="J315" s="1">
        <v>64</v>
      </c>
      <c r="K315" s="1">
        <v>89</v>
      </c>
      <c r="L315" s="1">
        <v>2599</v>
      </c>
      <c r="M315" s="1">
        <v>31426</v>
      </c>
      <c r="N315" s="1">
        <v>55315</v>
      </c>
      <c r="O315" s="1">
        <v>2112843</v>
      </c>
      <c r="P315" s="1">
        <v>518161</v>
      </c>
      <c r="Q315" s="1">
        <v>987620</v>
      </c>
      <c r="R315" s="1">
        <v>35594136</v>
      </c>
      <c r="S315" s="1">
        <v>39035</v>
      </c>
      <c r="T315" s="1">
        <v>39035</v>
      </c>
      <c r="U315" s="1">
        <v>41051</v>
      </c>
      <c r="V315" s="1">
        <v>0</v>
      </c>
      <c r="W315" s="1">
        <v>1</v>
      </c>
    </row>
    <row r="316">
      <c r="A316" s="1">
        <v>2017</v>
      </c>
      <c r="B316" s="1">
        <v>39</v>
      </c>
      <c r="C316" t="s">
        <v>33</v>
      </c>
      <c r="D316" s="1">
        <v>49</v>
      </c>
      <c r="E316" t="s">
        <v>122</v>
      </c>
      <c r="F316" s="1">
        <v>41</v>
      </c>
      <c r="G316" t="s">
        <v>3</v>
      </c>
      <c r="H316" s="1">
        <v>51</v>
      </c>
      <c r="I316" t="s">
        <v>6</v>
      </c>
      <c r="J316" s="1">
        <v>85</v>
      </c>
      <c r="K316" s="1">
        <v>123</v>
      </c>
      <c r="L316" s="1">
        <v>6132</v>
      </c>
      <c r="M316" s="1">
        <v>42212</v>
      </c>
      <c r="N316" s="1">
        <v>77292</v>
      </c>
      <c r="O316" s="1">
        <v>2703832</v>
      </c>
      <c r="P316" s="1">
        <v>518002</v>
      </c>
      <c r="Q316" s="1">
        <v>1022824</v>
      </c>
      <c r="R316" s="1">
        <v>36141040</v>
      </c>
      <c r="S316" s="1">
        <v>39049</v>
      </c>
      <c r="T316" s="1">
        <v>39049</v>
      </c>
      <c r="U316" s="1">
        <v>41051</v>
      </c>
      <c r="V316" s="1">
        <v>0</v>
      </c>
      <c r="W316" s="1">
        <v>1</v>
      </c>
    </row>
    <row r="317">
      <c r="A317" s="1">
        <v>2017</v>
      </c>
      <c r="B317" s="1">
        <v>39</v>
      </c>
      <c r="C317" t="s">
        <v>33</v>
      </c>
      <c r="D317" s="1">
        <v>61</v>
      </c>
      <c r="E317" t="s">
        <v>208</v>
      </c>
      <c r="F317" s="1">
        <v>41</v>
      </c>
      <c r="G317" t="s">
        <v>3</v>
      </c>
      <c r="H317" s="1">
        <v>51</v>
      </c>
      <c r="I317" t="s">
        <v>6</v>
      </c>
      <c r="J317" s="1">
        <v>49</v>
      </c>
      <c r="K317" s="1">
        <v>60</v>
      </c>
      <c r="L317" s="1">
        <v>3726</v>
      </c>
      <c r="M317" s="1">
        <v>24930</v>
      </c>
      <c r="N317" s="1">
        <v>44345</v>
      </c>
      <c r="O317" s="1">
        <v>1745822</v>
      </c>
      <c r="P317" s="1">
        <v>332452</v>
      </c>
      <c r="Q317" s="1">
        <v>656704</v>
      </c>
      <c r="R317" s="1">
        <v>26749742</v>
      </c>
      <c r="S317" s="1">
        <v>39061</v>
      </c>
      <c r="T317" s="1">
        <v>39061</v>
      </c>
      <c r="U317" s="1">
        <v>41051</v>
      </c>
      <c r="V317" s="1">
        <v>0</v>
      </c>
      <c r="W317" s="1">
        <v>1</v>
      </c>
    </row>
    <row r="318">
      <c r="A318" s="1">
        <v>2017</v>
      </c>
      <c r="B318" s="1">
        <v>40</v>
      </c>
      <c r="C318" t="s">
        <v>47</v>
      </c>
      <c r="D318" s="1">
        <v>27</v>
      </c>
      <c r="E318" t="s">
        <v>359</v>
      </c>
      <c r="F318" s="1">
        <v>41</v>
      </c>
      <c r="G318" t="s">
        <v>3</v>
      </c>
      <c r="H318" s="1">
        <v>51</v>
      </c>
      <c r="I318" t="s">
        <v>6</v>
      </c>
      <c r="J318" s="1">
        <v>20</v>
      </c>
      <c r="K318" s="1">
        <v>32</v>
      </c>
      <c r="L318" s="1">
        <v>805</v>
      </c>
      <c r="M318" s="1">
        <v>11733</v>
      </c>
      <c r="N318" s="1">
        <v>22623</v>
      </c>
      <c r="O318" s="1">
        <v>688617</v>
      </c>
      <c r="P318" s="1">
        <v>99852</v>
      </c>
      <c r="Q318" s="1">
        <v>213460</v>
      </c>
      <c r="R318" s="1">
        <v>7003499</v>
      </c>
      <c r="S318" s="1">
        <v>40027</v>
      </c>
      <c r="T318" s="1">
        <v>40027</v>
      </c>
      <c r="U318" s="1">
        <v>41051</v>
      </c>
      <c r="V318" s="1">
        <v>0</v>
      </c>
      <c r="W318" s="1">
        <v>1</v>
      </c>
    </row>
    <row r="319">
      <c r="A319" s="1">
        <v>2017</v>
      </c>
      <c r="B319" s="1">
        <v>40</v>
      </c>
      <c r="C319" t="s">
        <v>47</v>
      </c>
      <c r="D319" s="1">
        <v>109</v>
      </c>
      <c r="E319" t="s">
        <v>209</v>
      </c>
      <c r="F319" s="1">
        <v>41</v>
      </c>
      <c r="G319" t="s">
        <v>3</v>
      </c>
      <c r="H319" s="1">
        <v>51</v>
      </c>
      <c r="I319" t="s">
        <v>6</v>
      </c>
      <c r="J319" s="1">
        <v>33</v>
      </c>
      <c r="K319" s="1">
        <v>53</v>
      </c>
      <c r="L319" s="1">
        <v>1391</v>
      </c>
      <c r="M319" s="1">
        <v>25661</v>
      </c>
      <c r="N319" s="1">
        <v>51963</v>
      </c>
      <c r="O319" s="1">
        <v>1469455</v>
      </c>
      <c r="P319" s="1">
        <v>279998</v>
      </c>
      <c r="Q319" s="1">
        <v>601275</v>
      </c>
      <c r="R319" s="1">
        <v>20241868</v>
      </c>
      <c r="S319" s="1">
        <v>40109</v>
      </c>
      <c r="T319" s="1">
        <v>40109</v>
      </c>
      <c r="U319" s="1">
        <v>41051</v>
      </c>
      <c r="V319" s="1">
        <v>0</v>
      </c>
      <c r="W319" s="1">
        <v>1</v>
      </c>
    </row>
    <row r="320">
      <c r="A320" s="1">
        <v>2017</v>
      </c>
      <c r="B320" s="1">
        <v>40</v>
      </c>
      <c r="C320" t="s">
        <v>47</v>
      </c>
      <c r="D320" s="1">
        <v>143</v>
      </c>
      <c r="E320" t="s">
        <v>233</v>
      </c>
      <c r="F320" s="1">
        <v>41</v>
      </c>
      <c r="G320" t="s">
        <v>3</v>
      </c>
      <c r="H320" s="1">
        <v>51</v>
      </c>
      <c r="I320" t="s">
        <v>6</v>
      </c>
      <c r="J320" s="1">
        <v>43</v>
      </c>
      <c r="K320" s="1">
        <v>56</v>
      </c>
      <c r="L320" s="1">
        <v>2339</v>
      </c>
      <c r="M320" s="1">
        <v>19777</v>
      </c>
      <c r="N320" s="1">
        <v>40686</v>
      </c>
      <c r="O320" s="1">
        <v>1230360</v>
      </c>
      <c r="P320" s="1">
        <v>233925</v>
      </c>
      <c r="Q320" s="1">
        <v>513670</v>
      </c>
      <c r="R320" s="1">
        <v>17594004</v>
      </c>
      <c r="S320" s="1">
        <v>40143</v>
      </c>
      <c r="T320" s="1">
        <v>40143</v>
      </c>
      <c r="U320" s="1">
        <v>41051</v>
      </c>
      <c r="V320" s="1">
        <v>0</v>
      </c>
      <c r="W320" s="1">
        <v>1</v>
      </c>
    </row>
    <row r="321">
      <c r="A321" s="1">
        <v>2017</v>
      </c>
      <c r="B321" s="1">
        <v>41</v>
      </c>
      <c r="C321" t="s">
        <v>3</v>
      </c>
      <c r="D321" s="1">
        <v>3</v>
      </c>
      <c r="E321" t="s">
        <v>124</v>
      </c>
      <c r="F321" s="1">
        <v>41</v>
      </c>
      <c r="G321" t="s">
        <v>3</v>
      </c>
      <c r="H321" s="1">
        <v>51</v>
      </c>
      <c r="I321" t="s">
        <v>6</v>
      </c>
      <c r="J321" s="1">
        <v>356</v>
      </c>
      <c r="K321" s="1">
        <v>463</v>
      </c>
      <c r="L321" s="1">
        <v>13932</v>
      </c>
      <c r="M321" s="1">
        <v>4684</v>
      </c>
      <c r="N321" s="1">
        <v>7532</v>
      </c>
      <c r="O321" s="1">
        <v>240284</v>
      </c>
      <c r="P321" s="1">
        <v>32394</v>
      </c>
      <c r="Q321" s="1">
        <v>63745</v>
      </c>
      <c r="R321" s="1">
        <v>2602855</v>
      </c>
      <c r="S321" s="1">
        <v>41003</v>
      </c>
      <c r="T321" s="1">
        <v>41003</v>
      </c>
      <c r="U321" s="1">
        <v>41051</v>
      </c>
      <c r="V321" s="1">
        <v>0</v>
      </c>
      <c r="W321" s="1">
        <v>1</v>
      </c>
    </row>
    <row r="322">
      <c r="A322" s="1">
        <v>2017</v>
      </c>
      <c r="B322" s="1">
        <v>41</v>
      </c>
      <c r="C322" t="s">
        <v>3</v>
      </c>
      <c r="D322" s="1">
        <v>5</v>
      </c>
      <c r="E322" t="s">
        <v>125</v>
      </c>
      <c r="F322" s="1">
        <v>41</v>
      </c>
      <c r="G322" t="s">
        <v>3</v>
      </c>
      <c r="H322" s="1">
        <v>51</v>
      </c>
      <c r="I322" t="s">
        <v>6</v>
      </c>
      <c r="J322" s="1">
        <v>4819</v>
      </c>
      <c r="K322" s="1">
        <v>7811</v>
      </c>
      <c r="L322" s="1">
        <v>276742</v>
      </c>
      <c r="M322" s="1">
        <v>17225</v>
      </c>
      <c r="N322" s="1">
        <v>31063</v>
      </c>
      <c r="O322" s="1">
        <v>1158092</v>
      </c>
      <c r="P322" s="1">
        <v>160303</v>
      </c>
      <c r="Q322" s="1">
        <v>338243</v>
      </c>
      <c r="R322" s="1">
        <v>15078514</v>
      </c>
      <c r="S322" s="1">
        <v>41005</v>
      </c>
      <c r="T322" s="1">
        <v>41005</v>
      </c>
      <c r="U322" s="1">
        <v>41051</v>
      </c>
      <c r="V322" s="1">
        <v>0</v>
      </c>
      <c r="W322" s="1">
        <v>1</v>
      </c>
    </row>
    <row r="323">
      <c r="A323" s="1">
        <v>2017</v>
      </c>
      <c r="B323" s="1">
        <v>41</v>
      </c>
      <c r="C323" t="s">
        <v>3</v>
      </c>
      <c r="D323" s="1">
        <v>7</v>
      </c>
      <c r="E323" t="s">
        <v>126</v>
      </c>
      <c r="F323" s="1">
        <v>41</v>
      </c>
      <c r="G323" t="s">
        <v>3</v>
      </c>
      <c r="H323" s="1">
        <v>51</v>
      </c>
      <c r="I323" t="s">
        <v>6</v>
      </c>
      <c r="J323" s="1">
        <v>92</v>
      </c>
      <c r="K323" s="1">
        <v>141</v>
      </c>
      <c r="L323" s="1">
        <v>4290</v>
      </c>
      <c r="M323" s="1">
        <v>1580</v>
      </c>
      <c r="N323" s="1">
        <v>3001</v>
      </c>
      <c r="O323" s="1">
        <v>74090</v>
      </c>
      <c r="P323" s="1">
        <v>14901</v>
      </c>
      <c r="Q323" s="1">
        <v>29614</v>
      </c>
      <c r="R323" s="1">
        <v>863759</v>
      </c>
      <c r="S323" s="1">
        <v>41007</v>
      </c>
      <c r="T323" s="1">
        <v>41007</v>
      </c>
      <c r="U323" s="1">
        <v>41051</v>
      </c>
      <c r="V323" s="1">
        <v>0</v>
      </c>
      <c r="W323" s="1">
        <v>1</v>
      </c>
    </row>
    <row r="324">
      <c r="A324" s="1">
        <v>2017</v>
      </c>
      <c r="B324" s="1">
        <v>41</v>
      </c>
      <c r="C324" t="s">
        <v>3</v>
      </c>
      <c r="D324" s="1">
        <v>9</v>
      </c>
      <c r="E324" t="s">
        <v>127</v>
      </c>
      <c r="F324" s="1">
        <v>41</v>
      </c>
      <c r="G324" t="s">
        <v>3</v>
      </c>
      <c r="H324" s="1">
        <v>51</v>
      </c>
      <c r="I324" t="s">
        <v>6</v>
      </c>
      <c r="J324" s="1">
        <v>196</v>
      </c>
      <c r="K324" s="1">
        <v>290</v>
      </c>
      <c r="L324" s="1">
        <v>8997</v>
      </c>
      <c r="M324" s="1">
        <v>1588</v>
      </c>
      <c r="N324" s="1">
        <v>2999</v>
      </c>
      <c r="O324" s="1">
        <v>86526</v>
      </c>
      <c r="P324" s="1">
        <v>18768</v>
      </c>
      <c r="Q324" s="1">
        <v>39687</v>
      </c>
      <c r="R324" s="1">
        <v>1227591</v>
      </c>
      <c r="S324" s="1">
        <v>41009</v>
      </c>
      <c r="T324" s="1">
        <v>41009</v>
      </c>
      <c r="U324" s="1">
        <v>41051</v>
      </c>
      <c r="V324" s="1">
        <v>0</v>
      </c>
      <c r="W324" s="1">
        <v>1</v>
      </c>
    </row>
    <row r="325">
      <c r="A325" s="1">
        <v>2017</v>
      </c>
      <c r="B325" s="1">
        <v>41</v>
      </c>
      <c r="C325" t="s">
        <v>3</v>
      </c>
      <c r="D325" s="1">
        <v>11</v>
      </c>
      <c r="E325" t="s">
        <v>128</v>
      </c>
      <c r="F325" s="1">
        <v>41</v>
      </c>
      <c r="G325" t="s">
        <v>3</v>
      </c>
      <c r="H325" s="1">
        <v>51</v>
      </c>
      <c r="I325" t="s">
        <v>6</v>
      </c>
      <c r="J325" s="1">
        <v>41</v>
      </c>
      <c r="K325" s="1">
        <v>58</v>
      </c>
      <c r="L325" s="1">
        <v>1457</v>
      </c>
      <c r="M325" s="1">
        <v>1748</v>
      </c>
      <c r="N325" s="1">
        <v>3255</v>
      </c>
      <c r="O325" s="1">
        <v>77627</v>
      </c>
      <c r="P325" s="1">
        <v>22603</v>
      </c>
      <c r="Q325" s="1">
        <v>44841</v>
      </c>
      <c r="R325" s="1">
        <v>1165311</v>
      </c>
      <c r="S325" s="1">
        <v>41011</v>
      </c>
      <c r="T325" s="1">
        <v>41011</v>
      </c>
      <c r="U325" s="1">
        <v>41051</v>
      </c>
      <c r="V325" s="1">
        <v>0</v>
      </c>
      <c r="W325" s="1">
        <v>1</v>
      </c>
    </row>
    <row r="326">
      <c r="A326" s="1">
        <v>2017</v>
      </c>
      <c r="B326" s="1">
        <v>41</v>
      </c>
      <c r="C326" t="s">
        <v>3</v>
      </c>
      <c r="D326" s="1">
        <v>17</v>
      </c>
      <c r="E326" t="s">
        <v>130</v>
      </c>
      <c r="F326" s="1">
        <v>41</v>
      </c>
      <c r="G326" t="s">
        <v>3</v>
      </c>
      <c r="H326" s="1">
        <v>51</v>
      </c>
      <c r="I326" t="s">
        <v>6</v>
      </c>
      <c r="J326" s="1">
        <v>313</v>
      </c>
      <c r="K326" s="1">
        <v>421</v>
      </c>
      <c r="L326" s="1">
        <v>14119</v>
      </c>
      <c r="M326" s="1">
        <v>6463</v>
      </c>
      <c r="N326" s="1">
        <v>11614</v>
      </c>
      <c r="O326" s="1">
        <v>364169</v>
      </c>
      <c r="P326" s="1">
        <v>72700</v>
      </c>
      <c r="Q326" s="1">
        <v>147220</v>
      </c>
      <c r="R326" s="1">
        <v>5597894</v>
      </c>
      <c r="S326" s="1">
        <v>41017</v>
      </c>
      <c r="T326" s="1">
        <v>41017</v>
      </c>
      <c r="U326" s="1">
        <v>41051</v>
      </c>
      <c r="V326" s="1">
        <v>0</v>
      </c>
      <c r="W326" s="1">
        <v>1</v>
      </c>
    </row>
    <row r="327">
      <c r="A327" s="1">
        <v>2017</v>
      </c>
      <c r="B327" s="1">
        <v>41</v>
      </c>
      <c r="C327" t="s">
        <v>3</v>
      </c>
      <c r="D327" s="1">
        <v>19</v>
      </c>
      <c r="E327" t="s">
        <v>131</v>
      </c>
      <c r="F327" s="1">
        <v>41</v>
      </c>
      <c r="G327" t="s">
        <v>3</v>
      </c>
      <c r="H327" s="1">
        <v>51</v>
      </c>
      <c r="I327" t="s">
        <v>6</v>
      </c>
      <c r="J327" s="1">
        <v>69</v>
      </c>
      <c r="K327" s="1">
        <v>105</v>
      </c>
      <c r="L327" s="1">
        <v>3767</v>
      </c>
      <c r="M327" s="1">
        <v>2560</v>
      </c>
      <c r="N327" s="1">
        <v>4706</v>
      </c>
      <c r="O327" s="1">
        <v>130655</v>
      </c>
      <c r="P327" s="1">
        <v>37782</v>
      </c>
      <c r="Q327" s="1">
        <v>77561</v>
      </c>
      <c r="R327" s="1">
        <v>2030804</v>
      </c>
      <c r="S327" s="1">
        <v>41019</v>
      </c>
      <c r="T327" s="1">
        <v>41019</v>
      </c>
      <c r="U327" s="1">
        <v>41051</v>
      </c>
      <c r="V327" s="1">
        <v>0</v>
      </c>
      <c r="W327" s="1">
        <v>1</v>
      </c>
    </row>
    <row r="328">
      <c r="A328" s="1">
        <v>2017</v>
      </c>
      <c r="B328" s="1">
        <v>41</v>
      </c>
      <c r="C328" t="s">
        <v>3</v>
      </c>
      <c r="D328" s="1">
        <v>27</v>
      </c>
      <c r="E328" t="s">
        <v>132</v>
      </c>
      <c r="F328" s="1">
        <v>41</v>
      </c>
      <c r="G328" t="s">
        <v>3</v>
      </c>
      <c r="H328" s="1">
        <v>51</v>
      </c>
      <c r="I328" t="s">
        <v>6</v>
      </c>
      <c r="J328" s="1">
        <v>97</v>
      </c>
      <c r="K328" s="1">
        <v>148</v>
      </c>
      <c r="L328" s="1">
        <v>6146</v>
      </c>
      <c r="M328" s="1">
        <v>820</v>
      </c>
      <c r="N328" s="1">
        <v>1520</v>
      </c>
      <c r="O328" s="1">
        <v>46114</v>
      </c>
      <c r="P328" s="1">
        <v>9582</v>
      </c>
      <c r="Q328" s="1">
        <v>21787</v>
      </c>
      <c r="R328" s="1">
        <v>677691</v>
      </c>
      <c r="S328" s="1">
        <v>41027</v>
      </c>
      <c r="T328" s="1">
        <v>41027</v>
      </c>
      <c r="U328" s="1">
        <v>41051</v>
      </c>
      <c r="V328" s="1">
        <v>0</v>
      </c>
      <c r="W328" s="1">
        <v>1</v>
      </c>
    </row>
    <row r="329">
      <c r="A329" s="1">
        <v>2017</v>
      </c>
      <c r="B329" s="1">
        <v>41</v>
      </c>
      <c r="C329" t="s">
        <v>3</v>
      </c>
      <c r="D329" s="1">
        <v>29</v>
      </c>
      <c r="E329" t="s">
        <v>133</v>
      </c>
      <c r="F329" s="1">
        <v>41</v>
      </c>
      <c r="G329" t="s">
        <v>3</v>
      </c>
      <c r="H329" s="1">
        <v>51</v>
      </c>
      <c r="I329" t="s">
        <v>6</v>
      </c>
      <c r="J329" s="1">
        <v>233</v>
      </c>
      <c r="K329" s="1">
        <v>313</v>
      </c>
      <c r="L329" s="1">
        <v>12024</v>
      </c>
      <c r="M329" s="1">
        <v>5425</v>
      </c>
      <c r="N329" s="1">
        <v>9534</v>
      </c>
      <c r="O329" s="1">
        <v>256774</v>
      </c>
      <c r="P329" s="1">
        <v>82416</v>
      </c>
      <c r="Q329" s="1">
        <v>166701</v>
      </c>
      <c r="R329" s="1">
        <v>5001004</v>
      </c>
      <c r="S329" s="1">
        <v>41029</v>
      </c>
      <c r="T329" s="1">
        <v>41029</v>
      </c>
      <c r="U329" s="1">
        <v>41051</v>
      </c>
      <c r="V329" s="1">
        <v>0</v>
      </c>
      <c r="W329" s="1">
        <v>1</v>
      </c>
    </row>
    <row r="330">
      <c r="A330" s="1">
        <v>2017</v>
      </c>
      <c r="B330" s="1">
        <v>41</v>
      </c>
      <c r="C330" t="s">
        <v>3</v>
      </c>
      <c r="D330" s="1">
        <v>31</v>
      </c>
      <c r="E330" t="s">
        <v>83</v>
      </c>
      <c r="F330" s="1">
        <v>41</v>
      </c>
      <c r="G330" t="s">
        <v>3</v>
      </c>
      <c r="H330" s="1">
        <v>51</v>
      </c>
      <c r="I330" t="s">
        <v>6</v>
      </c>
      <c r="J330" s="1">
        <v>22</v>
      </c>
      <c r="K330" s="1">
        <v>35</v>
      </c>
      <c r="L330" s="1">
        <v>1473</v>
      </c>
      <c r="M330" s="1">
        <v>692</v>
      </c>
      <c r="N330" s="1">
        <v>1332</v>
      </c>
      <c r="O330" s="1">
        <v>30656</v>
      </c>
      <c r="P330" s="1">
        <v>7570</v>
      </c>
      <c r="Q330" s="1">
        <v>16970</v>
      </c>
      <c r="R330" s="1">
        <v>364679</v>
      </c>
      <c r="S330" s="1">
        <v>41031</v>
      </c>
      <c r="T330" s="1">
        <v>41031</v>
      </c>
      <c r="U330" s="1">
        <v>41051</v>
      </c>
      <c r="V330" s="1">
        <v>0</v>
      </c>
      <c r="W330" s="1">
        <v>1</v>
      </c>
    </row>
    <row r="331">
      <c r="A331" s="1">
        <v>2017</v>
      </c>
      <c r="B331" s="1">
        <v>41</v>
      </c>
      <c r="C331" t="s">
        <v>3</v>
      </c>
      <c r="D331" s="1">
        <v>33</v>
      </c>
      <c r="E331" t="s">
        <v>134</v>
      </c>
      <c r="F331" s="1">
        <v>41</v>
      </c>
      <c r="G331" t="s">
        <v>3</v>
      </c>
      <c r="H331" s="1">
        <v>51</v>
      </c>
      <c r="I331" t="s">
        <v>6</v>
      </c>
      <c r="J331" s="1">
        <v>54</v>
      </c>
      <c r="K331" s="1">
        <v>90</v>
      </c>
      <c r="L331" s="1">
        <v>1674</v>
      </c>
      <c r="M331" s="1">
        <v>2245</v>
      </c>
      <c r="N331" s="1">
        <v>4027</v>
      </c>
      <c r="O331" s="1">
        <v>99617</v>
      </c>
      <c r="P331" s="1">
        <v>30259</v>
      </c>
      <c r="Q331" s="1">
        <v>60835</v>
      </c>
      <c r="R331" s="1">
        <v>1582523</v>
      </c>
      <c r="S331" s="1">
        <v>41033</v>
      </c>
      <c r="T331" s="1">
        <v>41033</v>
      </c>
      <c r="U331" s="1">
        <v>41051</v>
      </c>
      <c r="V331" s="1">
        <v>0</v>
      </c>
      <c r="W331" s="1">
        <v>1</v>
      </c>
    </row>
    <row r="332">
      <c r="A332" s="1">
        <v>2017</v>
      </c>
      <c r="B332" s="1">
        <v>41</v>
      </c>
      <c r="C332" t="s">
        <v>3</v>
      </c>
      <c r="D332" s="1">
        <v>35</v>
      </c>
      <c r="E332" t="s">
        <v>135</v>
      </c>
      <c r="F332" s="1">
        <v>41</v>
      </c>
      <c r="G332" t="s">
        <v>3</v>
      </c>
      <c r="H332" s="1">
        <v>51</v>
      </c>
      <c r="I332" t="s">
        <v>6</v>
      </c>
      <c r="J332" s="1">
        <v>46</v>
      </c>
      <c r="K332" s="1">
        <v>68</v>
      </c>
      <c r="L332" s="1">
        <v>1819</v>
      </c>
      <c r="M332" s="1">
        <v>1855</v>
      </c>
      <c r="N332" s="1">
        <v>3583</v>
      </c>
      <c r="O332" s="1">
        <v>82855</v>
      </c>
      <c r="P332" s="1">
        <v>23003</v>
      </c>
      <c r="Q332" s="1">
        <v>48386</v>
      </c>
      <c r="R332" s="1">
        <v>1179991</v>
      </c>
      <c r="S332" s="1">
        <v>41035</v>
      </c>
      <c r="T332" s="1">
        <v>41035</v>
      </c>
      <c r="U332" s="1">
        <v>41051</v>
      </c>
      <c r="V332" s="1">
        <v>0</v>
      </c>
      <c r="W332" s="1">
        <v>1</v>
      </c>
    </row>
    <row r="333">
      <c r="A333" s="1">
        <v>2017</v>
      </c>
      <c r="B333" s="1">
        <v>41</v>
      </c>
      <c r="C333" t="s">
        <v>3</v>
      </c>
      <c r="D333" s="1">
        <v>39</v>
      </c>
      <c r="E333" t="s">
        <v>136</v>
      </c>
      <c r="F333" s="1">
        <v>41</v>
      </c>
      <c r="G333" t="s">
        <v>3</v>
      </c>
      <c r="H333" s="1">
        <v>51</v>
      </c>
      <c r="I333" t="s">
        <v>6</v>
      </c>
      <c r="J333" s="1">
        <v>874</v>
      </c>
      <c r="K333" s="1">
        <v>1101</v>
      </c>
      <c r="L333" s="1">
        <v>34347</v>
      </c>
      <c r="M333" s="1">
        <v>9907</v>
      </c>
      <c r="N333" s="1">
        <v>16324</v>
      </c>
      <c r="O333" s="1">
        <v>492438</v>
      </c>
      <c r="P333" s="1">
        <v>138133</v>
      </c>
      <c r="Q333" s="1">
        <v>268134</v>
      </c>
      <c r="R333" s="1">
        <v>8937988</v>
      </c>
      <c r="S333" s="1">
        <v>41039</v>
      </c>
      <c r="T333" s="1">
        <v>41039</v>
      </c>
      <c r="U333" s="1">
        <v>41051</v>
      </c>
      <c r="V333" s="1">
        <v>0</v>
      </c>
      <c r="W333" s="1">
        <v>1</v>
      </c>
    </row>
    <row r="334">
      <c r="A334" s="1">
        <v>2017</v>
      </c>
      <c r="B334" s="1">
        <v>41</v>
      </c>
      <c r="C334" t="s">
        <v>3</v>
      </c>
      <c r="D334" s="1">
        <v>41</v>
      </c>
      <c r="E334" t="s">
        <v>137</v>
      </c>
      <c r="F334" s="1">
        <v>41</v>
      </c>
      <c r="G334" t="s">
        <v>3</v>
      </c>
      <c r="H334" s="1">
        <v>51</v>
      </c>
      <c r="I334" t="s">
        <v>6</v>
      </c>
      <c r="J334" s="1">
        <v>94</v>
      </c>
      <c r="K334" s="1">
        <v>133</v>
      </c>
      <c r="L334" s="1">
        <v>4354</v>
      </c>
      <c r="M334" s="1">
        <v>1883</v>
      </c>
      <c r="N334" s="1">
        <v>3334</v>
      </c>
      <c r="O334" s="1">
        <v>88208</v>
      </c>
      <c r="P334" s="1">
        <v>18201</v>
      </c>
      <c r="Q334" s="1">
        <v>34791</v>
      </c>
      <c r="R334" s="1">
        <v>980819</v>
      </c>
      <c r="S334" s="1">
        <v>41041</v>
      </c>
      <c r="T334" s="1">
        <v>41041</v>
      </c>
      <c r="U334" s="1">
        <v>41051</v>
      </c>
      <c r="V334" s="1">
        <v>0</v>
      </c>
      <c r="W334" s="1">
        <v>1</v>
      </c>
    </row>
    <row r="335">
      <c r="A335" s="1">
        <v>2017</v>
      </c>
      <c r="B335" s="1">
        <v>41</v>
      </c>
      <c r="C335" t="s">
        <v>3</v>
      </c>
      <c r="D335" s="1">
        <v>43</v>
      </c>
      <c r="E335" t="s">
        <v>138</v>
      </c>
      <c r="F335" s="1">
        <v>41</v>
      </c>
      <c r="G335" t="s">
        <v>3</v>
      </c>
      <c r="H335" s="1">
        <v>51</v>
      </c>
      <c r="I335" t="s">
        <v>6</v>
      </c>
      <c r="J335" s="1">
        <v>118</v>
      </c>
      <c r="K335" s="1">
        <v>158</v>
      </c>
      <c r="L335" s="1">
        <v>4243</v>
      </c>
      <c r="M335" s="1">
        <v>4015</v>
      </c>
      <c r="N335" s="1">
        <v>7606</v>
      </c>
      <c r="O335" s="1">
        <v>175511</v>
      </c>
      <c r="P335" s="1">
        <v>44060</v>
      </c>
      <c r="Q335" s="1">
        <v>94075</v>
      </c>
      <c r="R335" s="1">
        <v>2470706</v>
      </c>
      <c r="S335" s="1">
        <v>41043</v>
      </c>
      <c r="T335" s="1">
        <v>41043</v>
      </c>
      <c r="U335" s="1">
        <v>41051</v>
      </c>
      <c r="V335" s="1">
        <v>0</v>
      </c>
      <c r="W335" s="1">
        <v>1</v>
      </c>
    </row>
    <row r="336">
      <c r="A336" s="1">
        <v>2017</v>
      </c>
      <c r="B336" s="1">
        <v>41</v>
      </c>
      <c r="C336" t="s">
        <v>3</v>
      </c>
      <c r="D336" s="1">
        <v>47</v>
      </c>
      <c r="E336" t="s">
        <v>99</v>
      </c>
      <c r="F336" s="1">
        <v>41</v>
      </c>
      <c r="G336" t="s">
        <v>3</v>
      </c>
      <c r="H336" s="1">
        <v>51</v>
      </c>
      <c r="I336" t="s">
        <v>6</v>
      </c>
      <c r="J336" s="1">
        <v>629</v>
      </c>
      <c r="K336" s="1">
        <v>966</v>
      </c>
      <c r="L336" s="1">
        <v>29973</v>
      </c>
      <c r="M336" s="1">
        <v>9353</v>
      </c>
      <c r="N336" s="1">
        <v>18049</v>
      </c>
      <c r="O336" s="1">
        <v>502946</v>
      </c>
      <c r="P336" s="1">
        <v>119342</v>
      </c>
      <c r="Q336" s="1">
        <v>266995</v>
      </c>
      <c r="R336" s="1">
        <v>7299647</v>
      </c>
      <c r="S336" s="1">
        <v>41047</v>
      </c>
      <c r="T336" s="1">
        <v>41047</v>
      </c>
      <c r="U336" s="1">
        <v>41051</v>
      </c>
      <c r="V336" s="1">
        <v>0</v>
      </c>
      <c r="W336" s="1">
        <v>1</v>
      </c>
    </row>
    <row r="337">
      <c r="A337" s="1">
        <v>2017</v>
      </c>
      <c r="B337" s="1">
        <v>41</v>
      </c>
      <c r="C337" t="s">
        <v>3</v>
      </c>
      <c r="D337" s="1">
        <v>53</v>
      </c>
      <c r="E337" t="s">
        <v>100</v>
      </c>
      <c r="F337" s="1">
        <v>41</v>
      </c>
      <c r="G337" t="s">
        <v>3</v>
      </c>
      <c r="H337" s="1">
        <v>51</v>
      </c>
      <c r="I337" t="s">
        <v>6</v>
      </c>
      <c r="J337" s="1">
        <v>131</v>
      </c>
      <c r="K337" s="1">
        <v>206</v>
      </c>
      <c r="L337" s="1">
        <v>6393</v>
      </c>
      <c r="M337" s="1">
        <v>3697</v>
      </c>
      <c r="N337" s="1">
        <v>7010</v>
      </c>
      <c r="O337" s="1">
        <v>180868</v>
      </c>
      <c r="P337" s="1">
        <v>28897</v>
      </c>
      <c r="Q337" s="1">
        <v>63801</v>
      </c>
      <c r="R337" s="1">
        <v>1908700</v>
      </c>
      <c r="S337" s="1">
        <v>41053</v>
      </c>
      <c r="T337" s="1">
        <v>41053</v>
      </c>
      <c r="U337" s="1">
        <v>41051</v>
      </c>
      <c r="V337" s="1">
        <v>0</v>
      </c>
      <c r="W337" s="1">
        <v>1</v>
      </c>
    </row>
    <row r="338">
      <c r="A338" s="1">
        <v>2017</v>
      </c>
      <c r="B338" s="1">
        <v>41</v>
      </c>
      <c r="C338" t="s">
        <v>3</v>
      </c>
      <c r="D338" s="1">
        <v>57</v>
      </c>
      <c r="E338" t="s">
        <v>139</v>
      </c>
      <c r="F338" s="1">
        <v>41</v>
      </c>
      <c r="G338" t="s">
        <v>3</v>
      </c>
      <c r="H338" s="1">
        <v>51</v>
      </c>
      <c r="I338" t="s">
        <v>6</v>
      </c>
      <c r="J338" s="1">
        <v>69</v>
      </c>
      <c r="K338" s="1">
        <v>105</v>
      </c>
      <c r="L338" s="1">
        <v>2745</v>
      </c>
      <c r="M338" s="1">
        <v>813</v>
      </c>
      <c r="N338" s="1">
        <v>1484</v>
      </c>
      <c r="O338" s="1">
        <v>38718</v>
      </c>
      <c r="P338" s="1">
        <v>9950</v>
      </c>
      <c r="Q338" s="1">
        <v>20057</v>
      </c>
      <c r="R338" s="1">
        <v>555639</v>
      </c>
      <c r="S338" s="1">
        <v>41057</v>
      </c>
      <c r="T338" s="1">
        <v>41057</v>
      </c>
      <c r="U338" s="1">
        <v>41051</v>
      </c>
      <c r="V338" s="1">
        <v>0</v>
      </c>
      <c r="W338" s="1">
        <v>1</v>
      </c>
    </row>
    <row r="339">
      <c r="A339" s="1">
        <v>2017</v>
      </c>
      <c r="B339" s="1">
        <v>41</v>
      </c>
      <c r="C339" t="s">
        <v>3</v>
      </c>
      <c r="D339" s="1">
        <v>59</v>
      </c>
      <c r="E339" t="s">
        <v>140</v>
      </c>
      <c r="F339" s="1">
        <v>41</v>
      </c>
      <c r="G339" t="s">
        <v>3</v>
      </c>
      <c r="H339" s="1">
        <v>51</v>
      </c>
      <c r="I339" t="s">
        <v>6</v>
      </c>
      <c r="J339" s="1">
        <v>44</v>
      </c>
      <c r="K339" s="1">
        <v>71</v>
      </c>
      <c r="L339" s="1">
        <v>1758</v>
      </c>
      <c r="M339" s="1">
        <v>1871</v>
      </c>
      <c r="N339" s="1">
        <v>3867</v>
      </c>
      <c r="O339" s="1">
        <v>85070</v>
      </c>
      <c r="P339" s="1">
        <v>26050</v>
      </c>
      <c r="Q339" s="1">
        <v>59628</v>
      </c>
      <c r="R339" s="1">
        <v>1467995</v>
      </c>
      <c r="S339" s="1">
        <v>41059</v>
      </c>
      <c r="T339" s="1">
        <v>41059</v>
      </c>
      <c r="U339" s="1">
        <v>41051</v>
      </c>
      <c r="V339" s="1">
        <v>0</v>
      </c>
      <c r="W339" s="1">
        <v>1</v>
      </c>
    </row>
    <row r="340">
      <c r="A340" s="1">
        <v>2017</v>
      </c>
      <c r="B340" s="1">
        <v>41</v>
      </c>
      <c r="C340" t="s">
        <v>3</v>
      </c>
      <c r="D340" s="1">
        <v>61</v>
      </c>
      <c r="E340" t="s">
        <v>141</v>
      </c>
      <c r="F340" s="1">
        <v>41</v>
      </c>
      <c r="G340" t="s">
        <v>3</v>
      </c>
      <c r="H340" s="1">
        <v>51</v>
      </c>
      <c r="I340" t="s">
        <v>6</v>
      </c>
      <c r="J340" s="1">
        <v>32</v>
      </c>
      <c r="K340" s="1">
        <v>45</v>
      </c>
      <c r="L340" s="1">
        <v>1080</v>
      </c>
      <c r="M340" s="1">
        <v>833</v>
      </c>
      <c r="N340" s="1">
        <v>1487</v>
      </c>
      <c r="O340" s="1">
        <v>35722</v>
      </c>
      <c r="P340" s="1">
        <v>9467</v>
      </c>
      <c r="Q340" s="1">
        <v>20076</v>
      </c>
      <c r="R340" s="1">
        <v>523382</v>
      </c>
      <c r="S340" s="1">
        <v>41061</v>
      </c>
      <c r="T340" s="1">
        <v>41061</v>
      </c>
      <c r="U340" s="1">
        <v>41051</v>
      </c>
      <c r="V340" s="1">
        <v>0</v>
      </c>
      <c r="W340" s="1">
        <v>1</v>
      </c>
    </row>
    <row r="341">
      <c r="A341" s="1">
        <v>2017</v>
      </c>
      <c r="B341" s="1">
        <v>41</v>
      </c>
      <c r="C341" t="s">
        <v>3</v>
      </c>
      <c r="D341" s="1">
        <v>65</v>
      </c>
      <c r="E341" t="s">
        <v>142</v>
      </c>
      <c r="F341" s="1">
        <v>41</v>
      </c>
      <c r="G341" t="s">
        <v>3</v>
      </c>
      <c r="H341" s="1">
        <v>51</v>
      </c>
      <c r="I341" t="s">
        <v>6</v>
      </c>
      <c r="J341" s="1">
        <v>51</v>
      </c>
      <c r="K341" s="1">
        <v>84</v>
      </c>
      <c r="L341" s="1">
        <v>2093</v>
      </c>
      <c r="M341" s="1">
        <v>828</v>
      </c>
      <c r="N341" s="1">
        <v>1633</v>
      </c>
      <c r="O341" s="1">
        <v>36275</v>
      </c>
      <c r="P341" s="1">
        <v>9403</v>
      </c>
      <c r="Q341" s="1">
        <v>20116</v>
      </c>
      <c r="R341" s="1">
        <v>511535</v>
      </c>
      <c r="S341" s="1">
        <v>41065</v>
      </c>
      <c r="T341" s="1">
        <v>41065</v>
      </c>
      <c r="U341" s="1">
        <v>41051</v>
      </c>
      <c r="V341" s="1">
        <v>0</v>
      </c>
      <c r="W341" s="1">
        <v>1</v>
      </c>
    </row>
    <row r="342">
      <c r="A342" s="1">
        <v>2017</v>
      </c>
      <c r="B342" s="1">
        <v>41</v>
      </c>
      <c r="C342" t="s">
        <v>3</v>
      </c>
      <c r="D342" s="1">
        <v>67</v>
      </c>
      <c r="E342" t="s">
        <v>143</v>
      </c>
      <c r="F342" s="1">
        <v>41</v>
      </c>
      <c r="G342" t="s">
        <v>3</v>
      </c>
      <c r="H342" s="1">
        <v>51</v>
      </c>
      <c r="I342" t="s">
        <v>6</v>
      </c>
      <c r="J342" s="1">
        <v>5729</v>
      </c>
      <c r="K342" s="1">
        <v>8355</v>
      </c>
      <c r="L342" s="1">
        <v>388877</v>
      </c>
      <c r="M342" s="1">
        <v>25518</v>
      </c>
      <c r="N342" s="1">
        <v>46357</v>
      </c>
      <c r="O342" s="1">
        <v>1877948</v>
      </c>
      <c r="P342" s="1">
        <v>229183</v>
      </c>
      <c r="Q342" s="1">
        <v>492230</v>
      </c>
      <c r="R342" s="1">
        <v>20749248</v>
      </c>
      <c r="S342" s="1">
        <v>41067</v>
      </c>
      <c r="T342" s="1">
        <v>41067</v>
      </c>
      <c r="U342" s="1">
        <v>41051</v>
      </c>
      <c r="V342" s="1">
        <v>0</v>
      </c>
      <c r="W342" s="1">
        <v>1</v>
      </c>
    </row>
    <row r="343">
      <c r="A343" s="1">
        <v>2017</v>
      </c>
      <c r="B343" s="1">
        <v>41</v>
      </c>
      <c r="C343" t="s">
        <v>3</v>
      </c>
      <c r="D343" s="1">
        <v>71</v>
      </c>
      <c r="E343" t="s">
        <v>144</v>
      </c>
      <c r="F343" s="1">
        <v>41</v>
      </c>
      <c r="G343" t="s">
        <v>3</v>
      </c>
      <c r="H343" s="1">
        <v>51</v>
      </c>
      <c r="I343" t="s">
        <v>6</v>
      </c>
      <c r="J343" s="1">
        <v>241</v>
      </c>
      <c r="K343" s="1">
        <v>359</v>
      </c>
      <c r="L343" s="1">
        <v>10692</v>
      </c>
      <c r="M343" s="1">
        <v>3390</v>
      </c>
      <c r="N343" s="1">
        <v>6635</v>
      </c>
      <c r="O343" s="1">
        <v>184275</v>
      </c>
      <c r="P343" s="1">
        <v>36868</v>
      </c>
      <c r="Q343" s="1">
        <v>81820</v>
      </c>
      <c r="R343" s="1">
        <v>2523556</v>
      </c>
      <c r="S343" s="1">
        <v>41071</v>
      </c>
      <c r="T343" s="1">
        <v>41071</v>
      </c>
      <c r="U343" s="1">
        <v>41051</v>
      </c>
      <c r="V343" s="1">
        <v>0</v>
      </c>
      <c r="W343" s="1">
        <v>1</v>
      </c>
    </row>
    <row r="344">
      <c r="A344" s="1">
        <v>2017</v>
      </c>
      <c r="B344" s="1">
        <v>42</v>
      </c>
      <c r="C344" t="s">
        <v>34</v>
      </c>
      <c r="D344" s="1">
        <v>3</v>
      </c>
      <c r="E344" t="s">
        <v>145</v>
      </c>
      <c r="F344" s="1">
        <v>41</v>
      </c>
      <c r="G344" t="s">
        <v>3</v>
      </c>
      <c r="H344" s="1">
        <v>51</v>
      </c>
      <c r="I344" t="s">
        <v>6</v>
      </c>
      <c r="J344" s="1">
        <v>74</v>
      </c>
      <c r="K344" s="1">
        <v>107</v>
      </c>
      <c r="L344" s="1">
        <v>4925</v>
      </c>
      <c r="M344" s="1">
        <v>31139</v>
      </c>
      <c r="N344" s="1">
        <v>52943</v>
      </c>
      <c r="O344" s="1">
        <v>2354594</v>
      </c>
      <c r="P344" s="1">
        <v>528399</v>
      </c>
      <c r="Q344" s="1">
        <v>1004303</v>
      </c>
      <c r="R344" s="1">
        <v>41789280</v>
      </c>
      <c r="S344" s="1">
        <v>42003</v>
      </c>
      <c r="T344" s="1">
        <v>42003</v>
      </c>
      <c r="U344" s="1">
        <v>41051</v>
      </c>
      <c r="V344" s="1">
        <v>0</v>
      </c>
      <c r="W344" s="1">
        <v>1</v>
      </c>
    </row>
    <row r="345">
      <c r="A345" s="1">
        <v>2017</v>
      </c>
      <c r="B345" s="1">
        <v>42</v>
      </c>
      <c r="C345" t="s">
        <v>34</v>
      </c>
      <c r="D345" s="1">
        <v>29</v>
      </c>
      <c r="E345" t="s">
        <v>360</v>
      </c>
      <c r="F345" s="1">
        <v>41</v>
      </c>
      <c r="G345" t="s">
        <v>3</v>
      </c>
      <c r="H345" s="1">
        <v>51</v>
      </c>
      <c r="I345" t="s">
        <v>6</v>
      </c>
      <c r="J345" s="1">
        <v>23</v>
      </c>
      <c r="K345" s="1">
        <v>38</v>
      </c>
      <c r="L345" s="1">
        <v>2010</v>
      </c>
      <c r="M345" s="1">
        <v>15348</v>
      </c>
      <c r="N345" s="1">
        <v>27079</v>
      </c>
      <c r="O345" s="1">
        <v>1450970</v>
      </c>
      <c r="P345" s="1">
        <v>207118</v>
      </c>
      <c r="Q345" s="1">
        <v>457594</v>
      </c>
      <c r="R345" s="1">
        <v>26423272</v>
      </c>
      <c r="S345" s="1">
        <v>42029</v>
      </c>
      <c r="T345" s="1">
        <v>42029</v>
      </c>
      <c r="U345" s="1">
        <v>41051</v>
      </c>
      <c r="V345" s="1">
        <v>0</v>
      </c>
      <c r="W345" s="1">
        <v>1</v>
      </c>
    </row>
    <row r="346">
      <c r="A346" s="1">
        <v>2017</v>
      </c>
      <c r="B346" s="1">
        <v>42</v>
      </c>
      <c r="C346" t="s">
        <v>34</v>
      </c>
      <c r="D346" s="1">
        <v>71</v>
      </c>
      <c r="E346" t="s">
        <v>356</v>
      </c>
      <c r="F346" s="1">
        <v>41</v>
      </c>
      <c r="G346" t="s">
        <v>3</v>
      </c>
      <c r="H346" s="1">
        <v>51</v>
      </c>
      <c r="I346" t="s">
        <v>6</v>
      </c>
      <c r="J346" s="1">
        <v>21</v>
      </c>
      <c r="K346" s="1">
        <v>25</v>
      </c>
      <c r="L346" s="1">
        <v>927</v>
      </c>
      <c r="M346" s="1">
        <v>11176</v>
      </c>
      <c r="N346" s="1">
        <v>20407</v>
      </c>
      <c r="O346" s="1">
        <v>592177</v>
      </c>
      <c r="P346" s="1">
        <v>221992</v>
      </c>
      <c r="Q346" s="1">
        <v>474181</v>
      </c>
      <c r="R346" s="1">
        <v>15296670</v>
      </c>
      <c r="S346" s="1">
        <v>42071</v>
      </c>
      <c r="T346" s="1">
        <v>42071</v>
      </c>
      <c r="U346" s="1">
        <v>41051</v>
      </c>
      <c r="V346" s="1">
        <v>0</v>
      </c>
      <c r="W346" s="1">
        <v>1</v>
      </c>
    </row>
    <row r="347">
      <c r="A347" s="1">
        <v>2017</v>
      </c>
      <c r="B347" s="1">
        <v>42</v>
      </c>
      <c r="C347" t="s">
        <v>34</v>
      </c>
      <c r="D347" s="1">
        <v>91</v>
      </c>
      <c r="E347" t="s">
        <v>103</v>
      </c>
      <c r="F347" s="1">
        <v>41</v>
      </c>
      <c r="G347" t="s">
        <v>3</v>
      </c>
      <c r="H347" s="1">
        <v>51</v>
      </c>
      <c r="I347" t="s">
        <v>6</v>
      </c>
      <c r="J347" s="1">
        <v>29</v>
      </c>
      <c r="K347" s="1">
        <v>38</v>
      </c>
      <c r="L347" s="1">
        <v>1731</v>
      </c>
      <c r="M347" s="1">
        <v>26009</v>
      </c>
      <c r="N347" s="1">
        <v>45311</v>
      </c>
      <c r="O347" s="1">
        <v>2339410</v>
      </c>
      <c r="P347" s="1">
        <v>344483</v>
      </c>
      <c r="Q347" s="1">
        <v>723582</v>
      </c>
      <c r="R347" s="1">
        <v>41939240</v>
      </c>
      <c r="S347" s="1">
        <v>42091</v>
      </c>
      <c r="T347" s="1">
        <v>42091</v>
      </c>
      <c r="U347" s="1">
        <v>41051</v>
      </c>
      <c r="V347" s="1">
        <v>0</v>
      </c>
      <c r="W347" s="1">
        <v>1</v>
      </c>
    </row>
    <row r="348">
      <c r="A348" s="1">
        <v>2017</v>
      </c>
      <c r="B348" s="1">
        <v>42</v>
      </c>
      <c r="C348" t="s">
        <v>34</v>
      </c>
      <c r="D348" s="1">
        <v>101</v>
      </c>
      <c r="E348" t="s">
        <v>146</v>
      </c>
      <c r="F348" s="1">
        <v>41</v>
      </c>
      <c r="G348" t="s">
        <v>3</v>
      </c>
      <c r="H348" s="1">
        <v>51</v>
      </c>
      <c r="I348" t="s">
        <v>6</v>
      </c>
      <c r="J348" s="1">
        <v>98</v>
      </c>
      <c r="K348" s="1">
        <v>129</v>
      </c>
      <c r="L348" s="1">
        <v>6449</v>
      </c>
      <c r="M348" s="1">
        <v>44739</v>
      </c>
      <c r="N348" s="1">
        <v>77846</v>
      </c>
      <c r="O348" s="1">
        <v>3040158</v>
      </c>
      <c r="P348" s="1">
        <v>557363</v>
      </c>
      <c r="Q348" s="1">
        <v>1064282</v>
      </c>
      <c r="R348" s="1">
        <v>30518356</v>
      </c>
      <c r="S348" s="1">
        <v>42101</v>
      </c>
      <c r="T348" s="1">
        <v>42101</v>
      </c>
      <c r="U348" s="1">
        <v>41051</v>
      </c>
      <c r="V348" s="1">
        <v>0</v>
      </c>
      <c r="W348" s="1">
        <v>1</v>
      </c>
    </row>
    <row r="349">
      <c r="A349" s="1">
        <v>2017</v>
      </c>
      <c r="B349" s="1">
        <v>44</v>
      </c>
      <c r="C349" t="s">
        <v>48</v>
      </c>
      <c r="D349" s="1">
        <v>7</v>
      </c>
      <c r="E349" t="s">
        <v>212</v>
      </c>
      <c r="F349" s="1">
        <v>41</v>
      </c>
      <c r="G349" t="s">
        <v>3</v>
      </c>
      <c r="H349" s="1">
        <v>51</v>
      </c>
      <c r="I349" t="s">
        <v>6</v>
      </c>
      <c r="J349" s="1">
        <v>35</v>
      </c>
      <c r="K349" s="1">
        <v>48</v>
      </c>
      <c r="L349" s="1">
        <v>2337</v>
      </c>
      <c r="M349" s="1">
        <v>16884</v>
      </c>
      <c r="N349" s="1">
        <v>28646</v>
      </c>
      <c r="O349" s="1">
        <v>1074255</v>
      </c>
      <c r="P349" s="1">
        <v>256130</v>
      </c>
      <c r="Q349" s="1">
        <v>494910</v>
      </c>
      <c r="R349" s="1">
        <v>16013214</v>
      </c>
      <c r="S349" s="1">
        <v>44007</v>
      </c>
      <c r="T349" s="1">
        <v>44007</v>
      </c>
      <c r="U349" s="1">
        <v>41051</v>
      </c>
      <c r="V349" s="1">
        <v>0</v>
      </c>
      <c r="W349" s="1">
        <v>1</v>
      </c>
    </row>
    <row r="350">
      <c r="A350" s="1">
        <v>2017</v>
      </c>
      <c r="B350" s="1">
        <v>45</v>
      </c>
      <c r="C350" t="s">
        <v>49</v>
      </c>
      <c r="D350" s="1">
        <v>19</v>
      </c>
      <c r="E350" t="s">
        <v>213</v>
      </c>
      <c r="F350" s="1">
        <v>41</v>
      </c>
      <c r="G350" t="s">
        <v>3</v>
      </c>
      <c r="H350" s="1">
        <v>51</v>
      </c>
      <c r="I350" t="s">
        <v>6</v>
      </c>
      <c r="J350" s="1">
        <v>41</v>
      </c>
      <c r="K350" s="1">
        <v>58</v>
      </c>
      <c r="L350" s="1">
        <v>2590</v>
      </c>
      <c r="M350" s="1">
        <v>18104</v>
      </c>
      <c r="N350" s="1">
        <v>32357</v>
      </c>
      <c r="O350" s="1">
        <v>1048789</v>
      </c>
      <c r="P350" s="1">
        <v>153573</v>
      </c>
      <c r="Q350" s="1">
        <v>298316</v>
      </c>
      <c r="R350" s="1">
        <v>13061277</v>
      </c>
      <c r="S350" s="1">
        <v>45019</v>
      </c>
      <c r="T350" s="1">
        <v>45019</v>
      </c>
      <c r="U350" s="1">
        <v>41051</v>
      </c>
      <c r="V350" s="1">
        <v>0</v>
      </c>
      <c r="W350" s="1">
        <v>1</v>
      </c>
    </row>
    <row r="351">
      <c r="A351" s="1">
        <v>2017</v>
      </c>
      <c r="B351" s="1">
        <v>47</v>
      </c>
      <c r="C351" t="s">
        <v>35</v>
      </c>
      <c r="D351" s="1">
        <v>37</v>
      </c>
      <c r="E351" t="s">
        <v>147</v>
      </c>
      <c r="F351" s="1">
        <v>41</v>
      </c>
      <c r="G351" t="s">
        <v>3</v>
      </c>
      <c r="H351" s="1">
        <v>51</v>
      </c>
      <c r="I351" t="s">
        <v>6</v>
      </c>
      <c r="J351" s="1">
        <v>69</v>
      </c>
      <c r="K351" s="1">
        <v>94</v>
      </c>
      <c r="L351" s="1">
        <v>4329</v>
      </c>
      <c r="M351" s="1">
        <v>36655</v>
      </c>
      <c r="N351" s="1">
        <v>66618</v>
      </c>
      <c r="O351" s="1">
        <v>2162915</v>
      </c>
      <c r="P351" s="1">
        <v>284912</v>
      </c>
      <c r="Q351" s="1">
        <v>544811</v>
      </c>
      <c r="R351" s="1">
        <v>22056372</v>
      </c>
      <c r="S351" s="1">
        <v>47037</v>
      </c>
      <c r="T351" s="1">
        <v>47037</v>
      </c>
      <c r="U351" s="1">
        <v>41051</v>
      </c>
      <c r="V351" s="1">
        <v>0</v>
      </c>
      <c r="W351" s="1">
        <v>1</v>
      </c>
    </row>
    <row r="352">
      <c r="A352" s="1">
        <v>2017</v>
      </c>
      <c r="B352" s="1">
        <v>47</v>
      </c>
      <c r="C352" t="s">
        <v>35</v>
      </c>
      <c r="D352" s="1">
        <v>93</v>
      </c>
      <c r="E352" t="s">
        <v>148</v>
      </c>
      <c r="F352" s="1">
        <v>41</v>
      </c>
      <c r="G352" t="s">
        <v>3</v>
      </c>
      <c r="H352" s="1">
        <v>51</v>
      </c>
      <c r="I352" t="s">
        <v>6</v>
      </c>
      <c r="J352" s="1">
        <v>25</v>
      </c>
      <c r="K352" s="1">
        <v>32</v>
      </c>
      <c r="L352" s="1">
        <v>1385</v>
      </c>
      <c r="M352" s="1">
        <v>13879</v>
      </c>
      <c r="N352" s="1">
        <v>25739</v>
      </c>
      <c r="O352" s="1">
        <v>830981</v>
      </c>
      <c r="P352" s="1">
        <v>171035</v>
      </c>
      <c r="Q352" s="1">
        <v>356616</v>
      </c>
      <c r="R352" s="1">
        <v>13375711</v>
      </c>
      <c r="S352" s="1">
        <v>47093</v>
      </c>
      <c r="T352" s="1">
        <v>47093</v>
      </c>
      <c r="U352" s="1">
        <v>41051</v>
      </c>
      <c r="V352" s="1">
        <v>0</v>
      </c>
      <c r="W352" s="1">
        <v>1</v>
      </c>
    </row>
    <row r="353">
      <c r="A353" s="1">
        <v>2017</v>
      </c>
      <c r="B353" s="1">
        <v>47</v>
      </c>
      <c r="C353" t="s">
        <v>35</v>
      </c>
      <c r="D353" s="1">
        <v>157</v>
      </c>
      <c r="E353" t="s">
        <v>215</v>
      </c>
      <c r="F353" s="1">
        <v>41</v>
      </c>
      <c r="G353" t="s">
        <v>3</v>
      </c>
      <c r="H353" s="1">
        <v>51</v>
      </c>
      <c r="I353" t="s">
        <v>6</v>
      </c>
      <c r="J353" s="1">
        <v>30</v>
      </c>
      <c r="K353" s="1">
        <v>53</v>
      </c>
      <c r="L353" s="1">
        <v>2121</v>
      </c>
      <c r="M353" s="1">
        <v>22206</v>
      </c>
      <c r="N353" s="1">
        <v>44546</v>
      </c>
      <c r="O353" s="1">
        <v>1383110</v>
      </c>
      <c r="P353" s="1">
        <v>357814</v>
      </c>
      <c r="Q353" s="1">
        <v>758796</v>
      </c>
      <c r="R353" s="1">
        <v>23813686</v>
      </c>
      <c r="S353" s="1">
        <v>47157</v>
      </c>
      <c r="T353" s="1">
        <v>47157</v>
      </c>
      <c r="U353" s="1">
        <v>41051</v>
      </c>
      <c r="V353" s="1">
        <v>0</v>
      </c>
      <c r="W353" s="1">
        <v>1</v>
      </c>
    </row>
    <row r="354">
      <c r="A354" s="1">
        <v>2017</v>
      </c>
      <c r="B354" s="1">
        <v>48</v>
      </c>
      <c r="C354" t="s">
        <v>36</v>
      </c>
      <c r="D354" s="1">
        <v>29</v>
      </c>
      <c r="E354" t="s">
        <v>149</v>
      </c>
      <c r="F354" s="1">
        <v>41</v>
      </c>
      <c r="G354" t="s">
        <v>3</v>
      </c>
      <c r="H354" s="1">
        <v>51</v>
      </c>
      <c r="I354" t="s">
        <v>6</v>
      </c>
      <c r="J354" s="1">
        <v>46</v>
      </c>
      <c r="K354" s="1">
        <v>64</v>
      </c>
      <c r="L354" s="1">
        <v>2411</v>
      </c>
      <c r="M354" s="1">
        <v>46744</v>
      </c>
      <c r="N354" s="1">
        <v>96794</v>
      </c>
      <c r="O354" s="1">
        <v>2928568</v>
      </c>
      <c r="P354" s="1">
        <v>701204</v>
      </c>
      <c r="Q354" s="1">
        <v>1511909</v>
      </c>
      <c r="R354" s="1">
        <v>43890508</v>
      </c>
      <c r="S354" s="1">
        <v>48029</v>
      </c>
      <c r="T354" s="1">
        <v>48029</v>
      </c>
      <c r="U354" s="1">
        <v>41051</v>
      </c>
      <c r="V354" s="1">
        <v>0</v>
      </c>
      <c r="W354" s="1">
        <v>1</v>
      </c>
    </row>
    <row r="355">
      <c r="A355" s="1">
        <v>2017</v>
      </c>
      <c r="B355" s="1">
        <v>48</v>
      </c>
      <c r="C355" t="s">
        <v>36</v>
      </c>
      <c r="D355" s="1">
        <v>85</v>
      </c>
      <c r="E355" t="s">
        <v>216</v>
      </c>
      <c r="F355" s="1">
        <v>41</v>
      </c>
      <c r="G355" t="s">
        <v>3</v>
      </c>
      <c r="H355" s="1">
        <v>51</v>
      </c>
      <c r="I355" t="s">
        <v>6</v>
      </c>
      <c r="J355" s="1">
        <v>29</v>
      </c>
      <c r="K355" s="1">
        <v>45</v>
      </c>
      <c r="L355" s="1">
        <v>2230</v>
      </c>
      <c r="M355" s="1">
        <v>41251</v>
      </c>
      <c r="N355" s="1">
        <v>81201</v>
      </c>
      <c r="O355" s="1">
        <v>3519944</v>
      </c>
      <c r="P355" s="1">
        <v>342660</v>
      </c>
      <c r="Q355" s="1">
        <v>816255</v>
      </c>
      <c r="R355" s="1">
        <v>38571504</v>
      </c>
      <c r="S355" s="1">
        <v>48085</v>
      </c>
      <c r="T355" s="1">
        <v>48085</v>
      </c>
      <c r="U355" s="1">
        <v>41051</v>
      </c>
      <c r="V355" s="1">
        <v>0</v>
      </c>
      <c r="W355" s="1">
        <v>1</v>
      </c>
    </row>
    <row r="356">
      <c r="A356" s="1">
        <v>2017</v>
      </c>
      <c r="B356" s="1">
        <v>48</v>
      </c>
      <c r="C356" t="s">
        <v>36</v>
      </c>
      <c r="D356" s="1">
        <v>113</v>
      </c>
      <c r="E356" t="s">
        <v>150</v>
      </c>
      <c r="F356" s="1">
        <v>41</v>
      </c>
      <c r="G356" t="s">
        <v>3</v>
      </c>
      <c r="H356" s="1">
        <v>51</v>
      </c>
      <c r="I356" t="s">
        <v>6</v>
      </c>
      <c r="J356" s="1">
        <v>137</v>
      </c>
      <c r="K356" s="1">
        <v>200</v>
      </c>
      <c r="L356" s="1">
        <v>12880</v>
      </c>
      <c r="M356" s="1">
        <v>88414</v>
      </c>
      <c r="N356" s="1">
        <v>169507</v>
      </c>
      <c r="O356" s="1">
        <v>6089548</v>
      </c>
      <c r="P356" s="1">
        <v>960042</v>
      </c>
      <c r="Q356" s="1">
        <v>2112505</v>
      </c>
      <c r="R356" s="1">
        <v>77209344</v>
      </c>
      <c r="S356" s="1">
        <v>48113</v>
      </c>
      <c r="T356" s="1">
        <v>48113</v>
      </c>
      <c r="U356" s="1">
        <v>41051</v>
      </c>
      <c r="V356" s="1">
        <v>0</v>
      </c>
      <c r="W356" s="1">
        <v>1</v>
      </c>
    </row>
    <row r="357">
      <c r="A357" s="1">
        <v>2017</v>
      </c>
      <c r="B357" s="1">
        <v>48</v>
      </c>
      <c r="C357" t="s">
        <v>36</v>
      </c>
      <c r="D357" s="1">
        <v>121</v>
      </c>
      <c r="E357" t="s">
        <v>234</v>
      </c>
      <c r="F357" s="1">
        <v>41</v>
      </c>
      <c r="G357" t="s">
        <v>3</v>
      </c>
      <c r="H357" s="1">
        <v>51</v>
      </c>
      <c r="I357" t="s">
        <v>6</v>
      </c>
      <c r="J357" s="1">
        <v>32</v>
      </c>
      <c r="K357" s="1">
        <v>55</v>
      </c>
      <c r="L357" s="1">
        <v>1433</v>
      </c>
      <c r="M357" s="1">
        <v>37792</v>
      </c>
      <c r="N357" s="1">
        <v>73601</v>
      </c>
      <c r="O357" s="1">
        <v>2707689</v>
      </c>
      <c r="P357" s="1">
        <v>294339</v>
      </c>
      <c r="Q357" s="1">
        <v>679095</v>
      </c>
      <c r="R357" s="1">
        <v>27674718</v>
      </c>
      <c r="S357" s="1">
        <v>48121</v>
      </c>
      <c r="T357" s="1">
        <v>48121</v>
      </c>
      <c r="U357" s="1">
        <v>41051</v>
      </c>
      <c r="V357" s="1">
        <v>0</v>
      </c>
      <c r="W357" s="1">
        <v>1</v>
      </c>
    </row>
    <row r="358">
      <c r="A358" s="1">
        <v>2017</v>
      </c>
      <c r="B358" s="1">
        <v>48</v>
      </c>
      <c r="C358" t="s">
        <v>36</v>
      </c>
      <c r="D358" s="1">
        <v>201</v>
      </c>
      <c r="E358" t="s">
        <v>151</v>
      </c>
      <c r="F358" s="1">
        <v>41</v>
      </c>
      <c r="G358" t="s">
        <v>3</v>
      </c>
      <c r="H358" s="1">
        <v>51</v>
      </c>
      <c r="I358" t="s">
        <v>6</v>
      </c>
      <c r="J358" s="1">
        <v>151</v>
      </c>
      <c r="K358" s="1">
        <v>222</v>
      </c>
      <c r="L358" s="1">
        <v>12253</v>
      </c>
      <c r="M358" s="1">
        <v>118080</v>
      </c>
      <c r="N358" s="1">
        <v>239584</v>
      </c>
      <c r="O358" s="1">
        <v>8978919</v>
      </c>
      <c r="P358" s="1">
        <v>1613643</v>
      </c>
      <c r="Q358" s="1">
        <v>3619862</v>
      </c>
      <c r="R358" s="1">
        <v>121343272</v>
      </c>
      <c r="S358" s="1">
        <v>48201</v>
      </c>
      <c r="T358" s="1">
        <v>48201</v>
      </c>
      <c r="U358" s="1">
        <v>41051</v>
      </c>
      <c r="V358" s="1">
        <v>0</v>
      </c>
      <c r="W358" s="1">
        <v>1</v>
      </c>
    </row>
    <row r="359">
      <c r="A359" s="1">
        <v>2017</v>
      </c>
      <c r="B359" s="1">
        <v>48</v>
      </c>
      <c r="C359" t="s">
        <v>36</v>
      </c>
      <c r="D359" s="1">
        <v>439</v>
      </c>
      <c r="E359" t="s">
        <v>152</v>
      </c>
      <c r="F359" s="1">
        <v>41</v>
      </c>
      <c r="G359" t="s">
        <v>3</v>
      </c>
      <c r="H359" s="1">
        <v>51</v>
      </c>
      <c r="I359" t="s">
        <v>6</v>
      </c>
      <c r="J359" s="1">
        <v>45</v>
      </c>
      <c r="K359" s="1">
        <v>74</v>
      </c>
      <c r="L359" s="1">
        <v>2389</v>
      </c>
      <c r="M359" s="1">
        <v>63029</v>
      </c>
      <c r="N359" s="1">
        <v>126542</v>
      </c>
      <c r="O359" s="1">
        <v>4042859</v>
      </c>
      <c r="P359" s="1">
        <v>747627</v>
      </c>
      <c r="Q359" s="1">
        <v>1678557</v>
      </c>
      <c r="R359" s="1">
        <v>56895808</v>
      </c>
      <c r="S359" s="1">
        <v>48439</v>
      </c>
      <c r="T359" s="1">
        <v>48439</v>
      </c>
      <c r="U359" s="1">
        <v>41051</v>
      </c>
      <c r="V359" s="1">
        <v>0</v>
      </c>
      <c r="W359" s="1">
        <v>1</v>
      </c>
    </row>
    <row r="360">
      <c r="A360" s="1">
        <v>2017</v>
      </c>
      <c r="B360" s="1">
        <v>48</v>
      </c>
      <c r="C360" t="s">
        <v>36</v>
      </c>
      <c r="D360" s="1">
        <v>453</v>
      </c>
      <c r="E360" t="s">
        <v>153</v>
      </c>
      <c r="F360" s="1">
        <v>41</v>
      </c>
      <c r="G360" t="s">
        <v>3</v>
      </c>
      <c r="H360" s="1">
        <v>51</v>
      </c>
      <c r="I360" t="s">
        <v>6</v>
      </c>
      <c r="J360" s="1">
        <v>248</v>
      </c>
      <c r="K360" s="1">
        <v>337</v>
      </c>
      <c r="L360" s="1">
        <v>16077</v>
      </c>
      <c r="M360" s="1">
        <v>63588</v>
      </c>
      <c r="N360" s="1">
        <v>115940</v>
      </c>
      <c r="O360" s="1">
        <v>4142576</v>
      </c>
      <c r="P360" s="1">
        <v>475100</v>
      </c>
      <c r="Q360" s="1">
        <v>954826</v>
      </c>
      <c r="R360" s="1">
        <v>46966352</v>
      </c>
      <c r="S360" s="1">
        <v>48453</v>
      </c>
      <c r="T360" s="1">
        <v>48453</v>
      </c>
      <c r="U360" s="1">
        <v>41051</v>
      </c>
      <c r="V360" s="1">
        <v>0</v>
      </c>
      <c r="W360" s="1">
        <v>1</v>
      </c>
    </row>
    <row r="361">
      <c r="A361" s="1">
        <v>2017</v>
      </c>
      <c r="B361" s="1">
        <v>48</v>
      </c>
      <c r="C361" t="s">
        <v>36</v>
      </c>
      <c r="D361" s="1">
        <v>491</v>
      </c>
      <c r="E361" t="s">
        <v>217</v>
      </c>
      <c r="F361" s="1">
        <v>41</v>
      </c>
      <c r="G361" t="s">
        <v>3</v>
      </c>
      <c r="H361" s="1">
        <v>51</v>
      </c>
      <c r="I361" t="s">
        <v>6</v>
      </c>
      <c r="J361" s="1">
        <v>29</v>
      </c>
      <c r="K361" s="1">
        <v>48</v>
      </c>
      <c r="L361" s="1">
        <v>1599</v>
      </c>
      <c r="M361" s="1">
        <v>23316</v>
      </c>
      <c r="N361" s="1">
        <v>45003</v>
      </c>
      <c r="O361" s="1">
        <v>1560171</v>
      </c>
      <c r="P361" s="1">
        <v>195956</v>
      </c>
      <c r="Q361" s="1">
        <v>446212</v>
      </c>
      <c r="R361" s="1">
        <v>16455853</v>
      </c>
      <c r="S361" s="1">
        <v>48491</v>
      </c>
      <c r="T361" s="1">
        <v>48491</v>
      </c>
      <c r="U361" s="1">
        <v>41051</v>
      </c>
      <c r="V361" s="1">
        <v>0</v>
      </c>
      <c r="W361" s="1">
        <v>1</v>
      </c>
    </row>
    <row r="362">
      <c r="A362" s="1">
        <v>2017</v>
      </c>
      <c r="B362" s="1">
        <v>49</v>
      </c>
      <c r="C362" t="s">
        <v>37</v>
      </c>
      <c r="D362" s="1">
        <v>35</v>
      </c>
      <c r="E362" t="s">
        <v>154</v>
      </c>
      <c r="F362" s="1">
        <v>41</v>
      </c>
      <c r="G362" t="s">
        <v>3</v>
      </c>
      <c r="H362" s="1">
        <v>51</v>
      </c>
      <c r="I362" t="s">
        <v>6</v>
      </c>
      <c r="J362" s="1">
        <v>194</v>
      </c>
      <c r="K362" s="1">
        <v>293</v>
      </c>
      <c r="L362" s="1">
        <v>11461</v>
      </c>
      <c r="M362" s="1">
        <v>30771</v>
      </c>
      <c r="N362" s="1">
        <v>65803</v>
      </c>
      <c r="O362" s="1">
        <v>1895122</v>
      </c>
      <c r="P362" s="1">
        <v>412718</v>
      </c>
      <c r="Q362" s="1">
        <v>962504</v>
      </c>
      <c r="R362" s="1">
        <v>31916420</v>
      </c>
      <c r="S362" s="1">
        <v>49035</v>
      </c>
      <c r="T362" s="1">
        <v>49035</v>
      </c>
      <c r="U362" s="1">
        <v>41051</v>
      </c>
      <c r="V362" s="1">
        <v>0</v>
      </c>
      <c r="W362" s="1">
        <v>1</v>
      </c>
    </row>
    <row r="363">
      <c r="A363" s="1">
        <v>2017</v>
      </c>
      <c r="B363" s="1">
        <v>49</v>
      </c>
      <c r="C363" t="s">
        <v>37</v>
      </c>
      <c r="D363" s="1">
        <v>49</v>
      </c>
      <c r="E363" t="s">
        <v>219</v>
      </c>
      <c r="F363" s="1">
        <v>41</v>
      </c>
      <c r="G363" t="s">
        <v>3</v>
      </c>
      <c r="H363" s="1">
        <v>51</v>
      </c>
      <c r="I363" t="s">
        <v>6</v>
      </c>
      <c r="J363" s="1">
        <v>34</v>
      </c>
      <c r="K363" s="1">
        <v>69</v>
      </c>
      <c r="L363" s="1">
        <v>1058</v>
      </c>
      <c r="M363" s="1">
        <v>16263</v>
      </c>
      <c r="N363" s="1">
        <v>39747</v>
      </c>
      <c r="O363" s="1">
        <v>894360</v>
      </c>
      <c r="P363" s="1">
        <v>174714</v>
      </c>
      <c r="Q363" s="1">
        <v>503409</v>
      </c>
      <c r="R363" s="1">
        <v>13625047</v>
      </c>
      <c r="S363" s="1">
        <v>49049</v>
      </c>
      <c r="T363" s="1">
        <v>49049</v>
      </c>
      <c r="U363" s="1">
        <v>41051</v>
      </c>
      <c r="V363" s="1">
        <v>0</v>
      </c>
      <c r="W363" s="1">
        <v>1</v>
      </c>
    </row>
    <row r="364">
      <c r="A364" s="1">
        <v>2017</v>
      </c>
      <c r="B364" s="1">
        <v>49</v>
      </c>
      <c r="C364" t="s">
        <v>37</v>
      </c>
      <c r="D364" s="1">
        <v>53</v>
      </c>
      <c r="E364" t="s">
        <v>143</v>
      </c>
      <c r="F364" s="1">
        <v>41</v>
      </c>
      <c r="G364" t="s">
        <v>3</v>
      </c>
      <c r="H364" s="1">
        <v>51</v>
      </c>
      <c r="I364" t="s">
        <v>6</v>
      </c>
      <c r="J364" s="1">
        <v>20</v>
      </c>
      <c r="K364" s="1">
        <v>23</v>
      </c>
      <c r="L364" s="1">
        <v>1469</v>
      </c>
      <c r="M364" s="1">
        <v>4419</v>
      </c>
      <c r="N364" s="1">
        <v>9632</v>
      </c>
      <c r="O364" s="1">
        <v>196634</v>
      </c>
      <c r="P364" s="1">
        <v>51828</v>
      </c>
      <c r="Q364" s="1">
        <v>128373</v>
      </c>
      <c r="R364" s="1">
        <v>3264828</v>
      </c>
      <c r="S364" s="1">
        <v>49053</v>
      </c>
      <c r="T364" s="1">
        <v>49053</v>
      </c>
      <c r="U364" s="1">
        <v>41051</v>
      </c>
      <c r="V364" s="1">
        <v>0</v>
      </c>
      <c r="W364" s="1">
        <v>1</v>
      </c>
    </row>
    <row r="365">
      <c r="A365" s="1">
        <v>2017</v>
      </c>
      <c r="B365" s="1">
        <v>50</v>
      </c>
      <c r="C365" t="s">
        <v>38</v>
      </c>
      <c r="D365" s="1">
        <v>7</v>
      </c>
      <c r="E365" t="s">
        <v>155</v>
      </c>
      <c r="F365" s="1">
        <v>41</v>
      </c>
      <c r="G365" t="s">
        <v>3</v>
      </c>
      <c r="H365" s="1">
        <v>51</v>
      </c>
      <c r="I365" t="s">
        <v>6</v>
      </c>
      <c r="J365" s="1">
        <v>37</v>
      </c>
      <c r="K365" s="1">
        <v>54</v>
      </c>
      <c r="L365" s="1">
        <v>2105</v>
      </c>
      <c r="M365" s="1">
        <v>6736</v>
      </c>
      <c r="N365" s="1">
        <v>10532</v>
      </c>
      <c r="O365" s="1">
        <v>408935</v>
      </c>
      <c r="P365" s="1">
        <v>71892</v>
      </c>
      <c r="Q365" s="1">
        <v>134875</v>
      </c>
      <c r="R365" s="1">
        <v>5868907</v>
      </c>
      <c r="S365" s="1">
        <v>50007</v>
      </c>
      <c r="T365" s="1">
        <v>50007</v>
      </c>
      <c r="U365" s="1">
        <v>41051</v>
      </c>
      <c r="V365" s="1">
        <v>0</v>
      </c>
      <c r="W365" s="1">
        <v>1</v>
      </c>
    </row>
    <row r="366">
      <c r="A366" s="1">
        <v>2017</v>
      </c>
      <c r="B366" s="1">
        <v>51</v>
      </c>
      <c r="C366" t="s">
        <v>39</v>
      </c>
      <c r="D366" s="1">
        <v>13</v>
      </c>
      <c r="E366" t="s">
        <v>221</v>
      </c>
      <c r="F366" s="1">
        <v>41</v>
      </c>
      <c r="G366" t="s">
        <v>3</v>
      </c>
      <c r="H366" s="1">
        <v>51</v>
      </c>
      <c r="I366" t="s">
        <v>6</v>
      </c>
      <c r="J366" s="1">
        <v>51</v>
      </c>
      <c r="K366" s="1">
        <v>73</v>
      </c>
      <c r="L366" s="1">
        <v>5175</v>
      </c>
      <c r="M366" s="1">
        <v>24709</v>
      </c>
      <c r="N366" s="1">
        <v>36505</v>
      </c>
      <c r="O366" s="1">
        <v>2418906</v>
      </c>
      <c r="P366" s="1">
        <v>110223</v>
      </c>
      <c r="Q366" s="1">
        <v>189944</v>
      </c>
      <c r="R366" s="1">
        <v>14343830</v>
      </c>
      <c r="S366" s="1">
        <v>51013</v>
      </c>
      <c r="T366" s="1">
        <v>51013</v>
      </c>
      <c r="U366" s="1">
        <v>41051</v>
      </c>
      <c r="V366" s="1">
        <v>0</v>
      </c>
      <c r="W366" s="1">
        <v>1</v>
      </c>
    </row>
    <row r="367">
      <c r="A367" s="1">
        <v>2017</v>
      </c>
      <c r="B367" s="1">
        <v>51</v>
      </c>
      <c r="C367" t="s">
        <v>39</v>
      </c>
      <c r="D367" s="1">
        <v>59</v>
      </c>
      <c r="E367" t="s">
        <v>156</v>
      </c>
      <c r="F367" s="1">
        <v>41</v>
      </c>
      <c r="G367" t="s">
        <v>3</v>
      </c>
      <c r="H367" s="1">
        <v>51</v>
      </c>
      <c r="I367" t="s">
        <v>6</v>
      </c>
      <c r="J367" s="1">
        <v>68</v>
      </c>
      <c r="K367" s="1">
        <v>102</v>
      </c>
      <c r="L367" s="1">
        <v>6943</v>
      </c>
      <c r="M367" s="1">
        <v>58913</v>
      </c>
      <c r="N367" s="1">
        <v>114799</v>
      </c>
      <c r="O367" s="1">
        <v>5627301</v>
      </c>
      <c r="P367" s="1">
        <v>463629</v>
      </c>
      <c r="Q367" s="1">
        <v>1005239</v>
      </c>
      <c r="R367" s="1">
        <v>61054800</v>
      </c>
      <c r="S367" s="1">
        <v>51059</v>
      </c>
      <c r="T367" s="1">
        <v>51059</v>
      </c>
      <c r="U367" s="1">
        <v>41051</v>
      </c>
      <c r="V367" s="1">
        <v>0</v>
      </c>
      <c r="W367" s="1">
        <v>1</v>
      </c>
    </row>
    <row r="368">
      <c r="A368" s="1">
        <v>2017</v>
      </c>
      <c r="B368" s="1">
        <v>51</v>
      </c>
      <c r="C368" t="s">
        <v>39</v>
      </c>
      <c r="D368" s="1">
        <v>510</v>
      </c>
      <c r="E368" t="s">
        <v>334</v>
      </c>
      <c r="F368" s="1">
        <v>41</v>
      </c>
      <c r="G368" t="s">
        <v>3</v>
      </c>
      <c r="H368" s="1">
        <v>51</v>
      </c>
      <c r="I368" t="s">
        <v>6</v>
      </c>
      <c r="J368" s="1">
        <v>28</v>
      </c>
      <c r="K368" s="1">
        <v>35</v>
      </c>
      <c r="L368" s="1">
        <v>2015</v>
      </c>
      <c r="M368" s="1">
        <v>17142</v>
      </c>
      <c r="N368" s="1">
        <v>29382</v>
      </c>
      <c r="O368" s="1">
        <v>1526872</v>
      </c>
      <c r="P368" s="1">
        <v>73916</v>
      </c>
      <c r="Q368" s="1">
        <v>130172</v>
      </c>
      <c r="R368" s="1">
        <v>8398484</v>
      </c>
      <c r="S368" s="1">
        <v>51510</v>
      </c>
      <c r="T368" s="1">
        <v>51510</v>
      </c>
      <c r="U368" s="1">
        <v>41051</v>
      </c>
      <c r="V368" s="1">
        <v>0</v>
      </c>
      <c r="W368" s="1">
        <v>1</v>
      </c>
    </row>
    <row r="369">
      <c r="A369" s="1">
        <v>2017</v>
      </c>
      <c r="B369" s="1">
        <v>51</v>
      </c>
      <c r="C369" t="s">
        <v>39</v>
      </c>
      <c r="D369" s="1">
        <v>760</v>
      </c>
      <c r="E369" t="s">
        <v>227</v>
      </c>
      <c r="F369" s="1">
        <v>41</v>
      </c>
      <c r="G369" t="s">
        <v>3</v>
      </c>
      <c r="H369" s="1">
        <v>51</v>
      </c>
      <c r="I369" t="s">
        <v>6</v>
      </c>
      <c r="J369" s="1">
        <v>30</v>
      </c>
      <c r="K369" s="1">
        <v>38</v>
      </c>
      <c r="L369" s="1">
        <v>1791</v>
      </c>
      <c r="M369" s="1">
        <v>14586</v>
      </c>
      <c r="N369" s="1">
        <v>24300</v>
      </c>
      <c r="O369" s="1">
        <v>822694</v>
      </c>
      <c r="P369" s="1">
        <v>83596</v>
      </c>
      <c r="Q369" s="1">
        <v>147343</v>
      </c>
      <c r="R369" s="1">
        <v>5965932</v>
      </c>
      <c r="S369" s="1">
        <v>51760</v>
      </c>
      <c r="T369" s="1">
        <v>51760</v>
      </c>
      <c r="U369" s="1">
        <v>41051</v>
      </c>
      <c r="V369" s="1">
        <v>0</v>
      </c>
      <c r="W369" s="1">
        <v>1</v>
      </c>
    </row>
    <row r="370">
      <c r="A370" s="1">
        <v>2017</v>
      </c>
      <c r="B370" s="1">
        <v>53</v>
      </c>
      <c r="C370" t="s">
        <v>40</v>
      </c>
      <c r="D370" s="1">
        <v>5</v>
      </c>
      <c r="E370" t="s">
        <v>124</v>
      </c>
      <c r="F370" s="1">
        <v>41</v>
      </c>
      <c r="G370" t="s">
        <v>3</v>
      </c>
      <c r="H370" s="1">
        <v>51</v>
      </c>
      <c r="I370" t="s">
        <v>6</v>
      </c>
      <c r="J370" s="1">
        <v>61</v>
      </c>
      <c r="K370" s="1">
        <v>82</v>
      </c>
      <c r="L370" s="1">
        <v>3368</v>
      </c>
      <c r="M370" s="1">
        <v>6229</v>
      </c>
      <c r="N370" s="1">
        <v>13053</v>
      </c>
      <c r="O370" s="1">
        <v>384615</v>
      </c>
      <c r="P370" s="1">
        <v>71560</v>
      </c>
      <c r="Q370" s="1">
        <v>164582</v>
      </c>
      <c r="R370" s="1">
        <v>5353756</v>
      </c>
      <c r="S370" s="1">
        <v>53005</v>
      </c>
      <c r="T370" s="1">
        <v>53005</v>
      </c>
      <c r="U370" s="1">
        <v>41051</v>
      </c>
      <c r="V370" s="1">
        <v>0</v>
      </c>
      <c r="W370" s="1">
        <v>1</v>
      </c>
    </row>
    <row r="371">
      <c r="A371" s="1">
        <v>2017</v>
      </c>
      <c r="B371" s="1">
        <v>53</v>
      </c>
      <c r="C371" t="s">
        <v>40</v>
      </c>
      <c r="D371" s="1">
        <v>7</v>
      </c>
      <c r="E371" t="s">
        <v>236</v>
      </c>
      <c r="F371" s="1">
        <v>41</v>
      </c>
      <c r="G371" t="s">
        <v>3</v>
      </c>
      <c r="H371" s="1">
        <v>51</v>
      </c>
      <c r="I371" t="s">
        <v>6</v>
      </c>
      <c r="J371" s="1">
        <v>21</v>
      </c>
      <c r="K371" s="1">
        <v>26</v>
      </c>
      <c r="L371" s="1">
        <v>616</v>
      </c>
      <c r="M371" s="1">
        <v>2865</v>
      </c>
      <c r="N371" s="1">
        <v>5660</v>
      </c>
      <c r="O371" s="1">
        <v>144142</v>
      </c>
      <c r="P371" s="1">
        <v>30900</v>
      </c>
      <c r="Q371" s="1">
        <v>68683</v>
      </c>
      <c r="R371" s="1">
        <v>2084028</v>
      </c>
      <c r="S371" s="1">
        <v>53007</v>
      </c>
      <c r="T371" s="1">
        <v>53007</v>
      </c>
      <c r="U371" s="1">
        <v>41051</v>
      </c>
      <c r="V371" s="1">
        <v>0</v>
      </c>
      <c r="W371" s="1">
        <v>1</v>
      </c>
    </row>
    <row r="372">
      <c r="A372" s="1">
        <v>2017</v>
      </c>
      <c r="B372" s="1">
        <v>53</v>
      </c>
      <c r="C372" t="s">
        <v>40</v>
      </c>
      <c r="D372" s="1">
        <v>11</v>
      </c>
      <c r="E372" t="s">
        <v>112</v>
      </c>
      <c r="F372" s="1">
        <v>41</v>
      </c>
      <c r="G372" t="s">
        <v>3</v>
      </c>
      <c r="H372" s="1">
        <v>51</v>
      </c>
      <c r="I372" t="s">
        <v>6</v>
      </c>
      <c r="J372" s="1">
        <v>1990</v>
      </c>
      <c r="K372" s="1">
        <v>3316</v>
      </c>
      <c r="L372" s="1">
        <v>96453</v>
      </c>
      <c r="M372" s="1">
        <v>14060</v>
      </c>
      <c r="N372" s="1">
        <v>27709</v>
      </c>
      <c r="O372" s="1">
        <v>860759</v>
      </c>
      <c r="P372" s="1">
        <v>180685</v>
      </c>
      <c r="Q372" s="1">
        <v>397320</v>
      </c>
      <c r="R372" s="1">
        <v>14509157</v>
      </c>
      <c r="S372" s="1">
        <v>53011</v>
      </c>
      <c r="T372" s="1">
        <v>53011</v>
      </c>
      <c r="U372" s="1">
        <v>41051</v>
      </c>
      <c r="V372" s="1">
        <v>0</v>
      </c>
      <c r="W372" s="1">
        <v>1</v>
      </c>
    </row>
    <row r="373">
      <c r="A373" s="1">
        <v>2017</v>
      </c>
      <c r="B373" s="1">
        <v>53</v>
      </c>
      <c r="C373" t="s">
        <v>40</v>
      </c>
      <c r="D373" s="1">
        <v>15</v>
      </c>
      <c r="E373" t="s">
        <v>157</v>
      </c>
      <c r="F373" s="1">
        <v>41</v>
      </c>
      <c r="G373" t="s">
        <v>3</v>
      </c>
      <c r="H373" s="1">
        <v>51</v>
      </c>
      <c r="I373" t="s">
        <v>6</v>
      </c>
      <c r="J373" s="1">
        <v>109</v>
      </c>
      <c r="K373" s="1">
        <v>178</v>
      </c>
      <c r="L373" s="1">
        <v>5985</v>
      </c>
      <c r="M373" s="1">
        <v>2917</v>
      </c>
      <c r="N373" s="1">
        <v>5679</v>
      </c>
      <c r="O373" s="1">
        <v>149235</v>
      </c>
      <c r="P373" s="1">
        <v>38398</v>
      </c>
      <c r="Q373" s="1">
        <v>82527</v>
      </c>
      <c r="R373" s="1">
        <v>2317756</v>
      </c>
      <c r="S373" s="1">
        <v>53015</v>
      </c>
      <c r="T373" s="1">
        <v>53015</v>
      </c>
      <c r="U373" s="1">
        <v>41051</v>
      </c>
      <c r="V373" s="1">
        <v>0</v>
      </c>
      <c r="W373" s="1">
        <v>1</v>
      </c>
    </row>
    <row r="374">
      <c r="A374" s="1">
        <v>2017</v>
      </c>
      <c r="B374" s="1">
        <v>53</v>
      </c>
      <c r="C374" t="s">
        <v>40</v>
      </c>
      <c r="D374" s="1">
        <v>29</v>
      </c>
      <c r="E374" t="s">
        <v>159</v>
      </c>
      <c r="F374" s="1">
        <v>41</v>
      </c>
      <c r="G374" t="s">
        <v>3</v>
      </c>
      <c r="H374" s="1">
        <v>51</v>
      </c>
      <c r="I374" t="s">
        <v>6</v>
      </c>
      <c r="J374" s="1">
        <v>23</v>
      </c>
      <c r="K374" s="1">
        <v>35</v>
      </c>
      <c r="L374" s="1">
        <v>974</v>
      </c>
      <c r="M374" s="1">
        <v>4484</v>
      </c>
      <c r="N374" s="1">
        <v>9197</v>
      </c>
      <c r="O374" s="1">
        <v>247179</v>
      </c>
      <c r="P374" s="1">
        <v>34238</v>
      </c>
      <c r="Q374" s="1">
        <v>69391</v>
      </c>
      <c r="R374" s="1">
        <v>2413529</v>
      </c>
      <c r="S374" s="1">
        <v>53029</v>
      </c>
      <c r="T374" s="1">
        <v>53029</v>
      </c>
      <c r="U374" s="1">
        <v>41051</v>
      </c>
      <c r="V374" s="1">
        <v>0</v>
      </c>
      <c r="W374" s="1">
        <v>1</v>
      </c>
    </row>
    <row r="375">
      <c r="A375" s="1">
        <v>2017</v>
      </c>
      <c r="B375" s="1">
        <v>53</v>
      </c>
      <c r="C375" t="s">
        <v>40</v>
      </c>
      <c r="D375" s="1">
        <v>33</v>
      </c>
      <c r="E375" t="s">
        <v>160</v>
      </c>
      <c r="F375" s="1">
        <v>41</v>
      </c>
      <c r="G375" t="s">
        <v>3</v>
      </c>
      <c r="H375" s="1">
        <v>51</v>
      </c>
      <c r="I375" t="s">
        <v>6</v>
      </c>
      <c r="J375" s="1">
        <v>1051</v>
      </c>
      <c r="K375" s="1">
        <v>1468</v>
      </c>
      <c r="L375" s="1">
        <v>71934</v>
      </c>
      <c r="M375" s="1">
        <v>80544</v>
      </c>
      <c r="N375" s="1">
        <v>143353</v>
      </c>
      <c r="O375" s="1">
        <v>7040186</v>
      </c>
      <c r="P375" s="1">
        <v>917871</v>
      </c>
      <c r="Q375" s="1">
        <v>1829832</v>
      </c>
      <c r="R375" s="1">
        <v>116336432</v>
      </c>
      <c r="S375" s="1">
        <v>53033</v>
      </c>
      <c r="T375" s="1">
        <v>53033</v>
      </c>
      <c r="U375" s="1">
        <v>41051</v>
      </c>
      <c r="V375" s="1">
        <v>0</v>
      </c>
      <c r="W375" s="1">
        <v>1</v>
      </c>
    </row>
    <row r="376">
      <c r="A376" s="1">
        <v>2017</v>
      </c>
      <c r="B376" s="1">
        <v>53</v>
      </c>
      <c r="C376" t="s">
        <v>40</v>
      </c>
      <c r="D376" s="1">
        <v>35</v>
      </c>
      <c r="E376" t="s">
        <v>161</v>
      </c>
      <c r="F376" s="1">
        <v>41</v>
      </c>
      <c r="G376" t="s">
        <v>3</v>
      </c>
      <c r="H376" s="1">
        <v>51</v>
      </c>
      <c r="I376" t="s">
        <v>6</v>
      </c>
      <c r="J376" s="1">
        <v>66</v>
      </c>
      <c r="K376" s="1">
        <v>94</v>
      </c>
      <c r="L376" s="1">
        <v>3240</v>
      </c>
      <c r="M376" s="1">
        <v>10560</v>
      </c>
      <c r="N376" s="1">
        <v>21364</v>
      </c>
      <c r="O376" s="1">
        <v>612894</v>
      </c>
      <c r="P376" s="1">
        <v>104905</v>
      </c>
      <c r="Q376" s="1">
        <v>217626</v>
      </c>
      <c r="R376" s="1">
        <v>8252738</v>
      </c>
      <c r="S376" s="1">
        <v>53035</v>
      </c>
      <c r="T376" s="1">
        <v>53035</v>
      </c>
      <c r="U376" s="1">
        <v>41051</v>
      </c>
      <c r="V376" s="1">
        <v>0</v>
      </c>
      <c r="W376" s="1">
        <v>1</v>
      </c>
    </row>
    <row r="377">
      <c r="A377" s="1">
        <v>2017</v>
      </c>
      <c r="B377" s="1">
        <v>53</v>
      </c>
      <c r="C377" t="s">
        <v>40</v>
      </c>
      <c r="D377" s="1">
        <v>39</v>
      </c>
      <c r="E377" t="s">
        <v>162</v>
      </c>
      <c r="F377" s="1">
        <v>41</v>
      </c>
      <c r="G377" t="s">
        <v>3</v>
      </c>
      <c r="H377" s="1">
        <v>51</v>
      </c>
      <c r="I377" t="s">
        <v>6</v>
      </c>
      <c r="J377" s="1">
        <v>27</v>
      </c>
      <c r="K377" s="1">
        <v>46</v>
      </c>
      <c r="L377" s="1">
        <v>1471</v>
      </c>
      <c r="M377" s="1">
        <v>734</v>
      </c>
      <c r="N377" s="1">
        <v>1377</v>
      </c>
      <c r="O377" s="1">
        <v>43131</v>
      </c>
      <c r="P377" s="1">
        <v>8206</v>
      </c>
      <c r="Q377" s="1">
        <v>17490</v>
      </c>
      <c r="R377" s="1">
        <v>574942</v>
      </c>
      <c r="S377" s="1">
        <v>53039</v>
      </c>
      <c r="T377" s="1">
        <v>53039</v>
      </c>
      <c r="U377" s="1">
        <v>41051</v>
      </c>
      <c r="V377" s="1">
        <v>0</v>
      </c>
      <c r="W377" s="1">
        <v>1</v>
      </c>
    </row>
    <row r="378">
      <c r="A378" s="1">
        <v>2017</v>
      </c>
      <c r="B378" s="1">
        <v>53</v>
      </c>
      <c r="C378" t="s">
        <v>40</v>
      </c>
      <c r="D378" s="1">
        <v>53</v>
      </c>
      <c r="E378" t="s">
        <v>165</v>
      </c>
      <c r="F378" s="1">
        <v>41</v>
      </c>
      <c r="G378" t="s">
        <v>3</v>
      </c>
      <c r="H378" s="1">
        <v>51</v>
      </c>
      <c r="I378" t="s">
        <v>6</v>
      </c>
      <c r="J378" s="1">
        <v>182</v>
      </c>
      <c r="K378" s="1">
        <v>285</v>
      </c>
      <c r="L378" s="1">
        <v>10962</v>
      </c>
      <c r="M378" s="1">
        <v>32500</v>
      </c>
      <c r="N378" s="1">
        <v>66654</v>
      </c>
      <c r="O378" s="1">
        <v>1814515</v>
      </c>
      <c r="P378" s="1">
        <v>335012</v>
      </c>
      <c r="Q378" s="1">
        <v>711490</v>
      </c>
      <c r="R378" s="1">
        <v>24047568</v>
      </c>
      <c r="S378" s="1">
        <v>53053</v>
      </c>
      <c r="T378" s="1">
        <v>53053</v>
      </c>
      <c r="U378" s="1">
        <v>41051</v>
      </c>
      <c r="V378" s="1">
        <v>0</v>
      </c>
      <c r="W378" s="1">
        <v>1</v>
      </c>
    </row>
    <row r="379">
      <c r="A379" s="1">
        <v>2017</v>
      </c>
      <c r="B379" s="1">
        <v>53</v>
      </c>
      <c r="C379" t="s">
        <v>40</v>
      </c>
      <c r="D379" s="1">
        <v>61</v>
      </c>
      <c r="E379" t="s">
        <v>167</v>
      </c>
      <c r="F379" s="1">
        <v>41</v>
      </c>
      <c r="G379" t="s">
        <v>3</v>
      </c>
      <c r="H379" s="1">
        <v>51</v>
      </c>
      <c r="I379" t="s">
        <v>6</v>
      </c>
      <c r="J379" s="1">
        <v>112</v>
      </c>
      <c r="K379" s="1">
        <v>169</v>
      </c>
      <c r="L379" s="1">
        <v>4989</v>
      </c>
      <c r="M379" s="1">
        <v>26460</v>
      </c>
      <c r="N379" s="1">
        <v>49119</v>
      </c>
      <c r="O379" s="1">
        <v>1789626</v>
      </c>
      <c r="P379" s="1">
        <v>311794</v>
      </c>
      <c r="Q379" s="1">
        <v>663301</v>
      </c>
      <c r="R379" s="1">
        <v>25751760</v>
      </c>
      <c r="S379" s="1">
        <v>53061</v>
      </c>
      <c r="T379" s="1">
        <v>53061</v>
      </c>
      <c r="U379" s="1">
        <v>41051</v>
      </c>
      <c r="V379" s="1">
        <v>0</v>
      </c>
      <c r="W379" s="1">
        <v>1</v>
      </c>
    </row>
    <row r="380">
      <c r="A380" s="1">
        <v>2017</v>
      </c>
      <c r="B380" s="1">
        <v>53</v>
      </c>
      <c r="C380" t="s">
        <v>40</v>
      </c>
      <c r="D380" s="1">
        <v>63</v>
      </c>
      <c r="E380" t="s">
        <v>168</v>
      </c>
      <c r="F380" s="1">
        <v>41</v>
      </c>
      <c r="G380" t="s">
        <v>3</v>
      </c>
      <c r="H380" s="1">
        <v>51</v>
      </c>
      <c r="I380" t="s">
        <v>6</v>
      </c>
      <c r="J380" s="1">
        <v>155</v>
      </c>
      <c r="K380" s="1">
        <v>213</v>
      </c>
      <c r="L380" s="1">
        <v>5849</v>
      </c>
      <c r="M380" s="1">
        <v>12146</v>
      </c>
      <c r="N380" s="1">
        <v>22777</v>
      </c>
      <c r="O380" s="1">
        <v>611865</v>
      </c>
      <c r="P380" s="1">
        <v>190635</v>
      </c>
      <c r="Q380" s="1">
        <v>396424</v>
      </c>
      <c r="R380" s="1">
        <v>12566439</v>
      </c>
      <c r="S380" s="1">
        <v>53063</v>
      </c>
      <c r="T380" s="1">
        <v>53063</v>
      </c>
      <c r="U380" s="1">
        <v>41051</v>
      </c>
      <c r="V380" s="1">
        <v>0</v>
      </c>
      <c r="W380" s="1">
        <v>1</v>
      </c>
    </row>
    <row r="381">
      <c r="A381" s="1">
        <v>2017</v>
      </c>
      <c r="B381" s="1">
        <v>53</v>
      </c>
      <c r="C381" t="s">
        <v>40</v>
      </c>
      <c r="D381" s="1">
        <v>67</v>
      </c>
      <c r="E381" t="s">
        <v>169</v>
      </c>
      <c r="F381" s="1">
        <v>41</v>
      </c>
      <c r="G381" t="s">
        <v>3</v>
      </c>
      <c r="H381" s="1">
        <v>51</v>
      </c>
      <c r="I381" t="s">
        <v>6</v>
      </c>
      <c r="J381" s="1">
        <v>112</v>
      </c>
      <c r="K381" s="1">
        <v>155</v>
      </c>
      <c r="L381" s="1">
        <v>5136</v>
      </c>
      <c r="M381" s="1">
        <v>11248</v>
      </c>
      <c r="N381" s="1">
        <v>23041</v>
      </c>
      <c r="O381" s="1">
        <v>600740</v>
      </c>
      <c r="P381" s="1">
        <v>110986</v>
      </c>
      <c r="Q381" s="1">
        <v>228044</v>
      </c>
      <c r="R381" s="1">
        <v>7721941</v>
      </c>
      <c r="S381" s="1">
        <v>53067</v>
      </c>
      <c r="T381" s="1">
        <v>53067</v>
      </c>
      <c r="U381" s="1">
        <v>41051</v>
      </c>
      <c r="V381" s="1">
        <v>0</v>
      </c>
      <c r="W381" s="1">
        <v>1</v>
      </c>
    </row>
    <row r="382">
      <c r="A382" s="1">
        <v>2017</v>
      </c>
      <c r="B382" s="1">
        <v>53</v>
      </c>
      <c r="C382" t="s">
        <v>40</v>
      </c>
      <c r="D382" s="1">
        <v>71</v>
      </c>
      <c r="E382" t="s">
        <v>170</v>
      </c>
      <c r="F382" s="1">
        <v>41</v>
      </c>
      <c r="G382" t="s">
        <v>3</v>
      </c>
      <c r="H382" s="1">
        <v>51</v>
      </c>
      <c r="I382" t="s">
        <v>6</v>
      </c>
      <c r="J382" s="1">
        <v>39</v>
      </c>
      <c r="K382" s="1">
        <v>58</v>
      </c>
      <c r="L382" s="1">
        <v>1548</v>
      </c>
      <c r="M382" s="1">
        <v>1734</v>
      </c>
      <c r="N382" s="1">
        <v>3403</v>
      </c>
      <c r="O382" s="1">
        <v>105467</v>
      </c>
      <c r="P382" s="1">
        <v>21271</v>
      </c>
      <c r="Q382" s="1">
        <v>46515</v>
      </c>
      <c r="R382" s="1">
        <v>1474371</v>
      </c>
      <c r="S382" s="1">
        <v>53071</v>
      </c>
      <c r="T382" s="1">
        <v>53071</v>
      </c>
      <c r="U382" s="1">
        <v>41051</v>
      </c>
      <c r="V382" s="1">
        <v>0</v>
      </c>
      <c r="W382" s="1">
        <v>1</v>
      </c>
    </row>
    <row r="383">
      <c r="A383" s="1">
        <v>2017</v>
      </c>
      <c r="B383" s="1">
        <v>53</v>
      </c>
      <c r="C383" t="s">
        <v>40</v>
      </c>
      <c r="D383" s="1">
        <v>73</v>
      </c>
      <c r="E383" t="s">
        <v>171</v>
      </c>
      <c r="F383" s="1">
        <v>41</v>
      </c>
      <c r="G383" t="s">
        <v>3</v>
      </c>
      <c r="H383" s="1">
        <v>51</v>
      </c>
      <c r="I383" t="s">
        <v>6</v>
      </c>
      <c r="J383" s="1">
        <v>90</v>
      </c>
      <c r="K383" s="1">
        <v>120</v>
      </c>
      <c r="L383" s="1">
        <v>3703</v>
      </c>
      <c r="M383" s="1">
        <v>6082</v>
      </c>
      <c r="N383" s="1">
        <v>10044</v>
      </c>
      <c r="O383" s="1">
        <v>289352</v>
      </c>
      <c r="P383" s="1">
        <v>83448</v>
      </c>
      <c r="Q383" s="1">
        <v>168416</v>
      </c>
      <c r="R383" s="1">
        <v>5768604</v>
      </c>
      <c r="S383" s="1">
        <v>53073</v>
      </c>
      <c r="T383" s="1">
        <v>53073</v>
      </c>
      <c r="U383" s="1">
        <v>41051</v>
      </c>
      <c r="V383" s="1">
        <v>0</v>
      </c>
      <c r="W383" s="1">
        <v>1</v>
      </c>
    </row>
    <row r="384">
      <c r="A384" s="1">
        <v>2017</v>
      </c>
      <c r="B384" s="1">
        <v>53</v>
      </c>
      <c r="C384" t="s">
        <v>40</v>
      </c>
      <c r="D384" s="1">
        <v>75</v>
      </c>
      <c r="E384" t="s">
        <v>228</v>
      </c>
      <c r="F384" s="1">
        <v>41</v>
      </c>
      <c r="G384" t="s">
        <v>3</v>
      </c>
      <c r="H384" s="1">
        <v>51</v>
      </c>
      <c r="I384" t="s">
        <v>6</v>
      </c>
      <c r="J384" s="1">
        <v>21</v>
      </c>
      <c r="K384" s="1">
        <v>26</v>
      </c>
      <c r="L384" s="1">
        <v>765</v>
      </c>
      <c r="M384" s="1">
        <v>2463</v>
      </c>
      <c r="N384" s="1">
        <v>3990</v>
      </c>
      <c r="O384" s="1">
        <v>105682</v>
      </c>
      <c r="P384" s="1">
        <v>14416</v>
      </c>
      <c r="Q384" s="1">
        <v>28469</v>
      </c>
      <c r="R384" s="1">
        <v>892457</v>
      </c>
      <c r="S384" s="1">
        <v>53075</v>
      </c>
      <c r="T384" s="1">
        <v>53075</v>
      </c>
      <c r="U384" s="1">
        <v>41051</v>
      </c>
      <c r="V384" s="1">
        <v>0</v>
      </c>
      <c r="W384" s="1">
        <v>1</v>
      </c>
    </row>
    <row r="385">
      <c r="A385" s="1">
        <v>2017</v>
      </c>
      <c r="B385" s="1">
        <v>53</v>
      </c>
      <c r="C385" t="s">
        <v>40</v>
      </c>
      <c r="D385" s="1">
        <v>77</v>
      </c>
      <c r="E385" t="s">
        <v>172</v>
      </c>
      <c r="F385" s="1">
        <v>41</v>
      </c>
      <c r="G385" t="s">
        <v>3</v>
      </c>
      <c r="H385" s="1">
        <v>51</v>
      </c>
      <c r="I385" t="s">
        <v>6</v>
      </c>
      <c r="J385" s="1">
        <v>50</v>
      </c>
      <c r="K385" s="1">
        <v>85</v>
      </c>
      <c r="L385" s="1">
        <v>1979</v>
      </c>
      <c r="M385" s="1">
        <v>4644</v>
      </c>
      <c r="N385" s="1">
        <v>9679</v>
      </c>
      <c r="O385" s="1">
        <v>227307</v>
      </c>
      <c r="P385" s="1">
        <v>90172</v>
      </c>
      <c r="Q385" s="1">
        <v>220872</v>
      </c>
      <c r="R385" s="1">
        <v>4998239</v>
      </c>
      <c r="S385" s="1">
        <v>53077</v>
      </c>
      <c r="T385" s="1">
        <v>53077</v>
      </c>
      <c r="U385" s="1">
        <v>41051</v>
      </c>
      <c r="V385" s="1">
        <v>0</v>
      </c>
      <c r="W385" s="1">
        <v>1</v>
      </c>
    </row>
    <row r="386">
      <c r="A386" s="1">
        <v>2017</v>
      </c>
      <c r="B386" s="1">
        <v>55</v>
      </c>
      <c r="C386" t="s">
        <v>41</v>
      </c>
      <c r="D386" s="1">
        <v>25</v>
      </c>
      <c r="E386" t="s">
        <v>173</v>
      </c>
      <c r="F386" s="1">
        <v>41</v>
      </c>
      <c r="G386" t="s">
        <v>3</v>
      </c>
      <c r="H386" s="1">
        <v>51</v>
      </c>
      <c r="I386" t="s">
        <v>6</v>
      </c>
      <c r="J386" s="1">
        <v>77</v>
      </c>
      <c r="K386" s="1">
        <v>100</v>
      </c>
      <c r="L386" s="1">
        <v>5780</v>
      </c>
      <c r="M386" s="1">
        <v>19923</v>
      </c>
      <c r="N386" s="1">
        <v>32435</v>
      </c>
      <c r="O386" s="1">
        <v>1290409</v>
      </c>
      <c r="P386" s="1">
        <v>230803</v>
      </c>
      <c r="Q386" s="1">
        <v>452803</v>
      </c>
      <c r="R386" s="1">
        <v>20051888</v>
      </c>
      <c r="S386" s="1">
        <v>55025</v>
      </c>
      <c r="T386" s="1">
        <v>55025</v>
      </c>
      <c r="U386" s="1">
        <v>41051</v>
      </c>
      <c r="V386" s="1">
        <v>0</v>
      </c>
      <c r="W386" s="1">
        <v>1</v>
      </c>
    </row>
    <row r="387">
      <c r="A387" s="1">
        <v>2017</v>
      </c>
      <c r="B387" s="1">
        <v>55</v>
      </c>
      <c r="C387" t="s">
        <v>41</v>
      </c>
      <c r="D387" s="1">
        <v>79</v>
      </c>
      <c r="E387" t="s">
        <v>174</v>
      </c>
      <c r="F387" s="1">
        <v>41</v>
      </c>
      <c r="G387" t="s">
        <v>3</v>
      </c>
      <c r="H387" s="1">
        <v>51</v>
      </c>
      <c r="I387" t="s">
        <v>6</v>
      </c>
      <c r="J387" s="1">
        <v>83</v>
      </c>
      <c r="K387" s="1">
        <v>112</v>
      </c>
      <c r="L387" s="1">
        <v>3866</v>
      </c>
      <c r="M387" s="1">
        <v>28930</v>
      </c>
      <c r="N387" s="1">
        <v>52542</v>
      </c>
      <c r="O387" s="1">
        <v>1926816</v>
      </c>
      <c r="P387" s="1">
        <v>372174</v>
      </c>
      <c r="Q387" s="1">
        <v>750575</v>
      </c>
      <c r="R387" s="1">
        <v>23308380</v>
      </c>
      <c r="S387" s="1">
        <v>55079</v>
      </c>
      <c r="T387" s="1">
        <v>55079</v>
      </c>
      <c r="U387" s="1">
        <v>41051</v>
      </c>
      <c r="V387" s="1">
        <v>0</v>
      </c>
      <c r="W387" s="1">
        <v>1</v>
      </c>
    </row>
    <row r="388">
      <c r="A388" s="1">
        <v>2018</v>
      </c>
      <c r="B388" s="1">
        <v>2</v>
      </c>
      <c r="C388" t="s">
        <v>9</v>
      </c>
      <c r="D388" s="1">
        <v>20</v>
      </c>
      <c r="E388" t="s">
        <v>52</v>
      </c>
      <c r="F388" s="1">
        <v>41</v>
      </c>
      <c r="G388" t="s">
        <v>3</v>
      </c>
      <c r="H388" s="1">
        <v>51</v>
      </c>
      <c r="I388" t="s">
        <v>6</v>
      </c>
      <c r="J388" s="1">
        <v>84</v>
      </c>
      <c r="K388" s="1">
        <v>120</v>
      </c>
      <c r="L388" s="1">
        <v>4040</v>
      </c>
      <c r="M388" s="1">
        <v>10416</v>
      </c>
      <c r="N388" s="1">
        <v>20343</v>
      </c>
      <c r="O388" s="1">
        <v>651922</v>
      </c>
      <c r="P388" s="1">
        <v>120710</v>
      </c>
      <c r="Q388" s="1">
        <v>243692</v>
      </c>
      <c r="R388" s="1">
        <v>10464695</v>
      </c>
      <c r="S388" s="1">
        <v>2020</v>
      </c>
      <c r="T388" s="1">
        <v>2020</v>
      </c>
      <c r="U388" s="1">
        <v>41051</v>
      </c>
      <c r="V388" s="1">
        <v>0</v>
      </c>
      <c r="W388" s="1">
        <v>1</v>
      </c>
    </row>
    <row r="389">
      <c r="A389" s="1">
        <v>2018</v>
      </c>
      <c r="B389" s="1">
        <v>2</v>
      </c>
      <c r="C389" t="s">
        <v>9</v>
      </c>
      <c r="D389" s="1">
        <v>90</v>
      </c>
      <c r="E389" t="s">
        <v>344</v>
      </c>
      <c r="F389" s="1">
        <v>41</v>
      </c>
      <c r="G389" t="s">
        <v>3</v>
      </c>
      <c r="H389" s="1">
        <v>51</v>
      </c>
      <c r="I389" t="s">
        <v>6</v>
      </c>
      <c r="J389" s="1">
        <v>20</v>
      </c>
      <c r="K389" s="1">
        <v>29</v>
      </c>
      <c r="L389" s="1">
        <v>936</v>
      </c>
      <c r="M389" s="1">
        <v>4354</v>
      </c>
      <c r="N389" s="1">
        <v>9024</v>
      </c>
      <c r="O389" s="1">
        <v>230356</v>
      </c>
      <c r="P389" s="1">
        <v>38244</v>
      </c>
      <c r="Q389" s="1">
        <v>79162</v>
      </c>
      <c r="R389" s="1">
        <v>2891702</v>
      </c>
      <c r="S389" s="1">
        <v>2090</v>
      </c>
      <c r="T389" s="1">
        <v>2090</v>
      </c>
      <c r="U389" s="1">
        <v>41051</v>
      </c>
      <c r="V389" s="1">
        <v>0</v>
      </c>
      <c r="W389" s="1">
        <v>1</v>
      </c>
    </row>
    <row r="390">
      <c r="A390" s="1">
        <v>2018</v>
      </c>
      <c r="B390" s="1">
        <v>4</v>
      </c>
      <c r="C390" t="s">
        <v>10</v>
      </c>
      <c r="D390" s="1">
        <v>5</v>
      </c>
      <c r="E390" t="s">
        <v>175</v>
      </c>
      <c r="F390" s="1">
        <v>41</v>
      </c>
      <c r="G390" t="s">
        <v>3</v>
      </c>
      <c r="H390" s="1">
        <v>51</v>
      </c>
      <c r="I390" t="s">
        <v>6</v>
      </c>
      <c r="J390" s="1">
        <v>26</v>
      </c>
      <c r="K390" s="1">
        <v>31</v>
      </c>
      <c r="L390" s="1">
        <v>1206</v>
      </c>
      <c r="M390" s="1">
        <v>4959</v>
      </c>
      <c r="N390" s="1">
        <v>8385</v>
      </c>
      <c r="O390" s="1">
        <v>247737</v>
      </c>
      <c r="P390" s="1">
        <v>48956</v>
      </c>
      <c r="Q390" s="1">
        <v>100643</v>
      </c>
      <c r="R390" s="1">
        <v>3268588</v>
      </c>
      <c r="S390" s="1">
        <v>4005</v>
      </c>
      <c r="T390" s="1">
        <v>4005</v>
      </c>
      <c r="U390" s="1">
        <v>41051</v>
      </c>
      <c r="V390" s="1">
        <v>0</v>
      </c>
      <c r="W390" s="1">
        <v>1</v>
      </c>
    </row>
    <row r="391">
      <c r="A391" s="1">
        <v>2018</v>
      </c>
      <c r="B391" s="1">
        <v>4</v>
      </c>
      <c r="C391" t="s">
        <v>10</v>
      </c>
      <c r="D391" s="1">
        <v>13</v>
      </c>
      <c r="E391" t="s">
        <v>53</v>
      </c>
      <c r="F391" s="1">
        <v>41</v>
      </c>
      <c r="G391" t="s">
        <v>3</v>
      </c>
      <c r="H391" s="1">
        <v>51</v>
      </c>
      <c r="I391" t="s">
        <v>6</v>
      </c>
      <c r="J391" s="1">
        <v>368</v>
      </c>
      <c r="K391" s="1">
        <v>513</v>
      </c>
      <c r="L391" s="1">
        <v>22575</v>
      </c>
      <c r="M391" s="1">
        <v>67359</v>
      </c>
      <c r="N391" s="1">
        <v>125942</v>
      </c>
      <c r="O391" s="1">
        <v>4301667</v>
      </c>
      <c r="P391" s="1">
        <v>1539702</v>
      </c>
      <c r="Q391" s="1">
        <v>3300706</v>
      </c>
      <c r="R391" s="1">
        <v>121353384</v>
      </c>
      <c r="S391" s="1">
        <v>4013</v>
      </c>
      <c r="T391" s="1">
        <v>4013</v>
      </c>
      <c r="U391" s="1">
        <v>41051</v>
      </c>
      <c r="V391" s="1">
        <v>0</v>
      </c>
      <c r="W391" s="1">
        <v>1</v>
      </c>
    </row>
    <row r="392">
      <c r="A392" s="1">
        <v>2018</v>
      </c>
      <c r="B392" s="1">
        <v>4</v>
      </c>
      <c r="C392" t="s">
        <v>10</v>
      </c>
      <c r="D392" s="1">
        <v>19</v>
      </c>
      <c r="E392" t="s">
        <v>54</v>
      </c>
      <c r="F392" s="1">
        <v>41</v>
      </c>
      <c r="G392" t="s">
        <v>3</v>
      </c>
      <c r="H392" s="1">
        <v>51</v>
      </c>
      <c r="I392" t="s">
        <v>6</v>
      </c>
      <c r="J392" s="1">
        <v>91</v>
      </c>
      <c r="K392" s="1">
        <v>118</v>
      </c>
      <c r="L392" s="1">
        <v>5080</v>
      </c>
      <c r="M392" s="1">
        <v>17904</v>
      </c>
      <c r="N392" s="1">
        <v>32635</v>
      </c>
      <c r="O392" s="1">
        <v>1032957</v>
      </c>
      <c r="P392" s="1">
        <v>375876</v>
      </c>
      <c r="Q392" s="1">
        <v>768304</v>
      </c>
      <c r="R392" s="1">
        <v>24613418</v>
      </c>
      <c r="S392" s="1">
        <v>4019</v>
      </c>
      <c r="T392" s="1">
        <v>4019</v>
      </c>
      <c r="U392" s="1">
        <v>41051</v>
      </c>
      <c r="V392" s="1">
        <v>0</v>
      </c>
      <c r="W392" s="1">
        <v>1</v>
      </c>
    </row>
    <row r="393">
      <c r="A393" s="1">
        <v>2018</v>
      </c>
      <c r="B393" s="1">
        <v>4</v>
      </c>
      <c r="C393" t="s">
        <v>10</v>
      </c>
      <c r="D393" s="1">
        <v>25</v>
      </c>
      <c r="E393" t="s">
        <v>176</v>
      </c>
      <c r="F393" s="1">
        <v>41</v>
      </c>
      <c r="G393" t="s">
        <v>3</v>
      </c>
      <c r="H393" s="1">
        <v>51</v>
      </c>
      <c r="I393" t="s">
        <v>6</v>
      </c>
      <c r="J393" s="1">
        <v>22</v>
      </c>
      <c r="K393" s="1">
        <v>28</v>
      </c>
      <c r="L393" s="1">
        <v>829</v>
      </c>
      <c r="M393" s="1">
        <v>5957</v>
      </c>
      <c r="N393" s="1">
        <v>10377</v>
      </c>
      <c r="O393" s="1">
        <v>303569</v>
      </c>
      <c r="P393" s="1">
        <v>90296</v>
      </c>
      <c r="Q393" s="1">
        <v>173503</v>
      </c>
      <c r="R393" s="1">
        <v>5351255</v>
      </c>
      <c r="S393" s="1">
        <v>4025</v>
      </c>
      <c r="T393" s="1">
        <v>4025</v>
      </c>
      <c r="U393" s="1">
        <v>41051</v>
      </c>
      <c r="V393" s="1">
        <v>0</v>
      </c>
      <c r="W393" s="1">
        <v>1</v>
      </c>
    </row>
    <row r="394">
      <c r="A394" s="1">
        <v>2018</v>
      </c>
      <c r="B394" s="1">
        <v>6</v>
      </c>
      <c r="C394" t="s">
        <v>11</v>
      </c>
      <c r="D394" s="1">
        <v>1</v>
      </c>
      <c r="E394" t="s">
        <v>56</v>
      </c>
      <c r="F394" s="1">
        <v>41</v>
      </c>
      <c r="G394" t="s">
        <v>3</v>
      </c>
      <c r="H394" s="1">
        <v>51</v>
      </c>
      <c r="I394" t="s">
        <v>6</v>
      </c>
      <c r="J394" s="1">
        <v>395</v>
      </c>
      <c r="K394" s="1">
        <v>563</v>
      </c>
      <c r="L394" s="1">
        <v>34292</v>
      </c>
      <c r="M394" s="1">
        <v>49557</v>
      </c>
      <c r="N394" s="1">
        <v>87340</v>
      </c>
      <c r="O394" s="1">
        <v>4746166</v>
      </c>
      <c r="P394" s="1">
        <v>668947</v>
      </c>
      <c r="Q394" s="1">
        <v>1388018</v>
      </c>
      <c r="R394" s="1">
        <v>75440864</v>
      </c>
      <c r="S394" s="1">
        <v>6001</v>
      </c>
      <c r="T394" s="1">
        <v>6001</v>
      </c>
      <c r="U394" s="1">
        <v>41051</v>
      </c>
      <c r="V394" s="1">
        <v>0</v>
      </c>
      <c r="W394" s="1">
        <v>1</v>
      </c>
    </row>
    <row r="395">
      <c r="A395" s="1">
        <v>2018</v>
      </c>
      <c r="B395" s="1">
        <v>6</v>
      </c>
      <c r="C395" t="s">
        <v>11</v>
      </c>
      <c r="D395" s="1">
        <v>7</v>
      </c>
      <c r="E395" t="s">
        <v>177</v>
      </c>
      <c r="F395" s="1">
        <v>41</v>
      </c>
      <c r="G395" t="s">
        <v>3</v>
      </c>
      <c r="H395" s="1">
        <v>51</v>
      </c>
      <c r="I395" t="s">
        <v>6</v>
      </c>
      <c r="J395" s="1">
        <v>35</v>
      </c>
      <c r="K395" s="1">
        <v>54</v>
      </c>
      <c r="L395" s="1">
        <v>1358</v>
      </c>
      <c r="M395" s="1">
        <v>6247</v>
      </c>
      <c r="N395" s="1">
        <v>10622</v>
      </c>
      <c r="O395" s="1">
        <v>304738</v>
      </c>
      <c r="P395" s="1">
        <v>78948</v>
      </c>
      <c r="Q395" s="1">
        <v>160813</v>
      </c>
      <c r="R395" s="1">
        <v>5001974</v>
      </c>
      <c r="S395" s="1">
        <v>6007</v>
      </c>
      <c r="T395" s="1">
        <v>6007</v>
      </c>
      <c r="U395" s="1">
        <v>41051</v>
      </c>
      <c r="V395" s="1">
        <v>0</v>
      </c>
      <c r="W395" s="1">
        <v>1</v>
      </c>
    </row>
    <row r="396">
      <c r="A396" s="1">
        <v>2018</v>
      </c>
      <c r="B396" s="1">
        <v>6</v>
      </c>
      <c r="C396" t="s">
        <v>11</v>
      </c>
      <c r="D396" s="1">
        <v>13</v>
      </c>
      <c r="E396" t="s">
        <v>57</v>
      </c>
      <c r="F396" s="1">
        <v>41</v>
      </c>
      <c r="G396" t="s">
        <v>3</v>
      </c>
      <c r="H396" s="1">
        <v>51</v>
      </c>
      <c r="I396" t="s">
        <v>6</v>
      </c>
      <c r="J396" s="1">
        <v>129</v>
      </c>
      <c r="K396" s="1">
        <v>183</v>
      </c>
      <c r="L396" s="1">
        <v>11288</v>
      </c>
      <c r="M396" s="1">
        <v>29430</v>
      </c>
      <c r="N396" s="1">
        <v>53207</v>
      </c>
      <c r="O396" s="1">
        <v>2931322</v>
      </c>
      <c r="P396" s="1">
        <v>457901</v>
      </c>
      <c r="Q396" s="1">
        <v>992650</v>
      </c>
      <c r="R396" s="1">
        <v>57985308</v>
      </c>
      <c r="S396" s="1">
        <v>6013</v>
      </c>
      <c r="T396" s="1">
        <v>6013</v>
      </c>
      <c r="U396" s="1">
        <v>41051</v>
      </c>
      <c r="V396" s="1">
        <v>0</v>
      </c>
      <c r="W396" s="1">
        <v>1</v>
      </c>
    </row>
    <row r="397">
      <c r="A397" s="1">
        <v>2018</v>
      </c>
      <c r="B397" s="1">
        <v>6</v>
      </c>
      <c r="C397" t="s">
        <v>11</v>
      </c>
      <c r="D397" s="1">
        <v>19</v>
      </c>
      <c r="E397" t="s">
        <v>58</v>
      </c>
      <c r="F397" s="1">
        <v>41</v>
      </c>
      <c r="G397" t="s">
        <v>3</v>
      </c>
      <c r="H397" s="1">
        <v>51</v>
      </c>
      <c r="I397" t="s">
        <v>6</v>
      </c>
      <c r="J397" s="1">
        <v>49</v>
      </c>
      <c r="K397" s="1">
        <v>85</v>
      </c>
      <c r="L397" s="1">
        <v>2851</v>
      </c>
      <c r="M397" s="1">
        <v>11931</v>
      </c>
      <c r="N397" s="1">
        <v>23669</v>
      </c>
      <c r="O397" s="1">
        <v>630214</v>
      </c>
      <c r="P397" s="1">
        <v>327593</v>
      </c>
      <c r="Q397" s="1">
        <v>784228</v>
      </c>
      <c r="R397" s="1">
        <v>20351398</v>
      </c>
      <c r="S397" s="1">
        <v>6019</v>
      </c>
      <c r="T397" s="1">
        <v>6019</v>
      </c>
      <c r="U397" s="1">
        <v>41051</v>
      </c>
      <c r="V397" s="1">
        <v>0</v>
      </c>
      <c r="W397" s="1">
        <v>1</v>
      </c>
    </row>
    <row r="398">
      <c r="A398" s="1">
        <v>2018</v>
      </c>
      <c r="B398" s="1">
        <v>6</v>
      </c>
      <c r="C398" t="s">
        <v>11</v>
      </c>
      <c r="D398" s="1">
        <v>23</v>
      </c>
      <c r="E398" t="s">
        <v>59</v>
      </c>
      <c r="F398" s="1">
        <v>41</v>
      </c>
      <c r="G398" t="s">
        <v>3</v>
      </c>
      <c r="H398" s="1">
        <v>51</v>
      </c>
      <c r="I398" t="s">
        <v>6</v>
      </c>
      <c r="J398" s="1">
        <v>62</v>
      </c>
      <c r="K398" s="1">
        <v>71</v>
      </c>
      <c r="L398" s="1">
        <v>1847</v>
      </c>
      <c r="M398" s="1">
        <v>2945</v>
      </c>
      <c r="N398" s="1">
        <v>4704</v>
      </c>
      <c r="O398" s="1">
        <v>130408</v>
      </c>
      <c r="P398" s="1">
        <v>47293</v>
      </c>
      <c r="Q398" s="1">
        <v>91331</v>
      </c>
      <c r="R398" s="1">
        <v>2827572</v>
      </c>
      <c r="S398" s="1">
        <v>6023</v>
      </c>
      <c r="T398" s="1">
        <v>6023</v>
      </c>
      <c r="U398" s="1">
        <v>41051</v>
      </c>
      <c r="V398" s="1">
        <v>0</v>
      </c>
      <c r="W398" s="1">
        <v>1</v>
      </c>
    </row>
    <row r="399">
      <c r="A399" s="1">
        <v>2018</v>
      </c>
      <c r="B399" s="1">
        <v>6</v>
      </c>
      <c r="C399" t="s">
        <v>11</v>
      </c>
      <c r="D399" s="1">
        <v>29</v>
      </c>
      <c r="E399" t="s">
        <v>60</v>
      </c>
      <c r="F399" s="1">
        <v>41</v>
      </c>
      <c r="G399" t="s">
        <v>3</v>
      </c>
      <c r="H399" s="1">
        <v>51</v>
      </c>
      <c r="I399" t="s">
        <v>6</v>
      </c>
      <c r="J399" s="1">
        <v>37</v>
      </c>
      <c r="K399" s="1">
        <v>65</v>
      </c>
      <c r="L399" s="1">
        <v>1804</v>
      </c>
      <c r="M399" s="1">
        <v>11865</v>
      </c>
      <c r="N399" s="1">
        <v>24796</v>
      </c>
      <c r="O399" s="1">
        <v>672709</v>
      </c>
      <c r="P399" s="1">
        <v>279776</v>
      </c>
      <c r="Q399" s="1">
        <v>689792</v>
      </c>
      <c r="R399" s="1">
        <v>16720000</v>
      </c>
      <c r="S399" s="1">
        <v>6029</v>
      </c>
      <c r="T399" s="1">
        <v>6029</v>
      </c>
      <c r="U399" s="1">
        <v>41051</v>
      </c>
      <c r="V399" s="1">
        <v>0</v>
      </c>
      <c r="W399" s="1">
        <v>1</v>
      </c>
    </row>
    <row r="400">
      <c r="A400" s="1">
        <v>2018</v>
      </c>
      <c r="B400" s="1">
        <v>6</v>
      </c>
      <c r="C400" t="s">
        <v>11</v>
      </c>
      <c r="D400" s="1">
        <v>37</v>
      </c>
      <c r="E400" t="s">
        <v>61</v>
      </c>
      <c r="F400" s="1">
        <v>41</v>
      </c>
      <c r="G400" t="s">
        <v>3</v>
      </c>
      <c r="H400" s="1">
        <v>51</v>
      </c>
      <c r="I400" t="s">
        <v>6</v>
      </c>
      <c r="J400" s="1">
        <v>847</v>
      </c>
      <c r="K400" s="1">
        <v>1169</v>
      </c>
      <c r="L400" s="1">
        <v>52173</v>
      </c>
      <c r="M400" s="1">
        <v>153667</v>
      </c>
      <c r="N400" s="1">
        <v>276760</v>
      </c>
      <c r="O400" s="1">
        <v>11406723</v>
      </c>
      <c r="P400" s="1">
        <v>3887087</v>
      </c>
      <c r="Q400" s="1">
        <v>8020662</v>
      </c>
      <c r="R400" s="1">
        <v>342177280</v>
      </c>
      <c r="S400" s="1">
        <v>6037</v>
      </c>
      <c r="T400" s="1">
        <v>6037</v>
      </c>
      <c r="U400" s="1">
        <v>41051</v>
      </c>
      <c r="V400" s="1">
        <v>0</v>
      </c>
      <c r="W400" s="1">
        <v>1</v>
      </c>
    </row>
    <row r="401">
      <c r="A401" s="1">
        <v>2018</v>
      </c>
      <c r="B401" s="1">
        <v>6</v>
      </c>
      <c r="C401" t="s">
        <v>11</v>
      </c>
      <c r="D401" s="1">
        <v>41</v>
      </c>
      <c r="E401" t="s">
        <v>62</v>
      </c>
      <c r="F401" s="1">
        <v>41</v>
      </c>
      <c r="G401" t="s">
        <v>3</v>
      </c>
      <c r="H401" s="1">
        <v>51</v>
      </c>
      <c r="I401" t="s">
        <v>6</v>
      </c>
      <c r="J401" s="1">
        <v>72</v>
      </c>
      <c r="K401" s="1">
        <v>105</v>
      </c>
      <c r="L401" s="1">
        <v>6840</v>
      </c>
      <c r="M401" s="1">
        <v>7162</v>
      </c>
      <c r="N401" s="1">
        <v>11651</v>
      </c>
      <c r="O401" s="1">
        <v>1074580</v>
      </c>
      <c r="P401" s="1">
        <v>111259</v>
      </c>
      <c r="Q401" s="1">
        <v>221914</v>
      </c>
      <c r="R401" s="1">
        <v>22960924</v>
      </c>
      <c r="S401" s="1">
        <v>6041</v>
      </c>
      <c r="T401" s="1">
        <v>6041</v>
      </c>
      <c r="U401" s="1">
        <v>41051</v>
      </c>
      <c r="V401" s="1">
        <v>0</v>
      </c>
      <c r="W401" s="1">
        <v>1</v>
      </c>
    </row>
    <row r="402">
      <c r="A402" s="1">
        <v>2018</v>
      </c>
      <c r="B402" s="1">
        <v>6</v>
      </c>
      <c r="C402" t="s">
        <v>11</v>
      </c>
      <c r="D402" s="1">
        <v>53</v>
      </c>
      <c r="E402" t="s">
        <v>63</v>
      </c>
      <c r="F402" s="1">
        <v>41</v>
      </c>
      <c r="G402" t="s">
        <v>3</v>
      </c>
      <c r="H402" s="1">
        <v>51</v>
      </c>
      <c r="I402" t="s">
        <v>6</v>
      </c>
      <c r="J402" s="1">
        <v>42</v>
      </c>
      <c r="K402" s="1">
        <v>58</v>
      </c>
      <c r="L402" s="1">
        <v>1626</v>
      </c>
      <c r="M402" s="1">
        <v>9119</v>
      </c>
      <c r="N402" s="1">
        <v>17641</v>
      </c>
      <c r="O402" s="1">
        <v>857322</v>
      </c>
      <c r="P402" s="1">
        <v>162360</v>
      </c>
      <c r="Q402" s="1">
        <v>391393</v>
      </c>
      <c r="R402" s="1">
        <v>12539138</v>
      </c>
      <c r="S402" s="1">
        <v>6053</v>
      </c>
      <c r="T402" s="1">
        <v>6053</v>
      </c>
      <c r="U402" s="1">
        <v>41051</v>
      </c>
      <c r="V402" s="1">
        <v>0</v>
      </c>
      <c r="W402" s="1">
        <v>1</v>
      </c>
    </row>
    <row r="403">
      <c r="A403" s="1">
        <v>2018</v>
      </c>
      <c r="B403" s="1">
        <v>6</v>
      </c>
      <c r="C403" t="s">
        <v>11</v>
      </c>
      <c r="D403" s="1">
        <v>55</v>
      </c>
      <c r="E403" t="s">
        <v>299</v>
      </c>
      <c r="F403" s="1">
        <v>41</v>
      </c>
      <c r="G403" t="s">
        <v>3</v>
      </c>
      <c r="H403" s="1">
        <v>51</v>
      </c>
      <c r="I403" t="s">
        <v>6</v>
      </c>
      <c r="J403" s="1">
        <v>22</v>
      </c>
      <c r="K403" s="1">
        <v>25</v>
      </c>
      <c r="L403" s="1">
        <v>1346</v>
      </c>
      <c r="M403" s="1">
        <v>3716</v>
      </c>
      <c r="N403" s="1">
        <v>6531</v>
      </c>
      <c r="O403" s="1">
        <v>303831</v>
      </c>
      <c r="P403" s="1">
        <v>56569</v>
      </c>
      <c r="Q403" s="1">
        <v>123392</v>
      </c>
      <c r="R403" s="1">
        <v>6070561</v>
      </c>
      <c r="S403" s="1">
        <v>6055</v>
      </c>
      <c r="T403" s="1">
        <v>6055</v>
      </c>
      <c r="U403" s="1">
        <v>41051</v>
      </c>
      <c r="V403" s="1">
        <v>0</v>
      </c>
      <c r="W403" s="1">
        <v>1</v>
      </c>
    </row>
    <row r="404">
      <c r="A404" s="1">
        <v>2018</v>
      </c>
      <c r="B404" s="1">
        <v>6</v>
      </c>
      <c r="C404" t="s">
        <v>11</v>
      </c>
      <c r="D404" s="1">
        <v>59</v>
      </c>
      <c r="E404" t="s">
        <v>64</v>
      </c>
      <c r="F404" s="1">
        <v>41</v>
      </c>
      <c r="G404" t="s">
        <v>3</v>
      </c>
      <c r="H404" s="1">
        <v>51</v>
      </c>
      <c r="I404" t="s">
        <v>6</v>
      </c>
      <c r="J404" s="1">
        <v>310</v>
      </c>
      <c r="K404" s="1">
        <v>410</v>
      </c>
      <c r="L404" s="1">
        <v>20968</v>
      </c>
      <c r="M404" s="1">
        <v>65946</v>
      </c>
      <c r="N404" s="1">
        <v>118532</v>
      </c>
      <c r="O404" s="1">
        <v>5295155</v>
      </c>
      <c r="P404" s="1">
        <v>1258574</v>
      </c>
      <c r="Q404" s="1">
        <v>2709593</v>
      </c>
      <c r="R404" s="1">
        <v>130648272</v>
      </c>
      <c r="S404" s="1">
        <v>6059</v>
      </c>
      <c r="T404" s="1">
        <v>6059</v>
      </c>
      <c r="U404" s="1">
        <v>41051</v>
      </c>
      <c r="V404" s="1">
        <v>0</v>
      </c>
      <c r="W404" s="1">
        <v>1</v>
      </c>
    </row>
    <row r="405">
      <c r="A405" s="1">
        <v>2018</v>
      </c>
      <c r="B405" s="1">
        <v>6</v>
      </c>
      <c r="C405" t="s">
        <v>11</v>
      </c>
      <c r="D405" s="1">
        <v>61</v>
      </c>
      <c r="E405" t="s">
        <v>65</v>
      </c>
      <c r="F405" s="1">
        <v>41</v>
      </c>
      <c r="G405" t="s">
        <v>3</v>
      </c>
      <c r="H405" s="1">
        <v>51</v>
      </c>
      <c r="I405" t="s">
        <v>6</v>
      </c>
      <c r="J405" s="1">
        <v>48</v>
      </c>
      <c r="K405" s="1">
        <v>75</v>
      </c>
      <c r="L405" s="1">
        <v>2327</v>
      </c>
      <c r="M405" s="1">
        <v>11368</v>
      </c>
      <c r="N405" s="1">
        <v>20078</v>
      </c>
      <c r="O405" s="1">
        <v>779852</v>
      </c>
      <c r="P405" s="1">
        <v>153016</v>
      </c>
      <c r="Q405" s="1">
        <v>333614</v>
      </c>
      <c r="R405" s="1">
        <v>16013464</v>
      </c>
      <c r="S405" s="1">
        <v>6061</v>
      </c>
      <c r="T405" s="1">
        <v>6061</v>
      </c>
      <c r="U405" s="1">
        <v>41051</v>
      </c>
      <c r="V405" s="1">
        <v>0</v>
      </c>
      <c r="W405" s="1">
        <v>1</v>
      </c>
    </row>
    <row r="406">
      <c r="A406" s="1">
        <v>2018</v>
      </c>
      <c r="B406" s="1">
        <v>6</v>
      </c>
      <c r="C406" t="s">
        <v>11</v>
      </c>
      <c r="D406" s="1">
        <v>65</v>
      </c>
      <c r="E406" t="s">
        <v>66</v>
      </c>
      <c r="F406" s="1">
        <v>41</v>
      </c>
      <c r="G406" t="s">
        <v>3</v>
      </c>
      <c r="H406" s="1">
        <v>51</v>
      </c>
      <c r="I406" t="s">
        <v>6</v>
      </c>
      <c r="J406" s="1">
        <v>121</v>
      </c>
      <c r="K406" s="1">
        <v>172</v>
      </c>
      <c r="L406" s="1">
        <v>4641</v>
      </c>
      <c r="M406" s="1">
        <v>48751</v>
      </c>
      <c r="N406" s="1">
        <v>95642</v>
      </c>
      <c r="O406" s="1">
        <v>2863499</v>
      </c>
      <c r="P406" s="1">
        <v>819621</v>
      </c>
      <c r="Q406" s="1">
        <v>1896642</v>
      </c>
      <c r="R406" s="1">
        <v>52716416</v>
      </c>
      <c r="S406" s="1">
        <v>6065</v>
      </c>
      <c r="T406" s="1">
        <v>6065</v>
      </c>
      <c r="U406" s="1">
        <v>41051</v>
      </c>
      <c r="V406" s="1">
        <v>0</v>
      </c>
      <c r="W406" s="1">
        <v>1</v>
      </c>
    </row>
    <row r="407">
      <c r="A407" s="1">
        <v>2018</v>
      </c>
      <c r="B407" s="1">
        <v>6</v>
      </c>
      <c r="C407" t="s">
        <v>11</v>
      </c>
      <c r="D407" s="1">
        <v>67</v>
      </c>
      <c r="E407" t="s">
        <v>67</v>
      </c>
      <c r="F407" s="1">
        <v>41</v>
      </c>
      <c r="G407" t="s">
        <v>3</v>
      </c>
      <c r="H407" s="1">
        <v>51</v>
      </c>
      <c r="I407" t="s">
        <v>6</v>
      </c>
      <c r="J407" s="1">
        <v>141</v>
      </c>
      <c r="K407" s="1">
        <v>209</v>
      </c>
      <c r="L407" s="1">
        <v>6771</v>
      </c>
      <c r="M407" s="1">
        <v>31631</v>
      </c>
      <c r="N407" s="1">
        <v>57281</v>
      </c>
      <c r="O407" s="1">
        <v>1969457</v>
      </c>
      <c r="P407" s="1">
        <v>575967</v>
      </c>
      <c r="Q407" s="1">
        <v>1231511</v>
      </c>
      <c r="R407" s="1">
        <v>41199708</v>
      </c>
      <c r="S407" s="1">
        <v>6067</v>
      </c>
      <c r="T407" s="1">
        <v>6067</v>
      </c>
      <c r="U407" s="1">
        <v>41051</v>
      </c>
      <c r="V407" s="1">
        <v>0</v>
      </c>
      <c r="W407" s="1">
        <v>1</v>
      </c>
    </row>
    <row r="408">
      <c r="A408" s="1">
        <v>2018</v>
      </c>
      <c r="B408" s="1">
        <v>6</v>
      </c>
      <c r="C408" t="s">
        <v>11</v>
      </c>
      <c r="D408" s="1">
        <v>71</v>
      </c>
      <c r="E408" t="s">
        <v>68</v>
      </c>
      <c r="F408" s="1">
        <v>41</v>
      </c>
      <c r="G408" t="s">
        <v>3</v>
      </c>
      <c r="H408" s="1">
        <v>51</v>
      </c>
      <c r="I408" t="s">
        <v>6</v>
      </c>
      <c r="J408" s="1">
        <v>83</v>
      </c>
      <c r="K408" s="1">
        <v>124</v>
      </c>
      <c r="L408" s="1">
        <v>3780</v>
      </c>
      <c r="M408" s="1">
        <v>46866</v>
      </c>
      <c r="N408" s="1">
        <v>94320</v>
      </c>
      <c r="O408" s="1">
        <v>2437124</v>
      </c>
      <c r="P408" s="1">
        <v>744718</v>
      </c>
      <c r="Q408" s="1">
        <v>1712902</v>
      </c>
      <c r="R408" s="1">
        <v>44651380</v>
      </c>
      <c r="S408" s="1">
        <v>6071</v>
      </c>
      <c r="T408" s="1">
        <v>6071</v>
      </c>
      <c r="U408" s="1">
        <v>41051</v>
      </c>
      <c r="V408" s="1">
        <v>0</v>
      </c>
      <c r="W408" s="1">
        <v>1</v>
      </c>
    </row>
    <row r="409">
      <c r="A409" s="1">
        <v>2018</v>
      </c>
      <c r="B409" s="1">
        <v>6</v>
      </c>
      <c r="C409" t="s">
        <v>11</v>
      </c>
      <c r="D409" s="1">
        <v>73</v>
      </c>
      <c r="E409" t="s">
        <v>69</v>
      </c>
      <c r="F409" s="1">
        <v>41</v>
      </c>
      <c r="G409" t="s">
        <v>3</v>
      </c>
      <c r="H409" s="1">
        <v>51</v>
      </c>
      <c r="I409" t="s">
        <v>6</v>
      </c>
      <c r="J409" s="1">
        <v>434</v>
      </c>
      <c r="K409" s="1">
        <v>607</v>
      </c>
      <c r="L409" s="1">
        <v>23818</v>
      </c>
      <c r="M409" s="1">
        <v>69619</v>
      </c>
      <c r="N409" s="1">
        <v>128283</v>
      </c>
      <c r="O409" s="1">
        <v>4805038</v>
      </c>
      <c r="P409" s="1">
        <v>1319672</v>
      </c>
      <c r="Q409" s="1">
        <v>2773497</v>
      </c>
      <c r="R409" s="1">
        <v>115694992</v>
      </c>
      <c r="S409" s="1">
        <v>6073</v>
      </c>
      <c r="T409" s="1">
        <v>6073</v>
      </c>
      <c r="U409" s="1">
        <v>41051</v>
      </c>
      <c r="V409" s="1">
        <v>0</v>
      </c>
      <c r="W409" s="1">
        <v>1</v>
      </c>
    </row>
    <row r="410">
      <c r="A410" s="1">
        <v>2018</v>
      </c>
      <c r="B410" s="1">
        <v>6</v>
      </c>
      <c r="C410" t="s">
        <v>11</v>
      </c>
      <c r="D410" s="1">
        <v>75</v>
      </c>
      <c r="E410" t="s">
        <v>70</v>
      </c>
      <c r="F410" s="1">
        <v>41</v>
      </c>
      <c r="G410" t="s">
        <v>3</v>
      </c>
      <c r="H410" s="1">
        <v>51</v>
      </c>
      <c r="I410" t="s">
        <v>6</v>
      </c>
      <c r="J410" s="1">
        <v>437</v>
      </c>
      <c r="K410" s="1">
        <v>619</v>
      </c>
      <c r="L410" s="1">
        <v>58902</v>
      </c>
      <c r="M410" s="1">
        <v>37621</v>
      </c>
      <c r="N410" s="1">
        <v>55453</v>
      </c>
      <c r="O410" s="1">
        <v>5552933</v>
      </c>
      <c r="P410" s="1">
        <v>418300</v>
      </c>
      <c r="Q410" s="1">
        <v>693617</v>
      </c>
      <c r="R410" s="1">
        <v>69381184</v>
      </c>
      <c r="S410" s="1">
        <v>6075</v>
      </c>
      <c r="T410" s="1">
        <v>6075</v>
      </c>
      <c r="U410" s="1">
        <v>41051</v>
      </c>
      <c r="V410" s="1">
        <v>0</v>
      </c>
      <c r="W410" s="1">
        <v>1</v>
      </c>
    </row>
    <row r="411">
      <c r="A411" s="1">
        <v>2018</v>
      </c>
      <c r="B411" s="1">
        <v>6</v>
      </c>
      <c r="C411" t="s">
        <v>11</v>
      </c>
      <c r="D411" s="1">
        <v>77</v>
      </c>
      <c r="E411" t="s">
        <v>179</v>
      </c>
      <c r="F411" s="1">
        <v>41</v>
      </c>
      <c r="G411" t="s">
        <v>3</v>
      </c>
      <c r="H411" s="1">
        <v>51</v>
      </c>
      <c r="I411" t="s">
        <v>6</v>
      </c>
      <c r="J411" s="1">
        <v>32</v>
      </c>
      <c r="K411" s="1">
        <v>51</v>
      </c>
      <c r="L411" s="1">
        <v>1272</v>
      </c>
      <c r="M411" s="1">
        <v>13397</v>
      </c>
      <c r="N411" s="1">
        <v>26871</v>
      </c>
      <c r="O411" s="1">
        <v>766795</v>
      </c>
      <c r="P411" s="1">
        <v>257744</v>
      </c>
      <c r="Q411" s="1">
        <v>616267</v>
      </c>
      <c r="R411" s="1">
        <v>17154028</v>
      </c>
      <c r="S411" s="1">
        <v>6077</v>
      </c>
      <c r="T411" s="1">
        <v>6077</v>
      </c>
      <c r="U411" s="1">
        <v>41051</v>
      </c>
      <c r="V411" s="1">
        <v>0</v>
      </c>
      <c r="W411" s="1">
        <v>1</v>
      </c>
    </row>
    <row r="412">
      <c r="A412" s="1">
        <v>2018</v>
      </c>
      <c r="B412" s="1">
        <v>6</v>
      </c>
      <c r="C412" t="s">
        <v>11</v>
      </c>
      <c r="D412" s="1">
        <v>79</v>
      </c>
      <c r="E412" t="s">
        <v>71</v>
      </c>
      <c r="F412" s="1">
        <v>41</v>
      </c>
      <c r="G412" t="s">
        <v>3</v>
      </c>
      <c r="H412" s="1">
        <v>51</v>
      </c>
      <c r="I412" t="s">
        <v>6</v>
      </c>
      <c r="J412" s="1">
        <v>63</v>
      </c>
      <c r="K412" s="1">
        <v>86</v>
      </c>
      <c r="L412" s="1">
        <v>4168</v>
      </c>
      <c r="M412" s="1">
        <v>6568</v>
      </c>
      <c r="N412" s="1">
        <v>10763</v>
      </c>
      <c r="O412" s="1">
        <v>422982</v>
      </c>
      <c r="P412" s="1">
        <v>110111</v>
      </c>
      <c r="Q412" s="1">
        <v>220758</v>
      </c>
      <c r="R412" s="1">
        <v>9096092</v>
      </c>
      <c r="S412" s="1">
        <v>6079</v>
      </c>
      <c r="T412" s="1">
        <v>6079</v>
      </c>
      <c r="U412" s="1">
        <v>41051</v>
      </c>
      <c r="V412" s="1">
        <v>0</v>
      </c>
      <c r="W412" s="1">
        <v>1</v>
      </c>
    </row>
    <row r="413">
      <c r="A413" s="1">
        <v>2018</v>
      </c>
      <c r="B413" s="1">
        <v>6</v>
      </c>
      <c r="C413" t="s">
        <v>11</v>
      </c>
      <c r="D413" s="1">
        <v>81</v>
      </c>
      <c r="E413" t="s">
        <v>72</v>
      </c>
      <c r="F413" s="1">
        <v>41</v>
      </c>
      <c r="G413" t="s">
        <v>3</v>
      </c>
      <c r="H413" s="1">
        <v>51</v>
      </c>
      <c r="I413" t="s">
        <v>6</v>
      </c>
      <c r="J413" s="1">
        <v>143</v>
      </c>
      <c r="K413" s="1">
        <v>229</v>
      </c>
      <c r="L413" s="1">
        <v>19616</v>
      </c>
      <c r="M413" s="1">
        <v>26427</v>
      </c>
      <c r="N413" s="1">
        <v>45751</v>
      </c>
      <c r="O413" s="1">
        <v>3975640</v>
      </c>
      <c r="P413" s="1">
        <v>331944</v>
      </c>
      <c r="Q413" s="1">
        <v>679836</v>
      </c>
      <c r="R413" s="1">
        <v>64499836</v>
      </c>
      <c r="S413" s="1">
        <v>6081</v>
      </c>
      <c r="T413" s="1">
        <v>6081</v>
      </c>
      <c r="U413" s="1">
        <v>41051</v>
      </c>
      <c r="V413" s="1">
        <v>0</v>
      </c>
      <c r="W413" s="1">
        <v>1</v>
      </c>
    </row>
    <row r="414">
      <c r="A414" s="1">
        <v>2018</v>
      </c>
      <c r="B414" s="1">
        <v>6</v>
      </c>
      <c r="C414" t="s">
        <v>11</v>
      </c>
      <c r="D414" s="1">
        <v>83</v>
      </c>
      <c r="E414" t="s">
        <v>73</v>
      </c>
      <c r="F414" s="1">
        <v>41</v>
      </c>
      <c r="G414" t="s">
        <v>3</v>
      </c>
      <c r="H414" s="1">
        <v>51</v>
      </c>
      <c r="I414" t="s">
        <v>6</v>
      </c>
      <c r="J414" s="1">
        <v>84</v>
      </c>
      <c r="K414" s="1">
        <v>119</v>
      </c>
      <c r="L414" s="1">
        <v>5839</v>
      </c>
      <c r="M414" s="1">
        <v>9675</v>
      </c>
      <c r="N414" s="1">
        <v>16554</v>
      </c>
      <c r="O414" s="1">
        <v>697319</v>
      </c>
      <c r="P414" s="1">
        <v>168674</v>
      </c>
      <c r="Q414" s="1">
        <v>367745</v>
      </c>
      <c r="R414" s="1">
        <v>14972816</v>
      </c>
      <c r="S414" s="1">
        <v>6083</v>
      </c>
      <c r="T414" s="1">
        <v>6083</v>
      </c>
      <c r="U414" s="1">
        <v>41051</v>
      </c>
      <c r="V414" s="1">
        <v>0</v>
      </c>
      <c r="W414" s="1">
        <v>1</v>
      </c>
    </row>
    <row r="415">
      <c r="A415" s="1">
        <v>2018</v>
      </c>
      <c r="B415" s="1">
        <v>6</v>
      </c>
      <c r="C415" t="s">
        <v>11</v>
      </c>
      <c r="D415" s="1">
        <v>85</v>
      </c>
      <c r="E415" t="s">
        <v>74</v>
      </c>
      <c r="F415" s="1">
        <v>41</v>
      </c>
      <c r="G415" t="s">
        <v>3</v>
      </c>
      <c r="H415" s="1">
        <v>51</v>
      </c>
      <c r="I415" t="s">
        <v>6</v>
      </c>
      <c r="J415" s="1">
        <v>293</v>
      </c>
      <c r="K415" s="1">
        <v>434</v>
      </c>
      <c r="L415" s="1">
        <v>39280</v>
      </c>
      <c r="M415" s="1">
        <v>51426</v>
      </c>
      <c r="N415" s="1">
        <v>94442</v>
      </c>
      <c r="O415" s="1">
        <v>7267837</v>
      </c>
      <c r="P415" s="1">
        <v>793607</v>
      </c>
      <c r="Q415" s="1">
        <v>1713493</v>
      </c>
      <c r="R415" s="1">
        <v>145026432</v>
      </c>
      <c r="S415" s="1">
        <v>6085</v>
      </c>
      <c r="T415" s="1">
        <v>6085</v>
      </c>
      <c r="U415" s="1">
        <v>41051</v>
      </c>
      <c r="V415" s="1">
        <v>0</v>
      </c>
      <c r="W415" s="1">
        <v>1</v>
      </c>
    </row>
    <row r="416">
      <c r="A416" s="1">
        <v>2018</v>
      </c>
      <c r="B416" s="1">
        <v>6</v>
      </c>
      <c r="C416" t="s">
        <v>11</v>
      </c>
      <c r="D416" s="1">
        <v>87</v>
      </c>
      <c r="E416" t="s">
        <v>75</v>
      </c>
      <c r="F416" s="1">
        <v>41</v>
      </c>
      <c r="G416" t="s">
        <v>3</v>
      </c>
      <c r="H416" s="1">
        <v>51</v>
      </c>
      <c r="I416" t="s">
        <v>6</v>
      </c>
      <c r="J416" s="1">
        <v>80</v>
      </c>
      <c r="K416" s="1">
        <v>102</v>
      </c>
      <c r="L416" s="1">
        <v>4508</v>
      </c>
      <c r="M416" s="1">
        <v>6811</v>
      </c>
      <c r="N416" s="1">
        <v>11365</v>
      </c>
      <c r="O416" s="1">
        <v>532984</v>
      </c>
      <c r="P416" s="1">
        <v>109372</v>
      </c>
      <c r="Q416" s="1">
        <v>226116</v>
      </c>
      <c r="R416" s="1">
        <v>10949890</v>
      </c>
      <c r="S416" s="1">
        <v>6087</v>
      </c>
      <c r="T416" s="1">
        <v>6087</v>
      </c>
      <c r="U416" s="1">
        <v>41051</v>
      </c>
      <c r="V416" s="1">
        <v>0</v>
      </c>
      <c r="W416" s="1">
        <v>1</v>
      </c>
    </row>
    <row r="417">
      <c r="A417" s="1">
        <v>2018</v>
      </c>
      <c r="B417" s="1">
        <v>6</v>
      </c>
      <c r="C417" t="s">
        <v>11</v>
      </c>
      <c r="D417" s="1">
        <v>89</v>
      </c>
      <c r="E417" t="s">
        <v>76</v>
      </c>
      <c r="F417" s="1">
        <v>41</v>
      </c>
      <c r="G417" t="s">
        <v>3</v>
      </c>
      <c r="H417" s="1">
        <v>51</v>
      </c>
      <c r="I417" t="s">
        <v>6</v>
      </c>
      <c r="J417" s="1">
        <v>30</v>
      </c>
      <c r="K417" s="1">
        <v>39</v>
      </c>
      <c r="L417" s="1">
        <v>1084</v>
      </c>
      <c r="M417" s="1">
        <v>3822</v>
      </c>
      <c r="N417" s="1">
        <v>7016</v>
      </c>
      <c r="O417" s="1">
        <v>203017</v>
      </c>
      <c r="P417" s="1">
        <v>64310</v>
      </c>
      <c r="Q417" s="1">
        <v>133565</v>
      </c>
      <c r="R417" s="1">
        <v>4092619</v>
      </c>
      <c r="S417" s="1">
        <v>6089</v>
      </c>
      <c r="T417" s="1">
        <v>6089</v>
      </c>
      <c r="U417" s="1">
        <v>41051</v>
      </c>
      <c r="V417" s="1">
        <v>0</v>
      </c>
      <c r="W417" s="1">
        <v>1</v>
      </c>
    </row>
    <row r="418">
      <c r="A418" s="1">
        <v>2018</v>
      </c>
      <c r="B418" s="1">
        <v>6</v>
      </c>
      <c r="C418" t="s">
        <v>11</v>
      </c>
      <c r="D418" s="1">
        <v>95</v>
      </c>
      <c r="E418" t="s">
        <v>180</v>
      </c>
      <c r="F418" s="1">
        <v>41</v>
      </c>
      <c r="G418" t="s">
        <v>3</v>
      </c>
      <c r="H418" s="1">
        <v>51</v>
      </c>
      <c r="I418" t="s">
        <v>6</v>
      </c>
      <c r="J418" s="1">
        <v>26</v>
      </c>
      <c r="K418" s="1">
        <v>37</v>
      </c>
      <c r="L418" s="1">
        <v>1010</v>
      </c>
      <c r="M418" s="1">
        <v>11862</v>
      </c>
      <c r="N418" s="1">
        <v>22382</v>
      </c>
      <c r="O418" s="1">
        <v>721909</v>
      </c>
      <c r="P418" s="1">
        <v>173669</v>
      </c>
      <c r="Q418" s="1">
        <v>368305</v>
      </c>
      <c r="R418" s="1">
        <v>13178077</v>
      </c>
      <c r="S418" s="1">
        <v>6095</v>
      </c>
      <c r="T418" s="1">
        <v>6095</v>
      </c>
      <c r="U418" s="1">
        <v>41051</v>
      </c>
      <c r="V418" s="1">
        <v>0</v>
      </c>
      <c r="W418" s="1">
        <v>1</v>
      </c>
    </row>
    <row r="419">
      <c r="A419" s="1">
        <v>2018</v>
      </c>
      <c r="B419" s="1">
        <v>6</v>
      </c>
      <c r="C419" t="s">
        <v>11</v>
      </c>
      <c r="D419" s="1">
        <v>97</v>
      </c>
      <c r="E419" t="s">
        <v>77</v>
      </c>
      <c r="F419" s="1">
        <v>41</v>
      </c>
      <c r="G419" t="s">
        <v>3</v>
      </c>
      <c r="H419" s="1">
        <v>51</v>
      </c>
      <c r="I419" t="s">
        <v>6</v>
      </c>
      <c r="J419" s="1">
        <v>132</v>
      </c>
      <c r="K419" s="1">
        <v>169</v>
      </c>
      <c r="L419" s="1">
        <v>6987</v>
      </c>
      <c r="M419" s="1">
        <v>11173</v>
      </c>
      <c r="N419" s="1">
        <v>18716</v>
      </c>
      <c r="O419" s="1">
        <v>828275</v>
      </c>
      <c r="P419" s="1">
        <v>205387</v>
      </c>
      <c r="Q419" s="1">
        <v>416611</v>
      </c>
      <c r="R419" s="1">
        <v>18048690</v>
      </c>
      <c r="S419" s="1">
        <v>6097</v>
      </c>
      <c r="T419" s="1">
        <v>6097</v>
      </c>
      <c r="U419" s="1">
        <v>41051</v>
      </c>
      <c r="V419" s="1">
        <v>0</v>
      </c>
      <c r="W419" s="1">
        <v>1</v>
      </c>
    </row>
    <row r="420">
      <c r="A420" s="1">
        <v>2018</v>
      </c>
      <c r="B420" s="1">
        <v>6</v>
      </c>
      <c r="C420" t="s">
        <v>11</v>
      </c>
      <c r="D420" s="1">
        <v>99</v>
      </c>
      <c r="E420" t="s">
        <v>325</v>
      </c>
      <c r="F420" s="1">
        <v>41</v>
      </c>
      <c r="G420" t="s">
        <v>3</v>
      </c>
      <c r="H420" s="1">
        <v>51</v>
      </c>
      <c r="I420" t="s">
        <v>6</v>
      </c>
      <c r="J420" s="1">
        <v>25</v>
      </c>
      <c r="K420" s="1">
        <v>29</v>
      </c>
      <c r="L420" s="1">
        <v>1135</v>
      </c>
      <c r="M420" s="1">
        <v>9313</v>
      </c>
      <c r="N420" s="1">
        <v>18859</v>
      </c>
      <c r="O420" s="1">
        <v>494100</v>
      </c>
      <c r="P420" s="1">
        <v>187673</v>
      </c>
      <c r="Q420" s="1">
        <v>446562</v>
      </c>
      <c r="R420" s="1">
        <v>11725423</v>
      </c>
      <c r="S420" s="1">
        <v>6099</v>
      </c>
      <c r="T420" s="1">
        <v>6099</v>
      </c>
      <c r="U420" s="1">
        <v>41051</v>
      </c>
      <c r="V420" s="1">
        <v>0</v>
      </c>
      <c r="W420" s="1">
        <v>1</v>
      </c>
    </row>
    <row r="421">
      <c r="A421" s="1">
        <v>2018</v>
      </c>
      <c r="B421" s="1">
        <v>6</v>
      </c>
      <c r="C421" t="s">
        <v>11</v>
      </c>
      <c r="D421" s="1">
        <v>111</v>
      </c>
      <c r="E421" t="s">
        <v>78</v>
      </c>
      <c r="F421" s="1">
        <v>41</v>
      </c>
      <c r="G421" t="s">
        <v>3</v>
      </c>
      <c r="H421" s="1">
        <v>51</v>
      </c>
      <c r="I421" t="s">
        <v>6</v>
      </c>
      <c r="J421" s="1">
        <v>74</v>
      </c>
      <c r="K421" s="1">
        <v>102</v>
      </c>
      <c r="L421" s="1">
        <v>3625</v>
      </c>
      <c r="M421" s="1">
        <v>17096</v>
      </c>
      <c r="N421" s="1">
        <v>31481</v>
      </c>
      <c r="O421" s="1">
        <v>1465284</v>
      </c>
      <c r="P421" s="1">
        <v>335237</v>
      </c>
      <c r="Q421" s="1">
        <v>741480</v>
      </c>
      <c r="R421" s="1">
        <v>30766646</v>
      </c>
      <c r="S421" s="1">
        <v>6111</v>
      </c>
      <c r="T421" s="1">
        <v>6111</v>
      </c>
      <c r="U421" s="1">
        <v>41051</v>
      </c>
      <c r="V421" s="1">
        <v>0</v>
      </c>
      <c r="W421" s="1">
        <v>1</v>
      </c>
    </row>
    <row r="422">
      <c r="A422" s="1">
        <v>2018</v>
      </c>
      <c r="B422" s="1">
        <v>6</v>
      </c>
      <c r="C422" t="s">
        <v>11</v>
      </c>
      <c r="D422" s="1">
        <v>113</v>
      </c>
      <c r="E422" t="s">
        <v>181</v>
      </c>
      <c r="F422" s="1">
        <v>41</v>
      </c>
      <c r="G422" t="s">
        <v>3</v>
      </c>
      <c r="H422" s="1">
        <v>51</v>
      </c>
      <c r="I422" t="s">
        <v>6</v>
      </c>
      <c r="J422" s="1">
        <v>32</v>
      </c>
      <c r="K422" s="1">
        <v>36</v>
      </c>
      <c r="L422" s="1">
        <v>1148</v>
      </c>
      <c r="M422" s="1">
        <v>6737</v>
      </c>
      <c r="N422" s="1">
        <v>11403</v>
      </c>
      <c r="O422" s="1">
        <v>406766</v>
      </c>
      <c r="P422" s="1">
        <v>75604</v>
      </c>
      <c r="Q422" s="1">
        <v>164295</v>
      </c>
      <c r="R422" s="1">
        <v>6436106</v>
      </c>
      <c r="S422" s="1">
        <v>6113</v>
      </c>
      <c r="T422" s="1">
        <v>6113</v>
      </c>
      <c r="U422" s="1">
        <v>41051</v>
      </c>
      <c r="V422" s="1">
        <v>0</v>
      </c>
      <c r="W422" s="1">
        <v>1</v>
      </c>
    </row>
    <row r="423">
      <c r="A423" s="1">
        <v>2018</v>
      </c>
      <c r="B423" s="1">
        <v>8</v>
      </c>
      <c r="C423" t="s">
        <v>12</v>
      </c>
      <c r="D423" s="1">
        <v>1</v>
      </c>
      <c r="E423" t="s">
        <v>225</v>
      </c>
      <c r="F423" s="1">
        <v>41</v>
      </c>
      <c r="G423" t="s">
        <v>3</v>
      </c>
      <c r="H423" s="1">
        <v>51</v>
      </c>
      <c r="I423" t="s">
        <v>6</v>
      </c>
      <c r="J423" s="1">
        <v>20</v>
      </c>
      <c r="K423" s="1">
        <v>31</v>
      </c>
      <c r="L423" s="1">
        <v>832</v>
      </c>
      <c r="M423" s="1">
        <v>20443</v>
      </c>
      <c r="N423" s="1">
        <v>39563</v>
      </c>
      <c r="O423" s="1">
        <v>1085339</v>
      </c>
      <c r="P423" s="1">
        <v>190400</v>
      </c>
      <c r="Q423" s="1">
        <v>417941</v>
      </c>
      <c r="R423" s="1">
        <v>12372676</v>
      </c>
      <c r="S423" s="1">
        <v>8001</v>
      </c>
      <c r="T423" s="1">
        <v>8001</v>
      </c>
      <c r="U423" s="1">
        <v>41051</v>
      </c>
      <c r="V423" s="1">
        <v>0</v>
      </c>
      <c r="W423" s="1">
        <v>1</v>
      </c>
    </row>
    <row r="424">
      <c r="A424" s="1">
        <v>2018</v>
      </c>
      <c r="B424" s="1">
        <v>8</v>
      </c>
      <c r="C424" t="s">
        <v>12</v>
      </c>
      <c r="D424" s="1">
        <v>5</v>
      </c>
      <c r="E424" t="s">
        <v>79</v>
      </c>
      <c r="F424" s="1">
        <v>41</v>
      </c>
      <c r="G424" t="s">
        <v>3</v>
      </c>
      <c r="H424" s="1">
        <v>51</v>
      </c>
      <c r="I424" t="s">
        <v>6</v>
      </c>
      <c r="J424" s="1">
        <v>47</v>
      </c>
      <c r="K424" s="1">
        <v>60</v>
      </c>
      <c r="L424" s="1">
        <v>1648</v>
      </c>
      <c r="M424" s="1">
        <v>31134</v>
      </c>
      <c r="N424" s="1">
        <v>55422</v>
      </c>
      <c r="O424" s="1">
        <v>2074670</v>
      </c>
      <c r="P424" s="1">
        <v>259902</v>
      </c>
      <c r="Q424" s="1">
        <v>539158</v>
      </c>
      <c r="R424" s="1">
        <v>24459860</v>
      </c>
      <c r="S424" s="1">
        <v>8005</v>
      </c>
      <c r="T424" s="1">
        <v>8005</v>
      </c>
      <c r="U424" s="1">
        <v>41051</v>
      </c>
      <c r="V424" s="1">
        <v>0</v>
      </c>
      <c r="W424" s="1">
        <v>1</v>
      </c>
    </row>
    <row r="425">
      <c r="A425" s="1">
        <v>2018</v>
      </c>
      <c r="B425" s="1">
        <v>8</v>
      </c>
      <c r="C425" t="s">
        <v>12</v>
      </c>
      <c r="D425" s="1">
        <v>13</v>
      </c>
      <c r="E425" t="s">
        <v>80</v>
      </c>
      <c r="F425" s="1">
        <v>41</v>
      </c>
      <c r="G425" t="s">
        <v>3</v>
      </c>
      <c r="H425" s="1">
        <v>51</v>
      </c>
      <c r="I425" t="s">
        <v>6</v>
      </c>
      <c r="J425" s="1">
        <v>64</v>
      </c>
      <c r="K425" s="1">
        <v>76</v>
      </c>
      <c r="L425" s="1">
        <v>2684</v>
      </c>
      <c r="M425" s="1">
        <v>13292</v>
      </c>
      <c r="N425" s="1">
        <v>20694</v>
      </c>
      <c r="O425" s="1">
        <v>946437</v>
      </c>
      <c r="P425" s="1">
        <v>132096</v>
      </c>
      <c r="Q425" s="1">
        <v>259162</v>
      </c>
      <c r="R425" s="1">
        <v>15243352</v>
      </c>
      <c r="S425" s="1">
        <v>8013</v>
      </c>
      <c r="T425" s="1">
        <v>8013</v>
      </c>
      <c r="U425" s="1">
        <v>41051</v>
      </c>
      <c r="V425" s="1">
        <v>0</v>
      </c>
      <c r="W425" s="1">
        <v>1</v>
      </c>
    </row>
    <row r="426">
      <c r="A426" s="1">
        <v>2018</v>
      </c>
      <c r="B426" s="1">
        <v>8</v>
      </c>
      <c r="C426" t="s">
        <v>12</v>
      </c>
      <c r="D426" s="1">
        <v>31</v>
      </c>
      <c r="E426" t="s">
        <v>81</v>
      </c>
      <c r="F426" s="1">
        <v>41</v>
      </c>
      <c r="G426" t="s">
        <v>3</v>
      </c>
      <c r="H426" s="1">
        <v>51</v>
      </c>
      <c r="I426" t="s">
        <v>6</v>
      </c>
      <c r="J426" s="1">
        <v>142</v>
      </c>
      <c r="K426" s="1">
        <v>178</v>
      </c>
      <c r="L426" s="1">
        <v>9632</v>
      </c>
      <c r="M426" s="1">
        <v>40431</v>
      </c>
      <c r="N426" s="1">
        <v>65679</v>
      </c>
      <c r="O426" s="1">
        <v>2664211</v>
      </c>
      <c r="P426" s="1">
        <v>295455</v>
      </c>
      <c r="Q426" s="1">
        <v>537409</v>
      </c>
      <c r="R426" s="1">
        <v>28145204</v>
      </c>
      <c r="S426" s="1">
        <v>8031</v>
      </c>
      <c r="T426" s="1">
        <v>8031</v>
      </c>
      <c r="U426" s="1">
        <v>41051</v>
      </c>
      <c r="V426" s="1">
        <v>0</v>
      </c>
      <c r="W426" s="1">
        <v>1</v>
      </c>
    </row>
    <row r="427">
      <c r="A427" s="1">
        <v>2018</v>
      </c>
      <c r="B427" s="1">
        <v>8</v>
      </c>
      <c r="C427" t="s">
        <v>12</v>
      </c>
      <c r="D427" s="1">
        <v>35</v>
      </c>
      <c r="E427" t="s">
        <v>131</v>
      </c>
      <c r="F427" s="1">
        <v>41</v>
      </c>
      <c r="G427" t="s">
        <v>3</v>
      </c>
      <c r="H427" s="1">
        <v>51</v>
      </c>
      <c r="I427" t="s">
        <v>6</v>
      </c>
      <c r="J427" s="1">
        <v>22</v>
      </c>
      <c r="K427" s="1">
        <v>35</v>
      </c>
      <c r="L427" s="1">
        <v>1056</v>
      </c>
      <c r="M427" s="1">
        <v>12955</v>
      </c>
      <c r="N427" s="1">
        <v>24478</v>
      </c>
      <c r="O427" s="1">
        <v>1435785</v>
      </c>
      <c r="P427" s="1">
        <v>128887</v>
      </c>
      <c r="Q427" s="1">
        <v>304507</v>
      </c>
      <c r="R427" s="1">
        <v>17839572</v>
      </c>
      <c r="S427" s="1">
        <v>8035</v>
      </c>
      <c r="T427" s="1">
        <v>8035</v>
      </c>
      <c r="U427" s="1">
        <v>41051</v>
      </c>
      <c r="V427" s="1">
        <v>0</v>
      </c>
      <c r="W427" s="1">
        <v>1</v>
      </c>
    </row>
    <row r="428">
      <c r="A428" s="1">
        <v>2018</v>
      </c>
      <c r="B428" s="1">
        <v>8</v>
      </c>
      <c r="C428" t="s">
        <v>12</v>
      </c>
      <c r="D428" s="1">
        <v>41</v>
      </c>
      <c r="E428" t="s">
        <v>82</v>
      </c>
      <c r="F428" s="1">
        <v>41</v>
      </c>
      <c r="G428" t="s">
        <v>3</v>
      </c>
      <c r="H428" s="1">
        <v>51</v>
      </c>
      <c r="I428" t="s">
        <v>6</v>
      </c>
      <c r="J428" s="1">
        <v>48</v>
      </c>
      <c r="K428" s="1">
        <v>65</v>
      </c>
      <c r="L428" s="1">
        <v>2078</v>
      </c>
      <c r="M428" s="1">
        <v>24647</v>
      </c>
      <c r="N428" s="1">
        <v>50163</v>
      </c>
      <c r="O428" s="1">
        <v>1313369</v>
      </c>
      <c r="P428" s="1">
        <v>269513</v>
      </c>
      <c r="Q428" s="1">
        <v>579559</v>
      </c>
      <c r="R428" s="1">
        <v>19702084</v>
      </c>
      <c r="S428" s="1">
        <v>8041</v>
      </c>
      <c r="T428" s="1">
        <v>8041</v>
      </c>
      <c r="U428" s="1">
        <v>41051</v>
      </c>
      <c r="V428" s="1">
        <v>0</v>
      </c>
      <c r="W428" s="1">
        <v>1</v>
      </c>
    </row>
    <row r="429">
      <c r="A429" s="1">
        <v>2018</v>
      </c>
      <c r="B429" s="1">
        <v>8</v>
      </c>
      <c r="C429" t="s">
        <v>12</v>
      </c>
      <c r="D429" s="1">
        <v>59</v>
      </c>
      <c r="E429" t="s">
        <v>83</v>
      </c>
      <c r="F429" s="1">
        <v>41</v>
      </c>
      <c r="G429" t="s">
        <v>3</v>
      </c>
      <c r="H429" s="1">
        <v>51</v>
      </c>
      <c r="I429" t="s">
        <v>6</v>
      </c>
      <c r="J429" s="1">
        <v>38</v>
      </c>
      <c r="K429" s="1">
        <v>60</v>
      </c>
      <c r="L429" s="1">
        <v>2974</v>
      </c>
      <c r="M429" s="1">
        <v>25061</v>
      </c>
      <c r="N429" s="1">
        <v>41898</v>
      </c>
      <c r="O429" s="1">
        <v>1628735</v>
      </c>
      <c r="P429" s="1">
        <v>247811</v>
      </c>
      <c r="Q429" s="1">
        <v>483850</v>
      </c>
      <c r="R429" s="1">
        <v>23339262</v>
      </c>
      <c r="S429" s="1">
        <v>8059</v>
      </c>
      <c r="T429" s="1">
        <v>8059</v>
      </c>
      <c r="U429" s="1">
        <v>41051</v>
      </c>
      <c r="V429" s="1">
        <v>0</v>
      </c>
      <c r="W429" s="1">
        <v>1</v>
      </c>
    </row>
    <row r="430">
      <c r="A430" s="1">
        <v>2018</v>
      </c>
      <c r="B430" s="1">
        <v>8</v>
      </c>
      <c r="C430" t="s">
        <v>12</v>
      </c>
      <c r="D430" s="1">
        <v>69</v>
      </c>
      <c r="E430" t="s">
        <v>84</v>
      </c>
      <c r="F430" s="1">
        <v>41</v>
      </c>
      <c r="G430" t="s">
        <v>3</v>
      </c>
      <c r="H430" s="1">
        <v>51</v>
      </c>
      <c r="I430" t="s">
        <v>6</v>
      </c>
      <c r="J430" s="1">
        <v>57</v>
      </c>
      <c r="K430" s="1">
        <v>63</v>
      </c>
      <c r="L430" s="1">
        <v>2487</v>
      </c>
      <c r="M430" s="1">
        <v>12261</v>
      </c>
      <c r="N430" s="1">
        <v>20169</v>
      </c>
      <c r="O430" s="1">
        <v>681037</v>
      </c>
      <c r="P430" s="1">
        <v>139386</v>
      </c>
      <c r="Q430" s="1">
        <v>276897</v>
      </c>
      <c r="R430" s="1">
        <v>11866201</v>
      </c>
      <c r="S430" s="1">
        <v>8069</v>
      </c>
      <c r="T430" s="1">
        <v>8069</v>
      </c>
      <c r="U430" s="1">
        <v>41051</v>
      </c>
      <c r="V430" s="1">
        <v>0</v>
      </c>
      <c r="W430" s="1">
        <v>1</v>
      </c>
    </row>
    <row r="431">
      <c r="A431" s="1">
        <v>2018</v>
      </c>
      <c r="B431" s="1">
        <v>9</v>
      </c>
      <c r="C431" t="s">
        <v>13</v>
      </c>
      <c r="D431" s="1">
        <v>1</v>
      </c>
      <c r="E431" t="s">
        <v>241</v>
      </c>
      <c r="F431" s="1">
        <v>41</v>
      </c>
      <c r="G431" t="s">
        <v>3</v>
      </c>
      <c r="H431" s="1">
        <v>51</v>
      </c>
      <c r="I431" t="s">
        <v>6</v>
      </c>
      <c r="J431" s="1">
        <v>33</v>
      </c>
      <c r="K431" s="1">
        <v>39</v>
      </c>
      <c r="L431" s="1">
        <v>2358</v>
      </c>
      <c r="M431" s="1">
        <v>21183</v>
      </c>
      <c r="N431" s="1">
        <v>35767</v>
      </c>
      <c r="O431" s="1">
        <v>3015139</v>
      </c>
      <c r="P431" s="1">
        <v>378351</v>
      </c>
      <c r="Q431" s="1">
        <v>794469</v>
      </c>
      <c r="R431" s="1">
        <v>72392400</v>
      </c>
      <c r="S431" s="1">
        <v>9001</v>
      </c>
      <c r="T431" s="1">
        <v>9001</v>
      </c>
      <c r="U431" s="1">
        <v>41051</v>
      </c>
      <c r="V431" s="1">
        <v>0</v>
      </c>
      <c r="W431" s="1">
        <v>1</v>
      </c>
    </row>
    <row r="432">
      <c r="A432" s="1">
        <v>2018</v>
      </c>
      <c r="B432" s="1">
        <v>9</v>
      </c>
      <c r="C432" t="s">
        <v>13</v>
      </c>
      <c r="D432" s="1">
        <v>3</v>
      </c>
      <c r="E432" t="s">
        <v>182</v>
      </c>
      <c r="F432" s="1">
        <v>41</v>
      </c>
      <c r="G432" t="s">
        <v>3</v>
      </c>
      <c r="H432" s="1">
        <v>51</v>
      </c>
      <c r="I432" t="s">
        <v>6</v>
      </c>
      <c r="J432" s="1">
        <v>25</v>
      </c>
      <c r="K432" s="1">
        <v>33</v>
      </c>
      <c r="L432" s="1">
        <v>2168</v>
      </c>
      <c r="M432" s="1">
        <v>18991</v>
      </c>
      <c r="N432" s="1">
        <v>31784</v>
      </c>
      <c r="O432" s="1">
        <v>1468096</v>
      </c>
      <c r="P432" s="1">
        <v>375837</v>
      </c>
      <c r="Q432" s="1">
        <v>742487</v>
      </c>
      <c r="R432" s="1">
        <v>33366322</v>
      </c>
      <c r="S432" s="1">
        <v>9003</v>
      </c>
      <c r="T432" s="1">
        <v>9003</v>
      </c>
      <c r="U432" s="1">
        <v>41051</v>
      </c>
      <c r="V432" s="1">
        <v>0</v>
      </c>
      <c r="W432" s="1">
        <v>1</v>
      </c>
    </row>
    <row r="433">
      <c r="A433" s="1">
        <v>2018</v>
      </c>
      <c r="B433" s="1">
        <v>9</v>
      </c>
      <c r="C433" t="s">
        <v>13</v>
      </c>
      <c r="D433" s="1">
        <v>9</v>
      </c>
      <c r="E433" t="s">
        <v>85</v>
      </c>
      <c r="F433" s="1">
        <v>41</v>
      </c>
      <c r="G433" t="s">
        <v>3</v>
      </c>
      <c r="H433" s="1">
        <v>51</v>
      </c>
      <c r="I433" t="s">
        <v>6</v>
      </c>
      <c r="J433" s="1">
        <v>37</v>
      </c>
      <c r="K433" s="1">
        <v>52</v>
      </c>
      <c r="L433" s="1">
        <v>2000</v>
      </c>
      <c r="M433" s="1">
        <v>18244</v>
      </c>
      <c r="N433" s="1">
        <v>30091</v>
      </c>
      <c r="O433" s="1">
        <v>1317230</v>
      </c>
      <c r="P433" s="1">
        <v>347376</v>
      </c>
      <c r="Q433" s="1">
        <v>680841</v>
      </c>
      <c r="R433" s="1">
        <v>28354192</v>
      </c>
      <c r="S433" s="1">
        <v>9009</v>
      </c>
      <c r="T433" s="1">
        <v>9009</v>
      </c>
      <c r="U433" s="1">
        <v>41051</v>
      </c>
      <c r="V433" s="1">
        <v>0</v>
      </c>
      <c r="W433" s="1">
        <v>1</v>
      </c>
    </row>
    <row r="434">
      <c r="A434" s="1">
        <v>2018</v>
      </c>
      <c r="B434" s="1">
        <v>11</v>
      </c>
      <c r="C434" t="s">
        <v>14</v>
      </c>
      <c r="D434" s="1">
        <v>1</v>
      </c>
      <c r="E434" t="s">
        <v>14</v>
      </c>
      <c r="F434" s="1">
        <v>41</v>
      </c>
      <c r="G434" t="s">
        <v>3</v>
      </c>
      <c r="H434" s="1">
        <v>51</v>
      </c>
      <c r="I434" t="s">
        <v>6</v>
      </c>
      <c r="J434" s="1">
        <v>110</v>
      </c>
      <c r="K434" s="1">
        <v>134</v>
      </c>
      <c r="L434" s="1">
        <v>12170</v>
      </c>
      <c r="M434" s="1">
        <v>31261</v>
      </c>
      <c r="N434" s="1">
        <v>45905</v>
      </c>
      <c r="O434" s="1">
        <v>2853361</v>
      </c>
      <c r="P434" s="1">
        <v>294633</v>
      </c>
      <c r="Q434" s="1">
        <v>483392</v>
      </c>
      <c r="R434" s="1">
        <v>31918158</v>
      </c>
      <c r="S434" s="1">
        <v>11001</v>
      </c>
      <c r="T434" s="1">
        <v>11001</v>
      </c>
      <c r="U434" s="1">
        <v>41051</v>
      </c>
      <c r="V434" s="1">
        <v>0</v>
      </c>
      <c r="W434" s="1">
        <v>1</v>
      </c>
    </row>
    <row r="435">
      <c r="A435" s="1">
        <v>2018</v>
      </c>
      <c r="B435" s="1">
        <v>12</v>
      </c>
      <c r="C435" t="s">
        <v>15</v>
      </c>
      <c r="D435" s="1">
        <v>1</v>
      </c>
      <c r="E435" t="s">
        <v>350</v>
      </c>
      <c r="F435" s="1">
        <v>41</v>
      </c>
      <c r="G435" t="s">
        <v>3</v>
      </c>
      <c r="H435" s="1">
        <v>51</v>
      </c>
      <c r="I435" t="s">
        <v>6</v>
      </c>
      <c r="J435" s="1">
        <v>26</v>
      </c>
      <c r="K435" s="1">
        <v>29</v>
      </c>
      <c r="L435" s="1">
        <v>802</v>
      </c>
      <c r="M435" s="1">
        <v>8891</v>
      </c>
      <c r="N435" s="1">
        <v>14556</v>
      </c>
      <c r="O435" s="1">
        <v>444662</v>
      </c>
      <c r="P435" s="1">
        <v>94217</v>
      </c>
      <c r="Q435" s="1">
        <v>180906</v>
      </c>
      <c r="R435" s="1">
        <v>6397954</v>
      </c>
      <c r="S435" s="1">
        <v>12001</v>
      </c>
      <c r="T435" s="1">
        <v>12001</v>
      </c>
      <c r="U435" s="1">
        <v>41051</v>
      </c>
      <c r="V435" s="1">
        <v>0</v>
      </c>
      <c r="W435" s="1">
        <v>1</v>
      </c>
    </row>
    <row r="436">
      <c r="A436" s="1">
        <v>2018</v>
      </c>
      <c r="B436" s="1">
        <v>12</v>
      </c>
      <c r="C436" t="s">
        <v>15</v>
      </c>
      <c r="D436" s="1">
        <v>11</v>
      </c>
      <c r="E436" t="s">
        <v>183</v>
      </c>
      <c r="F436" s="1">
        <v>41</v>
      </c>
      <c r="G436" t="s">
        <v>3</v>
      </c>
      <c r="H436" s="1">
        <v>51</v>
      </c>
      <c r="I436" t="s">
        <v>6</v>
      </c>
      <c r="J436" s="1">
        <v>38</v>
      </c>
      <c r="K436" s="1">
        <v>56</v>
      </c>
      <c r="L436" s="1">
        <v>2726</v>
      </c>
      <c r="M436" s="1">
        <v>51016</v>
      </c>
      <c r="N436" s="1">
        <v>90407</v>
      </c>
      <c r="O436" s="1">
        <v>3141171</v>
      </c>
      <c r="P436" s="1">
        <v>771910</v>
      </c>
      <c r="Q436" s="1">
        <v>1500618</v>
      </c>
      <c r="R436" s="1">
        <v>55649288</v>
      </c>
      <c r="S436" s="1">
        <v>12011</v>
      </c>
      <c r="T436" s="1">
        <v>12011</v>
      </c>
      <c r="U436" s="1">
        <v>41051</v>
      </c>
      <c r="V436" s="1">
        <v>0</v>
      </c>
      <c r="W436" s="1">
        <v>1</v>
      </c>
    </row>
    <row r="437">
      <c r="A437" s="1">
        <v>2018</v>
      </c>
      <c r="B437" s="1">
        <v>12</v>
      </c>
      <c r="C437" t="s">
        <v>15</v>
      </c>
      <c r="D437" s="1">
        <v>31</v>
      </c>
      <c r="E437" t="s">
        <v>184</v>
      </c>
      <c r="F437" s="1">
        <v>41</v>
      </c>
      <c r="G437" t="s">
        <v>3</v>
      </c>
      <c r="H437" s="1">
        <v>51</v>
      </c>
      <c r="I437" t="s">
        <v>6</v>
      </c>
      <c r="J437" s="1">
        <v>27</v>
      </c>
      <c r="K437" s="1">
        <v>37</v>
      </c>
      <c r="L437" s="1">
        <v>1394</v>
      </c>
      <c r="M437" s="1">
        <v>26242</v>
      </c>
      <c r="N437" s="1">
        <v>49192</v>
      </c>
      <c r="O437" s="1">
        <v>1524989</v>
      </c>
      <c r="P437" s="1">
        <v>371462</v>
      </c>
      <c r="Q437" s="1">
        <v>735148</v>
      </c>
      <c r="R437" s="1">
        <v>23962168</v>
      </c>
      <c r="S437" s="1">
        <v>12031</v>
      </c>
      <c r="T437" s="1">
        <v>12031</v>
      </c>
      <c r="U437" s="1">
        <v>41051</v>
      </c>
      <c r="V437" s="1">
        <v>0</v>
      </c>
      <c r="W437" s="1">
        <v>1</v>
      </c>
    </row>
    <row r="438">
      <c r="A438" s="1">
        <v>2018</v>
      </c>
      <c r="B438" s="1">
        <v>12</v>
      </c>
      <c r="C438" t="s">
        <v>15</v>
      </c>
      <c r="D438" s="1">
        <v>57</v>
      </c>
      <c r="E438" t="s">
        <v>86</v>
      </c>
      <c r="F438" s="1">
        <v>41</v>
      </c>
      <c r="G438" t="s">
        <v>3</v>
      </c>
      <c r="H438" s="1">
        <v>51</v>
      </c>
      <c r="I438" t="s">
        <v>6</v>
      </c>
      <c r="J438" s="1">
        <v>40</v>
      </c>
      <c r="K438" s="1">
        <v>55</v>
      </c>
      <c r="L438" s="1">
        <v>2469</v>
      </c>
      <c r="M438" s="1">
        <v>39468</v>
      </c>
      <c r="N438" s="1">
        <v>71924</v>
      </c>
      <c r="O438" s="1">
        <v>2295261</v>
      </c>
      <c r="P438" s="1">
        <v>536808</v>
      </c>
      <c r="Q438" s="1">
        <v>1094615</v>
      </c>
      <c r="R438" s="1">
        <v>38473552</v>
      </c>
      <c r="S438" s="1">
        <v>12057</v>
      </c>
      <c r="T438" s="1">
        <v>12057</v>
      </c>
      <c r="U438" s="1">
        <v>41051</v>
      </c>
      <c r="V438" s="1">
        <v>0</v>
      </c>
      <c r="W438" s="1">
        <v>1</v>
      </c>
    </row>
    <row r="439">
      <c r="A439" s="1">
        <v>2018</v>
      </c>
      <c r="B439" s="1">
        <v>12</v>
      </c>
      <c r="C439" t="s">
        <v>15</v>
      </c>
      <c r="D439" s="1">
        <v>71</v>
      </c>
      <c r="E439" t="s">
        <v>226</v>
      </c>
      <c r="F439" s="1">
        <v>41</v>
      </c>
      <c r="G439" t="s">
        <v>3</v>
      </c>
      <c r="H439" s="1">
        <v>51</v>
      </c>
      <c r="I439" t="s">
        <v>6</v>
      </c>
      <c r="J439" s="1">
        <v>23</v>
      </c>
      <c r="K439" s="1">
        <v>31</v>
      </c>
      <c r="L439" s="1">
        <v>1341</v>
      </c>
      <c r="M439" s="1">
        <v>18726</v>
      </c>
      <c r="N439" s="1">
        <v>32182</v>
      </c>
      <c r="O439" s="1">
        <v>1210500</v>
      </c>
      <c r="P439" s="1">
        <v>285971</v>
      </c>
      <c r="Q439" s="1">
        <v>553258</v>
      </c>
      <c r="R439" s="1">
        <v>23028040</v>
      </c>
      <c r="S439" s="1">
        <v>12071</v>
      </c>
      <c r="T439" s="1">
        <v>12071</v>
      </c>
      <c r="U439" s="1">
        <v>41051</v>
      </c>
      <c r="V439" s="1">
        <v>0</v>
      </c>
      <c r="W439" s="1">
        <v>1</v>
      </c>
    </row>
    <row r="440">
      <c r="A440" s="1">
        <v>2018</v>
      </c>
      <c r="B440" s="1">
        <v>12</v>
      </c>
      <c r="C440" t="s">
        <v>15</v>
      </c>
      <c r="D440" s="1">
        <v>86</v>
      </c>
      <c r="E440" t="s">
        <v>87</v>
      </c>
      <c r="F440" s="1">
        <v>41</v>
      </c>
      <c r="G440" t="s">
        <v>3</v>
      </c>
      <c r="H440" s="1">
        <v>51</v>
      </c>
      <c r="I440" t="s">
        <v>6</v>
      </c>
      <c r="J440" s="1">
        <v>48</v>
      </c>
      <c r="K440" s="1">
        <v>69</v>
      </c>
      <c r="L440" s="1">
        <v>2061</v>
      </c>
      <c r="M440" s="1">
        <v>53971</v>
      </c>
      <c r="N440" s="1">
        <v>95868</v>
      </c>
      <c r="O440" s="1">
        <v>3297490</v>
      </c>
      <c r="P440" s="1">
        <v>1084396</v>
      </c>
      <c r="Q440" s="1">
        <v>2066590</v>
      </c>
      <c r="R440" s="1">
        <v>68365008</v>
      </c>
      <c r="S440" s="1">
        <v>12086</v>
      </c>
      <c r="T440" s="1">
        <v>12086</v>
      </c>
      <c r="U440" s="1">
        <v>41051</v>
      </c>
      <c r="V440" s="1">
        <v>0</v>
      </c>
      <c r="W440" s="1">
        <v>1</v>
      </c>
    </row>
    <row r="441">
      <c r="A441" s="1">
        <v>2018</v>
      </c>
      <c r="B441" s="1">
        <v>12</v>
      </c>
      <c r="C441" t="s">
        <v>15</v>
      </c>
      <c r="D441" s="1">
        <v>95</v>
      </c>
      <c r="E441" t="s">
        <v>64</v>
      </c>
      <c r="F441" s="1">
        <v>41</v>
      </c>
      <c r="G441" t="s">
        <v>3</v>
      </c>
      <c r="H441" s="1">
        <v>51</v>
      </c>
      <c r="I441" t="s">
        <v>6</v>
      </c>
      <c r="J441" s="1">
        <v>50</v>
      </c>
      <c r="K441" s="1">
        <v>61</v>
      </c>
      <c r="L441" s="1">
        <v>1687</v>
      </c>
      <c r="M441" s="1">
        <v>48386</v>
      </c>
      <c r="N441" s="1">
        <v>86093</v>
      </c>
      <c r="O441" s="1">
        <v>2434634</v>
      </c>
      <c r="P441" s="1">
        <v>525128</v>
      </c>
      <c r="Q441" s="1">
        <v>1055601</v>
      </c>
      <c r="R441" s="1">
        <v>34630640</v>
      </c>
      <c r="S441" s="1">
        <v>12095</v>
      </c>
      <c r="T441" s="1">
        <v>12095</v>
      </c>
      <c r="U441" s="1">
        <v>41051</v>
      </c>
      <c r="V441" s="1">
        <v>0</v>
      </c>
      <c r="W441" s="1">
        <v>1</v>
      </c>
    </row>
    <row r="442">
      <c r="A442" s="1">
        <v>2018</v>
      </c>
      <c r="B442" s="1">
        <v>12</v>
      </c>
      <c r="C442" t="s">
        <v>15</v>
      </c>
      <c r="D442" s="1">
        <v>99</v>
      </c>
      <c r="E442" t="s">
        <v>88</v>
      </c>
      <c r="F442" s="1">
        <v>41</v>
      </c>
      <c r="G442" t="s">
        <v>3</v>
      </c>
      <c r="H442" s="1">
        <v>51</v>
      </c>
      <c r="I442" t="s">
        <v>6</v>
      </c>
      <c r="J442" s="1">
        <v>39</v>
      </c>
      <c r="K442" s="1">
        <v>46</v>
      </c>
      <c r="L442" s="1">
        <v>1997</v>
      </c>
      <c r="M442" s="1">
        <v>35113</v>
      </c>
      <c r="N442" s="1">
        <v>58932</v>
      </c>
      <c r="O442" s="1">
        <v>2947278</v>
      </c>
      <c r="P442" s="1">
        <v>589090</v>
      </c>
      <c r="Q442" s="1">
        <v>1127456</v>
      </c>
      <c r="R442" s="1">
        <v>64226620</v>
      </c>
      <c r="S442" s="1">
        <v>12099</v>
      </c>
      <c r="T442" s="1">
        <v>12099</v>
      </c>
      <c r="U442" s="1">
        <v>41051</v>
      </c>
      <c r="V442" s="1">
        <v>0</v>
      </c>
      <c r="W442" s="1">
        <v>1</v>
      </c>
    </row>
    <row r="443">
      <c r="A443" s="1">
        <v>2018</v>
      </c>
      <c r="B443" s="1">
        <v>12</v>
      </c>
      <c r="C443" t="s">
        <v>15</v>
      </c>
      <c r="D443" s="1">
        <v>103</v>
      </c>
      <c r="E443" t="s">
        <v>89</v>
      </c>
      <c r="F443" s="1">
        <v>41</v>
      </c>
      <c r="G443" t="s">
        <v>3</v>
      </c>
      <c r="H443" s="1">
        <v>51</v>
      </c>
      <c r="I443" t="s">
        <v>6</v>
      </c>
      <c r="J443" s="1">
        <v>35</v>
      </c>
      <c r="K443" s="1">
        <v>44</v>
      </c>
      <c r="L443" s="1">
        <v>1992</v>
      </c>
      <c r="M443" s="1">
        <v>26481</v>
      </c>
      <c r="N443" s="1">
        <v>44064</v>
      </c>
      <c r="O443" s="1">
        <v>1496575</v>
      </c>
      <c r="P443" s="1">
        <v>396332</v>
      </c>
      <c r="Q443" s="1">
        <v>715105</v>
      </c>
      <c r="R443" s="1">
        <v>28516988</v>
      </c>
      <c r="S443" s="1">
        <v>12103</v>
      </c>
      <c r="T443" s="1">
        <v>12103</v>
      </c>
      <c r="U443" s="1">
        <v>41051</v>
      </c>
      <c r="V443" s="1">
        <v>0</v>
      </c>
      <c r="W443" s="1">
        <v>1</v>
      </c>
    </row>
    <row r="444">
      <c r="A444" s="1">
        <v>2018</v>
      </c>
      <c r="B444" s="1">
        <v>12</v>
      </c>
      <c r="C444" t="s">
        <v>15</v>
      </c>
      <c r="D444" s="1">
        <v>115</v>
      </c>
      <c r="E444" t="s">
        <v>231</v>
      </c>
      <c r="F444" s="1">
        <v>41</v>
      </c>
      <c r="G444" t="s">
        <v>3</v>
      </c>
      <c r="H444" s="1">
        <v>51</v>
      </c>
      <c r="I444" t="s">
        <v>6</v>
      </c>
      <c r="J444" s="1">
        <v>21</v>
      </c>
      <c r="K444" s="1">
        <v>30</v>
      </c>
      <c r="L444" s="1">
        <v>175</v>
      </c>
      <c r="M444" s="1">
        <v>12748</v>
      </c>
      <c r="N444" s="1">
        <v>21212</v>
      </c>
      <c r="O444" s="1">
        <v>805636</v>
      </c>
      <c r="P444" s="1">
        <v>175828</v>
      </c>
      <c r="Q444" s="1">
        <v>319827</v>
      </c>
      <c r="R444" s="1">
        <v>16280890</v>
      </c>
      <c r="S444" s="1">
        <v>12115</v>
      </c>
      <c r="T444" s="1">
        <v>12115</v>
      </c>
      <c r="U444" s="1">
        <v>41051</v>
      </c>
      <c r="V444" s="1">
        <v>0</v>
      </c>
      <c r="W444" s="1">
        <v>1</v>
      </c>
    </row>
    <row r="445">
      <c r="A445" s="1">
        <v>2018</v>
      </c>
      <c r="B445" s="1">
        <v>13</v>
      </c>
      <c r="C445" t="s">
        <v>16</v>
      </c>
      <c r="D445" s="1">
        <v>89</v>
      </c>
      <c r="E445" t="s">
        <v>90</v>
      </c>
      <c r="F445" s="1">
        <v>41</v>
      </c>
      <c r="G445" t="s">
        <v>3</v>
      </c>
      <c r="H445" s="1">
        <v>51</v>
      </c>
      <c r="I445" t="s">
        <v>6</v>
      </c>
      <c r="J445" s="1">
        <v>35</v>
      </c>
      <c r="K445" s="1">
        <v>50</v>
      </c>
      <c r="L445" s="1">
        <v>2375</v>
      </c>
      <c r="M445" s="1">
        <v>33773</v>
      </c>
      <c r="N445" s="1">
        <v>61985</v>
      </c>
      <c r="O445" s="1">
        <v>2073195</v>
      </c>
      <c r="P445" s="1">
        <v>281266</v>
      </c>
      <c r="Q445" s="1">
        <v>564739</v>
      </c>
      <c r="R445" s="1">
        <v>21625336</v>
      </c>
      <c r="S445" s="1">
        <v>13089</v>
      </c>
      <c r="T445" s="1">
        <v>13089</v>
      </c>
      <c r="U445" s="1">
        <v>41051</v>
      </c>
      <c r="V445" s="1">
        <v>0</v>
      </c>
      <c r="W445" s="1">
        <v>1</v>
      </c>
    </row>
    <row r="446">
      <c r="A446" s="1">
        <v>2018</v>
      </c>
      <c r="B446" s="1">
        <v>13</v>
      </c>
      <c r="C446" t="s">
        <v>16</v>
      </c>
      <c r="D446" s="1">
        <v>121</v>
      </c>
      <c r="E446" t="s">
        <v>91</v>
      </c>
      <c r="F446" s="1">
        <v>41</v>
      </c>
      <c r="G446" t="s">
        <v>3</v>
      </c>
      <c r="H446" s="1">
        <v>51</v>
      </c>
      <c r="I446" t="s">
        <v>6</v>
      </c>
      <c r="J446" s="1">
        <v>82</v>
      </c>
      <c r="K446" s="1">
        <v>117</v>
      </c>
      <c r="L446" s="1">
        <v>6255</v>
      </c>
      <c r="M446" s="1">
        <v>46756</v>
      </c>
      <c r="N446" s="1">
        <v>82277</v>
      </c>
      <c r="O446" s="1">
        <v>3541565</v>
      </c>
      <c r="P446" s="1">
        <v>420326</v>
      </c>
      <c r="Q446" s="1">
        <v>799536</v>
      </c>
      <c r="R446" s="1">
        <v>47594504</v>
      </c>
      <c r="S446" s="1">
        <v>13121</v>
      </c>
      <c r="T446" s="1">
        <v>13121</v>
      </c>
      <c r="U446" s="1">
        <v>41051</v>
      </c>
      <c r="V446" s="1">
        <v>0</v>
      </c>
      <c r="W446" s="1">
        <v>1</v>
      </c>
    </row>
    <row r="447">
      <c r="A447" s="1">
        <v>2018</v>
      </c>
      <c r="B447" s="1">
        <v>15</v>
      </c>
      <c r="C447" t="s">
        <v>17</v>
      </c>
      <c r="D447" s="1">
        <v>1</v>
      </c>
      <c r="E447" t="s">
        <v>92</v>
      </c>
      <c r="F447" s="1">
        <v>41</v>
      </c>
      <c r="G447" t="s">
        <v>3</v>
      </c>
      <c r="H447" s="1">
        <v>51</v>
      </c>
      <c r="I447" t="s">
        <v>6</v>
      </c>
      <c r="J447" s="1">
        <v>61</v>
      </c>
      <c r="K447" s="1">
        <v>90</v>
      </c>
      <c r="L447" s="1">
        <v>2065</v>
      </c>
      <c r="M447" s="1">
        <v>3587</v>
      </c>
      <c r="N447" s="1">
        <v>6460</v>
      </c>
      <c r="O447" s="1">
        <v>196918</v>
      </c>
      <c r="P447" s="1">
        <v>74488</v>
      </c>
      <c r="Q447" s="1">
        <v>148933</v>
      </c>
      <c r="R447" s="1">
        <v>4551713</v>
      </c>
      <c r="S447" s="1">
        <v>15001</v>
      </c>
      <c r="T447" s="1">
        <v>15001</v>
      </c>
      <c r="U447" s="1">
        <v>41051</v>
      </c>
      <c r="V447" s="1">
        <v>0</v>
      </c>
      <c r="W447" s="1">
        <v>1</v>
      </c>
    </row>
    <row r="448">
      <c r="A448" s="1">
        <v>2018</v>
      </c>
      <c r="B448" s="1">
        <v>15</v>
      </c>
      <c r="C448" t="s">
        <v>17</v>
      </c>
      <c r="D448" s="1">
        <v>3</v>
      </c>
      <c r="E448" t="s">
        <v>93</v>
      </c>
      <c r="F448" s="1">
        <v>41</v>
      </c>
      <c r="G448" t="s">
        <v>3</v>
      </c>
      <c r="H448" s="1">
        <v>51</v>
      </c>
      <c r="I448" t="s">
        <v>6</v>
      </c>
      <c r="J448" s="1">
        <v>169</v>
      </c>
      <c r="K448" s="1">
        <v>289</v>
      </c>
      <c r="L448" s="1">
        <v>9698</v>
      </c>
      <c r="M448" s="1">
        <v>23553</v>
      </c>
      <c r="N448" s="1">
        <v>49685</v>
      </c>
      <c r="O448" s="1">
        <v>1357379</v>
      </c>
      <c r="P448" s="1">
        <v>411334</v>
      </c>
      <c r="Q448" s="1">
        <v>819158</v>
      </c>
      <c r="R448" s="1">
        <v>30703236</v>
      </c>
      <c r="S448" s="1">
        <v>15003</v>
      </c>
      <c r="T448" s="1">
        <v>15003</v>
      </c>
      <c r="U448" s="1">
        <v>41051</v>
      </c>
      <c r="V448" s="1">
        <v>0</v>
      </c>
      <c r="W448" s="1">
        <v>1</v>
      </c>
    </row>
    <row r="449">
      <c r="A449" s="1">
        <v>2018</v>
      </c>
      <c r="B449" s="1">
        <v>15</v>
      </c>
      <c r="C449" t="s">
        <v>17</v>
      </c>
      <c r="D449" s="1">
        <v>9</v>
      </c>
      <c r="E449" t="s">
        <v>94</v>
      </c>
      <c r="F449" s="1">
        <v>41</v>
      </c>
      <c r="G449" t="s">
        <v>3</v>
      </c>
      <c r="H449" s="1">
        <v>51</v>
      </c>
      <c r="I449" t="s">
        <v>6</v>
      </c>
      <c r="J449" s="1">
        <v>33</v>
      </c>
      <c r="K449" s="1">
        <v>48</v>
      </c>
      <c r="L449" s="1">
        <v>827</v>
      </c>
      <c r="M449" s="1">
        <v>3190</v>
      </c>
      <c r="N449" s="1">
        <v>5459</v>
      </c>
      <c r="O449" s="1">
        <v>194331</v>
      </c>
      <c r="P449" s="1">
        <v>68081</v>
      </c>
      <c r="Q449" s="1">
        <v>132380</v>
      </c>
      <c r="R449" s="1">
        <v>4509011</v>
      </c>
      <c r="S449" s="1">
        <v>15009</v>
      </c>
      <c r="T449" s="1">
        <v>15009</v>
      </c>
      <c r="U449" s="1">
        <v>41051</v>
      </c>
      <c r="V449" s="1">
        <v>0</v>
      </c>
      <c r="W449" s="1">
        <v>1</v>
      </c>
    </row>
    <row r="450">
      <c r="A450" s="1">
        <v>2018</v>
      </c>
      <c r="B450" s="1">
        <v>16</v>
      </c>
      <c r="C450" t="s">
        <v>18</v>
      </c>
      <c r="D450" s="1">
        <v>1</v>
      </c>
      <c r="E450" t="s">
        <v>95</v>
      </c>
      <c r="F450" s="1">
        <v>41</v>
      </c>
      <c r="G450" t="s">
        <v>3</v>
      </c>
      <c r="H450" s="1">
        <v>51</v>
      </c>
      <c r="I450" t="s">
        <v>6</v>
      </c>
      <c r="J450" s="1">
        <v>121</v>
      </c>
      <c r="K450" s="1">
        <v>171</v>
      </c>
      <c r="L450" s="1">
        <v>4868</v>
      </c>
      <c r="M450" s="1">
        <v>11365</v>
      </c>
      <c r="N450" s="1">
        <v>21756</v>
      </c>
      <c r="O450" s="1">
        <v>627976</v>
      </c>
      <c r="P450" s="1">
        <v>176535</v>
      </c>
      <c r="Q450" s="1">
        <v>381076</v>
      </c>
      <c r="R450" s="1">
        <v>14570366</v>
      </c>
      <c r="S450" s="1">
        <v>16001</v>
      </c>
      <c r="T450" s="1">
        <v>16001</v>
      </c>
      <c r="U450" s="1">
        <v>41051</v>
      </c>
      <c r="V450" s="1">
        <v>0</v>
      </c>
      <c r="W450" s="1">
        <v>1</v>
      </c>
    </row>
    <row r="451">
      <c r="A451" s="1">
        <v>2018</v>
      </c>
      <c r="B451" s="1">
        <v>16</v>
      </c>
      <c r="C451" t="s">
        <v>18</v>
      </c>
      <c r="D451" s="1">
        <v>27</v>
      </c>
      <c r="E451" t="s">
        <v>96</v>
      </c>
      <c r="F451" s="1">
        <v>41</v>
      </c>
      <c r="G451" t="s">
        <v>3</v>
      </c>
      <c r="H451" s="1">
        <v>51</v>
      </c>
      <c r="I451" t="s">
        <v>6</v>
      </c>
      <c r="J451" s="1">
        <v>26</v>
      </c>
      <c r="K451" s="1">
        <v>44</v>
      </c>
      <c r="L451" s="1">
        <v>981</v>
      </c>
      <c r="M451" s="1">
        <v>5432</v>
      </c>
      <c r="N451" s="1">
        <v>11532</v>
      </c>
      <c r="O451" s="1">
        <v>241643</v>
      </c>
      <c r="P451" s="1">
        <v>72071</v>
      </c>
      <c r="Q451" s="1">
        <v>174922</v>
      </c>
      <c r="R451" s="1">
        <v>3837435</v>
      </c>
      <c r="S451" s="1">
        <v>16027</v>
      </c>
      <c r="T451" s="1">
        <v>16027</v>
      </c>
      <c r="U451" s="1">
        <v>41051</v>
      </c>
      <c r="V451" s="1">
        <v>0</v>
      </c>
      <c r="W451" s="1">
        <v>1</v>
      </c>
    </row>
    <row r="452">
      <c r="A452" s="1">
        <v>2018</v>
      </c>
      <c r="B452" s="1">
        <v>16</v>
      </c>
      <c r="C452" t="s">
        <v>18</v>
      </c>
      <c r="D452" s="1">
        <v>55</v>
      </c>
      <c r="E452" t="s">
        <v>97</v>
      </c>
      <c r="F452" s="1">
        <v>41</v>
      </c>
      <c r="G452" t="s">
        <v>3</v>
      </c>
      <c r="H452" s="1">
        <v>51</v>
      </c>
      <c r="I452" t="s">
        <v>6</v>
      </c>
      <c r="J452" s="1">
        <v>25</v>
      </c>
      <c r="K452" s="1">
        <v>28</v>
      </c>
      <c r="L452" s="1">
        <v>569</v>
      </c>
      <c r="M452" s="1">
        <v>3857</v>
      </c>
      <c r="N452" s="1">
        <v>7098</v>
      </c>
      <c r="O452" s="1">
        <v>188472</v>
      </c>
      <c r="P452" s="1">
        <v>62689</v>
      </c>
      <c r="Q452" s="1">
        <v>132471</v>
      </c>
      <c r="R452" s="1">
        <v>4074269</v>
      </c>
      <c r="S452" s="1">
        <v>16055</v>
      </c>
      <c r="T452" s="1">
        <v>16055</v>
      </c>
      <c r="U452" s="1">
        <v>41051</v>
      </c>
      <c r="V452" s="1">
        <v>0</v>
      </c>
      <c r="W452" s="1">
        <v>1</v>
      </c>
    </row>
    <row r="453">
      <c r="A453" s="1">
        <v>2018</v>
      </c>
      <c r="B453" s="1">
        <v>17</v>
      </c>
      <c r="C453" t="s">
        <v>19</v>
      </c>
      <c r="D453" s="1">
        <v>19</v>
      </c>
      <c r="E453" t="s">
        <v>351</v>
      </c>
      <c r="F453" s="1">
        <v>41</v>
      </c>
      <c r="G453" t="s">
        <v>3</v>
      </c>
      <c r="H453" s="1">
        <v>51</v>
      </c>
      <c r="I453" t="s">
        <v>6</v>
      </c>
      <c r="J453" s="1">
        <v>21</v>
      </c>
      <c r="K453" s="1">
        <v>24</v>
      </c>
      <c r="L453" s="1">
        <v>890</v>
      </c>
      <c r="M453" s="1">
        <v>5860</v>
      </c>
      <c r="N453" s="1">
        <v>9471</v>
      </c>
      <c r="O453" s="1">
        <v>302673</v>
      </c>
      <c r="P453" s="1">
        <v>73212</v>
      </c>
      <c r="Q453" s="1">
        <v>146064</v>
      </c>
      <c r="R453" s="1">
        <v>5226619</v>
      </c>
      <c r="S453" s="1">
        <v>17019</v>
      </c>
      <c r="T453" s="1">
        <v>17019</v>
      </c>
      <c r="U453" s="1">
        <v>41051</v>
      </c>
      <c r="V453" s="1">
        <v>0</v>
      </c>
      <c r="W453" s="1">
        <v>1</v>
      </c>
    </row>
    <row r="454">
      <c r="A454" s="1">
        <v>2018</v>
      </c>
      <c r="B454" s="1">
        <v>17</v>
      </c>
      <c r="C454" t="s">
        <v>19</v>
      </c>
      <c r="D454" s="1">
        <v>31</v>
      </c>
      <c r="E454" t="s">
        <v>98</v>
      </c>
      <c r="F454" s="1">
        <v>41</v>
      </c>
      <c r="G454" t="s">
        <v>3</v>
      </c>
      <c r="H454" s="1">
        <v>51</v>
      </c>
      <c r="I454" t="s">
        <v>6</v>
      </c>
      <c r="J454" s="1">
        <v>327</v>
      </c>
      <c r="K454" s="1">
        <v>442</v>
      </c>
      <c r="L454" s="1">
        <v>24435</v>
      </c>
      <c r="M454" s="1">
        <v>99917</v>
      </c>
      <c r="N454" s="1">
        <v>177727</v>
      </c>
      <c r="O454" s="1">
        <v>8635976</v>
      </c>
      <c r="P454" s="1">
        <v>2111184</v>
      </c>
      <c r="Q454" s="1">
        <v>4297523</v>
      </c>
      <c r="R454" s="1">
        <v>187099472</v>
      </c>
      <c r="S454" s="1">
        <v>17031</v>
      </c>
      <c r="T454" s="1">
        <v>17031</v>
      </c>
      <c r="U454" s="1">
        <v>41051</v>
      </c>
      <c r="V454" s="1">
        <v>0</v>
      </c>
      <c r="W454" s="1">
        <v>1</v>
      </c>
    </row>
    <row r="455">
      <c r="A455" s="1">
        <v>2018</v>
      </c>
      <c r="B455" s="1">
        <v>17</v>
      </c>
      <c r="C455" t="s">
        <v>19</v>
      </c>
      <c r="D455" s="1">
        <v>43</v>
      </c>
      <c r="E455" t="s">
        <v>187</v>
      </c>
      <c r="F455" s="1">
        <v>41</v>
      </c>
      <c r="G455" t="s">
        <v>3</v>
      </c>
      <c r="H455" s="1">
        <v>51</v>
      </c>
      <c r="I455" t="s">
        <v>6</v>
      </c>
      <c r="J455" s="1">
        <v>27</v>
      </c>
      <c r="K455" s="1">
        <v>46</v>
      </c>
      <c r="L455" s="1">
        <v>1798</v>
      </c>
      <c r="M455" s="1">
        <v>29427</v>
      </c>
      <c r="N455" s="1">
        <v>53117</v>
      </c>
      <c r="O455" s="1">
        <v>2720734</v>
      </c>
      <c r="P455" s="1">
        <v>388915</v>
      </c>
      <c r="Q455" s="1">
        <v>856526</v>
      </c>
      <c r="R455" s="1">
        <v>44107408</v>
      </c>
      <c r="S455" s="1">
        <v>17043</v>
      </c>
      <c r="T455" s="1">
        <v>17043</v>
      </c>
      <c r="U455" s="1">
        <v>41051</v>
      </c>
      <c r="V455" s="1">
        <v>0</v>
      </c>
      <c r="W455" s="1">
        <v>1</v>
      </c>
    </row>
    <row r="456">
      <c r="A456" s="1">
        <v>2018</v>
      </c>
      <c r="B456" s="1">
        <v>17</v>
      </c>
      <c r="C456" t="s">
        <v>19</v>
      </c>
      <c r="D456" s="1">
        <v>89</v>
      </c>
      <c r="E456" t="s">
        <v>279</v>
      </c>
      <c r="F456" s="1">
        <v>41</v>
      </c>
      <c r="G456" t="s">
        <v>3</v>
      </c>
      <c r="H456" s="1">
        <v>51</v>
      </c>
      <c r="I456" t="s">
        <v>6</v>
      </c>
      <c r="J456" s="1">
        <v>23</v>
      </c>
      <c r="K456" s="1">
        <v>30</v>
      </c>
      <c r="L456" s="1">
        <v>944</v>
      </c>
      <c r="M456" s="1">
        <v>14179</v>
      </c>
      <c r="N456" s="1">
        <v>27427</v>
      </c>
      <c r="O456" s="1">
        <v>964638</v>
      </c>
      <c r="P456" s="1">
        <v>202899</v>
      </c>
      <c r="Q456" s="1">
        <v>473443</v>
      </c>
      <c r="R456" s="1">
        <v>17764080</v>
      </c>
      <c r="S456" s="1">
        <v>17089</v>
      </c>
      <c r="T456" s="1">
        <v>17089</v>
      </c>
      <c r="U456" s="1">
        <v>41051</v>
      </c>
      <c r="V456" s="1">
        <v>0</v>
      </c>
      <c r="W456" s="1">
        <v>1</v>
      </c>
    </row>
    <row r="457">
      <c r="A457" s="1">
        <v>2018</v>
      </c>
      <c r="B457" s="1">
        <v>18</v>
      </c>
      <c r="C457" t="s">
        <v>20</v>
      </c>
      <c r="D457" s="1">
        <v>97</v>
      </c>
      <c r="E457" t="s">
        <v>99</v>
      </c>
      <c r="F457" s="1">
        <v>41</v>
      </c>
      <c r="G457" t="s">
        <v>3</v>
      </c>
      <c r="H457" s="1">
        <v>51</v>
      </c>
      <c r="I457" t="s">
        <v>6</v>
      </c>
      <c r="J457" s="1">
        <v>34</v>
      </c>
      <c r="K457" s="1">
        <v>36</v>
      </c>
      <c r="L457" s="1">
        <v>1864</v>
      </c>
      <c r="M457" s="1">
        <v>27977</v>
      </c>
      <c r="N457" s="1">
        <v>49941</v>
      </c>
      <c r="O457" s="1">
        <v>1592435</v>
      </c>
      <c r="P457" s="1">
        <v>375913</v>
      </c>
      <c r="Q457" s="1">
        <v>760219</v>
      </c>
      <c r="R457" s="1">
        <v>23066234</v>
      </c>
      <c r="S457" s="1">
        <v>18097</v>
      </c>
      <c r="T457" s="1">
        <v>18097</v>
      </c>
      <c r="U457" s="1">
        <v>41051</v>
      </c>
      <c r="V457" s="1">
        <v>0</v>
      </c>
      <c r="W457" s="1">
        <v>1</v>
      </c>
    </row>
    <row r="458">
      <c r="A458" s="1">
        <v>2018</v>
      </c>
      <c r="B458" s="1">
        <v>18</v>
      </c>
      <c r="C458" t="s">
        <v>20</v>
      </c>
      <c r="D458" s="1">
        <v>141</v>
      </c>
      <c r="E458" t="s">
        <v>282</v>
      </c>
      <c r="F458" s="1">
        <v>41</v>
      </c>
      <c r="G458" t="s">
        <v>3</v>
      </c>
      <c r="H458" s="1">
        <v>51</v>
      </c>
      <c r="I458" t="s">
        <v>6</v>
      </c>
      <c r="J458" s="1">
        <v>21</v>
      </c>
      <c r="K458" s="1">
        <v>38</v>
      </c>
      <c r="L458" s="1">
        <v>750</v>
      </c>
      <c r="M458" s="1">
        <v>6161</v>
      </c>
      <c r="N458" s="1">
        <v>11259</v>
      </c>
      <c r="O458" s="1">
        <v>352847</v>
      </c>
      <c r="P458" s="1">
        <v>104690</v>
      </c>
      <c r="Q458" s="1">
        <v>217668</v>
      </c>
      <c r="R458" s="1">
        <v>6897805</v>
      </c>
      <c r="S458" s="1">
        <v>18141</v>
      </c>
      <c r="T458" s="1">
        <v>18141</v>
      </c>
      <c r="U458" s="1">
        <v>41051</v>
      </c>
      <c r="V458" s="1">
        <v>0</v>
      </c>
      <c r="W458" s="1">
        <v>1</v>
      </c>
    </row>
    <row r="459">
      <c r="A459" s="1">
        <v>2018</v>
      </c>
      <c r="B459" s="1">
        <v>19</v>
      </c>
      <c r="C459" t="s">
        <v>21</v>
      </c>
      <c r="D459" s="1">
        <v>153</v>
      </c>
      <c r="E459" t="s">
        <v>100</v>
      </c>
      <c r="F459" s="1">
        <v>41</v>
      </c>
      <c r="G459" t="s">
        <v>3</v>
      </c>
      <c r="H459" s="1">
        <v>51</v>
      </c>
      <c r="I459" t="s">
        <v>6</v>
      </c>
      <c r="J459" s="1">
        <v>25</v>
      </c>
      <c r="K459" s="1">
        <v>33</v>
      </c>
      <c r="L459" s="1">
        <v>1164</v>
      </c>
      <c r="M459" s="1">
        <v>12264</v>
      </c>
      <c r="N459" s="1">
        <v>22163</v>
      </c>
      <c r="O459" s="1">
        <v>742176</v>
      </c>
      <c r="P459" s="1">
        <v>191708</v>
      </c>
      <c r="Q459" s="1">
        <v>407995</v>
      </c>
      <c r="R459" s="1">
        <v>15858082</v>
      </c>
      <c r="S459" s="1">
        <v>19153</v>
      </c>
      <c r="T459" s="1">
        <v>19153</v>
      </c>
      <c r="U459" s="1">
        <v>41051</v>
      </c>
      <c r="V459" s="1">
        <v>0</v>
      </c>
      <c r="W459" s="1">
        <v>1</v>
      </c>
    </row>
    <row r="460">
      <c r="A460" s="1">
        <v>2018</v>
      </c>
      <c r="B460" s="1">
        <v>20</v>
      </c>
      <c r="C460" t="s">
        <v>42</v>
      </c>
      <c r="D460" s="1">
        <v>91</v>
      </c>
      <c r="E460" t="s">
        <v>188</v>
      </c>
      <c r="F460" s="1">
        <v>41</v>
      </c>
      <c r="G460" t="s">
        <v>3</v>
      </c>
      <c r="H460" s="1">
        <v>51</v>
      </c>
      <c r="I460" t="s">
        <v>6</v>
      </c>
      <c r="J460" s="1">
        <v>21</v>
      </c>
      <c r="K460" s="1">
        <v>27</v>
      </c>
      <c r="L460" s="1">
        <v>1053</v>
      </c>
      <c r="M460" s="1">
        <v>16732</v>
      </c>
      <c r="N460" s="1">
        <v>29884</v>
      </c>
      <c r="O460" s="1">
        <v>1297304</v>
      </c>
      <c r="P460" s="1">
        <v>239835</v>
      </c>
      <c r="Q460" s="1">
        <v>526918</v>
      </c>
      <c r="R460" s="1">
        <v>27229240</v>
      </c>
      <c r="S460" s="1">
        <v>20091</v>
      </c>
      <c r="T460" s="1">
        <v>20091</v>
      </c>
      <c r="U460" s="1">
        <v>41051</v>
      </c>
      <c r="V460" s="1">
        <v>0</v>
      </c>
      <c r="W460" s="1">
        <v>1</v>
      </c>
    </row>
    <row r="461">
      <c r="A461" s="1">
        <v>2018</v>
      </c>
      <c r="B461" s="1">
        <v>21</v>
      </c>
      <c r="C461" t="s">
        <v>43</v>
      </c>
      <c r="D461" s="1">
        <v>111</v>
      </c>
      <c r="E461" t="s">
        <v>83</v>
      </c>
      <c r="F461" s="1">
        <v>41</v>
      </c>
      <c r="G461" t="s">
        <v>3</v>
      </c>
      <c r="H461" s="1">
        <v>51</v>
      </c>
      <c r="I461" t="s">
        <v>6</v>
      </c>
      <c r="J461" s="1">
        <v>26</v>
      </c>
      <c r="K461" s="1">
        <v>33</v>
      </c>
      <c r="L461" s="1">
        <v>1219</v>
      </c>
      <c r="M461" s="1">
        <v>18142</v>
      </c>
      <c r="N461" s="1">
        <v>33204</v>
      </c>
      <c r="O461" s="1">
        <v>1191287</v>
      </c>
      <c r="P461" s="1">
        <v>310223</v>
      </c>
      <c r="Q461" s="1">
        <v>611405</v>
      </c>
      <c r="R461" s="1">
        <v>22820216</v>
      </c>
      <c r="S461" s="1">
        <v>21111</v>
      </c>
      <c r="T461" s="1">
        <v>21111</v>
      </c>
      <c r="U461" s="1">
        <v>41051</v>
      </c>
      <c r="V461" s="1">
        <v>0</v>
      </c>
      <c r="W461" s="1">
        <v>1</v>
      </c>
    </row>
    <row r="462">
      <c r="A462" s="1">
        <v>2018</v>
      </c>
      <c r="B462" s="1">
        <v>22</v>
      </c>
      <c r="C462" t="s">
        <v>22</v>
      </c>
      <c r="D462" s="1">
        <v>71</v>
      </c>
      <c r="E462" t="s">
        <v>101</v>
      </c>
      <c r="F462" s="1">
        <v>41</v>
      </c>
      <c r="G462" t="s">
        <v>3</v>
      </c>
      <c r="H462" s="1">
        <v>51</v>
      </c>
      <c r="I462" t="s">
        <v>6</v>
      </c>
      <c r="J462" s="1">
        <v>42</v>
      </c>
      <c r="K462" s="1">
        <v>61</v>
      </c>
      <c r="L462" s="1">
        <v>2089</v>
      </c>
      <c r="M462" s="1">
        <v>12516</v>
      </c>
      <c r="N462" s="1">
        <v>21951</v>
      </c>
      <c r="O462" s="1">
        <v>679377</v>
      </c>
      <c r="P462" s="1">
        <v>130579</v>
      </c>
      <c r="Q462" s="1">
        <v>247494</v>
      </c>
      <c r="R462" s="1">
        <v>8802311</v>
      </c>
      <c r="S462" s="1">
        <v>22071</v>
      </c>
      <c r="T462" s="1">
        <v>22071</v>
      </c>
      <c r="U462" s="1">
        <v>41051</v>
      </c>
      <c r="V462" s="1">
        <v>0</v>
      </c>
      <c r="W462" s="1">
        <v>1</v>
      </c>
    </row>
    <row r="463">
      <c r="A463" s="1">
        <v>2018</v>
      </c>
      <c r="B463" s="1">
        <v>23</v>
      </c>
      <c r="C463" t="s">
        <v>23</v>
      </c>
      <c r="D463" s="1">
        <v>5</v>
      </c>
      <c r="E463" t="s">
        <v>102</v>
      </c>
      <c r="F463" s="1">
        <v>41</v>
      </c>
      <c r="G463" t="s">
        <v>3</v>
      </c>
      <c r="H463" s="1">
        <v>51</v>
      </c>
      <c r="I463" t="s">
        <v>6</v>
      </c>
      <c r="J463" s="1">
        <v>26</v>
      </c>
      <c r="K463" s="1">
        <v>36</v>
      </c>
      <c r="L463" s="1">
        <v>1547</v>
      </c>
      <c r="M463" s="1">
        <v>8051</v>
      </c>
      <c r="N463" s="1">
        <v>12786</v>
      </c>
      <c r="O463" s="1">
        <v>522287</v>
      </c>
      <c r="P463" s="1">
        <v>129372</v>
      </c>
      <c r="Q463" s="1">
        <v>246035</v>
      </c>
      <c r="R463" s="1">
        <v>11253448</v>
      </c>
      <c r="S463" s="1">
        <v>23005</v>
      </c>
      <c r="T463" s="1">
        <v>23005</v>
      </c>
      <c r="U463" s="1">
        <v>41051</v>
      </c>
      <c r="V463" s="1">
        <v>0</v>
      </c>
      <c r="W463" s="1">
        <v>1</v>
      </c>
    </row>
    <row r="464">
      <c r="A464" s="1">
        <v>2018</v>
      </c>
      <c r="B464" s="1">
        <v>24</v>
      </c>
      <c r="C464" t="s">
        <v>24</v>
      </c>
      <c r="D464" s="1">
        <v>3</v>
      </c>
      <c r="E464" t="s">
        <v>361</v>
      </c>
      <c r="F464" s="1">
        <v>41</v>
      </c>
      <c r="G464" t="s">
        <v>3</v>
      </c>
      <c r="H464" s="1">
        <v>51</v>
      </c>
      <c r="I464" t="s">
        <v>6</v>
      </c>
      <c r="J464" s="1">
        <v>20</v>
      </c>
      <c r="K464" s="1">
        <v>31</v>
      </c>
      <c r="L464" s="1">
        <v>1500</v>
      </c>
      <c r="M464" s="1">
        <v>18534</v>
      </c>
      <c r="N464" s="1">
        <v>33940</v>
      </c>
      <c r="O464" s="1">
        <v>1363209</v>
      </c>
      <c r="P464" s="1">
        <v>236820</v>
      </c>
      <c r="Q464" s="1">
        <v>487234</v>
      </c>
      <c r="R464" s="1">
        <v>24009516</v>
      </c>
      <c r="S464" s="1">
        <v>24003</v>
      </c>
      <c r="T464" s="1">
        <v>24003</v>
      </c>
      <c r="U464" s="1">
        <v>41051</v>
      </c>
      <c r="V464" s="1">
        <v>0</v>
      </c>
      <c r="W464" s="1">
        <v>1</v>
      </c>
    </row>
    <row r="465">
      <c r="A465" s="1">
        <v>2018</v>
      </c>
      <c r="B465" s="1">
        <v>24</v>
      </c>
      <c r="C465" t="s">
        <v>24</v>
      </c>
      <c r="D465" s="1">
        <v>5</v>
      </c>
      <c r="E465" t="s">
        <v>284</v>
      </c>
      <c r="F465" s="1">
        <v>41</v>
      </c>
      <c r="G465" t="s">
        <v>3</v>
      </c>
      <c r="H465" s="1">
        <v>51</v>
      </c>
      <c r="I465" t="s">
        <v>6</v>
      </c>
      <c r="J465" s="1">
        <v>24</v>
      </c>
      <c r="K465" s="1">
        <v>37</v>
      </c>
      <c r="L465" s="1">
        <v>1706</v>
      </c>
      <c r="M465" s="1">
        <v>24223</v>
      </c>
      <c r="N465" s="1">
        <v>43807</v>
      </c>
      <c r="O465" s="1">
        <v>1545945</v>
      </c>
      <c r="P465" s="1">
        <v>339687</v>
      </c>
      <c r="Q465" s="1">
        <v>682111</v>
      </c>
      <c r="R465" s="1">
        <v>30304540</v>
      </c>
      <c r="S465" s="1">
        <v>24005</v>
      </c>
      <c r="T465" s="1">
        <v>24005</v>
      </c>
      <c r="U465" s="1">
        <v>41051</v>
      </c>
      <c r="V465" s="1">
        <v>0</v>
      </c>
      <c r="W465" s="1">
        <v>1</v>
      </c>
    </row>
    <row r="466">
      <c r="A466" s="1">
        <v>2018</v>
      </c>
      <c r="B466" s="1">
        <v>24</v>
      </c>
      <c r="C466" t="s">
        <v>24</v>
      </c>
      <c r="D466" s="1">
        <v>31</v>
      </c>
      <c r="E466" t="s">
        <v>103</v>
      </c>
      <c r="F466" s="1">
        <v>41</v>
      </c>
      <c r="G466" t="s">
        <v>3</v>
      </c>
      <c r="H466" s="1">
        <v>51</v>
      </c>
      <c r="I466" t="s">
        <v>6</v>
      </c>
      <c r="J466" s="1">
        <v>50</v>
      </c>
      <c r="K466" s="1">
        <v>66</v>
      </c>
      <c r="L466" s="1">
        <v>3591</v>
      </c>
      <c r="M466" s="1">
        <v>31923</v>
      </c>
      <c r="N466" s="1">
        <v>54801</v>
      </c>
      <c r="O466" s="1">
        <v>2854908</v>
      </c>
      <c r="P466" s="1">
        <v>437439</v>
      </c>
      <c r="Q466" s="1">
        <v>912137</v>
      </c>
      <c r="R466" s="1">
        <v>55475688</v>
      </c>
      <c r="S466" s="1">
        <v>24031</v>
      </c>
      <c r="T466" s="1">
        <v>24031</v>
      </c>
      <c r="U466" s="1">
        <v>41051</v>
      </c>
      <c r="V466" s="1">
        <v>0</v>
      </c>
      <c r="W466" s="1">
        <v>1</v>
      </c>
    </row>
    <row r="467">
      <c r="A467" s="1">
        <v>2018</v>
      </c>
      <c r="B467" s="1">
        <v>24</v>
      </c>
      <c r="C467" t="s">
        <v>24</v>
      </c>
      <c r="D467" s="1">
        <v>510</v>
      </c>
      <c r="E467" t="s">
        <v>190</v>
      </c>
      <c r="F467" s="1">
        <v>41</v>
      </c>
      <c r="G467" t="s">
        <v>3</v>
      </c>
      <c r="H467" s="1">
        <v>51</v>
      </c>
      <c r="I467" t="s">
        <v>6</v>
      </c>
      <c r="J467" s="1">
        <v>37</v>
      </c>
      <c r="K467" s="1">
        <v>50</v>
      </c>
      <c r="L467" s="1">
        <v>3132</v>
      </c>
      <c r="M467" s="1">
        <v>22353</v>
      </c>
      <c r="N467" s="1">
        <v>39285</v>
      </c>
      <c r="O467" s="1">
        <v>1310422</v>
      </c>
      <c r="P467" s="1">
        <v>211338</v>
      </c>
      <c r="Q467" s="1">
        <v>392210</v>
      </c>
      <c r="R467" s="1">
        <v>12948153</v>
      </c>
      <c r="S467" s="1">
        <v>24510</v>
      </c>
      <c r="T467" s="1">
        <v>24510</v>
      </c>
      <c r="U467" s="1">
        <v>41051</v>
      </c>
      <c r="V467" s="1">
        <v>0</v>
      </c>
      <c r="W467" s="1">
        <v>1</v>
      </c>
    </row>
    <row r="468">
      <c r="A468" s="1">
        <v>2018</v>
      </c>
      <c r="B468" s="1">
        <v>25</v>
      </c>
      <c r="C468" t="s">
        <v>25</v>
      </c>
      <c r="D468" s="1">
        <v>9</v>
      </c>
      <c r="E468" t="s">
        <v>305</v>
      </c>
      <c r="F468" s="1">
        <v>41</v>
      </c>
      <c r="G468" t="s">
        <v>3</v>
      </c>
      <c r="H468" s="1">
        <v>51</v>
      </c>
      <c r="I468" t="s">
        <v>6</v>
      </c>
      <c r="J468" s="1">
        <v>31</v>
      </c>
      <c r="K468" s="1">
        <v>44</v>
      </c>
      <c r="L468" s="1">
        <v>2441</v>
      </c>
      <c r="M468" s="1">
        <v>17052</v>
      </c>
      <c r="N468" s="1">
        <v>28167</v>
      </c>
      <c r="O468" s="1">
        <v>1306437</v>
      </c>
      <c r="P468" s="1">
        <v>330273</v>
      </c>
      <c r="Q468" s="1">
        <v>661390</v>
      </c>
      <c r="R468" s="1">
        <v>32930730</v>
      </c>
      <c r="S468" s="1">
        <v>25009</v>
      </c>
      <c r="T468" s="1">
        <v>25009</v>
      </c>
      <c r="U468" s="1">
        <v>41051</v>
      </c>
      <c r="V468" s="1">
        <v>0</v>
      </c>
      <c r="W468" s="1">
        <v>1</v>
      </c>
    </row>
    <row r="469">
      <c r="A469" s="1">
        <v>2018</v>
      </c>
      <c r="B469" s="1">
        <v>25</v>
      </c>
      <c r="C469" t="s">
        <v>25</v>
      </c>
      <c r="D469" s="1">
        <v>15</v>
      </c>
      <c r="E469" t="s">
        <v>191</v>
      </c>
      <c r="F469" s="1">
        <v>41</v>
      </c>
      <c r="G469" t="s">
        <v>3</v>
      </c>
      <c r="H469" s="1">
        <v>51</v>
      </c>
      <c r="I469" t="s">
        <v>6</v>
      </c>
      <c r="J469" s="1">
        <v>22</v>
      </c>
      <c r="K469" s="1">
        <v>26</v>
      </c>
      <c r="L469" s="1">
        <v>1475</v>
      </c>
      <c r="M469" s="1">
        <v>4734</v>
      </c>
      <c r="N469" s="1">
        <v>6891</v>
      </c>
      <c r="O469" s="1">
        <v>256570</v>
      </c>
      <c r="P469" s="1">
        <v>62532</v>
      </c>
      <c r="Q469" s="1">
        <v>115681</v>
      </c>
      <c r="R469" s="1">
        <v>4973166</v>
      </c>
      <c r="S469" s="1">
        <v>25015</v>
      </c>
      <c r="T469" s="1">
        <v>25015</v>
      </c>
      <c r="U469" s="1">
        <v>41051</v>
      </c>
      <c r="V469" s="1">
        <v>0</v>
      </c>
      <c r="W469" s="1">
        <v>1</v>
      </c>
    </row>
    <row r="470">
      <c r="A470" s="1">
        <v>2018</v>
      </c>
      <c r="B470" s="1">
        <v>25</v>
      </c>
      <c r="C470" t="s">
        <v>25</v>
      </c>
      <c r="D470" s="1">
        <v>17</v>
      </c>
      <c r="E470" t="s">
        <v>104</v>
      </c>
      <c r="F470" s="1">
        <v>41</v>
      </c>
      <c r="G470" t="s">
        <v>3</v>
      </c>
      <c r="H470" s="1">
        <v>51</v>
      </c>
      <c r="I470" t="s">
        <v>6</v>
      </c>
      <c r="J470" s="1">
        <v>99</v>
      </c>
      <c r="K470" s="1">
        <v>141</v>
      </c>
      <c r="L470" s="1">
        <v>11052</v>
      </c>
      <c r="M470" s="1">
        <v>48832</v>
      </c>
      <c r="N470" s="1">
        <v>76627</v>
      </c>
      <c r="O470" s="1">
        <v>4967323</v>
      </c>
      <c r="P470" s="1">
        <v>673085</v>
      </c>
      <c r="Q470" s="1">
        <v>1332971</v>
      </c>
      <c r="R470" s="1">
        <v>91381280</v>
      </c>
      <c r="S470" s="1">
        <v>25017</v>
      </c>
      <c r="T470" s="1">
        <v>25017</v>
      </c>
      <c r="U470" s="1">
        <v>41051</v>
      </c>
      <c r="V470" s="1">
        <v>0</v>
      </c>
      <c r="W470" s="1">
        <v>1</v>
      </c>
    </row>
    <row r="471">
      <c r="A471" s="1">
        <v>2018</v>
      </c>
      <c r="B471" s="1">
        <v>25</v>
      </c>
      <c r="C471" t="s">
        <v>25</v>
      </c>
      <c r="D471" s="1">
        <v>21</v>
      </c>
      <c r="E471" t="s">
        <v>192</v>
      </c>
      <c r="F471" s="1">
        <v>41</v>
      </c>
      <c r="G471" t="s">
        <v>3</v>
      </c>
      <c r="H471" s="1">
        <v>51</v>
      </c>
      <c r="I471" t="s">
        <v>6</v>
      </c>
      <c r="J471" s="1">
        <v>35</v>
      </c>
      <c r="K471" s="1">
        <v>52</v>
      </c>
      <c r="L471" s="1">
        <v>3261</v>
      </c>
      <c r="M471" s="1">
        <v>23361</v>
      </c>
      <c r="N471" s="1">
        <v>37392</v>
      </c>
      <c r="O471" s="1">
        <v>2372826</v>
      </c>
      <c r="P471" s="1">
        <v>294449</v>
      </c>
      <c r="Q471" s="1">
        <v>605553</v>
      </c>
      <c r="R471" s="1">
        <v>47678628</v>
      </c>
      <c r="S471" s="1">
        <v>25021</v>
      </c>
      <c r="T471" s="1">
        <v>25021</v>
      </c>
      <c r="U471" s="1">
        <v>41051</v>
      </c>
      <c r="V471" s="1">
        <v>0</v>
      </c>
      <c r="W471" s="1">
        <v>1</v>
      </c>
    </row>
    <row r="472">
      <c r="A472" s="1">
        <v>2018</v>
      </c>
      <c r="B472" s="1">
        <v>25</v>
      </c>
      <c r="C472" t="s">
        <v>25</v>
      </c>
      <c r="D472" s="1">
        <v>25</v>
      </c>
      <c r="E472" t="s">
        <v>105</v>
      </c>
      <c r="F472" s="1">
        <v>41</v>
      </c>
      <c r="G472" t="s">
        <v>3</v>
      </c>
      <c r="H472" s="1">
        <v>51</v>
      </c>
      <c r="I472" t="s">
        <v>6</v>
      </c>
      <c r="J472" s="1">
        <v>77</v>
      </c>
      <c r="K472" s="1">
        <v>99</v>
      </c>
      <c r="L472" s="1">
        <v>7660</v>
      </c>
      <c r="M472" s="1">
        <v>37763</v>
      </c>
      <c r="N472" s="1">
        <v>55621</v>
      </c>
      <c r="O472" s="1">
        <v>3359985</v>
      </c>
      <c r="P472" s="1">
        <v>325620</v>
      </c>
      <c r="Q472" s="1">
        <v>549889</v>
      </c>
      <c r="R472" s="1">
        <v>37230740</v>
      </c>
      <c r="S472" s="1">
        <v>25025</v>
      </c>
      <c r="T472" s="1">
        <v>25025</v>
      </c>
      <c r="U472" s="1">
        <v>41051</v>
      </c>
      <c r="V472" s="1">
        <v>0</v>
      </c>
      <c r="W472" s="1">
        <v>1</v>
      </c>
    </row>
    <row r="473">
      <c r="A473" s="1">
        <v>2018</v>
      </c>
      <c r="B473" s="1">
        <v>26</v>
      </c>
      <c r="C473" t="s">
        <v>26</v>
      </c>
      <c r="D473" s="1">
        <v>81</v>
      </c>
      <c r="E473" t="s">
        <v>193</v>
      </c>
      <c r="F473" s="1">
        <v>41</v>
      </c>
      <c r="G473" t="s">
        <v>3</v>
      </c>
      <c r="H473" s="1">
        <v>51</v>
      </c>
      <c r="I473" t="s">
        <v>6</v>
      </c>
      <c r="J473" s="1">
        <v>39</v>
      </c>
      <c r="K473" s="1">
        <v>52</v>
      </c>
      <c r="L473" s="1">
        <v>1883</v>
      </c>
      <c r="M473" s="1">
        <v>14214</v>
      </c>
      <c r="N473" s="1">
        <v>25221</v>
      </c>
      <c r="O473" s="1">
        <v>812323</v>
      </c>
      <c r="P473" s="1">
        <v>256059</v>
      </c>
      <c r="Q473" s="1">
        <v>545154</v>
      </c>
      <c r="R473" s="1">
        <v>19757024</v>
      </c>
      <c r="S473" s="1">
        <v>26081</v>
      </c>
      <c r="T473" s="1">
        <v>26081</v>
      </c>
      <c r="U473" s="1">
        <v>41051</v>
      </c>
      <c r="V473" s="1">
        <v>0</v>
      </c>
      <c r="W473" s="1">
        <v>1</v>
      </c>
    </row>
    <row r="474">
      <c r="A474" s="1">
        <v>2018</v>
      </c>
      <c r="B474" s="1">
        <v>26</v>
      </c>
      <c r="C474" t="s">
        <v>26</v>
      </c>
      <c r="D474" s="1">
        <v>125</v>
      </c>
      <c r="E474" t="s">
        <v>194</v>
      </c>
      <c r="F474" s="1">
        <v>41</v>
      </c>
      <c r="G474" t="s">
        <v>3</v>
      </c>
      <c r="H474" s="1">
        <v>51</v>
      </c>
      <c r="I474" t="s">
        <v>6</v>
      </c>
      <c r="J474" s="1">
        <v>53</v>
      </c>
      <c r="K474" s="1">
        <v>72</v>
      </c>
      <c r="L474" s="1">
        <v>3484</v>
      </c>
      <c r="M474" s="1">
        <v>32217</v>
      </c>
      <c r="N474" s="1">
        <v>55259</v>
      </c>
      <c r="O474" s="1">
        <v>2312614</v>
      </c>
      <c r="P474" s="1">
        <v>525952</v>
      </c>
      <c r="Q474" s="1">
        <v>1074078</v>
      </c>
      <c r="R474" s="1">
        <v>57869480</v>
      </c>
      <c r="S474" s="1">
        <v>26125</v>
      </c>
      <c r="T474" s="1">
        <v>26125</v>
      </c>
      <c r="U474" s="1">
        <v>41051</v>
      </c>
      <c r="V474" s="1">
        <v>0</v>
      </c>
      <c r="W474" s="1">
        <v>1</v>
      </c>
    </row>
    <row r="475">
      <c r="A475" s="1">
        <v>2018</v>
      </c>
      <c r="B475" s="1">
        <v>26</v>
      </c>
      <c r="C475" t="s">
        <v>26</v>
      </c>
      <c r="D475" s="1">
        <v>161</v>
      </c>
      <c r="E475" t="s">
        <v>106</v>
      </c>
      <c r="F475" s="1">
        <v>41</v>
      </c>
      <c r="G475" t="s">
        <v>3</v>
      </c>
      <c r="H475" s="1">
        <v>51</v>
      </c>
      <c r="I475" t="s">
        <v>6</v>
      </c>
      <c r="J475" s="1">
        <v>55</v>
      </c>
      <c r="K475" s="1">
        <v>82</v>
      </c>
      <c r="L475" s="1">
        <v>3632</v>
      </c>
      <c r="M475" s="1">
        <v>12465</v>
      </c>
      <c r="N475" s="1">
        <v>19666</v>
      </c>
      <c r="O475" s="1">
        <v>836654</v>
      </c>
      <c r="P475" s="1">
        <v>139502</v>
      </c>
      <c r="Q475" s="1">
        <v>275539</v>
      </c>
      <c r="R475" s="1">
        <v>13540593</v>
      </c>
      <c r="S475" s="1">
        <v>26161</v>
      </c>
      <c r="T475" s="1">
        <v>26161</v>
      </c>
      <c r="U475" s="1">
        <v>41051</v>
      </c>
      <c r="V475" s="1">
        <v>0</v>
      </c>
      <c r="W475" s="1">
        <v>1</v>
      </c>
    </row>
    <row r="476">
      <c r="A476" s="1">
        <v>2018</v>
      </c>
      <c r="B476" s="1">
        <v>26</v>
      </c>
      <c r="C476" t="s">
        <v>26</v>
      </c>
      <c r="D476" s="1">
        <v>163</v>
      </c>
      <c r="E476" t="s">
        <v>195</v>
      </c>
      <c r="F476" s="1">
        <v>41</v>
      </c>
      <c r="G476" t="s">
        <v>3</v>
      </c>
      <c r="H476" s="1">
        <v>51</v>
      </c>
      <c r="I476" t="s">
        <v>6</v>
      </c>
      <c r="J476" s="1">
        <v>27</v>
      </c>
      <c r="K476" s="1">
        <v>40</v>
      </c>
      <c r="L476" s="1">
        <v>1670</v>
      </c>
      <c r="M476" s="1">
        <v>31938</v>
      </c>
      <c r="N476" s="1">
        <v>57540</v>
      </c>
      <c r="O476" s="1">
        <v>1770474</v>
      </c>
      <c r="P476" s="1">
        <v>647884</v>
      </c>
      <c r="Q476" s="1">
        <v>1331206</v>
      </c>
      <c r="R476" s="1">
        <v>38912560</v>
      </c>
      <c r="S476" s="1">
        <v>26163</v>
      </c>
      <c r="T476" s="1">
        <v>26163</v>
      </c>
      <c r="U476" s="1">
        <v>41051</v>
      </c>
      <c r="V476" s="1">
        <v>0</v>
      </c>
      <c r="W476" s="1">
        <v>1</v>
      </c>
    </row>
    <row r="477">
      <c r="A477" s="1">
        <v>2018</v>
      </c>
      <c r="B477" s="1">
        <v>27</v>
      </c>
      <c r="C477" t="s">
        <v>27</v>
      </c>
      <c r="D477" s="1">
        <v>53</v>
      </c>
      <c r="E477" t="s">
        <v>107</v>
      </c>
      <c r="F477" s="1">
        <v>41</v>
      </c>
      <c r="G477" t="s">
        <v>3</v>
      </c>
      <c r="H477" s="1">
        <v>51</v>
      </c>
      <c r="I477" t="s">
        <v>6</v>
      </c>
      <c r="J477" s="1">
        <v>135</v>
      </c>
      <c r="K477" s="1">
        <v>180</v>
      </c>
      <c r="L477" s="1">
        <v>10267</v>
      </c>
      <c r="M477" s="1">
        <v>39681</v>
      </c>
      <c r="N477" s="1">
        <v>66890</v>
      </c>
      <c r="O477" s="1">
        <v>3010223</v>
      </c>
      <c r="P477" s="1">
        <v>539675</v>
      </c>
      <c r="Q477" s="1">
        <v>1063279</v>
      </c>
      <c r="R477" s="1">
        <v>58886152</v>
      </c>
      <c r="S477" s="1">
        <v>27053</v>
      </c>
      <c r="T477" s="1">
        <v>27053</v>
      </c>
      <c r="U477" s="1">
        <v>41051</v>
      </c>
      <c r="V477" s="1">
        <v>0</v>
      </c>
      <c r="W477" s="1">
        <v>1</v>
      </c>
    </row>
    <row r="478">
      <c r="A478" s="1">
        <v>2018</v>
      </c>
      <c r="B478" s="1">
        <v>27</v>
      </c>
      <c r="C478" t="s">
        <v>27</v>
      </c>
      <c r="D478" s="1">
        <v>123</v>
      </c>
      <c r="E478" t="s">
        <v>108</v>
      </c>
      <c r="F478" s="1">
        <v>41</v>
      </c>
      <c r="G478" t="s">
        <v>3</v>
      </c>
      <c r="H478" s="1">
        <v>51</v>
      </c>
      <c r="I478" t="s">
        <v>6</v>
      </c>
      <c r="J478" s="1">
        <v>34</v>
      </c>
      <c r="K478" s="1">
        <v>54</v>
      </c>
      <c r="L478" s="1">
        <v>2032</v>
      </c>
      <c r="M478" s="1">
        <v>21069</v>
      </c>
      <c r="N478" s="1">
        <v>35632</v>
      </c>
      <c r="O478" s="1">
        <v>1231238</v>
      </c>
      <c r="P478" s="1">
        <v>226002</v>
      </c>
      <c r="Q478" s="1">
        <v>448065</v>
      </c>
      <c r="R478" s="1">
        <v>17525858</v>
      </c>
      <c r="S478" s="1">
        <v>27123</v>
      </c>
      <c r="T478" s="1">
        <v>27123</v>
      </c>
      <c r="U478" s="1">
        <v>41051</v>
      </c>
      <c r="V478" s="1">
        <v>0</v>
      </c>
      <c r="W478" s="1">
        <v>1</v>
      </c>
    </row>
    <row r="479">
      <c r="A479" s="1">
        <v>2018</v>
      </c>
      <c r="B479" s="1">
        <v>29</v>
      </c>
      <c r="C479" t="s">
        <v>44</v>
      </c>
      <c r="D479" s="1">
        <v>95</v>
      </c>
      <c r="E479" t="s">
        <v>133</v>
      </c>
      <c r="F479" s="1">
        <v>41</v>
      </c>
      <c r="G479" t="s">
        <v>3</v>
      </c>
      <c r="H479" s="1">
        <v>51</v>
      </c>
      <c r="I479" t="s">
        <v>6</v>
      </c>
      <c r="J479" s="1">
        <v>40</v>
      </c>
      <c r="K479" s="1">
        <v>54</v>
      </c>
      <c r="L479" s="1">
        <v>3440</v>
      </c>
      <c r="M479" s="1">
        <v>19989</v>
      </c>
      <c r="N479" s="1">
        <v>35096</v>
      </c>
      <c r="O479" s="1">
        <v>1092040</v>
      </c>
      <c r="P479" s="1">
        <v>271885</v>
      </c>
      <c r="Q479" s="1">
        <v>542224</v>
      </c>
      <c r="R479" s="1">
        <v>17571160</v>
      </c>
      <c r="S479" s="1">
        <v>29095</v>
      </c>
      <c r="T479" s="1">
        <v>29095</v>
      </c>
      <c r="U479" s="1">
        <v>41051</v>
      </c>
      <c r="V479" s="1">
        <v>0</v>
      </c>
      <c r="W479" s="1">
        <v>1</v>
      </c>
    </row>
    <row r="480">
      <c r="A480" s="1">
        <v>2018</v>
      </c>
      <c r="B480" s="1">
        <v>29</v>
      </c>
      <c r="C480" t="s">
        <v>44</v>
      </c>
      <c r="D480" s="1">
        <v>189</v>
      </c>
      <c r="E480" t="s">
        <v>197</v>
      </c>
      <c r="F480" s="1">
        <v>41</v>
      </c>
      <c r="G480" t="s">
        <v>3</v>
      </c>
      <c r="H480" s="1">
        <v>51</v>
      </c>
      <c r="I480" t="s">
        <v>6</v>
      </c>
      <c r="J480" s="1">
        <v>28</v>
      </c>
      <c r="K480" s="1">
        <v>49</v>
      </c>
      <c r="L480" s="1">
        <v>2179</v>
      </c>
      <c r="M480" s="1">
        <v>26440</v>
      </c>
      <c r="N480" s="1">
        <v>47358</v>
      </c>
      <c r="O480" s="1">
        <v>1837696</v>
      </c>
      <c r="P480" s="1">
        <v>413579</v>
      </c>
      <c r="Q480" s="1">
        <v>842309</v>
      </c>
      <c r="R480" s="1">
        <v>42827948</v>
      </c>
      <c r="S480" s="1">
        <v>29189</v>
      </c>
      <c r="T480" s="1">
        <v>29189</v>
      </c>
      <c r="U480" s="1">
        <v>41051</v>
      </c>
      <c r="V480" s="1">
        <v>0</v>
      </c>
      <c r="W480" s="1">
        <v>1</v>
      </c>
    </row>
    <row r="481">
      <c r="A481" s="1">
        <v>2018</v>
      </c>
      <c r="B481" s="1">
        <v>29</v>
      </c>
      <c r="C481" t="s">
        <v>44</v>
      </c>
      <c r="D481" s="1">
        <v>510</v>
      </c>
      <c r="E481" t="s">
        <v>198</v>
      </c>
      <c r="F481" s="1">
        <v>41</v>
      </c>
      <c r="G481" t="s">
        <v>3</v>
      </c>
      <c r="H481" s="1">
        <v>51</v>
      </c>
      <c r="I481" t="s">
        <v>6</v>
      </c>
      <c r="J481" s="1">
        <v>29</v>
      </c>
      <c r="K481" s="1">
        <v>33</v>
      </c>
      <c r="L481" s="1">
        <v>1250</v>
      </c>
      <c r="M481" s="1">
        <v>14837</v>
      </c>
      <c r="N481" s="1">
        <v>25824</v>
      </c>
      <c r="O481" s="1">
        <v>790289</v>
      </c>
      <c r="P481" s="1">
        <v>117606</v>
      </c>
      <c r="Q481" s="1">
        <v>208063</v>
      </c>
      <c r="R481" s="1">
        <v>6442801</v>
      </c>
      <c r="S481" s="1">
        <v>29510</v>
      </c>
      <c r="T481" s="1">
        <v>29510</v>
      </c>
      <c r="U481" s="1">
        <v>41051</v>
      </c>
      <c r="V481" s="1">
        <v>0</v>
      </c>
      <c r="W481" s="1">
        <v>1</v>
      </c>
    </row>
    <row r="482">
      <c r="A482" s="1">
        <v>2018</v>
      </c>
      <c r="B482" s="1">
        <v>30</v>
      </c>
      <c r="C482" t="s">
        <v>28</v>
      </c>
      <c r="D482" s="1">
        <v>31</v>
      </c>
      <c r="E482" t="s">
        <v>109</v>
      </c>
      <c r="F482" s="1">
        <v>41</v>
      </c>
      <c r="G482" t="s">
        <v>3</v>
      </c>
      <c r="H482" s="1">
        <v>51</v>
      </c>
      <c r="I482" t="s">
        <v>6</v>
      </c>
      <c r="J482" s="1">
        <v>49</v>
      </c>
      <c r="K482" s="1">
        <v>62</v>
      </c>
      <c r="L482" s="1">
        <v>1937</v>
      </c>
      <c r="M482" s="1">
        <v>4842</v>
      </c>
      <c r="N482" s="1">
        <v>7850</v>
      </c>
      <c r="O482" s="1">
        <v>247903</v>
      </c>
      <c r="P482" s="1">
        <v>46952</v>
      </c>
      <c r="Q482" s="1">
        <v>89908</v>
      </c>
      <c r="R482" s="1">
        <v>3864020</v>
      </c>
      <c r="S482" s="1">
        <v>30031</v>
      </c>
      <c r="T482" s="1">
        <v>30031</v>
      </c>
      <c r="U482" s="1">
        <v>41051</v>
      </c>
      <c r="V482" s="1">
        <v>0</v>
      </c>
      <c r="W482" s="1">
        <v>1</v>
      </c>
    </row>
    <row r="483">
      <c r="A483" s="1">
        <v>2018</v>
      </c>
      <c r="B483" s="1">
        <v>30</v>
      </c>
      <c r="C483" t="s">
        <v>28</v>
      </c>
      <c r="D483" s="1">
        <v>63</v>
      </c>
      <c r="E483" t="s">
        <v>110</v>
      </c>
      <c r="F483" s="1">
        <v>41</v>
      </c>
      <c r="G483" t="s">
        <v>3</v>
      </c>
      <c r="H483" s="1">
        <v>51</v>
      </c>
      <c r="I483" t="s">
        <v>6</v>
      </c>
      <c r="J483" s="1">
        <v>57</v>
      </c>
      <c r="K483" s="1">
        <v>66</v>
      </c>
      <c r="L483" s="1">
        <v>1345</v>
      </c>
      <c r="M483" s="1">
        <v>3743</v>
      </c>
      <c r="N483" s="1">
        <v>6035</v>
      </c>
      <c r="O483" s="1">
        <v>164579</v>
      </c>
      <c r="P483" s="1">
        <v>48241</v>
      </c>
      <c r="Q483" s="1">
        <v>89932</v>
      </c>
      <c r="R483" s="1">
        <v>3641712</v>
      </c>
      <c r="S483" s="1">
        <v>30063</v>
      </c>
      <c r="T483" s="1">
        <v>30063</v>
      </c>
      <c r="U483" s="1">
        <v>41051</v>
      </c>
      <c r="V483" s="1">
        <v>0</v>
      </c>
      <c r="W483" s="1">
        <v>1</v>
      </c>
    </row>
    <row r="484">
      <c r="A484" s="1">
        <v>2018</v>
      </c>
      <c r="B484" s="1">
        <v>31</v>
      </c>
      <c r="C484" t="s">
        <v>45</v>
      </c>
      <c r="D484" s="1">
        <v>55</v>
      </c>
      <c r="E484" t="s">
        <v>131</v>
      </c>
      <c r="F484" s="1">
        <v>41</v>
      </c>
      <c r="G484" t="s">
        <v>3</v>
      </c>
      <c r="H484" s="1">
        <v>51</v>
      </c>
      <c r="I484" t="s">
        <v>6</v>
      </c>
      <c r="J484" s="1">
        <v>27</v>
      </c>
      <c r="K484" s="1">
        <v>31</v>
      </c>
      <c r="L484" s="1">
        <v>1793</v>
      </c>
      <c r="M484" s="1">
        <v>14838</v>
      </c>
      <c r="N484" s="1">
        <v>27586</v>
      </c>
      <c r="O484" s="1">
        <v>943132</v>
      </c>
      <c r="P484" s="1">
        <v>223852</v>
      </c>
      <c r="Q484" s="1">
        <v>479627</v>
      </c>
      <c r="R484" s="1">
        <v>19368588</v>
      </c>
      <c r="S484" s="1">
        <v>31055</v>
      </c>
      <c r="T484" s="1">
        <v>31055</v>
      </c>
      <c r="U484" s="1">
        <v>41051</v>
      </c>
      <c r="V484" s="1">
        <v>0</v>
      </c>
      <c r="W484" s="1">
        <v>1</v>
      </c>
    </row>
    <row r="485">
      <c r="A485" s="1">
        <v>2018</v>
      </c>
      <c r="B485" s="1">
        <v>32</v>
      </c>
      <c r="C485" t="s">
        <v>29</v>
      </c>
      <c r="D485" s="1">
        <v>3</v>
      </c>
      <c r="E485" t="s">
        <v>112</v>
      </c>
      <c r="F485" s="1">
        <v>41</v>
      </c>
      <c r="G485" t="s">
        <v>3</v>
      </c>
      <c r="H485" s="1">
        <v>51</v>
      </c>
      <c r="I485" t="s">
        <v>6</v>
      </c>
      <c r="J485" s="1">
        <v>178</v>
      </c>
      <c r="K485" s="1">
        <v>281</v>
      </c>
      <c r="L485" s="1">
        <v>8686</v>
      </c>
      <c r="M485" s="1">
        <v>37829</v>
      </c>
      <c r="N485" s="1">
        <v>71114</v>
      </c>
      <c r="O485" s="1">
        <v>2153378</v>
      </c>
      <c r="P485" s="1">
        <v>834723</v>
      </c>
      <c r="Q485" s="1">
        <v>1736839</v>
      </c>
      <c r="R485" s="1">
        <v>59458572</v>
      </c>
      <c r="S485" s="1">
        <v>32003</v>
      </c>
      <c r="T485" s="1">
        <v>32003</v>
      </c>
      <c r="U485" s="1">
        <v>41051</v>
      </c>
      <c r="V485" s="1">
        <v>0</v>
      </c>
      <c r="W485" s="1">
        <v>1</v>
      </c>
    </row>
    <row r="486">
      <c r="A486" s="1">
        <v>2018</v>
      </c>
      <c r="B486" s="1">
        <v>32</v>
      </c>
      <c r="C486" t="s">
        <v>29</v>
      </c>
      <c r="D486" s="1">
        <v>31</v>
      </c>
      <c r="E486" t="s">
        <v>113</v>
      </c>
      <c r="F486" s="1">
        <v>41</v>
      </c>
      <c r="G486" t="s">
        <v>3</v>
      </c>
      <c r="H486" s="1">
        <v>51</v>
      </c>
      <c r="I486" t="s">
        <v>6</v>
      </c>
      <c r="J486" s="1">
        <v>81</v>
      </c>
      <c r="K486" s="1">
        <v>105</v>
      </c>
      <c r="L486" s="1">
        <v>4679</v>
      </c>
      <c r="M486" s="1">
        <v>10376</v>
      </c>
      <c r="N486" s="1">
        <v>18015</v>
      </c>
      <c r="O486" s="1">
        <v>692188</v>
      </c>
      <c r="P486" s="1">
        <v>188898</v>
      </c>
      <c r="Q486" s="1">
        <v>375920</v>
      </c>
      <c r="R486" s="1">
        <v>16696704</v>
      </c>
      <c r="S486" s="1">
        <v>32031</v>
      </c>
      <c r="T486" s="1">
        <v>32031</v>
      </c>
      <c r="U486" s="1">
        <v>41051</v>
      </c>
      <c r="V486" s="1">
        <v>0</v>
      </c>
      <c r="W486" s="1">
        <v>1</v>
      </c>
    </row>
    <row r="487">
      <c r="A487" s="1">
        <v>2018</v>
      </c>
      <c r="B487" s="1">
        <v>34</v>
      </c>
      <c r="C487" t="s">
        <v>46</v>
      </c>
      <c r="D487" s="1">
        <v>3</v>
      </c>
      <c r="E487" t="s">
        <v>357</v>
      </c>
      <c r="F487" s="1">
        <v>41</v>
      </c>
      <c r="G487" t="s">
        <v>3</v>
      </c>
      <c r="H487" s="1">
        <v>51</v>
      </c>
      <c r="I487" t="s">
        <v>6</v>
      </c>
      <c r="J487" s="1">
        <v>22</v>
      </c>
      <c r="K487" s="1">
        <v>33</v>
      </c>
      <c r="L487" s="1">
        <v>1960</v>
      </c>
      <c r="M487" s="1">
        <v>22776</v>
      </c>
      <c r="N487" s="1">
        <v>39242</v>
      </c>
      <c r="O487" s="1">
        <v>2541550</v>
      </c>
      <c r="P487" s="1">
        <v>389229</v>
      </c>
      <c r="Q487" s="1">
        <v>821306</v>
      </c>
      <c r="R487" s="1">
        <v>53078416</v>
      </c>
      <c r="S487" s="1">
        <v>34003</v>
      </c>
      <c r="T487" s="1">
        <v>34003</v>
      </c>
      <c r="U487" s="1">
        <v>41051</v>
      </c>
      <c r="V487" s="1">
        <v>0</v>
      </c>
      <c r="W487" s="1">
        <v>1</v>
      </c>
    </row>
    <row r="488">
      <c r="A488" s="1">
        <v>2018</v>
      </c>
      <c r="B488" s="1">
        <v>34</v>
      </c>
      <c r="C488" t="s">
        <v>46</v>
      </c>
      <c r="D488" s="1">
        <v>17</v>
      </c>
      <c r="E488" t="s">
        <v>201</v>
      </c>
      <c r="F488" s="1">
        <v>41</v>
      </c>
      <c r="G488" t="s">
        <v>3</v>
      </c>
      <c r="H488" s="1">
        <v>51</v>
      </c>
      <c r="I488" t="s">
        <v>6</v>
      </c>
      <c r="J488" s="1">
        <v>23</v>
      </c>
      <c r="K488" s="1">
        <v>35</v>
      </c>
      <c r="L488" s="1">
        <v>2719</v>
      </c>
      <c r="M488" s="1">
        <v>27767</v>
      </c>
      <c r="N488" s="1">
        <v>48356</v>
      </c>
      <c r="O488" s="1">
        <v>2819325</v>
      </c>
      <c r="P488" s="1">
        <v>286917</v>
      </c>
      <c r="Q488" s="1">
        <v>539360</v>
      </c>
      <c r="R488" s="1">
        <v>23481382</v>
      </c>
      <c r="S488" s="1">
        <v>34017</v>
      </c>
      <c r="T488" s="1">
        <v>34017</v>
      </c>
      <c r="U488" s="1">
        <v>41051</v>
      </c>
      <c r="V488" s="1">
        <v>0</v>
      </c>
      <c r="W488" s="1">
        <v>1</v>
      </c>
    </row>
    <row r="489">
      <c r="A489" s="1">
        <v>2018</v>
      </c>
      <c r="B489" s="1">
        <v>35</v>
      </c>
      <c r="C489" t="s">
        <v>30</v>
      </c>
      <c r="D489" s="1">
        <v>1</v>
      </c>
      <c r="E489" t="s">
        <v>114</v>
      </c>
      <c r="F489" s="1">
        <v>41</v>
      </c>
      <c r="G489" t="s">
        <v>3</v>
      </c>
      <c r="H489" s="1">
        <v>51</v>
      </c>
      <c r="I489" t="s">
        <v>6</v>
      </c>
      <c r="J489" s="1">
        <v>66</v>
      </c>
      <c r="K489" s="1">
        <v>87</v>
      </c>
      <c r="L489" s="1">
        <v>4209</v>
      </c>
      <c r="M489" s="1">
        <v>14735</v>
      </c>
      <c r="N489" s="1">
        <v>26871</v>
      </c>
      <c r="O489" s="1">
        <v>804594</v>
      </c>
      <c r="P489" s="1">
        <v>258937</v>
      </c>
      <c r="Q489" s="1">
        <v>513238</v>
      </c>
      <c r="R489" s="1">
        <v>16590547</v>
      </c>
      <c r="S489" s="1">
        <v>35001</v>
      </c>
      <c r="T489" s="1">
        <v>35001</v>
      </c>
      <c r="U489" s="1">
        <v>41051</v>
      </c>
      <c r="V489" s="1">
        <v>0</v>
      </c>
      <c r="W489" s="1">
        <v>1</v>
      </c>
    </row>
    <row r="490">
      <c r="A490" s="1">
        <v>2018</v>
      </c>
      <c r="B490" s="1">
        <v>35</v>
      </c>
      <c r="C490" t="s">
        <v>30</v>
      </c>
      <c r="D490" s="1">
        <v>49</v>
      </c>
      <c r="E490" t="s">
        <v>115</v>
      </c>
      <c r="F490" s="1">
        <v>41</v>
      </c>
      <c r="G490" t="s">
        <v>3</v>
      </c>
      <c r="H490" s="1">
        <v>51</v>
      </c>
      <c r="I490" t="s">
        <v>6</v>
      </c>
      <c r="J490" s="1">
        <v>31</v>
      </c>
      <c r="K490" s="1">
        <v>46</v>
      </c>
      <c r="L490" s="1">
        <v>2142</v>
      </c>
      <c r="M490" s="1">
        <v>3946</v>
      </c>
      <c r="N490" s="1">
        <v>6551</v>
      </c>
      <c r="O490" s="1">
        <v>285441</v>
      </c>
      <c r="P490" s="1">
        <v>64270</v>
      </c>
      <c r="Q490" s="1">
        <v>119339</v>
      </c>
      <c r="R490" s="1">
        <v>5045195</v>
      </c>
      <c r="S490" s="1">
        <v>35049</v>
      </c>
      <c r="T490" s="1">
        <v>35049</v>
      </c>
      <c r="U490" s="1">
        <v>41051</v>
      </c>
      <c r="V490" s="1">
        <v>0</v>
      </c>
      <c r="W490" s="1">
        <v>1</v>
      </c>
    </row>
    <row r="491">
      <c r="A491" s="1">
        <v>2018</v>
      </c>
      <c r="B491" s="1">
        <v>36</v>
      </c>
      <c r="C491" t="s">
        <v>31</v>
      </c>
      <c r="D491" s="1">
        <v>29</v>
      </c>
      <c r="E491" t="s">
        <v>202</v>
      </c>
      <c r="F491" s="1">
        <v>41</v>
      </c>
      <c r="G491" t="s">
        <v>3</v>
      </c>
      <c r="H491" s="1">
        <v>51</v>
      </c>
      <c r="I491" t="s">
        <v>6</v>
      </c>
      <c r="J491" s="1">
        <v>24</v>
      </c>
      <c r="K491" s="1">
        <v>37</v>
      </c>
      <c r="L491" s="1">
        <v>1202</v>
      </c>
      <c r="M491" s="1">
        <v>12096</v>
      </c>
      <c r="N491" s="1">
        <v>20090</v>
      </c>
      <c r="O491" s="1">
        <v>733079</v>
      </c>
      <c r="P491" s="1">
        <v>377098</v>
      </c>
      <c r="Q491" s="1">
        <v>732775</v>
      </c>
      <c r="R491" s="1">
        <v>26763218</v>
      </c>
      <c r="S491" s="1">
        <v>36029</v>
      </c>
      <c r="T491" s="1">
        <v>36029</v>
      </c>
      <c r="U491" s="1">
        <v>41051</v>
      </c>
      <c r="V491" s="1">
        <v>0</v>
      </c>
      <c r="W491" s="1">
        <v>1</v>
      </c>
    </row>
    <row r="492">
      <c r="A492" s="1">
        <v>2018</v>
      </c>
      <c r="B492" s="1">
        <v>36</v>
      </c>
      <c r="C492" t="s">
        <v>31</v>
      </c>
      <c r="D492" s="1">
        <v>47</v>
      </c>
      <c r="E492" t="s">
        <v>116</v>
      </c>
      <c r="F492" s="1">
        <v>41</v>
      </c>
      <c r="G492" t="s">
        <v>3</v>
      </c>
      <c r="H492" s="1">
        <v>51</v>
      </c>
      <c r="I492" t="s">
        <v>6</v>
      </c>
      <c r="J492" s="1">
        <v>277</v>
      </c>
      <c r="K492" s="1">
        <v>353</v>
      </c>
      <c r="L492" s="1">
        <v>31741</v>
      </c>
      <c r="M492" s="1">
        <v>74648</v>
      </c>
      <c r="N492" s="1">
        <v>129640</v>
      </c>
      <c r="O492" s="1">
        <v>5107766</v>
      </c>
      <c r="P492" s="1">
        <v>1049329</v>
      </c>
      <c r="Q492" s="1">
        <v>2045259</v>
      </c>
      <c r="R492" s="1">
        <v>71179336</v>
      </c>
      <c r="S492" s="1">
        <v>36047</v>
      </c>
      <c r="T492" s="1">
        <v>36047</v>
      </c>
      <c r="U492" s="1">
        <v>41051</v>
      </c>
      <c r="V492" s="1">
        <v>0</v>
      </c>
      <c r="W492" s="1">
        <v>1</v>
      </c>
    </row>
    <row r="493">
      <c r="A493" s="1">
        <v>2018</v>
      </c>
      <c r="B493" s="1">
        <v>36</v>
      </c>
      <c r="C493" t="s">
        <v>31</v>
      </c>
      <c r="D493" s="1">
        <v>55</v>
      </c>
      <c r="E493" t="s">
        <v>203</v>
      </c>
      <c r="F493" s="1">
        <v>41</v>
      </c>
      <c r="G493" t="s">
        <v>3</v>
      </c>
      <c r="H493" s="1">
        <v>51</v>
      </c>
      <c r="I493" t="s">
        <v>6</v>
      </c>
      <c r="J493" s="1">
        <v>27</v>
      </c>
      <c r="K493" s="1">
        <v>39</v>
      </c>
      <c r="L493" s="1">
        <v>1531</v>
      </c>
      <c r="M493" s="1">
        <v>11665</v>
      </c>
      <c r="N493" s="1">
        <v>19062</v>
      </c>
      <c r="O493" s="1">
        <v>803631</v>
      </c>
      <c r="P493" s="1">
        <v>307251</v>
      </c>
      <c r="Q493" s="1">
        <v>599500</v>
      </c>
      <c r="R493" s="1">
        <v>22785662</v>
      </c>
      <c r="S493" s="1">
        <v>36055</v>
      </c>
      <c r="T493" s="1">
        <v>36055</v>
      </c>
      <c r="U493" s="1">
        <v>41051</v>
      </c>
      <c r="V493" s="1">
        <v>0</v>
      </c>
      <c r="W493" s="1">
        <v>1</v>
      </c>
    </row>
    <row r="494">
      <c r="A494" s="1">
        <v>2018</v>
      </c>
      <c r="B494" s="1">
        <v>36</v>
      </c>
      <c r="C494" t="s">
        <v>31</v>
      </c>
      <c r="D494" s="1">
        <v>61</v>
      </c>
      <c r="E494" t="s">
        <v>117</v>
      </c>
      <c r="F494" s="1">
        <v>41</v>
      </c>
      <c r="G494" t="s">
        <v>3</v>
      </c>
      <c r="H494" s="1">
        <v>51</v>
      </c>
      <c r="I494" t="s">
        <v>6</v>
      </c>
      <c r="J494" s="1">
        <v>153</v>
      </c>
      <c r="K494" s="1">
        <v>211</v>
      </c>
      <c r="L494" s="1">
        <v>20987</v>
      </c>
      <c r="M494" s="1">
        <v>78383</v>
      </c>
      <c r="N494" s="1">
        <v>116826</v>
      </c>
      <c r="O494" s="1">
        <v>12457250</v>
      </c>
      <c r="P494" s="1">
        <v>766007</v>
      </c>
      <c r="Q494" s="1">
        <v>1235697</v>
      </c>
      <c r="R494" s="1">
        <v>191752032</v>
      </c>
      <c r="S494" s="1">
        <v>36061</v>
      </c>
      <c r="T494" s="1">
        <v>36061</v>
      </c>
      <c r="U494" s="1">
        <v>41051</v>
      </c>
      <c r="V494" s="1">
        <v>0</v>
      </c>
      <c r="W494" s="1">
        <v>1</v>
      </c>
    </row>
    <row r="495">
      <c r="A495" s="1">
        <v>2018</v>
      </c>
      <c r="B495" s="1">
        <v>36</v>
      </c>
      <c r="C495" t="s">
        <v>31</v>
      </c>
      <c r="D495" s="1">
        <v>67</v>
      </c>
      <c r="E495" t="s">
        <v>204</v>
      </c>
      <c r="F495" s="1">
        <v>41</v>
      </c>
      <c r="G495" t="s">
        <v>3</v>
      </c>
      <c r="H495" s="1">
        <v>51</v>
      </c>
      <c r="I495" t="s">
        <v>6</v>
      </c>
      <c r="J495" s="1">
        <v>23</v>
      </c>
      <c r="K495" s="1">
        <v>30</v>
      </c>
      <c r="L495" s="1">
        <v>969</v>
      </c>
      <c r="M495" s="1">
        <v>8734</v>
      </c>
      <c r="N495" s="1">
        <v>14363</v>
      </c>
      <c r="O495" s="1">
        <v>654770</v>
      </c>
      <c r="P495" s="1">
        <v>188599</v>
      </c>
      <c r="Q495" s="1">
        <v>372882</v>
      </c>
      <c r="R495" s="1">
        <v>13877998</v>
      </c>
      <c r="S495" s="1">
        <v>36067</v>
      </c>
      <c r="T495" s="1">
        <v>36067</v>
      </c>
      <c r="U495" s="1">
        <v>41051</v>
      </c>
      <c r="V495" s="1">
        <v>0</v>
      </c>
      <c r="W495" s="1">
        <v>1</v>
      </c>
    </row>
    <row r="496">
      <c r="A496" s="1">
        <v>2018</v>
      </c>
      <c r="B496" s="1">
        <v>36</v>
      </c>
      <c r="C496" t="s">
        <v>31</v>
      </c>
      <c r="D496" s="1">
        <v>81</v>
      </c>
      <c r="E496" t="s">
        <v>118</v>
      </c>
      <c r="F496" s="1">
        <v>41</v>
      </c>
      <c r="G496" t="s">
        <v>3</v>
      </c>
      <c r="H496" s="1">
        <v>51</v>
      </c>
      <c r="I496" t="s">
        <v>6</v>
      </c>
      <c r="J496" s="1">
        <v>88</v>
      </c>
      <c r="K496" s="1">
        <v>124</v>
      </c>
      <c r="L496" s="1">
        <v>6456</v>
      </c>
      <c r="M496" s="1">
        <v>62338</v>
      </c>
      <c r="N496" s="1">
        <v>113004</v>
      </c>
      <c r="O496" s="1">
        <v>3965532</v>
      </c>
      <c r="P496" s="1">
        <v>991978</v>
      </c>
      <c r="Q496" s="1">
        <v>1926373</v>
      </c>
      <c r="R496" s="1">
        <v>57934348</v>
      </c>
      <c r="S496" s="1">
        <v>36081</v>
      </c>
      <c r="T496" s="1">
        <v>36081</v>
      </c>
      <c r="U496" s="1">
        <v>41051</v>
      </c>
      <c r="V496" s="1">
        <v>0</v>
      </c>
      <c r="W496" s="1">
        <v>1</v>
      </c>
    </row>
    <row r="497">
      <c r="A497" s="1">
        <v>2018</v>
      </c>
      <c r="B497" s="1">
        <v>36</v>
      </c>
      <c r="C497" t="s">
        <v>31</v>
      </c>
      <c r="D497" s="1">
        <v>103</v>
      </c>
      <c r="E497" t="s">
        <v>105</v>
      </c>
      <c r="F497" s="1">
        <v>41</v>
      </c>
      <c r="G497" t="s">
        <v>3</v>
      </c>
      <c r="H497" s="1">
        <v>51</v>
      </c>
      <c r="I497" t="s">
        <v>6</v>
      </c>
      <c r="J497" s="1">
        <v>21</v>
      </c>
      <c r="K497" s="1">
        <v>28</v>
      </c>
      <c r="L497" s="1">
        <v>1173</v>
      </c>
      <c r="M497" s="1">
        <v>25195</v>
      </c>
      <c r="N497" s="1">
        <v>42112</v>
      </c>
      <c r="O497" s="1">
        <v>2259264</v>
      </c>
      <c r="P497" s="1">
        <v>649268</v>
      </c>
      <c r="Q497" s="1">
        <v>1319430</v>
      </c>
      <c r="R497" s="1">
        <v>66610252</v>
      </c>
      <c r="S497" s="1">
        <v>36103</v>
      </c>
      <c r="T497" s="1">
        <v>36103</v>
      </c>
      <c r="U497" s="1">
        <v>41051</v>
      </c>
      <c r="V497" s="1">
        <v>0</v>
      </c>
      <c r="W497" s="1">
        <v>1</v>
      </c>
    </row>
    <row r="498">
      <c r="A498" s="1">
        <v>2018</v>
      </c>
      <c r="B498" s="1">
        <v>36</v>
      </c>
      <c r="C498" t="s">
        <v>31</v>
      </c>
      <c r="D498" s="1">
        <v>119</v>
      </c>
      <c r="E498" t="s">
        <v>119</v>
      </c>
      <c r="F498" s="1">
        <v>41</v>
      </c>
      <c r="G498" t="s">
        <v>3</v>
      </c>
      <c r="H498" s="1">
        <v>51</v>
      </c>
      <c r="I498" t="s">
        <v>6</v>
      </c>
      <c r="J498" s="1">
        <v>26</v>
      </c>
      <c r="K498" s="1">
        <v>39</v>
      </c>
      <c r="L498" s="1">
        <v>2714</v>
      </c>
      <c r="M498" s="1">
        <v>22458</v>
      </c>
      <c r="N498" s="1">
        <v>39532</v>
      </c>
      <c r="O498" s="1">
        <v>3068750</v>
      </c>
      <c r="P498" s="1">
        <v>405001</v>
      </c>
      <c r="Q498" s="1">
        <v>838880</v>
      </c>
      <c r="R498" s="1">
        <v>71931120</v>
      </c>
      <c r="S498" s="1">
        <v>36119</v>
      </c>
      <c r="T498" s="1">
        <v>36119</v>
      </c>
      <c r="U498" s="1">
        <v>41051</v>
      </c>
      <c r="V498" s="1">
        <v>0</v>
      </c>
      <c r="W498" s="1">
        <v>1</v>
      </c>
    </row>
    <row r="499">
      <c r="A499" s="1">
        <v>2018</v>
      </c>
      <c r="B499" s="1">
        <v>37</v>
      </c>
      <c r="C499" t="s">
        <v>32</v>
      </c>
      <c r="D499" s="1">
        <v>21</v>
      </c>
      <c r="E499" t="s">
        <v>120</v>
      </c>
      <c r="F499" s="1">
        <v>41</v>
      </c>
      <c r="G499" t="s">
        <v>3</v>
      </c>
      <c r="H499" s="1">
        <v>51</v>
      </c>
      <c r="I499" t="s">
        <v>6</v>
      </c>
      <c r="J499" s="1">
        <v>28</v>
      </c>
      <c r="K499" s="1">
        <v>31</v>
      </c>
      <c r="L499" s="1">
        <v>687</v>
      </c>
      <c r="M499" s="1">
        <v>7851</v>
      </c>
      <c r="N499" s="1">
        <v>12903</v>
      </c>
      <c r="O499" s="1">
        <v>408555</v>
      </c>
      <c r="P499" s="1">
        <v>105994</v>
      </c>
      <c r="Q499" s="1">
        <v>203011</v>
      </c>
      <c r="R499" s="1">
        <v>7411783</v>
      </c>
      <c r="S499" s="1">
        <v>37021</v>
      </c>
      <c r="T499" s="1">
        <v>37021</v>
      </c>
      <c r="U499" s="1">
        <v>41051</v>
      </c>
      <c r="V499" s="1">
        <v>0</v>
      </c>
      <c r="W499" s="1">
        <v>1</v>
      </c>
    </row>
    <row r="500">
      <c r="A500" s="1">
        <v>2018</v>
      </c>
      <c r="B500" s="1">
        <v>37</v>
      </c>
      <c r="C500" t="s">
        <v>32</v>
      </c>
      <c r="D500" s="1">
        <v>63</v>
      </c>
      <c r="E500" t="s">
        <v>205</v>
      </c>
      <c r="F500" s="1">
        <v>41</v>
      </c>
      <c r="G500" t="s">
        <v>3</v>
      </c>
      <c r="H500" s="1">
        <v>51</v>
      </c>
      <c r="I500" t="s">
        <v>6</v>
      </c>
      <c r="J500" s="1">
        <v>29</v>
      </c>
      <c r="K500" s="1">
        <v>39</v>
      </c>
      <c r="L500" s="1">
        <v>1419</v>
      </c>
      <c r="M500" s="1">
        <v>12501</v>
      </c>
      <c r="N500" s="1">
        <v>21574</v>
      </c>
      <c r="O500" s="1">
        <v>772302</v>
      </c>
      <c r="P500" s="1">
        <v>120186</v>
      </c>
      <c r="Q500" s="1">
        <v>236784</v>
      </c>
      <c r="R500" s="1">
        <v>8965125</v>
      </c>
      <c r="S500" s="1">
        <v>37063</v>
      </c>
      <c r="T500" s="1">
        <v>37063</v>
      </c>
      <c r="U500" s="1">
        <v>41051</v>
      </c>
      <c r="V500" s="1">
        <v>0</v>
      </c>
      <c r="W500" s="1">
        <v>1</v>
      </c>
    </row>
    <row r="501">
      <c r="A501" s="1">
        <v>2018</v>
      </c>
      <c r="B501" s="1">
        <v>37</v>
      </c>
      <c r="C501" t="s">
        <v>32</v>
      </c>
      <c r="D501" s="1">
        <v>119</v>
      </c>
      <c r="E501" t="s">
        <v>121</v>
      </c>
      <c r="F501" s="1">
        <v>41</v>
      </c>
      <c r="G501" t="s">
        <v>3</v>
      </c>
      <c r="H501" s="1">
        <v>51</v>
      </c>
      <c r="I501" t="s">
        <v>6</v>
      </c>
      <c r="J501" s="1">
        <v>51</v>
      </c>
      <c r="K501" s="1">
        <v>75</v>
      </c>
      <c r="L501" s="1">
        <v>5117</v>
      </c>
      <c r="M501" s="1">
        <v>34265</v>
      </c>
      <c r="N501" s="1">
        <v>63490</v>
      </c>
      <c r="O501" s="1">
        <v>2508790</v>
      </c>
      <c r="P501" s="1">
        <v>409757</v>
      </c>
      <c r="Q501" s="1">
        <v>849034</v>
      </c>
      <c r="R501" s="1">
        <v>39824752</v>
      </c>
      <c r="S501" s="1">
        <v>37119</v>
      </c>
      <c r="T501" s="1">
        <v>37119</v>
      </c>
      <c r="U501" s="1">
        <v>41051</v>
      </c>
      <c r="V501" s="1">
        <v>0</v>
      </c>
      <c r="W501" s="1">
        <v>1</v>
      </c>
    </row>
    <row r="502">
      <c r="A502" s="1">
        <v>2018</v>
      </c>
      <c r="B502" s="1">
        <v>37</v>
      </c>
      <c r="C502" t="s">
        <v>32</v>
      </c>
      <c r="D502" s="1">
        <v>183</v>
      </c>
      <c r="E502" t="s">
        <v>206</v>
      </c>
      <c r="F502" s="1">
        <v>41</v>
      </c>
      <c r="G502" t="s">
        <v>3</v>
      </c>
      <c r="H502" s="1">
        <v>51</v>
      </c>
      <c r="I502" t="s">
        <v>6</v>
      </c>
      <c r="J502" s="1">
        <v>38</v>
      </c>
      <c r="K502" s="1">
        <v>50</v>
      </c>
      <c r="L502" s="1">
        <v>2277</v>
      </c>
      <c r="M502" s="1">
        <v>29796</v>
      </c>
      <c r="N502" s="1">
        <v>53807</v>
      </c>
      <c r="O502" s="1">
        <v>2006455</v>
      </c>
      <c r="P502" s="1">
        <v>409125</v>
      </c>
      <c r="Q502" s="1">
        <v>896195</v>
      </c>
      <c r="R502" s="1">
        <v>39947116</v>
      </c>
      <c r="S502" s="1">
        <v>37183</v>
      </c>
      <c r="T502" s="1">
        <v>37183</v>
      </c>
      <c r="U502" s="1">
        <v>41051</v>
      </c>
      <c r="V502" s="1">
        <v>0</v>
      </c>
      <c r="W502" s="1">
        <v>1</v>
      </c>
    </row>
    <row r="503">
      <c r="A503" s="1">
        <v>2018</v>
      </c>
      <c r="B503" s="1">
        <v>39</v>
      </c>
      <c r="C503" t="s">
        <v>33</v>
      </c>
      <c r="D503" s="1">
        <v>35</v>
      </c>
      <c r="E503" t="s">
        <v>207</v>
      </c>
      <c r="F503" s="1">
        <v>41</v>
      </c>
      <c r="G503" t="s">
        <v>3</v>
      </c>
      <c r="H503" s="1">
        <v>51</v>
      </c>
      <c r="I503" t="s">
        <v>6</v>
      </c>
      <c r="J503" s="1">
        <v>34</v>
      </c>
      <c r="K503" s="1">
        <v>42</v>
      </c>
      <c r="L503" s="1">
        <v>2043</v>
      </c>
      <c r="M503" s="1">
        <v>23414</v>
      </c>
      <c r="N503" s="1">
        <v>39738</v>
      </c>
      <c r="O503" s="1">
        <v>1719349</v>
      </c>
      <c r="P503" s="1">
        <v>515174</v>
      </c>
      <c r="Q503" s="1">
        <v>976450</v>
      </c>
      <c r="R503" s="1">
        <v>37483500</v>
      </c>
      <c r="S503" s="1">
        <v>39035</v>
      </c>
      <c r="T503" s="1">
        <v>39035</v>
      </c>
      <c r="U503" s="1">
        <v>41051</v>
      </c>
      <c r="V503" s="1">
        <v>0</v>
      </c>
      <c r="W503" s="1">
        <v>1</v>
      </c>
    </row>
    <row r="504">
      <c r="A504" s="1">
        <v>2018</v>
      </c>
      <c r="B504" s="1">
        <v>39</v>
      </c>
      <c r="C504" t="s">
        <v>33</v>
      </c>
      <c r="D504" s="1">
        <v>49</v>
      </c>
      <c r="E504" t="s">
        <v>122</v>
      </c>
      <c r="F504" s="1">
        <v>41</v>
      </c>
      <c r="G504" t="s">
        <v>3</v>
      </c>
      <c r="H504" s="1">
        <v>51</v>
      </c>
      <c r="I504" t="s">
        <v>6</v>
      </c>
      <c r="J504" s="1">
        <v>72</v>
      </c>
      <c r="K504" s="1">
        <v>111</v>
      </c>
      <c r="L504" s="1">
        <v>4629</v>
      </c>
      <c r="M504" s="1">
        <v>32859</v>
      </c>
      <c r="N504" s="1">
        <v>58369</v>
      </c>
      <c r="O504" s="1">
        <v>2059863</v>
      </c>
      <c r="P504" s="1">
        <v>522302</v>
      </c>
      <c r="Q504" s="1">
        <v>1025997</v>
      </c>
      <c r="R504" s="1">
        <v>37834620</v>
      </c>
      <c r="S504" s="1">
        <v>39049</v>
      </c>
      <c r="T504" s="1">
        <v>39049</v>
      </c>
      <c r="U504" s="1">
        <v>41051</v>
      </c>
      <c r="V504" s="1">
        <v>0</v>
      </c>
      <c r="W504" s="1">
        <v>1</v>
      </c>
    </row>
    <row r="505">
      <c r="A505" s="1">
        <v>2018</v>
      </c>
      <c r="B505" s="1">
        <v>39</v>
      </c>
      <c r="C505" t="s">
        <v>33</v>
      </c>
      <c r="D505" s="1">
        <v>61</v>
      </c>
      <c r="E505" t="s">
        <v>208</v>
      </c>
      <c r="F505" s="1">
        <v>41</v>
      </c>
      <c r="G505" t="s">
        <v>3</v>
      </c>
      <c r="H505" s="1">
        <v>51</v>
      </c>
      <c r="I505" t="s">
        <v>6</v>
      </c>
      <c r="J505" s="1">
        <v>38</v>
      </c>
      <c r="K505" s="1">
        <v>56</v>
      </c>
      <c r="L505" s="1">
        <v>3133</v>
      </c>
      <c r="M505" s="1">
        <v>19465</v>
      </c>
      <c r="N505" s="1">
        <v>33177</v>
      </c>
      <c r="O505" s="1">
        <v>1399807</v>
      </c>
      <c r="P505" s="1">
        <v>333284</v>
      </c>
      <c r="Q505" s="1">
        <v>655199</v>
      </c>
      <c r="R505" s="1">
        <v>27998586</v>
      </c>
      <c r="S505" s="1">
        <v>39061</v>
      </c>
      <c r="T505" s="1">
        <v>39061</v>
      </c>
      <c r="U505" s="1">
        <v>41051</v>
      </c>
      <c r="V505" s="1">
        <v>0</v>
      </c>
      <c r="W505" s="1">
        <v>1</v>
      </c>
    </row>
    <row r="506">
      <c r="A506" s="1">
        <v>2018</v>
      </c>
      <c r="B506" s="1">
        <v>40</v>
      </c>
      <c r="C506" t="s">
        <v>47</v>
      </c>
      <c r="D506" s="1">
        <v>109</v>
      </c>
      <c r="E506" t="s">
        <v>209</v>
      </c>
      <c r="F506" s="1">
        <v>41</v>
      </c>
      <c r="G506" t="s">
        <v>3</v>
      </c>
      <c r="H506" s="1">
        <v>51</v>
      </c>
      <c r="I506" t="s">
        <v>6</v>
      </c>
      <c r="J506" s="1">
        <v>32</v>
      </c>
      <c r="K506" s="1">
        <v>44</v>
      </c>
      <c r="L506" s="1">
        <v>1631</v>
      </c>
      <c r="M506" s="1">
        <v>19558</v>
      </c>
      <c r="N506" s="1">
        <v>38716</v>
      </c>
      <c r="O506" s="1">
        <v>1099155</v>
      </c>
      <c r="P506" s="1">
        <v>276864</v>
      </c>
      <c r="Q506" s="1">
        <v>592021</v>
      </c>
      <c r="R506" s="1">
        <v>20920284</v>
      </c>
      <c r="S506" s="1">
        <v>40109</v>
      </c>
      <c r="T506" s="1">
        <v>40109</v>
      </c>
      <c r="U506" s="1">
        <v>41051</v>
      </c>
      <c r="V506" s="1">
        <v>0</v>
      </c>
      <c r="W506" s="1">
        <v>1</v>
      </c>
    </row>
    <row r="507">
      <c r="A507" s="1">
        <v>2018</v>
      </c>
      <c r="B507" s="1">
        <v>40</v>
      </c>
      <c r="C507" t="s">
        <v>47</v>
      </c>
      <c r="D507" s="1">
        <v>143</v>
      </c>
      <c r="E507" t="s">
        <v>233</v>
      </c>
      <c r="F507" s="1">
        <v>41</v>
      </c>
      <c r="G507" t="s">
        <v>3</v>
      </c>
      <c r="H507" s="1">
        <v>51</v>
      </c>
      <c r="I507" t="s">
        <v>6</v>
      </c>
      <c r="J507" s="1">
        <v>29</v>
      </c>
      <c r="K507" s="1">
        <v>49</v>
      </c>
      <c r="L507" s="1">
        <v>1610</v>
      </c>
      <c r="M507" s="1">
        <v>15085</v>
      </c>
      <c r="N507" s="1">
        <v>30039</v>
      </c>
      <c r="O507" s="1">
        <v>861336</v>
      </c>
      <c r="P507" s="1">
        <v>231801</v>
      </c>
      <c r="Q507" s="1">
        <v>505657</v>
      </c>
      <c r="R507" s="1">
        <v>18486966</v>
      </c>
      <c r="S507" s="1">
        <v>40143</v>
      </c>
      <c r="T507" s="1">
        <v>40143</v>
      </c>
      <c r="U507" s="1">
        <v>41051</v>
      </c>
      <c r="V507" s="1">
        <v>0</v>
      </c>
      <c r="W507" s="1">
        <v>1</v>
      </c>
    </row>
    <row r="508">
      <c r="A508" s="1">
        <v>2018</v>
      </c>
      <c r="B508" s="1">
        <v>41</v>
      </c>
      <c r="C508" t="s">
        <v>3</v>
      </c>
      <c r="D508" s="1">
        <v>3</v>
      </c>
      <c r="E508" t="s">
        <v>124</v>
      </c>
      <c r="F508" s="1">
        <v>41</v>
      </c>
      <c r="G508" t="s">
        <v>3</v>
      </c>
      <c r="H508" s="1">
        <v>51</v>
      </c>
      <c r="I508" t="s">
        <v>6</v>
      </c>
      <c r="J508" s="1">
        <v>269</v>
      </c>
      <c r="K508" s="1">
        <v>317</v>
      </c>
      <c r="L508" s="1">
        <v>10701</v>
      </c>
      <c r="M508" s="1">
        <v>3675</v>
      </c>
      <c r="N508" s="1">
        <v>5730</v>
      </c>
      <c r="O508" s="1">
        <v>189324</v>
      </c>
      <c r="P508" s="1">
        <v>32856</v>
      </c>
      <c r="Q508" s="1">
        <v>64118</v>
      </c>
      <c r="R508" s="1">
        <v>2693650</v>
      </c>
      <c r="S508" s="1">
        <v>41003</v>
      </c>
      <c r="T508" s="1">
        <v>41003</v>
      </c>
      <c r="U508" s="1">
        <v>41051</v>
      </c>
      <c r="V508" s="1">
        <v>0</v>
      </c>
      <c r="W508" s="1">
        <v>1</v>
      </c>
    </row>
    <row r="509">
      <c r="A509" s="1">
        <v>2018</v>
      </c>
      <c r="B509" s="1">
        <v>41</v>
      </c>
      <c r="C509" t="s">
        <v>3</v>
      </c>
      <c r="D509" s="1">
        <v>5</v>
      </c>
      <c r="E509" t="s">
        <v>125</v>
      </c>
      <c r="F509" s="1">
        <v>41</v>
      </c>
      <c r="G509" t="s">
        <v>3</v>
      </c>
      <c r="H509" s="1">
        <v>51</v>
      </c>
      <c r="I509" t="s">
        <v>6</v>
      </c>
      <c r="J509" s="1">
        <v>4023</v>
      </c>
      <c r="K509" s="1">
        <v>6351</v>
      </c>
      <c r="L509" s="1">
        <v>228376</v>
      </c>
      <c r="M509" s="1">
        <v>13802</v>
      </c>
      <c r="N509" s="1">
        <v>24048</v>
      </c>
      <c r="O509" s="1">
        <v>973878</v>
      </c>
      <c r="P509" s="1">
        <v>165020</v>
      </c>
      <c r="Q509" s="1">
        <v>345268</v>
      </c>
      <c r="R509" s="1">
        <v>16291163</v>
      </c>
      <c r="S509" s="1">
        <v>41005</v>
      </c>
      <c r="T509" s="1">
        <v>41005</v>
      </c>
      <c r="U509" s="1">
        <v>41051</v>
      </c>
      <c r="V509" s="1">
        <v>0</v>
      </c>
      <c r="W509" s="1">
        <v>1</v>
      </c>
    </row>
    <row r="510">
      <c r="A510" s="1">
        <v>2018</v>
      </c>
      <c r="B510" s="1">
        <v>41</v>
      </c>
      <c r="C510" t="s">
        <v>3</v>
      </c>
      <c r="D510" s="1">
        <v>7</v>
      </c>
      <c r="E510" t="s">
        <v>126</v>
      </c>
      <c r="F510" s="1">
        <v>41</v>
      </c>
      <c r="G510" t="s">
        <v>3</v>
      </c>
      <c r="H510" s="1">
        <v>51</v>
      </c>
      <c r="I510" t="s">
        <v>6</v>
      </c>
      <c r="J510" s="1">
        <v>95</v>
      </c>
      <c r="K510" s="1">
        <v>132</v>
      </c>
      <c r="L510" s="1">
        <v>6879</v>
      </c>
      <c r="M510" s="1">
        <v>1310</v>
      </c>
      <c r="N510" s="1">
        <v>2333</v>
      </c>
      <c r="O510" s="1">
        <v>68182</v>
      </c>
      <c r="P510" s="1">
        <v>15363</v>
      </c>
      <c r="Q510" s="1">
        <v>30231</v>
      </c>
      <c r="R510" s="1">
        <v>943707</v>
      </c>
      <c r="S510" s="1">
        <v>41007</v>
      </c>
      <c r="T510" s="1">
        <v>41007</v>
      </c>
      <c r="U510" s="1">
        <v>41051</v>
      </c>
      <c r="V510" s="1">
        <v>0</v>
      </c>
      <c r="W510" s="1">
        <v>1</v>
      </c>
    </row>
    <row r="511">
      <c r="A511" s="1">
        <v>2018</v>
      </c>
      <c r="B511" s="1">
        <v>41</v>
      </c>
      <c r="C511" t="s">
        <v>3</v>
      </c>
      <c r="D511" s="1">
        <v>9</v>
      </c>
      <c r="E511" t="s">
        <v>127</v>
      </c>
      <c r="F511" s="1">
        <v>41</v>
      </c>
      <c r="G511" t="s">
        <v>3</v>
      </c>
      <c r="H511" s="1">
        <v>51</v>
      </c>
      <c r="I511" t="s">
        <v>6</v>
      </c>
      <c r="J511" s="1">
        <v>186</v>
      </c>
      <c r="K511" s="1">
        <v>300</v>
      </c>
      <c r="L511" s="1">
        <v>14228</v>
      </c>
      <c r="M511" s="1">
        <v>1276</v>
      </c>
      <c r="N511" s="1">
        <v>2475</v>
      </c>
      <c r="O511" s="1">
        <v>70088</v>
      </c>
      <c r="P511" s="1">
        <v>19451</v>
      </c>
      <c r="Q511" s="1">
        <v>40788</v>
      </c>
      <c r="R511" s="1">
        <v>1313654</v>
      </c>
      <c r="S511" s="1">
        <v>41009</v>
      </c>
      <c r="T511" s="1">
        <v>41009</v>
      </c>
      <c r="U511" s="1">
        <v>41051</v>
      </c>
      <c r="V511" s="1">
        <v>0</v>
      </c>
      <c r="W511" s="1">
        <v>1</v>
      </c>
    </row>
    <row r="512">
      <c r="A512" s="1">
        <v>2018</v>
      </c>
      <c r="B512" s="1">
        <v>41</v>
      </c>
      <c r="C512" t="s">
        <v>3</v>
      </c>
      <c r="D512" s="1">
        <v>11</v>
      </c>
      <c r="E512" t="s">
        <v>128</v>
      </c>
      <c r="F512" s="1">
        <v>41</v>
      </c>
      <c r="G512" t="s">
        <v>3</v>
      </c>
      <c r="H512" s="1">
        <v>51</v>
      </c>
      <c r="I512" t="s">
        <v>6</v>
      </c>
      <c r="J512" s="1">
        <v>33</v>
      </c>
      <c r="K512" s="1">
        <v>50</v>
      </c>
      <c r="L512" s="1">
        <v>1513</v>
      </c>
      <c r="M512" s="1">
        <v>1416</v>
      </c>
      <c r="N512" s="1">
        <v>2559</v>
      </c>
      <c r="O512" s="1">
        <v>69852</v>
      </c>
      <c r="P512" s="1">
        <v>23085</v>
      </c>
      <c r="Q512" s="1">
        <v>45627</v>
      </c>
      <c r="R512" s="1">
        <v>1326554</v>
      </c>
      <c r="S512" s="1">
        <v>41011</v>
      </c>
      <c r="T512" s="1">
        <v>41011</v>
      </c>
      <c r="U512" s="1">
        <v>41051</v>
      </c>
      <c r="V512" s="1">
        <v>0</v>
      </c>
      <c r="W512" s="1">
        <v>1</v>
      </c>
    </row>
    <row r="513">
      <c r="A513" s="1">
        <v>2018</v>
      </c>
      <c r="B513" s="1">
        <v>41</v>
      </c>
      <c r="C513" t="s">
        <v>3</v>
      </c>
      <c r="D513" s="1">
        <v>17</v>
      </c>
      <c r="E513" t="s">
        <v>130</v>
      </c>
      <c r="F513" s="1">
        <v>41</v>
      </c>
      <c r="G513" t="s">
        <v>3</v>
      </c>
      <c r="H513" s="1">
        <v>51</v>
      </c>
      <c r="I513" t="s">
        <v>6</v>
      </c>
      <c r="J513" s="1">
        <v>275</v>
      </c>
      <c r="K513" s="1">
        <v>385</v>
      </c>
      <c r="L513" s="1">
        <v>17111</v>
      </c>
      <c r="M513" s="1">
        <v>5355</v>
      </c>
      <c r="N513" s="1">
        <v>9263</v>
      </c>
      <c r="O513" s="1">
        <v>345001</v>
      </c>
      <c r="P513" s="1">
        <v>76795</v>
      </c>
      <c r="Q513" s="1">
        <v>154092</v>
      </c>
      <c r="R513" s="1">
        <v>6156952</v>
      </c>
      <c r="S513" s="1">
        <v>41017</v>
      </c>
      <c r="T513" s="1">
        <v>41017</v>
      </c>
      <c r="U513" s="1">
        <v>41051</v>
      </c>
      <c r="V513" s="1">
        <v>0</v>
      </c>
      <c r="W513" s="1">
        <v>1</v>
      </c>
    </row>
    <row r="514">
      <c r="A514" s="1">
        <v>2018</v>
      </c>
      <c r="B514" s="1">
        <v>41</v>
      </c>
      <c r="C514" t="s">
        <v>3</v>
      </c>
      <c r="D514" s="1">
        <v>19</v>
      </c>
      <c r="E514" t="s">
        <v>131</v>
      </c>
      <c r="F514" s="1">
        <v>41</v>
      </c>
      <c r="G514" t="s">
        <v>3</v>
      </c>
      <c r="H514" s="1">
        <v>51</v>
      </c>
      <c r="I514" t="s">
        <v>6</v>
      </c>
      <c r="J514" s="1">
        <v>73</v>
      </c>
      <c r="K514" s="1">
        <v>119</v>
      </c>
      <c r="L514" s="1">
        <v>3465</v>
      </c>
      <c r="M514" s="1">
        <v>2117</v>
      </c>
      <c r="N514" s="1">
        <v>3749</v>
      </c>
      <c r="O514" s="1">
        <v>98973</v>
      </c>
      <c r="P514" s="1">
        <v>38628</v>
      </c>
      <c r="Q514" s="1">
        <v>79148</v>
      </c>
      <c r="R514" s="1">
        <v>2074837</v>
      </c>
      <c r="S514" s="1">
        <v>41019</v>
      </c>
      <c r="T514" s="1">
        <v>41019</v>
      </c>
      <c r="U514" s="1">
        <v>41051</v>
      </c>
      <c r="V514" s="1">
        <v>0</v>
      </c>
      <c r="W514" s="1">
        <v>1</v>
      </c>
    </row>
    <row r="515">
      <c r="A515" s="1">
        <v>2018</v>
      </c>
      <c r="B515" s="1">
        <v>41</v>
      </c>
      <c r="C515" t="s">
        <v>3</v>
      </c>
      <c r="D515" s="1">
        <v>27</v>
      </c>
      <c r="E515" t="s">
        <v>132</v>
      </c>
      <c r="F515" s="1">
        <v>41</v>
      </c>
      <c r="G515" t="s">
        <v>3</v>
      </c>
      <c r="H515" s="1">
        <v>51</v>
      </c>
      <c r="I515" t="s">
        <v>6</v>
      </c>
      <c r="J515" s="1">
        <v>96</v>
      </c>
      <c r="K515" s="1">
        <v>148</v>
      </c>
      <c r="L515" s="1">
        <v>4264</v>
      </c>
      <c r="M515" s="1">
        <v>743</v>
      </c>
      <c r="N515" s="1">
        <v>1309</v>
      </c>
      <c r="O515" s="1">
        <v>39852</v>
      </c>
      <c r="P515" s="1">
        <v>9909</v>
      </c>
      <c r="Q515" s="1">
        <v>21932</v>
      </c>
      <c r="R515" s="1">
        <v>724313</v>
      </c>
      <c r="S515" s="1">
        <v>41027</v>
      </c>
      <c r="T515" s="1">
        <v>41027</v>
      </c>
      <c r="U515" s="1">
        <v>41051</v>
      </c>
      <c r="V515" s="1">
        <v>0</v>
      </c>
      <c r="W515" s="1">
        <v>1</v>
      </c>
    </row>
    <row r="516">
      <c r="A516" s="1">
        <v>2018</v>
      </c>
      <c r="B516" s="1">
        <v>41</v>
      </c>
      <c r="C516" t="s">
        <v>3</v>
      </c>
      <c r="D516" s="1">
        <v>29</v>
      </c>
      <c r="E516" t="s">
        <v>133</v>
      </c>
      <c r="F516" s="1">
        <v>41</v>
      </c>
      <c r="G516" t="s">
        <v>3</v>
      </c>
      <c r="H516" s="1">
        <v>51</v>
      </c>
      <c r="I516" t="s">
        <v>6</v>
      </c>
      <c r="J516" s="1">
        <v>228</v>
      </c>
      <c r="K516" s="1">
        <v>311</v>
      </c>
      <c r="L516" s="1">
        <v>10359</v>
      </c>
      <c r="M516" s="1">
        <v>4658</v>
      </c>
      <c r="N516" s="1">
        <v>8034</v>
      </c>
      <c r="O516" s="1">
        <v>239836</v>
      </c>
      <c r="P516" s="1">
        <v>84608</v>
      </c>
      <c r="Q516" s="1">
        <v>170113</v>
      </c>
      <c r="R516" s="1">
        <v>5437640</v>
      </c>
      <c r="S516" s="1">
        <v>41029</v>
      </c>
      <c r="T516" s="1">
        <v>41029</v>
      </c>
      <c r="U516" s="1">
        <v>41051</v>
      </c>
      <c r="V516" s="1">
        <v>0</v>
      </c>
      <c r="W516" s="1">
        <v>1</v>
      </c>
    </row>
    <row r="517">
      <c r="A517" s="1">
        <v>2018</v>
      </c>
      <c r="B517" s="1">
        <v>41</v>
      </c>
      <c r="C517" t="s">
        <v>3</v>
      </c>
      <c r="D517" s="1">
        <v>31</v>
      </c>
      <c r="E517" t="s">
        <v>83</v>
      </c>
      <c r="F517" s="1">
        <v>41</v>
      </c>
      <c r="G517" t="s">
        <v>3</v>
      </c>
      <c r="H517" s="1">
        <v>51</v>
      </c>
      <c r="I517" t="s">
        <v>6</v>
      </c>
      <c r="J517" s="1">
        <v>26</v>
      </c>
      <c r="K517" s="1">
        <v>41</v>
      </c>
      <c r="L517" s="1">
        <v>988</v>
      </c>
      <c r="M517" s="1">
        <v>619</v>
      </c>
      <c r="N517" s="1">
        <v>1150</v>
      </c>
      <c r="O517" s="1">
        <v>24601</v>
      </c>
      <c r="P517" s="1">
        <v>7924</v>
      </c>
      <c r="Q517" s="1">
        <v>17516</v>
      </c>
      <c r="R517" s="1">
        <v>395688</v>
      </c>
      <c r="S517" s="1">
        <v>41031</v>
      </c>
      <c r="T517" s="1">
        <v>41031</v>
      </c>
      <c r="U517" s="1">
        <v>41051</v>
      </c>
      <c r="V517" s="1">
        <v>0</v>
      </c>
      <c r="W517" s="1">
        <v>1</v>
      </c>
    </row>
    <row r="518">
      <c r="A518" s="1">
        <v>2018</v>
      </c>
      <c r="B518" s="1">
        <v>41</v>
      </c>
      <c r="C518" t="s">
        <v>3</v>
      </c>
      <c r="D518" s="1">
        <v>33</v>
      </c>
      <c r="E518" t="s">
        <v>134</v>
      </c>
      <c r="F518" s="1">
        <v>41</v>
      </c>
      <c r="G518" t="s">
        <v>3</v>
      </c>
      <c r="H518" s="1">
        <v>51</v>
      </c>
      <c r="I518" t="s">
        <v>6</v>
      </c>
      <c r="J518" s="1">
        <v>61</v>
      </c>
      <c r="K518" s="1">
        <v>82</v>
      </c>
      <c r="L518" s="1">
        <v>2095</v>
      </c>
      <c r="M518" s="1">
        <v>1996</v>
      </c>
      <c r="N518" s="1">
        <v>3408</v>
      </c>
      <c r="O518" s="1">
        <v>82376</v>
      </c>
      <c r="P518" s="1">
        <v>31138</v>
      </c>
      <c r="Q518" s="1">
        <v>62204</v>
      </c>
      <c r="R518" s="1">
        <v>1781742</v>
      </c>
      <c r="S518" s="1">
        <v>41033</v>
      </c>
      <c r="T518" s="1">
        <v>41033</v>
      </c>
      <c r="U518" s="1">
        <v>41051</v>
      </c>
      <c r="V518" s="1">
        <v>0</v>
      </c>
      <c r="W518" s="1">
        <v>1</v>
      </c>
    </row>
    <row r="519">
      <c r="A519" s="1">
        <v>2018</v>
      </c>
      <c r="B519" s="1">
        <v>41</v>
      </c>
      <c r="C519" t="s">
        <v>3</v>
      </c>
      <c r="D519" s="1">
        <v>35</v>
      </c>
      <c r="E519" t="s">
        <v>135</v>
      </c>
      <c r="F519" s="1">
        <v>41</v>
      </c>
      <c r="G519" t="s">
        <v>3</v>
      </c>
      <c r="H519" s="1">
        <v>51</v>
      </c>
      <c r="I519" t="s">
        <v>6</v>
      </c>
      <c r="J519" s="1">
        <v>43</v>
      </c>
      <c r="K519" s="1">
        <v>68</v>
      </c>
      <c r="L519" s="1">
        <v>2014</v>
      </c>
      <c r="M519" s="1">
        <v>1581</v>
      </c>
      <c r="N519" s="1">
        <v>2890</v>
      </c>
      <c r="O519" s="1">
        <v>73347</v>
      </c>
      <c r="P519" s="1">
        <v>23447</v>
      </c>
      <c r="Q519" s="1">
        <v>49063</v>
      </c>
      <c r="R519" s="1">
        <v>1241443</v>
      </c>
      <c r="S519" s="1">
        <v>41035</v>
      </c>
      <c r="T519" s="1">
        <v>41035</v>
      </c>
      <c r="U519" s="1">
        <v>41051</v>
      </c>
      <c r="V519" s="1">
        <v>0</v>
      </c>
      <c r="W519" s="1">
        <v>1</v>
      </c>
    </row>
    <row r="520">
      <c r="A520" s="1">
        <v>2018</v>
      </c>
      <c r="B520" s="1">
        <v>41</v>
      </c>
      <c r="C520" t="s">
        <v>3</v>
      </c>
      <c r="D520" s="1">
        <v>39</v>
      </c>
      <c r="E520" t="s">
        <v>136</v>
      </c>
      <c r="F520" s="1">
        <v>41</v>
      </c>
      <c r="G520" t="s">
        <v>3</v>
      </c>
      <c r="H520" s="1">
        <v>51</v>
      </c>
      <c r="I520" t="s">
        <v>6</v>
      </c>
      <c r="J520" s="1">
        <v>660</v>
      </c>
      <c r="K520" s="1">
        <v>847</v>
      </c>
      <c r="L520" s="1">
        <v>24721</v>
      </c>
      <c r="M520" s="1">
        <v>8107</v>
      </c>
      <c r="N520" s="1">
        <v>13213</v>
      </c>
      <c r="O520" s="1">
        <v>384889</v>
      </c>
      <c r="P520" s="1">
        <v>141736</v>
      </c>
      <c r="Q520" s="1">
        <v>273245</v>
      </c>
      <c r="R520" s="1">
        <v>9583650</v>
      </c>
      <c r="S520" s="1">
        <v>41039</v>
      </c>
      <c r="T520" s="1">
        <v>41039</v>
      </c>
      <c r="U520" s="1">
        <v>41051</v>
      </c>
      <c r="V520" s="1">
        <v>0</v>
      </c>
      <c r="W520" s="1">
        <v>1</v>
      </c>
    </row>
    <row r="521">
      <c r="A521" s="1">
        <v>2018</v>
      </c>
      <c r="B521" s="1">
        <v>41</v>
      </c>
      <c r="C521" t="s">
        <v>3</v>
      </c>
      <c r="D521" s="1">
        <v>41</v>
      </c>
      <c r="E521" t="s">
        <v>137</v>
      </c>
      <c r="F521" s="1">
        <v>41</v>
      </c>
      <c r="G521" t="s">
        <v>3</v>
      </c>
      <c r="H521" s="1">
        <v>51</v>
      </c>
      <c r="I521" t="s">
        <v>6</v>
      </c>
      <c r="J521" s="1">
        <v>63</v>
      </c>
      <c r="K521" s="1">
        <v>84</v>
      </c>
      <c r="L521" s="1">
        <v>4084</v>
      </c>
      <c r="M521" s="1">
        <v>1571</v>
      </c>
      <c r="N521" s="1">
        <v>2674</v>
      </c>
      <c r="O521" s="1">
        <v>78133</v>
      </c>
      <c r="P521" s="1">
        <v>18818</v>
      </c>
      <c r="Q521" s="1">
        <v>35808</v>
      </c>
      <c r="R521" s="1">
        <v>1075583</v>
      </c>
      <c r="S521" s="1">
        <v>41041</v>
      </c>
      <c r="T521" s="1">
        <v>41041</v>
      </c>
      <c r="U521" s="1">
        <v>41051</v>
      </c>
      <c r="V521" s="1">
        <v>0</v>
      </c>
      <c r="W521" s="1">
        <v>1</v>
      </c>
    </row>
    <row r="522">
      <c r="A522" s="1">
        <v>2018</v>
      </c>
      <c r="B522" s="1">
        <v>41</v>
      </c>
      <c r="C522" t="s">
        <v>3</v>
      </c>
      <c r="D522" s="1">
        <v>43</v>
      </c>
      <c r="E522" t="s">
        <v>138</v>
      </c>
      <c r="F522" s="1">
        <v>41</v>
      </c>
      <c r="G522" t="s">
        <v>3</v>
      </c>
      <c r="H522" s="1">
        <v>51</v>
      </c>
      <c r="I522" t="s">
        <v>6</v>
      </c>
      <c r="J522" s="1">
        <v>90</v>
      </c>
      <c r="K522" s="1">
        <v>124</v>
      </c>
      <c r="L522" s="1">
        <v>2961</v>
      </c>
      <c r="M522" s="1">
        <v>3159</v>
      </c>
      <c r="N522" s="1">
        <v>5771</v>
      </c>
      <c r="O522" s="1">
        <v>139757</v>
      </c>
      <c r="P522" s="1">
        <v>45738</v>
      </c>
      <c r="Q522" s="1">
        <v>97017</v>
      </c>
      <c r="R522" s="1">
        <v>2670179</v>
      </c>
      <c r="S522" s="1">
        <v>41043</v>
      </c>
      <c r="T522" s="1">
        <v>41043</v>
      </c>
      <c r="U522" s="1">
        <v>41051</v>
      </c>
      <c r="V522" s="1">
        <v>0</v>
      </c>
      <c r="W522" s="1">
        <v>1</v>
      </c>
    </row>
    <row r="523">
      <c r="A523" s="1">
        <v>2018</v>
      </c>
      <c r="B523" s="1">
        <v>41</v>
      </c>
      <c r="C523" t="s">
        <v>3</v>
      </c>
      <c r="D523" s="1">
        <v>47</v>
      </c>
      <c r="E523" t="s">
        <v>99</v>
      </c>
      <c r="F523" s="1">
        <v>41</v>
      </c>
      <c r="G523" t="s">
        <v>3</v>
      </c>
      <c r="H523" s="1">
        <v>51</v>
      </c>
      <c r="I523" t="s">
        <v>6</v>
      </c>
      <c r="J523" s="1">
        <v>498</v>
      </c>
      <c r="K523" s="1">
        <v>798</v>
      </c>
      <c r="L523" s="1">
        <v>22796</v>
      </c>
      <c r="M523" s="1">
        <v>7486</v>
      </c>
      <c r="N523" s="1">
        <v>14093</v>
      </c>
      <c r="O523" s="1">
        <v>380514</v>
      </c>
      <c r="P523" s="1">
        <v>123123</v>
      </c>
      <c r="Q523" s="1">
        <v>272006</v>
      </c>
      <c r="R523" s="1">
        <v>8073626</v>
      </c>
      <c r="S523" s="1">
        <v>41047</v>
      </c>
      <c r="T523" s="1">
        <v>41047</v>
      </c>
      <c r="U523" s="1">
        <v>41051</v>
      </c>
      <c r="V523" s="1">
        <v>0</v>
      </c>
      <c r="W523" s="1">
        <v>1</v>
      </c>
    </row>
    <row r="524">
      <c r="A524" s="1">
        <v>2018</v>
      </c>
      <c r="B524" s="1">
        <v>41</v>
      </c>
      <c r="C524" t="s">
        <v>3</v>
      </c>
      <c r="D524" s="1">
        <v>53</v>
      </c>
      <c r="E524" t="s">
        <v>100</v>
      </c>
      <c r="F524" s="1">
        <v>41</v>
      </c>
      <c r="G524" t="s">
        <v>3</v>
      </c>
      <c r="H524" s="1">
        <v>51</v>
      </c>
      <c r="I524" t="s">
        <v>6</v>
      </c>
      <c r="J524" s="1">
        <v>102</v>
      </c>
      <c r="K524" s="1">
        <v>151</v>
      </c>
      <c r="L524" s="1">
        <v>3829</v>
      </c>
      <c r="M524" s="1">
        <v>3053</v>
      </c>
      <c r="N524" s="1">
        <v>5656</v>
      </c>
      <c r="O524" s="1">
        <v>154119</v>
      </c>
      <c r="P524" s="1">
        <v>29977</v>
      </c>
      <c r="Q524" s="1">
        <v>65837</v>
      </c>
      <c r="R524" s="1">
        <v>2068743</v>
      </c>
      <c r="S524" s="1">
        <v>41053</v>
      </c>
      <c r="T524" s="1">
        <v>41053</v>
      </c>
      <c r="U524" s="1">
        <v>41051</v>
      </c>
      <c r="V524" s="1">
        <v>0</v>
      </c>
      <c r="W524" s="1">
        <v>1</v>
      </c>
    </row>
    <row r="525">
      <c r="A525" s="1">
        <v>2018</v>
      </c>
      <c r="B525" s="1">
        <v>41</v>
      </c>
      <c r="C525" t="s">
        <v>3</v>
      </c>
      <c r="D525" s="1">
        <v>57</v>
      </c>
      <c r="E525" t="s">
        <v>139</v>
      </c>
      <c r="F525" s="1">
        <v>41</v>
      </c>
      <c r="G525" t="s">
        <v>3</v>
      </c>
      <c r="H525" s="1">
        <v>51</v>
      </c>
      <c r="I525" t="s">
        <v>6</v>
      </c>
      <c r="J525" s="1">
        <v>67</v>
      </c>
      <c r="K525" s="1">
        <v>104</v>
      </c>
      <c r="L525" s="1">
        <v>3204</v>
      </c>
      <c r="M525" s="1">
        <v>701</v>
      </c>
      <c r="N525" s="1">
        <v>1229</v>
      </c>
      <c r="O525" s="1">
        <v>31575</v>
      </c>
      <c r="P525" s="1">
        <v>10271</v>
      </c>
      <c r="Q525" s="1">
        <v>20515</v>
      </c>
      <c r="R525" s="1">
        <v>638258</v>
      </c>
      <c r="S525" s="1">
        <v>41057</v>
      </c>
      <c r="T525" s="1">
        <v>41057</v>
      </c>
      <c r="U525" s="1">
        <v>41051</v>
      </c>
      <c r="V525" s="1">
        <v>0</v>
      </c>
      <c r="W525" s="1">
        <v>1</v>
      </c>
    </row>
    <row r="526">
      <c r="A526" s="1">
        <v>2018</v>
      </c>
      <c r="B526" s="1">
        <v>41</v>
      </c>
      <c r="C526" t="s">
        <v>3</v>
      </c>
      <c r="D526" s="1">
        <v>59</v>
      </c>
      <c r="E526" t="s">
        <v>140</v>
      </c>
      <c r="F526" s="1">
        <v>41</v>
      </c>
      <c r="G526" t="s">
        <v>3</v>
      </c>
      <c r="H526" s="1">
        <v>51</v>
      </c>
      <c r="I526" t="s">
        <v>6</v>
      </c>
      <c r="J526" s="1">
        <v>51</v>
      </c>
      <c r="K526" s="1">
        <v>81</v>
      </c>
      <c r="L526" s="1">
        <v>2570</v>
      </c>
      <c r="M526" s="1">
        <v>1520</v>
      </c>
      <c r="N526" s="1">
        <v>2976</v>
      </c>
      <c r="O526" s="1">
        <v>65197</v>
      </c>
      <c r="P526" s="1">
        <v>26293</v>
      </c>
      <c r="Q526" s="1">
        <v>59276</v>
      </c>
      <c r="R526" s="1">
        <v>1466837</v>
      </c>
      <c r="S526" s="1">
        <v>41059</v>
      </c>
      <c r="T526" s="1">
        <v>41059</v>
      </c>
      <c r="U526" s="1">
        <v>41051</v>
      </c>
      <c r="V526" s="1">
        <v>0</v>
      </c>
      <c r="W526" s="1">
        <v>1</v>
      </c>
    </row>
    <row r="527">
      <c r="A527" s="1">
        <v>2018</v>
      </c>
      <c r="B527" s="1">
        <v>41</v>
      </c>
      <c r="C527" t="s">
        <v>3</v>
      </c>
      <c r="D527" s="1">
        <v>65</v>
      </c>
      <c r="E527" t="s">
        <v>142</v>
      </c>
      <c r="F527" s="1">
        <v>41</v>
      </c>
      <c r="G527" t="s">
        <v>3</v>
      </c>
      <c r="H527" s="1">
        <v>51</v>
      </c>
      <c r="I527" t="s">
        <v>6</v>
      </c>
      <c r="J527" s="1">
        <v>60</v>
      </c>
      <c r="K527" s="1">
        <v>94</v>
      </c>
      <c r="L527" s="1">
        <v>2420</v>
      </c>
      <c r="M527" s="1">
        <v>700</v>
      </c>
      <c r="N527" s="1">
        <v>1334</v>
      </c>
      <c r="O527" s="1">
        <v>33008</v>
      </c>
      <c r="P527" s="1">
        <v>9616</v>
      </c>
      <c r="Q527" s="1">
        <v>20305</v>
      </c>
      <c r="R527" s="1">
        <v>545079</v>
      </c>
      <c r="S527" s="1">
        <v>41065</v>
      </c>
      <c r="T527" s="1">
        <v>41065</v>
      </c>
      <c r="U527" s="1">
        <v>41051</v>
      </c>
      <c r="V527" s="1">
        <v>0</v>
      </c>
      <c r="W527" s="1">
        <v>1</v>
      </c>
    </row>
    <row r="528">
      <c r="A528" s="1">
        <v>2018</v>
      </c>
      <c r="B528" s="1">
        <v>41</v>
      </c>
      <c r="C528" t="s">
        <v>3</v>
      </c>
      <c r="D528" s="1">
        <v>67</v>
      </c>
      <c r="E528" t="s">
        <v>143</v>
      </c>
      <c r="F528" s="1">
        <v>41</v>
      </c>
      <c r="G528" t="s">
        <v>3</v>
      </c>
      <c r="H528" s="1">
        <v>51</v>
      </c>
      <c r="I528" t="s">
        <v>6</v>
      </c>
      <c r="J528" s="1">
        <v>4386</v>
      </c>
      <c r="K528" s="1">
        <v>6311</v>
      </c>
      <c r="L528" s="1">
        <v>277260</v>
      </c>
      <c r="M528" s="1">
        <v>18994</v>
      </c>
      <c r="N528" s="1">
        <v>33080</v>
      </c>
      <c r="O528" s="1">
        <v>1352103</v>
      </c>
      <c r="P528" s="1">
        <v>233565</v>
      </c>
      <c r="Q528" s="1">
        <v>495695</v>
      </c>
      <c r="R528" s="1">
        <v>22285160</v>
      </c>
      <c r="S528" s="1">
        <v>41067</v>
      </c>
      <c r="T528" s="1">
        <v>41067</v>
      </c>
      <c r="U528" s="1">
        <v>41051</v>
      </c>
      <c r="V528" s="1">
        <v>0</v>
      </c>
      <c r="W528" s="1">
        <v>1</v>
      </c>
    </row>
    <row r="529">
      <c r="A529" s="1">
        <v>2018</v>
      </c>
      <c r="B529" s="1">
        <v>41</v>
      </c>
      <c r="C529" t="s">
        <v>3</v>
      </c>
      <c r="D529" s="1">
        <v>71</v>
      </c>
      <c r="E529" t="s">
        <v>144</v>
      </c>
      <c r="F529" s="1">
        <v>41</v>
      </c>
      <c r="G529" t="s">
        <v>3</v>
      </c>
      <c r="H529" s="1">
        <v>51</v>
      </c>
      <c r="I529" t="s">
        <v>6</v>
      </c>
      <c r="J529" s="1">
        <v>201</v>
      </c>
      <c r="K529" s="1">
        <v>289</v>
      </c>
      <c r="L529" s="1">
        <v>10316</v>
      </c>
      <c r="M529" s="1">
        <v>2750</v>
      </c>
      <c r="N529" s="1">
        <v>4978</v>
      </c>
      <c r="O529" s="1">
        <v>154141</v>
      </c>
      <c r="P529" s="1">
        <v>38011</v>
      </c>
      <c r="Q529" s="1">
        <v>83373</v>
      </c>
      <c r="R529" s="1">
        <v>2756040</v>
      </c>
      <c r="S529" s="1">
        <v>41071</v>
      </c>
      <c r="T529" s="1">
        <v>41071</v>
      </c>
      <c r="U529" s="1">
        <v>41051</v>
      </c>
      <c r="V529" s="1">
        <v>0</v>
      </c>
      <c r="W529" s="1">
        <v>1</v>
      </c>
    </row>
    <row r="530">
      <c r="A530" s="1">
        <v>2018</v>
      </c>
      <c r="B530" s="1">
        <v>42</v>
      </c>
      <c r="C530" t="s">
        <v>34</v>
      </c>
      <c r="D530" s="1">
        <v>3</v>
      </c>
      <c r="E530" t="s">
        <v>145</v>
      </c>
      <c r="F530" s="1">
        <v>41</v>
      </c>
      <c r="G530" t="s">
        <v>3</v>
      </c>
      <c r="H530" s="1">
        <v>51</v>
      </c>
      <c r="I530" t="s">
        <v>6</v>
      </c>
      <c r="J530" s="1">
        <v>48</v>
      </c>
      <c r="K530" s="1">
        <v>58</v>
      </c>
      <c r="L530" s="1">
        <v>3026</v>
      </c>
      <c r="M530" s="1">
        <v>23090</v>
      </c>
      <c r="N530" s="1">
        <v>37602</v>
      </c>
      <c r="O530" s="1">
        <v>1733153</v>
      </c>
      <c r="P530" s="1">
        <v>527514</v>
      </c>
      <c r="Q530" s="1">
        <v>998737</v>
      </c>
      <c r="R530" s="1">
        <v>44627464</v>
      </c>
      <c r="S530" s="1">
        <v>42003</v>
      </c>
      <c r="T530" s="1">
        <v>42003</v>
      </c>
      <c r="U530" s="1">
        <v>41051</v>
      </c>
      <c r="V530" s="1">
        <v>0</v>
      </c>
      <c r="W530" s="1">
        <v>1</v>
      </c>
    </row>
    <row r="531">
      <c r="A531" s="1">
        <v>2018</v>
      </c>
      <c r="B531" s="1">
        <v>42</v>
      </c>
      <c r="C531" t="s">
        <v>34</v>
      </c>
      <c r="D531" s="1">
        <v>101</v>
      </c>
      <c r="E531" t="s">
        <v>146</v>
      </c>
      <c r="F531" s="1">
        <v>41</v>
      </c>
      <c r="G531" t="s">
        <v>3</v>
      </c>
      <c r="H531" s="1">
        <v>51</v>
      </c>
      <c r="I531" t="s">
        <v>6</v>
      </c>
      <c r="J531" s="1">
        <v>86</v>
      </c>
      <c r="K531" s="1">
        <v>113</v>
      </c>
      <c r="L531" s="1">
        <v>4890</v>
      </c>
      <c r="M531" s="1">
        <v>35892</v>
      </c>
      <c r="N531" s="1">
        <v>61031</v>
      </c>
      <c r="O531" s="1">
        <v>2318078</v>
      </c>
      <c r="P531" s="1">
        <v>562489</v>
      </c>
      <c r="Q531" s="1">
        <v>1063321</v>
      </c>
      <c r="R531" s="1">
        <v>32771902</v>
      </c>
      <c r="S531" s="1">
        <v>42101</v>
      </c>
      <c r="T531" s="1">
        <v>42101</v>
      </c>
      <c r="U531" s="1">
        <v>41051</v>
      </c>
      <c r="V531" s="1">
        <v>0</v>
      </c>
      <c r="W531" s="1">
        <v>1</v>
      </c>
    </row>
    <row r="532">
      <c r="A532" s="1">
        <v>2018</v>
      </c>
      <c r="B532" s="1">
        <v>44</v>
      </c>
      <c r="C532" t="s">
        <v>48</v>
      </c>
      <c r="D532" s="1">
        <v>7</v>
      </c>
      <c r="E532" t="s">
        <v>212</v>
      </c>
      <c r="F532" s="1">
        <v>41</v>
      </c>
      <c r="G532" t="s">
        <v>3</v>
      </c>
      <c r="H532" s="1">
        <v>51</v>
      </c>
      <c r="I532" t="s">
        <v>6</v>
      </c>
      <c r="J532" s="1">
        <v>22</v>
      </c>
      <c r="K532" s="1">
        <v>25</v>
      </c>
      <c r="L532" s="1">
        <v>1030</v>
      </c>
      <c r="M532" s="1">
        <v>13416</v>
      </c>
      <c r="N532" s="1">
        <v>21972</v>
      </c>
      <c r="O532" s="1">
        <v>882069</v>
      </c>
      <c r="P532" s="1">
        <v>259052</v>
      </c>
      <c r="Q532" s="1">
        <v>497179</v>
      </c>
      <c r="R532" s="1">
        <v>16739347</v>
      </c>
      <c r="S532" s="1">
        <v>44007</v>
      </c>
      <c r="T532" s="1">
        <v>44007</v>
      </c>
      <c r="U532" s="1">
        <v>41051</v>
      </c>
      <c r="V532" s="1">
        <v>0</v>
      </c>
      <c r="W532" s="1">
        <v>1</v>
      </c>
    </row>
    <row r="533">
      <c r="A533" s="1">
        <v>2018</v>
      </c>
      <c r="B533" s="1">
        <v>45</v>
      </c>
      <c r="C533" t="s">
        <v>49</v>
      </c>
      <c r="D533" s="1">
        <v>19</v>
      </c>
      <c r="E533" t="s">
        <v>213</v>
      </c>
      <c r="F533" s="1">
        <v>41</v>
      </c>
      <c r="G533" t="s">
        <v>3</v>
      </c>
      <c r="H533" s="1">
        <v>51</v>
      </c>
      <c r="I533" t="s">
        <v>6</v>
      </c>
      <c r="J533" s="1">
        <v>34</v>
      </c>
      <c r="K533" s="1">
        <v>41</v>
      </c>
      <c r="L533" s="1">
        <v>1611</v>
      </c>
      <c r="M533" s="1">
        <v>14357</v>
      </c>
      <c r="N533" s="1">
        <v>25005</v>
      </c>
      <c r="O533" s="1">
        <v>880033</v>
      </c>
      <c r="P533" s="1">
        <v>156159</v>
      </c>
      <c r="Q533" s="1">
        <v>302760</v>
      </c>
      <c r="R533" s="1">
        <v>14420212</v>
      </c>
      <c r="S533" s="1">
        <v>45019</v>
      </c>
      <c r="T533" s="1">
        <v>45019</v>
      </c>
      <c r="U533" s="1">
        <v>41051</v>
      </c>
      <c r="V533" s="1">
        <v>0</v>
      </c>
      <c r="W533" s="1">
        <v>1</v>
      </c>
    </row>
    <row r="534">
      <c r="A534" s="1">
        <v>2018</v>
      </c>
      <c r="B534" s="1">
        <v>47</v>
      </c>
      <c r="C534" t="s">
        <v>35</v>
      </c>
      <c r="D534" s="1">
        <v>37</v>
      </c>
      <c r="E534" t="s">
        <v>147</v>
      </c>
      <c r="F534" s="1">
        <v>41</v>
      </c>
      <c r="G534" t="s">
        <v>3</v>
      </c>
      <c r="H534" s="1">
        <v>51</v>
      </c>
      <c r="I534" t="s">
        <v>6</v>
      </c>
      <c r="J534" s="1">
        <v>69</v>
      </c>
      <c r="K534" s="1">
        <v>95</v>
      </c>
      <c r="L534" s="1">
        <v>5201</v>
      </c>
      <c r="M534" s="1">
        <v>28788</v>
      </c>
      <c r="N534" s="1">
        <v>51007</v>
      </c>
      <c r="O534" s="1">
        <v>1766260</v>
      </c>
      <c r="P534" s="1">
        <v>284839</v>
      </c>
      <c r="Q534" s="1">
        <v>536557</v>
      </c>
      <c r="R534" s="1">
        <v>23337238</v>
      </c>
      <c r="S534" s="1">
        <v>47037</v>
      </c>
      <c r="T534" s="1">
        <v>47037</v>
      </c>
      <c r="U534" s="1">
        <v>41051</v>
      </c>
      <c r="V534" s="1">
        <v>0</v>
      </c>
      <c r="W534" s="1">
        <v>1</v>
      </c>
    </row>
    <row r="535">
      <c r="A535" s="1">
        <v>2018</v>
      </c>
      <c r="B535" s="1">
        <v>48</v>
      </c>
      <c r="C535" t="s">
        <v>36</v>
      </c>
      <c r="D535" s="1">
        <v>29</v>
      </c>
      <c r="E535" t="s">
        <v>149</v>
      </c>
      <c r="F535" s="1">
        <v>41</v>
      </c>
      <c r="G535" t="s">
        <v>3</v>
      </c>
      <c r="H535" s="1">
        <v>51</v>
      </c>
      <c r="I535" t="s">
        <v>6</v>
      </c>
      <c r="J535" s="1">
        <v>48</v>
      </c>
      <c r="K535" s="1">
        <v>80</v>
      </c>
      <c r="L535" s="1">
        <v>3133</v>
      </c>
      <c r="M535" s="1">
        <v>37765</v>
      </c>
      <c r="N535" s="1">
        <v>75104</v>
      </c>
      <c r="O535" s="1">
        <v>2337232</v>
      </c>
      <c r="P535" s="1">
        <v>713016</v>
      </c>
      <c r="Q535" s="1">
        <v>1529999</v>
      </c>
      <c r="R535" s="1">
        <v>46815588</v>
      </c>
      <c r="S535" s="1">
        <v>48029</v>
      </c>
      <c r="T535" s="1">
        <v>48029</v>
      </c>
      <c r="U535" s="1">
        <v>41051</v>
      </c>
      <c r="V535" s="1">
        <v>0</v>
      </c>
      <c r="W535" s="1">
        <v>1</v>
      </c>
    </row>
    <row r="536">
      <c r="A536" s="1">
        <v>2018</v>
      </c>
      <c r="B536" s="1">
        <v>48</v>
      </c>
      <c r="C536" t="s">
        <v>36</v>
      </c>
      <c r="D536" s="1">
        <v>85</v>
      </c>
      <c r="E536" t="s">
        <v>216</v>
      </c>
      <c r="F536" s="1">
        <v>41</v>
      </c>
      <c r="G536" t="s">
        <v>3</v>
      </c>
      <c r="H536" s="1">
        <v>51</v>
      </c>
      <c r="I536" t="s">
        <v>6</v>
      </c>
      <c r="J536" s="1">
        <v>29</v>
      </c>
      <c r="K536" s="1">
        <v>31</v>
      </c>
      <c r="L536" s="1">
        <v>1169</v>
      </c>
      <c r="M536" s="1">
        <v>33124</v>
      </c>
      <c r="N536" s="1">
        <v>62583</v>
      </c>
      <c r="O536" s="1">
        <v>2799188</v>
      </c>
      <c r="P536" s="1">
        <v>354522</v>
      </c>
      <c r="Q536" s="1">
        <v>841164</v>
      </c>
      <c r="R536" s="1">
        <v>40929200</v>
      </c>
      <c r="S536" s="1">
        <v>48085</v>
      </c>
      <c r="T536" s="1">
        <v>48085</v>
      </c>
      <c r="U536" s="1">
        <v>41051</v>
      </c>
      <c r="V536" s="1">
        <v>0</v>
      </c>
      <c r="W536" s="1">
        <v>1</v>
      </c>
    </row>
    <row r="537">
      <c r="A537" s="1">
        <v>2018</v>
      </c>
      <c r="B537" s="1">
        <v>48</v>
      </c>
      <c r="C537" t="s">
        <v>36</v>
      </c>
      <c r="D537" s="1">
        <v>113</v>
      </c>
      <c r="E537" t="s">
        <v>150</v>
      </c>
      <c r="F537" s="1">
        <v>41</v>
      </c>
      <c r="G537" t="s">
        <v>3</v>
      </c>
      <c r="H537" s="1">
        <v>51</v>
      </c>
      <c r="I537" t="s">
        <v>6</v>
      </c>
      <c r="J537" s="1">
        <v>87</v>
      </c>
      <c r="K537" s="1">
        <v>129</v>
      </c>
      <c r="L537" s="1">
        <v>6208</v>
      </c>
      <c r="M537" s="1">
        <v>74616</v>
      </c>
      <c r="N537" s="1">
        <v>140693</v>
      </c>
      <c r="O537" s="1">
        <v>5021466</v>
      </c>
      <c r="P537" s="1">
        <v>966055</v>
      </c>
      <c r="Q537" s="1">
        <v>2098685</v>
      </c>
      <c r="R537" s="1">
        <v>82721696</v>
      </c>
      <c r="S537" s="1">
        <v>48113</v>
      </c>
      <c r="T537" s="1">
        <v>48113</v>
      </c>
      <c r="U537" s="1">
        <v>41051</v>
      </c>
      <c r="V537" s="1">
        <v>0</v>
      </c>
      <c r="W537" s="1">
        <v>1</v>
      </c>
    </row>
    <row r="538">
      <c r="A538" s="1">
        <v>2018</v>
      </c>
      <c r="B538" s="1">
        <v>48</v>
      </c>
      <c r="C538" t="s">
        <v>36</v>
      </c>
      <c r="D538" s="1">
        <v>121</v>
      </c>
      <c r="E538" t="s">
        <v>234</v>
      </c>
      <c r="F538" s="1">
        <v>41</v>
      </c>
      <c r="G538" t="s">
        <v>3</v>
      </c>
      <c r="H538" s="1">
        <v>51</v>
      </c>
      <c r="I538" t="s">
        <v>6</v>
      </c>
      <c r="J538" s="1">
        <v>27</v>
      </c>
      <c r="K538" s="1">
        <v>35</v>
      </c>
      <c r="L538" s="1">
        <v>1207</v>
      </c>
      <c r="M538" s="1">
        <v>30676</v>
      </c>
      <c r="N538" s="1">
        <v>57830</v>
      </c>
      <c r="O538" s="1">
        <v>2278124</v>
      </c>
      <c r="P538" s="1">
        <v>305483</v>
      </c>
      <c r="Q538" s="1">
        <v>699458</v>
      </c>
      <c r="R538" s="1">
        <v>30456194</v>
      </c>
      <c r="S538" s="1">
        <v>48121</v>
      </c>
      <c r="T538" s="1">
        <v>48121</v>
      </c>
      <c r="U538" s="1">
        <v>41051</v>
      </c>
      <c r="V538" s="1">
        <v>0</v>
      </c>
      <c r="W538" s="1">
        <v>1</v>
      </c>
    </row>
    <row r="539">
      <c r="A539" s="1">
        <v>2018</v>
      </c>
      <c r="B539" s="1">
        <v>48</v>
      </c>
      <c r="C539" t="s">
        <v>36</v>
      </c>
      <c r="D539" s="1">
        <v>201</v>
      </c>
      <c r="E539" t="s">
        <v>151</v>
      </c>
      <c r="F539" s="1">
        <v>41</v>
      </c>
      <c r="G539" t="s">
        <v>3</v>
      </c>
      <c r="H539" s="1">
        <v>51</v>
      </c>
      <c r="I539" t="s">
        <v>6</v>
      </c>
      <c r="J539" s="1">
        <v>127</v>
      </c>
      <c r="K539" s="1">
        <v>184</v>
      </c>
      <c r="L539" s="1">
        <v>8912</v>
      </c>
      <c r="M539" s="1">
        <v>93667</v>
      </c>
      <c r="N539" s="1">
        <v>186424</v>
      </c>
      <c r="O539" s="1">
        <v>6733679</v>
      </c>
      <c r="P539" s="1">
        <v>1613405</v>
      </c>
      <c r="Q539" s="1">
        <v>3595212</v>
      </c>
      <c r="R539" s="1">
        <v>126855000</v>
      </c>
      <c r="S539" s="1">
        <v>48201</v>
      </c>
      <c r="T539" s="1">
        <v>48201</v>
      </c>
      <c r="U539" s="1">
        <v>41051</v>
      </c>
      <c r="V539" s="1">
        <v>0</v>
      </c>
      <c r="W539" s="1">
        <v>1</v>
      </c>
    </row>
    <row r="540">
      <c r="A540" s="1">
        <v>2018</v>
      </c>
      <c r="B540" s="1">
        <v>48</v>
      </c>
      <c r="C540" t="s">
        <v>36</v>
      </c>
      <c r="D540" s="1">
        <v>439</v>
      </c>
      <c r="E540" t="s">
        <v>152</v>
      </c>
      <c r="F540" s="1">
        <v>41</v>
      </c>
      <c r="G540" t="s">
        <v>3</v>
      </c>
      <c r="H540" s="1">
        <v>51</v>
      </c>
      <c r="I540" t="s">
        <v>6</v>
      </c>
      <c r="J540" s="1">
        <v>58</v>
      </c>
      <c r="K540" s="1">
        <v>94</v>
      </c>
      <c r="L540" s="1">
        <v>3405</v>
      </c>
      <c r="M540" s="1">
        <v>52180</v>
      </c>
      <c r="N540" s="1">
        <v>102217</v>
      </c>
      <c r="O540" s="1">
        <v>3356602</v>
      </c>
      <c r="P540" s="1">
        <v>758907</v>
      </c>
      <c r="Q540" s="1">
        <v>1691783</v>
      </c>
      <c r="R540" s="1">
        <v>65816716</v>
      </c>
      <c r="S540" s="1">
        <v>48439</v>
      </c>
      <c r="T540" s="1">
        <v>48439</v>
      </c>
      <c r="U540" s="1">
        <v>41051</v>
      </c>
      <c r="V540" s="1">
        <v>0</v>
      </c>
      <c r="W540" s="1">
        <v>1</v>
      </c>
    </row>
    <row r="541">
      <c r="A541" s="1">
        <v>2018</v>
      </c>
      <c r="B541" s="1">
        <v>48</v>
      </c>
      <c r="C541" t="s">
        <v>36</v>
      </c>
      <c r="D541" s="1">
        <v>453</v>
      </c>
      <c r="E541" t="s">
        <v>153</v>
      </c>
      <c r="F541" s="1">
        <v>41</v>
      </c>
      <c r="G541" t="s">
        <v>3</v>
      </c>
      <c r="H541" s="1">
        <v>51</v>
      </c>
      <c r="I541" t="s">
        <v>6</v>
      </c>
      <c r="J541" s="1">
        <v>160</v>
      </c>
      <c r="K541" s="1">
        <v>224</v>
      </c>
      <c r="L541" s="1">
        <v>9950</v>
      </c>
      <c r="M541" s="1">
        <v>47454</v>
      </c>
      <c r="N541" s="1">
        <v>84276</v>
      </c>
      <c r="O541" s="1">
        <v>3232564</v>
      </c>
      <c r="P541" s="1">
        <v>478856</v>
      </c>
      <c r="Q541" s="1">
        <v>952175</v>
      </c>
      <c r="R541" s="1">
        <v>52370128</v>
      </c>
      <c r="S541" s="1">
        <v>48453</v>
      </c>
      <c r="T541" s="1">
        <v>48453</v>
      </c>
      <c r="U541" s="1">
        <v>41051</v>
      </c>
      <c r="V541" s="1">
        <v>0</v>
      </c>
      <c r="W541" s="1">
        <v>1</v>
      </c>
    </row>
    <row r="542">
      <c r="A542" s="1">
        <v>2018</v>
      </c>
      <c r="B542" s="1">
        <v>49</v>
      </c>
      <c r="C542" t="s">
        <v>37</v>
      </c>
      <c r="D542" s="1">
        <v>35</v>
      </c>
      <c r="E542" t="s">
        <v>154</v>
      </c>
      <c r="F542" s="1">
        <v>41</v>
      </c>
      <c r="G542" t="s">
        <v>3</v>
      </c>
      <c r="H542" s="1">
        <v>51</v>
      </c>
      <c r="I542" t="s">
        <v>6</v>
      </c>
      <c r="J542" s="1">
        <v>147</v>
      </c>
      <c r="K542" s="1">
        <v>210</v>
      </c>
      <c r="L542" s="1">
        <v>9593</v>
      </c>
      <c r="M542" s="1">
        <v>24982</v>
      </c>
      <c r="N542" s="1">
        <v>50799</v>
      </c>
      <c r="O542" s="1">
        <v>1554164</v>
      </c>
      <c r="P542" s="1">
        <v>419722</v>
      </c>
      <c r="Q542" s="1">
        <v>961376</v>
      </c>
      <c r="R542" s="1">
        <v>33728872</v>
      </c>
      <c r="S542" s="1">
        <v>49035</v>
      </c>
      <c r="T542" s="1">
        <v>49035</v>
      </c>
      <c r="U542" s="1">
        <v>41051</v>
      </c>
      <c r="V542" s="1">
        <v>0</v>
      </c>
      <c r="W542" s="1">
        <v>1</v>
      </c>
    </row>
    <row r="543">
      <c r="A543" s="1">
        <v>2018</v>
      </c>
      <c r="B543" s="1">
        <v>49</v>
      </c>
      <c r="C543" t="s">
        <v>37</v>
      </c>
      <c r="D543" s="1">
        <v>49</v>
      </c>
      <c r="E543" t="s">
        <v>219</v>
      </c>
      <c r="F543" s="1">
        <v>41</v>
      </c>
      <c r="G543" t="s">
        <v>3</v>
      </c>
      <c r="H543" s="1">
        <v>51</v>
      </c>
      <c r="I543" t="s">
        <v>6</v>
      </c>
      <c r="J543" s="1">
        <v>39</v>
      </c>
      <c r="K543" s="1">
        <v>67</v>
      </c>
      <c r="L543" s="1">
        <v>1707</v>
      </c>
      <c r="M543" s="1">
        <v>13265</v>
      </c>
      <c r="N543" s="1">
        <v>30470</v>
      </c>
      <c r="O543" s="1">
        <v>752080</v>
      </c>
      <c r="P543" s="1">
        <v>180922</v>
      </c>
      <c r="Q543" s="1">
        <v>514232</v>
      </c>
      <c r="R543" s="1">
        <v>15029087</v>
      </c>
      <c r="S543" s="1">
        <v>49049</v>
      </c>
      <c r="T543" s="1">
        <v>49049</v>
      </c>
      <c r="U543" s="1">
        <v>41051</v>
      </c>
      <c r="V543" s="1">
        <v>0</v>
      </c>
      <c r="W543" s="1">
        <v>1</v>
      </c>
    </row>
    <row r="544">
      <c r="A544" s="1">
        <v>2018</v>
      </c>
      <c r="B544" s="1">
        <v>50</v>
      </c>
      <c r="C544" t="s">
        <v>38</v>
      </c>
      <c r="D544" s="1">
        <v>7</v>
      </c>
      <c r="E544" t="s">
        <v>155</v>
      </c>
      <c r="F544" s="1">
        <v>41</v>
      </c>
      <c r="G544" t="s">
        <v>3</v>
      </c>
      <c r="H544" s="1">
        <v>51</v>
      </c>
      <c r="I544" t="s">
        <v>6</v>
      </c>
      <c r="J544" s="1">
        <v>28</v>
      </c>
      <c r="K544" s="1">
        <v>43</v>
      </c>
      <c r="L544" s="1">
        <v>1284</v>
      </c>
      <c r="M544" s="1">
        <v>5116</v>
      </c>
      <c r="N544" s="1">
        <v>7767</v>
      </c>
      <c r="O544" s="1">
        <v>302397</v>
      </c>
      <c r="P544" s="1">
        <v>72429</v>
      </c>
      <c r="Q544" s="1">
        <v>135318</v>
      </c>
      <c r="R544" s="1">
        <v>6140396</v>
      </c>
      <c r="S544" s="1">
        <v>50007</v>
      </c>
      <c r="T544" s="1">
        <v>50007</v>
      </c>
      <c r="U544" s="1">
        <v>41051</v>
      </c>
      <c r="V544" s="1">
        <v>0</v>
      </c>
      <c r="W544" s="1">
        <v>1</v>
      </c>
    </row>
    <row r="545">
      <c r="A545" s="1">
        <v>2018</v>
      </c>
      <c r="B545" s="1">
        <v>51</v>
      </c>
      <c r="C545" t="s">
        <v>39</v>
      </c>
      <c r="D545" s="1">
        <v>13</v>
      </c>
      <c r="E545" t="s">
        <v>221</v>
      </c>
      <c r="F545" s="1">
        <v>41</v>
      </c>
      <c r="G545" t="s">
        <v>3</v>
      </c>
      <c r="H545" s="1">
        <v>51</v>
      </c>
      <c r="I545" t="s">
        <v>6</v>
      </c>
      <c r="J545" s="1">
        <v>28</v>
      </c>
      <c r="K545" s="1">
        <v>38</v>
      </c>
      <c r="L545" s="1">
        <v>2009</v>
      </c>
      <c r="M545" s="1">
        <v>18206</v>
      </c>
      <c r="N545" s="1">
        <v>26666</v>
      </c>
      <c r="O545" s="1">
        <v>1948339</v>
      </c>
      <c r="P545" s="1">
        <v>108622</v>
      </c>
      <c r="Q545" s="1">
        <v>187491</v>
      </c>
      <c r="R545" s="1">
        <v>15128029</v>
      </c>
      <c r="S545" s="1">
        <v>51013</v>
      </c>
      <c r="T545" s="1">
        <v>51013</v>
      </c>
      <c r="U545" s="1">
        <v>41051</v>
      </c>
      <c r="V545" s="1">
        <v>0</v>
      </c>
      <c r="W545" s="1">
        <v>1</v>
      </c>
    </row>
    <row r="546">
      <c r="A546" s="1">
        <v>2018</v>
      </c>
      <c r="B546" s="1">
        <v>51</v>
      </c>
      <c r="C546" t="s">
        <v>39</v>
      </c>
      <c r="D546" s="1">
        <v>59</v>
      </c>
      <c r="E546" t="s">
        <v>156</v>
      </c>
      <c r="F546" s="1">
        <v>41</v>
      </c>
      <c r="G546" t="s">
        <v>3</v>
      </c>
      <c r="H546" s="1">
        <v>51</v>
      </c>
      <c r="I546" t="s">
        <v>6</v>
      </c>
      <c r="J546" s="1">
        <v>49</v>
      </c>
      <c r="K546" s="1">
        <v>81</v>
      </c>
      <c r="L546" s="1">
        <v>3960</v>
      </c>
      <c r="M546" s="1">
        <v>44917</v>
      </c>
      <c r="N546" s="1">
        <v>83153</v>
      </c>
      <c r="O546" s="1">
        <v>4229928</v>
      </c>
      <c r="P546" s="1">
        <v>464813</v>
      </c>
      <c r="Q546" s="1">
        <v>1000324</v>
      </c>
      <c r="R546" s="1">
        <v>63712360</v>
      </c>
      <c r="S546" s="1">
        <v>51059</v>
      </c>
      <c r="T546" s="1">
        <v>51059</v>
      </c>
      <c r="U546" s="1">
        <v>41051</v>
      </c>
      <c r="V546" s="1">
        <v>0</v>
      </c>
      <c r="W546" s="1">
        <v>1</v>
      </c>
    </row>
    <row r="547">
      <c r="A547" s="1">
        <v>2018</v>
      </c>
      <c r="B547" s="1">
        <v>51</v>
      </c>
      <c r="C547" t="s">
        <v>39</v>
      </c>
      <c r="D547" s="1">
        <v>760</v>
      </c>
      <c r="E547" t="s">
        <v>227</v>
      </c>
      <c r="F547" s="1">
        <v>41</v>
      </c>
      <c r="G547" t="s">
        <v>3</v>
      </c>
      <c r="H547" s="1">
        <v>51</v>
      </c>
      <c r="I547" t="s">
        <v>6</v>
      </c>
      <c r="J547" s="1">
        <v>23</v>
      </c>
      <c r="K547" s="1">
        <v>27</v>
      </c>
      <c r="L547" s="1">
        <v>1384</v>
      </c>
      <c r="M547" s="1">
        <v>11508</v>
      </c>
      <c r="N547" s="1">
        <v>18834</v>
      </c>
      <c r="O547" s="1">
        <v>610929</v>
      </c>
      <c r="P547" s="1">
        <v>83336</v>
      </c>
      <c r="Q547" s="1">
        <v>145178</v>
      </c>
      <c r="R547" s="1">
        <v>6343247</v>
      </c>
      <c r="S547" s="1">
        <v>51760</v>
      </c>
      <c r="T547" s="1">
        <v>51760</v>
      </c>
      <c r="U547" s="1">
        <v>41051</v>
      </c>
      <c r="V547" s="1">
        <v>0</v>
      </c>
      <c r="W547" s="1">
        <v>1</v>
      </c>
    </row>
    <row r="548">
      <c r="A548" s="1">
        <v>2018</v>
      </c>
      <c r="B548" s="1">
        <v>53</v>
      </c>
      <c r="C548" t="s">
        <v>40</v>
      </c>
      <c r="D548" s="1">
        <v>5</v>
      </c>
      <c r="E548" t="s">
        <v>124</v>
      </c>
      <c r="F548" s="1">
        <v>41</v>
      </c>
      <c r="G548" t="s">
        <v>3</v>
      </c>
      <c r="H548" s="1">
        <v>51</v>
      </c>
      <c r="I548" t="s">
        <v>6</v>
      </c>
      <c r="J548" s="1">
        <v>39</v>
      </c>
      <c r="K548" s="1">
        <v>58</v>
      </c>
      <c r="L548" s="1">
        <v>1380</v>
      </c>
      <c r="M548" s="1">
        <v>5338</v>
      </c>
      <c r="N548" s="1">
        <v>11067</v>
      </c>
      <c r="O548" s="1">
        <v>331343</v>
      </c>
      <c r="P548" s="1">
        <v>73726</v>
      </c>
      <c r="Q548" s="1">
        <v>168677</v>
      </c>
      <c r="R548" s="1">
        <v>5746012</v>
      </c>
      <c r="S548" s="1">
        <v>53005</v>
      </c>
      <c r="T548" s="1">
        <v>53005</v>
      </c>
      <c r="U548" s="1">
        <v>41051</v>
      </c>
      <c r="V548" s="1">
        <v>0</v>
      </c>
      <c r="W548" s="1">
        <v>1</v>
      </c>
    </row>
    <row r="549">
      <c r="A549" s="1">
        <v>2018</v>
      </c>
      <c r="B549" s="1">
        <v>53</v>
      </c>
      <c r="C549" t="s">
        <v>40</v>
      </c>
      <c r="D549" s="1">
        <v>11</v>
      </c>
      <c r="E549" t="s">
        <v>112</v>
      </c>
      <c r="F549" s="1">
        <v>41</v>
      </c>
      <c r="G549" t="s">
        <v>3</v>
      </c>
      <c r="H549" s="1">
        <v>51</v>
      </c>
      <c r="I549" t="s">
        <v>6</v>
      </c>
      <c r="J549" s="1">
        <v>1783</v>
      </c>
      <c r="K549" s="1">
        <v>2939</v>
      </c>
      <c r="L549" s="1">
        <v>113788</v>
      </c>
      <c r="M549" s="1">
        <v>11574</v>
      </c>
      <c r="N549" s="1">
        <v>21635</v>
      </c>
      <c r="O549" s="1">
        <v>753601</v>
      </c>
      <c r="P549" s="1">
        <v>187174</v>
      </c>
      <c r="Q549" s="1">
        <v>406317</v>
      </c>
      <c r="R549" s="1">
        <v>16195241</v>
      </c>
      <c r="S549" s="1">
        <v>53011</v>
      </c>
      <c r="T549" s="1">
        <v>53011</v>
      </c>
      <c r="U549" s="1">
        <v>41051</v>
      </c>
      <c r="V549" s="1">
        <v>0</v>
      </c>
      <c r="W549" s="1">
        <v>1</v>
      </c>
    </row>
    <row r="550">
      <c r="A550" s="1">
        <v>2018</v>
      </c>
      <c r="B550" s="1">
        <v>53</v>
      </c>
      <c r="C550" t="s">
        <v>40</v>
      </c>
      <c r="D550" s="1">
        <v>15</v>
      </c>
      <c r="E550" t="s">
        <v>157</v>
      </c>
      <c r="F550" s="1">
        <v>41</v>
      </c>
      <c r="G550" t="s">
        <v>3</v>
      </c>
      <c r="H550" s="1">
        <v>51</v>
      </c>
      <c r="I550" t="s">
        <v>6</v>
      </c>
      <c r="J550" s="1">
        <v>108</v>
      </c>
      <c r="K550" s="1">
        <v>165</v>
      </c>
      <c r="L550" s="1">
        <v>4075</v>
      </c>
      <c r="M550" s="1">
        <v>2567</v>
      </c>
      <c r="N550" s="1">
        <v>4846</v>
      </c>
      <c r="O550" s="1">
        <v>127460</v>
      </c>
      <c r="P550" s="1">
        <v>39843</v>
      </c>
      <c r="Q550" s="1">
        <v>85132</v>
      </c>
      <c r="R550" s="1">
        <v>2524887</v>
      </c>
      <c r="S550" s="1">
        <v>53015</v>
      </c>
      <c r="T550" s="1">
        <v>53015</v>
      </c>
      <c r="U550" s="1">
        <v>41051</v>
      </c>
      <c r="V550" s="1">
        <v>0</v>
      </c>
      <c r="W550" s="1">
        <v>1</v>
      </c>
    </row>
    <row r="551">
      <c r="A551" s="1">
        <v>2018</v>
      </c>
      <c r="B551" s="1">
        <v>53</v>
      </c>
      <c r="C551" t="s">
        <v>40</v>
      </c>
      <c r="D551" s="1">
        <v>33</v>
      </c>
      <c r="E551" t="s">
        <v>160</v>
      </c>
      <c r="F551" s="1">
        <v>41</v>
      </c>
      <c r="G551" t="s">
        <v>3</v>
      </c>
      <c r="H551" s="1">
        <v>51</v>
      </c>
      <c r="I551" t="s">
        <v>6</v>
      </c>
      <c r="J551" s="1">
        <v>929</v>
      </c>
      <c r="K551" s="1">
        <v>1322</v>
      </c>
      <c r="L551" s="1">
        <v>69617</v>
      </c>
      <c r="M551" s="1">
        <v>64569</v>
      </c>
      <c r="N551" s="1">
        <v>111619</v>
      </c>
      <c r="O551" s="1">
        <v>5725218</v>
      </c>
      <c r="P551" s="1">
        <v>935544</v>
      </c>
      <c r="Q551" s="1">
        <v>1849084</v>
      </c>
      <c r="R551" s="1">
        <v>124471416</v>
      </c>
      <c r="S551" s="1">
        <v>53033</v>
      </c>
      <c r="T551" s="1">
        <v>53033</v>
      </c>
      <c r="U551" s="1">
        <v>41051</v>
      </c>
      <c r="V551" s="1">
        <v>0</v>
      </c>
      <c r="W551" s="1">
        <v>1</v>
      </c>
    </row>
    <row r="552">
      <c r="A552" s="1">
        <v>2018</v>
      </c>
      <c r="B552" s="1">
        <v>53</v>
      </c>
      <c r="C552" t="s">
        <v>40</v>
      </c>
      <c r="D552" s="1">
        <v>35</v>
      </c>
      <c r="E552" t="s">
        <v>161</v>
      </c>
      <c r="F552" s="1">
        <v>41</v>
      </c>
      <c r="G552" t="s">
        <v>3</v>
      </c>
      <c r="H552" s="1">
        <v>51</v>
      </c>
      <c r="I552" t="s">
        <v>6</v>
      </c>
      <c r="J552" s="1">
        <v>55</v>
      </c>
      <c r="K552" s="1">
        <v>77</v>
      </c>
      <c r="L552" s="1">
        <v>3169</v>
      </c>
      <c r="M552" s="1">
        <v>8397</v>
      </c>
      <c r="N552" s="1">
        <v>16156</v>
      </c>
      <c r="O552" s="1">
        <v>503971</v>
      </c>
      <c r="P552" s="1">
        <v>107533</v>
      </c>
      <c r="Q552" s="1">
        <v>221053</v>
      </c>
      <c r="R552" s="1">
        <v>8976338</v>
      </c>
      <c r="S552" s="1">
        <v>53035</v>
      </c>
      <c r="T552" s="1">
        <v>53035</v>
      </c>
      <c r="U552" s="1">
        <v>41051</v>
      </c>
      <c r="V552" s="1">
        <v>0</v>
      </c>
      <c r="W552" s="1">
        <v>1</v>
      </c>
    </row>
    <row r="553">
      <c r="A553" s="1">
        <v>2018</v>
      </c>
      <c r="B553" s="1">
        <v>53</v>
      </c>
      <c r="C553" t="s">
        <v>40</v>
      </c>
      <c r="D553" s="1">
        <v>39</v>
      </c>
      <c r="E553" t="s">
        <v>162</v>
      </c>
      <c r="F553" s="1">
        <v>41</v>
      </c>
      <c r="G553" t="s">
        <v>3</v>
      </c>
      <c r="H553" s="1">
        <v>51</v>
      </c>
      <c r="I553" t="s">
        <v>6</v>
      </c>
      <c r="J553" s="1">
        <v>22</v>
      </c>
      <c r="K553" s="1">
        <v>35</v>
      </c>
      <c r="L553" s="1">
        <v>1744</v>
      </c>
      <c r="M553" s="1">
        <v>581</v>
      </c>
      <c r="N553" s="1">
        <v>1115</v>
      </c>
      <c r="O553" s="1">
        <v>33045</v>
      </c>
      <c r="P553" s="1">
        <v>8460</v>
      </c>
      <c r="Q553" s="1">
        <v>17931</v>
      </c>
      <c r="R553" s="1">
        <v>624284</v>
      </c>
      <c r="S553" s="1">
        <v>53039</v>
      </c>
      <c r="T553" s="1">
        <v>53039</v>
      </c>
      <c r="U553" s="1">
        <v>41051</v>
      </c>
      <c r="V553" s="1">
        <v>0</v>
      </c>
      <c r="W553" s="1">
        <v>1</v>
      </c>
    </row>
    <row r="554">
      <c r="A554" s="1">
        <v>2018</v>
      </c>
      <c r="B554" s="1">
        <v>53</v>
      </c>
      <c r="C554" t="s">
        <v>40</v>
      </c>
      <c r="D554" s="1">
        <v>41</v>
      </c>
      <c r="E554" t="s">
        <v>163</v>
      </c>
      <c r="F554" s="1">
        <v>41</v>
      </c>
      <c r="G554" t="s">
        <v>3</v>
      </c>
      <c r="H554" s="1">
        <v>51</v>
      </c>
      <c r="I554" t="s">
        <v>6</v>
      </c>
      <c r="J554" s="1">
        <v>22</v>
      </c>
      <c r="K554" s="1">
        <v>25</v>
      </c>
      <c r="L554" s="1">
        <v>821</v>
      </c>
      <c r="M554" s="1">
        <v>1792</v>
      </c>
      <c r="N554" s="1">
        <v>3269</v>
      </c>
      <c r="O554" s="1">
        <v>74936</v>
      </c>
      <c r="P554" s="1">
        <v>28964</v>
      </c>
      <c r="Q554" s="1">
        <v>62074</v>
      </c>
      <c r="R554" s="1">
        <v>1680798</v>
      </c>
      <c r="S554" s="1">
        <v>53041</v>
      </c>
      <c r="T554" s="1">
        <v>53041</v>
      </c>
      <c r="U554" s="1">
        <v>41051</v>
      </c>
      <c r="V554" s="1">
        <v>0</v>
      </c>
      <c r="W554" s="1">
        <v>1</v>
      </c>
    </row>
    <row r="555">
      <c r="A555" s="1">
        <v>2018</v>
      </c>
      <c r="B555" s="1">
        <v>53</v>
      </c>
      <c r="C555" t="s">
        <v>40</v>
      </c>
      <c r="D555" s="1">
        <v>53</v>
      </c>
      <c r="E555" t="s">
        <v>165</v>
      </c>
      <c r="F555" s="1">
        <v>41</v>
      </c>
      <c r="G555" t="s">
        <v>3</v>
      </c>
      <c r="H555" s="1">
        <v>51</v>
      </c>
      <c r="I555" t="s">
        <v>6</v>
      </c>
      <c r="J555" s="1">
        <v>175</v>
      </c>
      <c r="K555" s="1">
        <v>247</v>
      </c>
      <c r="L555" s="1">
        <v>7479</v>
      </c>
      <c r="M555" s="1">
        <v>26898</v>
      </c>
      <c r="N555" s="1">
        <v>52979</v>
      </c>
      <c r="O555" s="1">
        <v>1510750</v>
      </c>
      <c r="P555" s="1">
        <v>343920</v>
      </c>
      <c r="Q555" s="1">
        <v>724462</v>
      </c>
      <c r="R555" s="1">
        <v>25931524</v>
      </c>
      <c r="S555" s="1">
        <v>53053</v>
      </c>
      <c r="T555" s="1">
        <v>53053</v>
      </c>
      <c r="U555" s="1">
        <v>41051</v>
      </c>
      <c r="V555" s="1">
        <v>0</v>
      </c>
      <c r="W555" s="1">
        <v>1</v>
      </c>
    </row>
    <row r="556">
      <c r="A556" s="1">
        <v>2018</v>
      </c>
      <c r="B556" s="1">
        <v>53</v>
      </c>
      <c r="C556" t="s">
        <v>40</v>
      </c>
      <c r="D556" s="1">
        <v>59</v>
      </c>
      <c r="E556" t="s">
        <v>166</v>
      </c>
      <c r="F556" s="1">
        <v>41</v>
      </c>
      <c r="G556" t="s">
        <v>3</v>
      </c>
      <c r="H556" s="1">
        <v>51</v>
      </c>
      <c r="I556" t="s">
        <v>6</v>
      </c>
      <c r="J556" s="1">
        <v>24</v>
      </c>
      <c r="K556" s="1">
        <v>35</v>
      </c>
      <c r="L556" s="1">
        <v>1076</v>
      </c>
      <c r="M556" s="1">
        <v>338</v>
      </c>
      <c r="N556" s="1">
        <v>622</v>
      </c>
      <c r="O556" s="1">
        <v>19096</v>
      </c>
      <c r="P556" s="1">
        <v>4179</v>
      </c>
      <c r="Q556" s="1">
        <v>8625</v>
      </c>
      <c r="R556" s="1">
        <v>334219</v>
      </c>
      <c r="S556" s="1">
        <v>53059</v>
      </c>
      <c r="T556" s="1">
        <v>53059</v>
      </c>
      <c r="U556" s="1">
        <v>41051</v>
      </c>
      <c r="V556" s="1">
        <v>0</v>
      </c>
      <c r="W556" s="1">
        <v>1</v>
      </c>
    </row>
    <row r="557">
      <c r="A557" s="1">
        <v>2018</v>
      </c>
      <c r="B557" s="1">
        <v>53</v>
      </c>
      <c r="C557" t="s">
        <v>40</v>
      </c>
      <c r="D557" s="1">
        <v>61</v>
      </c>
      <c r="E557" t="s">
        <v>167</v>
      </c>
      <c r="F557" s="1">
        <v>41</v>
      </c>
      <c r="G557" t="s">
        <v>3</v>
      </c>
      <c r="H557" s="1">
        <v>51</v>
      </c>
      <c r="I557" t="s">
        <v>6</v>
      </c>
      <c r="J557" s="1">
        <v>126</v>
      </c>
      <c r="K557" s="1">
        <v>179</v>
      </c>
      <c r="L557" s="1">
        <v>6769</v>
      </c>
      <c r="M557" s="1">
        <v>21973</v>
      </c>
      <c r="N557" s="1">
        <v>39524</v>
      </c>
      <c r="O557" s="1">
        <v>1540385</v>
      </c>
      <c r="P557" s="1">
        <v>319905</v>
      </c>
      <c r="Q557" s="1">
        <v>676542</v>
      </c>
      <c r="R557" s="1">
        <v>27903618</v>
      </c>
      <c r="S557" s="1">
        <v>53061</v>
      </c>
      <c r="T557" s="1">
        <v>53061</v>
      </c>
      <c r="U557" s="1">
        <v>41051</v>
      </c>
      <c r="V557" s="1">
        <v>0</v>
      </c>
      <c r="W557" s="1">
        <v>1</v>
      </c>
    </row>
    <row r="558">
      <c r="A558" s="1">
        <v>2018</v>
      </c>
      <c r="B558" s="1">
        <v>53</v>
      </c>
      <c r="C558" t="s">
        <v>40</v>
      </c>
      <c r="D558" s="1">
        <v>63</v>
      </c>
      <c r="E558" t="s">
        <v>168</v>
      </c>
      <c r="F558" s="1">
        <v>41</v>
      </c>
      <c r="G558" t="s">
        <v>3</v>
      </c>
      <c r="H558" s="1">
        <v>51</v>
      </c>
      <c r="I558" t="s">
        <v>6</v>
      </c>
      <c r="J558" s="1">
        <v>94</v>
      </c>
      <c r="K558" s="1">
        <v>123</v>
      </c>
      <c r="L558" s="1">
        <v>4350</v>
      </c>
      <c r="M558" s="1">
        <v>9558</v>
      </c>
      <c r="N558" s="1">
        <v>17267</v>
      </c>
      <c r="O558" s="1">
        <v>488950</v>
      </c>
      <c r="P558" s="1">
        <v>196273</v>
      </c>
      <c r="Q558" s="1">
        <v>406051</v>
      </c>
      <c r="R558" s="1">
        <v>13669764</v>
      </c>
      <c r="S558" s="1">
        <v>53063</v>
      </c>
      <c r="T558" s="1">
        <v>53063</v>
      </c>
      <c r="U558" s="1">
        <v>41051</v>
      </c>
      <c r="V558" s="1">
        <v>0</v>
      </c>
      <c r="W558" s="1">
        <v>1</v>
      </c>
    </row>
    <row r="559">
      <c r="A559" s="1">
        <v>2018</v>
      </c>
      <c r="B559" s="1">
        <v>53</v>
      </c>
      <c r="C559" t="s">
        <v>40</v>
      </c>
      <c r="D559" s="1">
        <v>67</v>
      </c>
      <c r="E559" t="s">
        <v>169</v>
      </c>
      <c r="F559" s="1">
        <v>41</v>
      </c>
      <c r="G559" t="s">
        <v>3</v>
      </c>
      <c r="H559" s="1">
        <v>51</v>
      </c>
      <c r="I559" t="s">
        <v>6</v>
      </c>
      <c r="J559" s="1">
        <v>103</v>
      </c>
      <c r="K559" s="1">
        <v>151</v>
      </c>
      <c r="L559" s="1">
        <v>3997</v>
      </c>
      <c r="M559" s="1">
        <v>9059</v>
      </c>
      <c r="N559" s="1">
        <v>17625</v>
      </c>
      <c r="O559" s="1">
        <v>509843</v>
      </c>
      <c r="P559" s="1">
        <v>114685</v>
      </c>
      <c r="Q559" s="1">
        <v>234387</v>
      </c>
      <c r="R559" s="1">
        <v>8416564</v>
      </c>
      <c r="S559" s="1">
        <v>53067</v>
      </c>
      <c r="T559" s="1">
        <v>53067</v>
      </c>
      <c r="U559" s="1">
        <v>41051</v>
      </c>
      <c r="V559" s="1">
        <v>0</v>
      </c>
      <c r="W559" s="1">
        <v>1</v>
      </c>
    </row>
    <row r="560">
      <c r="A560" s="1">
        <v>2018</v>
      </c>
      <c r="B560" s="1">
        <v>53</v>
      </c>
      <c r="C560" t="s">
        <v>40</v>
      </c>
      <c r="D560" s="1">
        <v>71</v>
      </c>
      <c r="E560" t="s">
        <v>170</v>
      </c>
      <c r="F560" s="1">
        <v>41</v>
      </c>
      <c r="G560" t="s">
        <v>3</v>
      </c>
      <c r="H560" s="1">
        <v>51</v>
      </c>
      <c r="I560" t="s">
        <v>6</v>
      </c>
      <c r="J560" s="1">
        <v>28</v>
      </c>
      <c r="K560" s="1">
        <v>40</v>
      </c>
      <c r="L560" s="1">
        <v>1018</v>
      </c>
      <c r="M560" s="1">
        <v>1367</v>
      </c>
      <c r="N560" s="1">
        <v>2533</v>
      </c>
      <c r="O560" s="1">
        <v>68826</v>
      </c>
      <c r="P560" s="1">
        <v>21643</v>
      </c>
      <c r="Q560" s="1">
        <v>46873</v>
      </c>
      <c r="R560" s="1">
        <v>1451175</v>
      </c>
      <c r="S560" s="1">
        <v>53071</v>
      </c>
      <c r="T560" s="1">
        <v>53071</v>
      </c>
      <c r="U560" s="1">
        <v>41051</v>
      </c>
      <c r="V560" s="1">
        <v>0</v>
      </c>
      <c r="W560" s="1">
        <v>1</v>
      </c>
    </row>
    <row r="561">
      <c r="A561" s="1">
        <v>2018</v>
      </c>
      <c r="B561" s="1">
        <v>53</v>
      </c>
      <c r="C561" t="s">
        <v>40</v>
      </c>
      <c r="D561" s="1">
        <v>73</v>
      </c>
      <c r="E561" t="s">
        <v>171</v>
      </c>
      <c r="F561" s="1">
        <v>41</v>
      </c>
      <c r="G561" t="s">
        <v>3</v>
      </c>
      <c r="H561" s="1">
        <v>51</v>
      </c>
      <c r="I561" t="s">
        <v>6</v>
      </c>
      <c r="J561" s="1">
        <v>81</v>
      </c>
      <c r="K561" s="1">
        <v>100</v>
      </c>
      <c r="L561" s="1">
        <v>3564</v>
      </c>
      <c r="M561" s="1">
        <v>4917</v>
      </c>
      <c r="N561" s="1">
        <v>7835</v>
      </c>
      <c r="O561" s="1">
        <v>265593</v>
      </c>
      <c r="P561" s="1">
        <v>85985</v>
      </c>
      <c r="Q561" s="1">
        <v>172292</v>
      </c>
      <c r="R561" s="1">
        <v>6359609</v>
      </c>
      <c r="S561" s="1">
        <v>53073</v>
      </c>
      <c r="T561" s="1">
        <v>53073</v>
      </c>
      <c r="U561" s="1">
        <v>41051</v>
      </c>
      <c r="V561" s="1">
        <v>0</v>
      </c>
      <c r="W561" s="1">
        <v>1</v>
      </c>
    </row>
    <row r="562">
      <c r="A562" s="1">
        <v>2018</v>
      </c>
      <c r="B562" s="1">
        <v>53</v>
      </c>
      <c r="C562" t="s">
        <v>40</v>
      </c>
      <c r="D562" s="1">
        <v>77</v>
      </c>
      <c r="E562" t="s">
        <v>172</v>
      </c>
      <c r="F562" s="1">
        <v>41</v>
      </c>
      <c r="G562" t="s">
        <v>3</v>
      </c>
      <c r="H562" s="1">
        <v>51</v>
      </c>
      <c r="I562" t="s">
        <v>6</v>
      </c>
      <c r="J562" s="1">
        <v>29</v>
      </c>
      <c r="K562" s="1">
        <v>57</v>
      </c>
      <c r="L562" s="1">
        <v>703</v>
      </c>
      <c r="M562" s="1">
        <v>3629</v>
      </c>
      <c r="N562" s="1">
        <v>7437</v>
      </c>
      <c r="O562" s="1">
        <v>159098</v>
      </c>
      <c r="P562" s="1">
        <v>90770</v>
      </c>
      <c r="Q562" s="1">
        <v>219441</v>
      </c>
      <c r="R562" s="1">
        <v>5215335</v>
      </c>
      <c r="S562" s="1">
        <v>53077</v>
      </c>
      <c r="T562" s="1">
        <v>53077</v>
      </c>
      <c r="U562" s="1">
        <v>41051</v>
      </c>
      <c r="V562" s="1">
        <v>0</v>
      </c>
      <c r="W562" s="1">
        <v>1</v>
      </c>
    </row>
    <row r="563">
      <c r="A563" s="1">
        <v>2018</v>
      </c>
      <c r="B563" s="1">
        <v>55</v>
      </c>
      <c r="C563" t="s">
        <v>41</v>
      </c>
      <c r="D563" s="1">
        <v>25</v>
      </c>
      <c r="E563" t="s">
        <v>173</v>
      </c>
      <c r="F563" s="1">
        <v>41</v>
      </c>
      <c r="G563" t="s">
        <v>3</v>
      </c>
      <c r="H563" s="1">
        <v>51</v>
      </c>
      <c r="I563" t="s">
        <v>6</v>
      </c>
      <c r="J563" s="1">
        <v>76</v>
      </c>
      <c r="K563" s="1">
        <v>96</v>
      </c>
      <c r="L563" s="1">
        <v>4349</v>
      </c>
      <c r="M563" s="1">
        <v>14573</v>
      </c>
      <c r="N563" s="1">
        <v>22827</v>
      </c>
      <c r="O563" s="1">
        <v>966113</v>
      </c>
      <c r="P563" s="1">
        <v>232871</v>
      </c>
      <c r="Q563" s="1">
        <v>454141</v>
      </c>
      <c r="R563" s="1">
        <v>20984584</v>
      </c>
      <c r="S563" s="1">
        <v>55025</v>
      </c>
      <c r="T563" s="1">
        <v>55025</v>
      </c>
      <c r="U563" s="1">
        <v>41051</v>
      </c>
      <c r="V563" s="1">
        <v>0</v>
      </c>
      <c r="W563" s="1">
        <v>1</v>
      </c>
    </row>
    <row r="564">
      <c r="A564" s="1">
        <v>2018</v>
      </c>
      <c r="B564" s="1">
        <v>55</v>
      </c>
      <c r="C564" t="s">
        <v>41</v>
      </c>
      <c r="D564" s="1">
        <v>79</v>
      </c>
      <c r="E564" t="s">
        <v>174</v>
      </c>
      <c r="F564" s="1">
        <v>41</v>
      </c>
      <c r="G564" t="s">
        <v>3</v>
      </c>
      <c r="H564" s="1">
        <v>51</v>
      </c>
      <c r="I564" t="s">
        <v>6</v>
      </c>
      <c r="J564" s="1">
        <v>66</v>
      </c>
      <c r="K564" s="1">
        <v>94</v>
      </c>
      <c r="L564" s="1">
        <v>3164</v>
      </c>
      <c r="M564" s="1">
        <v>20198</v>
      </c>
      <c r="N564" s="1">
        <v>35289</v>
      </c>
      <c r="O564" s="1">
        <v>1373057</v>
      </c>
      <c r="P564" s="1">
        <v>367240</v>
      </c>
      <c r="Q564" s="1">
        <v>735945</v>
      </c>
      <c r="R564" s="1">
        <v>23514828</v>
      </c>
      <c r="S564" s="1">
        <v>55079</v>
      </c>
      <c r="T564" s="1">
        <v>55079</v>
      </c>
      <c r="U564" s="1">
        <v>41051</v>
      </c>
      <c r="V564" s="1">
        <v>0</v>
      </c>
      <c r="W564" s="1">
        <v>1</v>
      </c>
    </row>
    <row r="565">
      <c r="A565" s="1">
        <v>2019</v>
      </c>
      <c r="B565" s="1">
        <v>2</v>
      </c>
      <c r="C565" t="s">
        <v>9</v>
      </c>
      <c r="D565" s="1">
        <v>20</v>
      </c>
      <c r="E565" t="s">
        <v>52</v>
      </c>
      <c r="F565" s="1">
        <v>41</v>
      </c>
      <c r="G565" t="s">
        <v>3</v>
      </c>
      <c r="H565" s="1">
        <v>51</v>
      </c>
      <c r="I565" t="s">
        <v>6</v>
      </c>
      <c r="J565" s="1">
        <v>71</v>
      </c>
      <c r="K565" s="1">
        <v>99</v>
      </c>
      <c r="L565" s="1">
        <v>4227</v>
      </c>
      <c r="M565" s="1">
        <v>9090</v>
      </c>
      <c r="N565" s="1">
        <v>17819</v>
      </c>
      <c r="O565" s="1">
        <v>627120</v>
      </c>
      <c r="P565" s="1">
        <v>119233</v>
      </c>
      <c r="Q565" s="1">
        <v>240031</v>
      </c>
      <c r="R565" s="1">
        <v>10950913</v>
      </c>
      <c r="S565" s="1">
        <v>2020</v>
      </c>
      <c r="T565" s="1">
        <v>2020</v>
      </c>
      <c r="U565" s="1">
        <v>41051</v>
      </c>
      <c r="V565" s="1">
        <v>0</v>
      </c>
      <c r="W565" s="1">
        <v>1</v>
      </c>
    </row>
    <row r="566">
      <c r="A566" s="1">
        <v>2019</v>
      </c>
      <c r="B566" s="1">
        <v>4</v>
      </c>
      <c r="C566" t="s">
        <v>10</v>
      </c>
      <c r="D566" s="1">
        <v>5</v>
      </c>
      <c r="E566" t="s">
        <v>175</v>
      </c>
      <c r="F566" s="1">
        <v>41</v>
      </c>
      <c r="G566" t="s">
        <v>3</v>
      </c>
      <c r="H566" s="1">
        <v>51</v>
      </c>
      <c r="I566" t="s">
        <v>6</v>
      </c>
      <c r="J566" s="1">
        <v>29</v>
      </c>
      <c r="K566" s="1">
        <v>35</v>
      </c>
      <c r="L566" s="1">
        <v>1214</v>
      </c>
      <c r="M566" s="1">
        <v>4817</v>
      </c>
      <c r="N566" s="1">
        <v>7877</v>
      </c>
      <c r="O566" s="1">
        <v>260055</v>
      </c>
      <c r="P566" s="1">
        <v>49748</v>
      </c>
      <c r="Q566" s="1">
        <v>100828</v>
      </c>
      <c r="R566" s="1">
        <v>3457003</v>
      </c>
      <c r="S566" s="1">
        <v>4005</v>
      </c>
      <c r="T566" s="1">
        <v>4005</v>
      </c>
      <c r="U566" s="1">
        <v>41051</v>
      </c>
      <c r="V566" s="1">
        <v>0</v>
      </c>
      <c r="W566" s="1">
        <v>1</v>
      </c>
    </row>
    <row r="567">
      <c r="A567" s="1">
        <v>2019</v>
      </c>
      <c r="B567" s="1">
        <v>4</v>
      </c>
      <c r="C567" t="s">
        <v>10</v>
      </c>
      <c r="D567" s="1">
        <v>13</v>
      </c>
      <c r="E567" t="s">
        <v>53</v>
      </c>
      <c r="F567" s="1">
        <v>41</v>
      </c>
      <c r="G567" t="s">
        <v>3</v>
      </c>
      <c r="H567" s="1">
        <v>51</v>
      </c>
      <c r="I567" t="s">
        <v>6</v>
      </c>
      <c r="J567" s="1">
        <v>352</v>
      </c>
      <c r="K567" s="1">
        <v>499</v>
      </c>
      <c r="L567" s="1">
        <v>21510</v>
      </c>
      <c r="M567" s="1">
        <v>66789</v>
      </c>
      <c r="N567" s="1">
        <v>122569</v>
      </c>
      <c r="O567" s="1">
        <v>4613952</v>
      </c>
      <c r="P567" s="1">
        <v>1583235</v>
      </c>
      <c r="Q567" s="1">
        <v>3342599</v>
      </c>
      <c r="R567" s="1">
        <v>131129632</v>
      </c>
      <c r="S567" s="1">
        <v>4013</v>
      </c>
      <c r="T567" s="1">
        <v>4013</v>
      </c>
      <c r="U567" s="1">
        <v>41051</v>
      </c>
      <c r="V567" s="1">
        <v>0</v>
      </c>
      <c r="W567" s="1">
        <v>1</v>
      </c>
    </row>
    <row r="568">
      <c r="A568" s="1">
        <v>2019</v>
      </c>
      <c r="B568" s="1">
        <v>4</v>
      </c>
      <c r="C568" t="s">
        <v>10</v>
      </c>
      <c r="D568" s="1">
        <v>19</v>
      </c>
      <c r="E568" t="s">
        <v>54</v>
      </c>
      <c r="F568" s="1">
        <v>41</v>
      </c>
      <c r="G568" t="s">
        <v>3</v>
      </c>
      <c r="H568" s="1">
        <v>51</v>
      </c>
      <c r="I568" t="s">
        <v>6</v>
      </c>
      <c r="J568" s="1">
        <v>87</v>
      </c>
      <c r="K568" s="1">
        <v>127</v>
      </c>
      <c r="L568" s="1">
        <v>7155</v>
      </c>
      <c r="M568" s="1">
        <v>17520</v>
      </c>
      <c r="N568" s="1">
        <v>31074</v>
      </c>
      <c r="O568" s="1">
        <v>1058338</v>
      </c>
      <c r="P568" s="1">
        <v>383726</v>
      </c>
      <c r="Q568" s="1">
        <v>775623</v>
      </c>
      <c r="R568" s="1">
        <v>26395906</v>
      </c>
      <c r="S568" s="1">
        <v>4019</v>
      </c>
      <c r="T568" s="1">
        <v>4019</v>
      </c>
      <c r="U568" s="1">
        <v>41051</v>
      </c>
      <c r="V568" s="1">
        <v>0</v>
      </c>
      <c r="W568" s="1">
        <v>1</v>
      </c>
    </row>
    <row r="569">
      <c r="A569" s="1">
        <v>2019</v>
      </c>
      <c r="B569" s="1">
        <v>6</v>
      </c>
      <c r="C569" t="s">
        <v>11</v>
      </c>
      <c r="D569" s="1">
        <v>1</v>
      </c>
      <c r="E569" t="s">
        <v>56</v>
      </c>
      <c r="F569" s="1">
        <v>41</v>
      </c>
      <c r="G569" t="s">
        <v>3</v>
      </c>
      <c r="H569" s="1">
        <v>51</v>
      </c>
      <c r="I569" t="s">
        <v>6</v>
      </c>
      <c r="J569" s="1">
        <v>416</v>
      </c>
      <c r="K569" s="1">
        <v>630</v>
      </c>
      <c r="L569" s="1">
        <v>43728</v>
      </c>
      <c r="M569" s="1">
        <v>49338</v>
      </c>
      <c r="N569" s="1">
        <v>85430</v>
      </c>
      <c r="O569" s="1">
        <v>5574266</v>
      </c>
      <c r="P569" s="1">
        <v>678994</v>
      </c>
      <c r="Q569" s="1">
        <v>1387134</v>
      </c>
      <c r="R569" s="1">
        <v>82553304</v>
      </c>
      <c r="S569" s="1">
        <v>6001</v>
      </c>
      <c r="T569" s="1">
        <v>6001</v>
      </c>
      <c r="U569" s="1">
        <v>41051</v>
      </c>
      <c r="V569" s="1">
        <v>0</v>
      </c>
      <c r="W569" s="1">
        <v>1</v>
      </c>
    </row>
    <row r="570">
      <c r="A570" s="1">
        <v>2019</v>
      </c>
      <c r="B570" s="1">
        <v>6</v>
      </c>
      <c r="C570" t="s">
        <v>11</v>
      </c>
      <c r="D570" s="1">
        <v>7</v>
      </c>
      <c r="E570" t="s">
        <v>177</v>
      </c>
      <c r="F570" s="1">
        <v>41</v>
      </c>
      <c r="G570" t="s">
        <v>3</v>
      </c>
      <c r="H570" s="1">
        <v>51</v>
      </c>
      <c r="I570" t="s">
        <v>6</v>
      </c>
      <c r="J570" s="1">
        <v>45</v>
      </c>
      <c r="K570" s="1">
        <v>59</v>
      </c>
      <c r="L570" s="1">
        <v>2146</v>
      </c>
      <c r="M570" s="1">
        <v>8292</v>
      </c>
      <c r="N570" s="1">
        <v>14647</v>
      </c>
      <c r="O570" s="1">
        <v>435017</v>
      </c>
      <c r="P570" s="1">
        <v>77588</v>
      </c>
      <c r="Q570" s="1">
        <v>157167</v>
      </c>
      <c r="R570" s="1">
        <v>5288241</v>
      </c>
      <c r="S570" s="1">
        <v>6007</v>
      </c>
      <c r="T570" s="1">
        <v>6007</v>
      </c>
      <c r="U570" s="1">
        <v>41051</v>
      </c>
      <c r="V570" s="1">
        <v>0</v>
      </c>
      <c r="W570" s="1">
        <v>1</v>
      </c>
    </row>
    <row r="571">
      <c r="A571" s="1">
        <v>2019</v>
      </c>
      <c r="B571" s="1">
        <v>6</v>
      </c>
      <c r="C571" t="s">
        <v>11</v>
      </c>
      <c r="D571" s="1">
        <v>13</v>
      </c>
      <c r="E571" t="s">
        <v>57</v>
      </c>
      <c r="F571" s="1">
        <v>41</v>
      </c>
      <c r="G571" t="s">
        <v>3</v>
      </c>
      <c r="H571" s="1">
        <v>51</v>
      </c>
      <c r="I571" t="s">
        <v>6</v>
      </c>
      <c r="J571" s="1">
        <v>137</v>
      </c>
      <c r="K571" s="1">
        <v>193</v>
      </c>
      <c r="L571" s="1">
        <v>10262</v>
      </c>
      <c r="M571" s="1">
        <v>28588</v>
      </c>
      <c r="N571" s="1">
        <v>50791</v>
      </c>
      <c r="O571" s="1">
        <v>3218688</v>
      </c>
      <c r="P571" s="1">
        <v>463598</v>
      </c>
      <c r="Q571" s="1">
        <v>993213</v>
      </c>
      <c r="R571" s="1">
        <v>62011244</v>
      </c>
      <c r="S571" s="1">
        <v>6013</v>
      </c>
      <c r="T571" s="1">
        <v>6013</v>
      </c>
      <c r="U571" s="1">
        <v>41051</v>
      </c>
      <c r="V571" s="1">
        <v>0</v>
      </c>
      <c r="W571" s="1">
        <v>1</v>
      </c>
    </row>
    <row r="572">
      <c r="A572" s="1">
        <v>2019</v>
      </c>
      <c r="B572" s="1">
        <v>6</v>
      </c>
      <c r="C572" t="s">
        <v>11</v>
      </c>
      <c r="D572" s="1">
        <v>17</v>
      </c>
      <c r="E572" t="s">
        <v>229</v>
      </c>
      <c r="F572" s="1">
        <v>41</v>
      </c>
      <c r="G572" t="s">
        <v>3</v>
      </c>
      <c r="H572" s="1">
        <v>51</v>
      </c>
      <c r="I572" t="s">
        <v>6</v>
      </c>
      <c r="J572" s="1">
        <v>24</v>
      </c>
      <c r="K572" s="1">
        <v>31</v>
      </c>
      <c r="L572" s="1">
        <v>907</v>
      </c>
      <c r="M572" s="1">
        <v>5450</v>
      </c>
      <c r="N572" s="1">
        <v>9348</v>
      </c>
      <c r="O572" s="1">
        <v>450131</v>
      </c>
      <c r="P572" s="1">
        <v>77119</v>
      </c>
      <c r="Q572" s="1">
        <v>161345</v>
      </c>
      <c r="R572" s="1">
        <v>8335787</v>
      </c>
      <c r="S572" s="1">
        <v>6017</v>
      </c>
      <c r="T572" s="1">
        <v>6017</v>
      </c>
      <c r="U572" s="1">
        <v>41051</v>
      </c>
      <c r="V572" s="1">
        <v>0</v>
      </c>
      <c r="W572" s="1">
        <v>1</v>
      </c>
    </row>
    <row r="573">
      <c r="A573" s="1">
        <v>2019</v>
      </c>
      <c r="B573" s="1">
        <v>6</v>
      </c>
      <c r="C573" t="s">
        <v>11</v>
      </c>
      <c r="D573" s="1">
        <v>19</v>
      </c>
      <c r="E573" t="s">
        <v>58</v>
      </c>
      <c r="F573" s="1">
        <v>41</v>
      </c>
      <c r="G573" t="s">
        <v>3</v>
      </c>
      <c r="H573" s="1">
        <v>51</v>
      </c>
      <c r="I573" t="s">
        <v>6</v>
      </c>
      <c r="J573" s="1">
        <v>47</v>
      </c>
      <c r="K573" s="1">
        <v>69</v>
      </c>
      <c r="L573" s="1">
        <v>2412</v>
      </c>
      <c r="M573" s="1">
        <v>11650</v>
      </c>
      <c r="N573" s="1">
        <v>22757</v>
      </c>
      <c r="O573" s="1">
        <v>673920</v>
      </c>
      <c r="P573" s="1">
        <v>333142</v>
      </c>
      <c r="Q573" s="1">
        <v>782879</v>
      </c>
      <c r="R573" s="1">
        <v>21572420</v>
      </c>
      <c r="S573" s="1">
        <v>6019</v>
      </c>
      <c r="T573" s="1">
        <v>6019</v>
      </c>
      <c r="U573" s="1">
        <v>41051</v>
      </c>
      <c r="V573" s="1">
        <v>0</v>
      </c>
      <c r="W573" s="1">
        <v>1</v>
      </c>
    </row>
    <row r="574">
      <c r="A574" s="1">
        <v>2019</v>
      </c>
      <c r="B574" s="1">
        <v>6</v>
      </c>
      <c r="C574" t="s">
        <v>11</v>
      </c>
      <c r="D574" s="1">
        <v>23</v>
      </c>
      <c r="E574" t="s">
        <v>59</v>
      </c>
      <c r="F574" s="1">
        <v>41</v>
      </c>
      <c r="G574" t="s">
        <v>3</v>
      </c>
      <c r="H574" s="1">
        <v>51</v>
      </c>
      <c r="I574" t="s">
        <v>6</v>
      </c>
      <c r="J574" s="1">
        <v>39</v>
      </c>
      <c r="K574" s="1">
        <v>47</v>
      </c>
      <c r="L574" s="1">
        <v>1455</v>
      </c>
      <c r="M574" s="1">
        <v>2766</v>
      </c>
      <c r="N574" s="1">
        <v>4417</v>
      </c>
      <c r="O574" s="1">
        <v>123810</v>
      </c>
      <c r="P574" s="1">
        <v>47564</v>
      </c>
      <c r="Q574" s="1">
        <v>91169</v>
      </c>
      <c r="R574" s="1">
        <v>2924963</v>
      </c>
      <c r="S574" s="1">
        <v>6023</v>
      </c>
      <c r="T574" s="1">
        <v>6023</v>
      </c>
      <c r="U574" s="1">
        <v>41051</v>
      </c>
      <c r="V574" s="1">
        <v>0</v>
      </c>
      <c r="W574" s="1">
        <v>1</v>
      </c>
    </row>
    <row r="575">
      <c r="A575" s="1">
        <v>2019</v>
      </c>
      <c r="B575" s="1">
        <v>6</v>
      </c>
      <c r="C575" t="s">
        <v>11</v>
      </c>
      <c r="D575" s="1">
        <v>29</v>
      </c>
      <c r="E575" t="s">
        <v>60</v>
      </c>
      <c r="F575" s="1">
        <v>41</v>
      </c>
      <c r="G575" t="s">
        <v>3</v>
      </c>
      <c r="H575" s="1">
        <v>51</v>
      </c>
      <c r="I575" t="s">
        <v>6</v>
      </c>
      <c r="J575" s="1">
        <v>31</v>
      </c>
      <c r="K575" s="1">
        <v>60</v>
      </c>
      <c r="L575" s="1">
        <v>1803</v>
      </c>
      <c r="M575" s="1">
        <v>11688</v>
      </c>
      <c r="N575" s="1">
        <v>24282</v>
      </c>
      <c r="O575" s="1">
        <v>699489</v>
      </c>
      <c r="P575" s="1">
        <v>284146</v>
      </c>
      <c r="Q575" s="1">
        <v>688265</v>
      </c>
      <c r="R575" s="1">
        <v>17643672</v>
      </c>
      <c r="S575" s="1">
        <v>6029</v>
      </c>
      <c r="T575" s="1">
        <v>6029</v>
      </c>
      <c r="U575" s="1">
        <v>41051</v>
      </c>
      <c r="V575" s="1">
        <v>0</v>
      </c>
      <c r="W575" s="1">
        <v>1</v>
      </c>
    </row>
    <row r="576">
      <c r="A576" s="1">
        <v>2019</v>
      </c>
      <c r="B576" s="1">
        <v>6</v>
      </c>
      <c r="C576" t="s">
        <v>11</v>
      </c>
      <c r="D576" s="1">
        <v>37</v>
      </c>
      <c r="E576" t="s">
        <v>61</v>
      </c>
      <c r="F576" s="1">
        <v>41</v>
      </c>
      <c r="G576" t="s">
        <v>3</v>
      </c>
      <c r="H576" s="1">
        <v>51</v>
      </c>
      <c r="I576" t="s">
        <v>6</v>
      </c>
      <c r="J576" s="1">
        <v>922</v>
      </c>
      <c r="K576" s="1">
        <v>1299</v>
      </c>
      <c r="L576" s="1">
        <v>70023</v>
      </c>
      <c r="M576" s="1">
        <v>151950</v>
      </c>
      <c r="N576" s="1">
        <v>267656</v>
      </c>
      <c r="O576" s="1">
        <v>12047778</v>
      </c>
      <c r="P576" s="1">
        <v>3920929</v>
      </c>
      <c r="Q576" s="1">
        <v>7936509</v>
      </c>
      <c r="R576" s="1">
        <v>359518464</v>
      </c>
      <c r="S576" s="1">
        <v>6037</v>
      </c>
      <c r="T576" s="1">
        <v>6037</v>
      </c>
      <c r="U576" s="1">
        <v>41051</v>
      </c>
      <c r="V576" s="1">
        <v>0</v>
      </c>
      <c r="W576" s="1">
        <v>1</v>
      </c>
    </row>
    <row r="577">
      <c r="A577" s="1">
        <v>2019</v>
      </c>
      <c r="B577" s="1">
        <v>6</v>
      </c>
      <c r="C577" t="s">
        <v>11</v>
      </c>
      <c r="D577" s="1">
        <v>41</v>
      </c>
      <c r="E577" t="s">
        <v>62</v>
      </c>
      <c r="F577" s="1">
        <v>41</v>
      </c>
      <c r="G577" t="s">
        <v>3</v>
      </c>
      <c r="H577" s="1">
        <v>51</v>
      </c>
      <c r="I577" t="s">
        <v>6</v>
      </c>
      <c r="J577" s="1">
        <v>78</v>
      </c>
      <c r="K577" s="1">
        <v>120</v>
      </c>
      <c r="L577" s="1">
        <v>13275</v>
      </c>
      <c r="M577" s="1">
        <v>7075</v>
      </c>
      <c r="N577" s="1">
        <v>11298</v>
      </c>
      <c r="O577" s="1">
        <v>1489870</v>
      </c>
      <c r="P577" s="1">
        <v>111652</v>
      </c>
      <c r="Q577" s="1">
        <v>221323</v>
      </c>
      <c r="R577" s="1">
        <v>25667392</v>
      </c>
      <c r="S577" s="1">
        <v>6041</v>
      </c>
      <c r="T577" s="1">
        <v>6041</v>
      </c>
      <c r="U577" s="1">
        <v>41051</v>
      </c>
      <c r="V577" s="1">
        <v>0</v>
      </c>
      <c r="W577" s="1">
        <v>1</v>
      </c>
    </row>
    <row r="578">
      <c r="A578" s="1">
        <v>2019</v>
      </c>
      <c r="B578" s="1">
        <v>6</v>
      </c>
      <c r="C578" t="s">
        <v>11</v>
      </c>
      <c r="D578" s="1">
        <v>53</v>
      </c>
      <c r="E578" t="s">
        <v>63</v>
      </c>
      <c r="F578" s="1">
        <v>41</v>
      </c>
      <c r="G578" t="s">
        <v>3</v>
      </c>
      <c r="H578" s="1">
        <v>51</v>
      </c>
      <c r="I578" t="s">
        <v>6</v>
      </c>
      <c r="J578" s="1">
        <v>40</v>
      </c>
      <c r="K578" s="1">
        <v>62</v>
      </c>
      <c r="L578" s="1">
        <v>2292</v>
      </c>
      <c r="M578" s="1">
        <v>8688</v>
      </c>
      <c r="N578" s="1">
        <v>16611</v>
      </c>
      <c r="O578" s="1">
        <v>611890</v>
      </c>
      <c r="P578" s="1">
        <v>162378</v>
      </c>
      <c r="Q578" s="1">
        <v>374248</v>
      </c>
      <c r="R578" s="1">
        <v>13005496</v>
      </c>
      <c r="S578" s="1">
        <v>6053</v>
      </c>
      <c r="T578" s="1">
        <v>6053</v>
      </c>
      <c r="U578" s="1">
        <v>41051</v>
      </c>
      <c r="V578" s="1">
        <v>0</v>
      </c>
      <c r="W578" s="1">
        <v>1</v>
      </c>
    </row>
    <row r="579">
      <c r="A579" s="1">
        <v>2019</v>
      </c>
      <c r="B579" s="1">
        <v>6</v>
      </c>
      <c r="C579" t="s">
        <v>11</v>
      </c>
      <c r="D579" s="1">
        <v>55</v>
      </c>
      <c r="E579" t="s">
        <v>299</v>
      </c>
      <c r="F579" s="1">
        <v>41</v>
      </c>
      <c r="G579" t="s">
        <v>3</v>
      </c>
      <c r="H579" s="1">
        <v>51</v>
      </c>
      <c r="I579" t="s">
        <v>6</v>
      </c>
      <c r="J579" s="1">
        <v>22</v>
      </c>
      <c r="K579" s="1">
        <v>34</v>
      </c>
      <c r="L579" s="1">
        <v>1577</v>
      </c>
      <c r="M579" s="1">
        <v>3582</v>
      </c>
      <c r="N579" s="1">
        <v>6081</v>
      </c>
      <c r="O579" s="1">
        <v>299339</v>
      </c>
      <c r="P579" s="1">
        <v>57152</v>
      </c>
      <c r="Q579" s="1">
        <v>120806</v>
      </c>
      <c r="R579" s="1">
        <v>6388438</v>
      </c>
      <c r="S579" s="1">
        <v>6055</v>
      </c>
      <c r="T579" s="1">
        <v>6055</v>
      </c>
      <c r="U579" s="1">
        <v>41051</v>
      </c>
      <c r="V579" s="1">
        <v>0</v>
      </c>
      <c r="W579" s="1">
        <v>1</v>
      </c>
    </row>
    <row r="580">
      <c r="A580" s="1">
        <v>2019</v>
      </c>
      <c r="B580" s="1">
        <v>6</v>
      </c>
      <c r="C580" t="s">
        <v>11</v>
      </c>
      <c r="D580" s="1">
        <v>57</v>
      </c>
      <c r="E580" t="s">
        <v>230</v>
      </c>
      <c r="F580" s="1">
        <v>41</v>
      </c>
      <c r="G580" t="s">
        <v>3</v>
      </c>
      <c r="H580" s="1">
        <v>51</v>
      </c>
      <c r="I580" t="s">
        <v>6</v>
      </c>
      <c r="J580" s="1">
        <v>30</v>
      </c>
      <c r="K580" s="1">
        <v>35</v>
      </c>
      <c r="L580" s="1">
        <v>1337</v>
      </c>
      <c r="M580" s="1">
        <v>3044</v>
      </c>
      <c r="N580" s="1">
        <v>5072</v>
      </c>
      <c r="O580" s="1">
        <v>249733</v>
      </c>
      <c r="P580" s="1">
        <v>42358</v>
      </c>
      <c r="Q580" s="1">
        <v>81294</v>
      </c>
      <c r="R580" s="1">
        <v>3506961</v>
      </c>
      <c r="S580" s="1">
        <v>6057</v>
      </c>
      <c r="T580" s="1">
        <v>6057</v>
      </c>
      <c r="U580" s="1">
        <v>41051</v>
      </c>
      <c r="V580" s="1">
        <v>0</v>
      </c>
      <c r="W580" s="1">
        <v>1</v>
      </c>
    </row>
    <row r="581">
      <c r="A581" s="1">
        <v>2019</v>
      </c>
      <c r="B581" s="1">
        <v>6</v>
      </c>
      <c r="C581" t="s">
        <v>11</v>
      </c>
      <c r="D581" s="1">
        <v>59</v>
      </c>
      <c r="E581" t="s">
        <v>64</v>
      </c>
      <c r="F581" s="1">
        <v>41</v>
      </c>
      <c r="G581" t="s">
        <v>3</v>
      </c>
      <c r="H581" s="1">
        <v>51</v>
      </c>
      <c r="I581" t="s">
        <v>6</v>
      </c>
      <c r="J581" s="1">
        <v>311</v>
      </c>
      <c r="K581" s="1">
        <v>394</v>
      </c>
      <c r="L581" s="1">
        <v>17981</v>
      </c>
      <c r="M581" s="1">
        <v>63985</v>
      </c>
      <c r="N581" s="1">
        <v>112120</v>
      </c>
      <c r="O581" s="1">
        <v>5161229</v>
      </c>
      <c r="P581" s="1">
        <v>1271331</v>
      </c>
      <c r="Q581" s="1">
        <v>2680349</v>
      </c>
      <c r="R581" s="1">
        <v>136377616</v>
      </c>
      <c r="S581" s="1">
        <v>6059</v>
      </c>
      <c r="T581" s="1">
        <v>6059</v>
      </c>
      <c r="U581" s="1">
        <v>41051</v>
      </c>
      <c r="V581" s="1">
        <v>0</v>
      </c>
      <c r="W581" s="1">
        <v>1</v>
      </c>
    </row>
    <row r="582">
      <c r="A582" s="1">
        <v>2019</v>
      </c>
      <c r="B582" s="1">
        <v>6</v>
      </c>
      <c r="C582" t="s">
        <v>11</v>
      </c>
      <c r="D582" s="1">
        <v>61</v>
      </c>
      <c r="E582" t="s">
        <v>65</v>
      </c>
      <c r="F582" s="1">
        <v>41</v>
      </c>
      <c r="G582" t="s">
        <v>3</v>
      </c>
      <c r="H582" s="1">
        <v>51</v>
      </c>
      <c r="I582" t="s">
        <v>6</v>
      </c>
      <c r="J582" s="1">
        <v>40</v>
      </c>
      <c r="K582" s="1">
        <v>57</v>
      </c>
      <c r="L582" s="1">
        <v>2022</v>
      </c>
      <c r="M582" s="1">
        <v>11585</v>
      </c>
      <c r="N582" s="1">
        <v>20286</v>
      </c>
      <c r="O582" s="1">
        <v>843661</v>
      </c>
      <c r="P582" s="1">
        <v>156753</v>
      </c>
      <c r="Q582" s="1">
        <v>339247</v>
      </c>
      <c r="R582" s="1">
        <v>16992776</v>
      </c>
      <c r="S582" s="1">
        <v>6061</v>
      </c>
      <c r="T582" s="1">
        <v>6061</v>
      </c>
      <c r="U582" s="1">
        <v>41051</v>
      </c>
      <c r="V582" s="1">
        <v>0</v>
      </c>
      <c r="W582" s="1">
        <v>1</v>
      </c>
    </row>
    <row r="583">
      <c r="A583" s="1">
        <v>2019</v>
      </c>
      <c r="B583" s="1">
        <v>6</v>
      </c>
      <c r="C583" t="s">
        <v>11</v>
      </c>
      <c r="D583" s="1">
        <v>65</v>
      </c>
      <c r="E583" t="s">
        <v>66</v>
      </c>
      <c r="F583" s="1">
        <v>41</v>
      </c>
      <c r="G583" t="s">
        <v>3</v>
      </c>
      <c r="H583" s="1">
        <v>51</v>
      </c>
      <c r="I583" t="s">
        <v>6</v>
      </c>
      <c r="J583" s="1">
        <v>114</v>
      </c>
      <c r="K583" s="1">
        <v>155</v>
      </c>
      <c r="L583" s="1">
        <v>7181</v>
      </c>
      <c r="M583" s="1">
        <v>48359</v>
      </c>
      <c r="N583" s="1">
        <v>93100</v>
      </c>
      <c r="O583" s="1">
        <v>2939932</v>
      </c>
      <c r="P583" s="1">
        <v>835825</v>
      </c>
      <c r="Q583" s="1">
        <v>1901969</v>
      </c>
      <c r="R583" s="1">
        <v>55908388</v>
      </c>
      <c r="S583" s="1">
        <v>6065</v>
      </c>
      <c r="T583" s="1">
        <v>6065</v>
      </c>
      <c r="U583" s="1">
        <v>41051</v>
      </c>
      <c r="V583" s="1">
        <v>0</v>
      </c>
      <c r="W583" s="1">
        <v>1</v>
      </c>
    </row>
    <row r="584">
      <c r="A584" s="1">
        <v>2019</v>
      </c>
      <c r="B584" s="1">
        <v>6</v>
      </c>
      <c r="C584" t="s">
        <v>11</v>
      </c>
      <c r="D584" s="1">
        <v>67</v>
      </c>
      <c r="E584" t="s">
        <v>67</v>
      </c>
      <c r="F584" s="1">
        <v>41</v>
      </c>
      <c r="G584" t="s">
        <v>3</v>
      </c>
      <c r="H584" s="1">
        <v>51</v>
      </c>
      <c r="I584" t="s">
        <v>6</v>
      </c>
      <c r="J584" s="1">
        <v>153</v>
      </c>
      <c r="K584" s="1">
        <v>217</v>
      </c>
      <c r="L584" s="1">
        <v>8265</v>
      </c>
      <c r="M584" s="1">
        <v>31036</v>
      </c>
      <c r="N584" s="1">
        <v>55637</v>
      </c>
      <c r="O584" s="1">
        <v>2016997</v>
      </c>
      <c r="P584" s="1">
        <v>587684</v>
      </c>
      <c r="Q584" s="1">
        <v>1241620</v>
      </c>
      <c r="R584" s="1">
        <v>44010784</v>
      </c>
      <c r="S584" s="1">
        <v>6067</v>
      </c>
      <c r="T584" s="1">
        <v>6067</v>
      </c>
      <c r="U584" s="1">
        <v>41051</v>
      </c>
      <c r="V584" s="1">
        <v>0</v>
      </c>
      <c r="W584" s="1">
        <v>1</v>
      </c>
    </row>
    <row r="585">
      <c r="A585" s="1">
        <v>2019</v>
      </c>
      <c r="B585" s="1">
        <v>6</v>
      </c>
      <c r="C585" t="s">
        <v>11</v>
      </c>
      <c r="D585" s="1">
        <v>71</v>
      </c>
      <c r="E585" t="s">
        <v>68</v>
      </c>
      <c r="F585" s="1">
        <v>41</v>
      </c>
      <c r="G585" t="s">
        <v>3</v>
      </c>
      <c r="H585" s="1">
        <v>51</v>
      </c>
      <c r="I585" t="s">
        <v>6</v>
      </c>
      <c r="J585" s="1">
        <v>111</v>
      </c>
      <c r="K585" s="1">
        <v>149</v>
      </c>
      <c r="L585" s="1">
        <v>4047</v>
      </c>
      <c r="M585" s="1">
        <v>45644</v>
      </c>
      <c r="N585" s="1">
        <v>90025</v>
      </c>
      <c r="O585" s="1">
        <v>2469531</v>
      </c>
      <c r="P585" s="1">
        <v>756557</v>
      </c>
      <c r="Q585" s="1">
        <v>1710755</v>
      </c>
      <c r="R585" s="1">
        <v>47130424</v>
      </c>
      <c r="S585" s="1">
        <v>6071</v>
      </c>
      <c r="T585" s="1">
        <v>6071</v>
      </c>
      <c r="U585" s="1">
        <v>41051</v>
      </c>
      <c r="V585" s="1">
        <v>0</v>
      </c>
      <c r="W585" s="1">
        <v>1</v>
      </c>
    </row>
    <row r="586">
      <c r="A586" s="1">
        <v>2019</v>
      </c>
      <c r="B586" s="1">
        <v>6</v>
      </c>
      <c r="C586" t="s">
        <v>11</v>
      </c>
      <c r="D586" s="1">
        <v>73</v>
      </c>
      <c r="E586" t="s">
        <v>69</v>
      </c>
      <c r="F586" s="1">
        <v>41</v>
      </c>
      <c r="G586" t="s">
        <v>3</v>
      </c>
      <c r="H586" s="1">
        <v>51</v>
      </c>
      <c r="I586" t="s">
        <v>6</v>
      </c>
      <c r="J586" s="1">
        <v>428</v>
      </c>
      <c r="K586" s="1">
        <v>574</v>
      </c>
      <c r="L586" s="1">
        <v>25053</v>
      </c>
      <c r="M586" s="1">
        <v>68311</v>
      </c>
      <c r="N586" s="1">
        <v>123550</v>
      </c>
      <c r="O586" s="1">
        <v>4869829</v>
      </c>
      <c r="P586" s="1">
        <v>1338338</v>
      </c>
      <c r="Q586" s="1">
        <v>2776447</v>
      </c>
      <c r="R586" s="1">
        <v>124249464</v>
      </c>
      <c r="S586" s="1">
        <v>6073</v>
      </c>
      <c r="T586" s="1">
        <v>6073</v>
      </c>
      <c r="U586" s="1">
        <v>41051</v>
      </c>
      <c r="V586" s="1">
        <v>0</v>
      </c>
      <c r="W586" s="1">
        <v>1</v>
      </c>
    </row>
    <row r="587">
      <c r="A587" s="1">
        <v>2019</v>
      </c>
      <c r="B587" s="1">
        <v>6</v>
      </c>
      <c r="C587" t="s">
        <v>11</v>
      </c>
      <c r="D587" s="1">
        <v>75</v>
      </c>
      <c r="E587" t="s">
        <v>70</v>
      </c>
      <c r="F587" s="1">
        <v>41</v>
      </c>
      <c r="G587" t="s">
        <v>3</v>
      </c>
      <c r="H587" s="1">
        <v>51</v>
      </c>
      <c r="I587" t="s">
        <v>6</v>
      </c>
      <c r="J587" s="1">
        <v>416</v>
      </c>
      <c r="K587" s="1">
        <v>619</v>
      </c>
      <c r="L587" s="1">
        <v>68903</v>
      </c>
      <c r="M587" s="1">
        <v>38519</v>
      </c>
      <c r="N587" s="1">
        <v>55961</v>
      </c>
      <c r="O587" s="1">
        <v>7287159</v>
      </c>
      <c r="P587" s="1">
        <v>423336</v>
      </c>
      <c r="Q587" s="1">
        <v>695902</v>
      </c>
      <c r="R587" s="1">
        <v>80289160</v>
      </c>
      <c r="S587" s="1">
        <v>6075</v>
      </c>
      <c r="T587" s="1">
        <v>6075</v>
      </c>
      <c r="U587" s="1">
        <v>41051</v>
      </c>
      <c r="V587" s="1">
        <v>0</v>
      </c>
      <c r="W587" s="1">
        <v>1</v>
      </c>
    </row>
    <row r="588">
      <c r="A588" s="1">
        <v>2019</v>
      </c>
      <c r="B588" s="1">
        <v>6</v>
      </c>
      <c r="C588" t="s">
        <v>11</v>
      </c>
      <c r="D588" s="1">
        <v>77</v>
      </c>
      <c r="E588" t="s">
        <v>179</v>
      </c>
      <c r="F588" s="1">
        <v>41</v>
      </c>
      <c r="G588" t="s">
        <v>3</v>
      </c>
      <c r="H588" s="1">
        <v>51</v>
      </c>
      <c r="I588" t="s">
        <v>6</v>
      </c>
      <c r="J588" s="1">
        <v>44</v>
      </c>
      <c r="K588" s="1">
        <v>73</v>
      </c>
      <c r="L588" s="1">
        <v>1745</v>
      </c>
      <c r="M588" s="1">
        <v>13632</v>
      </c>
      <c r="N588" s="1">
        <v>26677</v>
      </c>
      <c r="O588" s="1">
        <v>855131</v>
      </c>
      <c r="P588" s="1">
        <v>265081</v>
      </c>
      <c r="Q588" s="1">
        <v>618913</v>
      </c>
      <c r="R588" s="1">
        <v>18487160</v>
      </c>
      <c r="S588" s="1">
        <v>6077</v>
      </c>
      <c r="T588" s="1">
        <v>6077</v>
      </c>
      <c r="U588" s="1">
        <v>41051</v>
      </c>
      <c r="V588" s="1">
        <v>0</v>
      </c>
      <c r="W588" s="1">
        <v>1</v>
      </c>
    </row>
    <row r="589">
      <c r="A589" s="1">
        <v>2019</v>
      </c>
      <c r="B589" s="1">
        <v>6</v>
      </c>
      <c r="C589" t="s">
        <v>11</v>
      </c>
      <c r="D589" s="1">
        <v>79</v>
      </c>
      <c r="E589" t="s">
        <v>71</v>
      </c>
      <c r="F589" s="1">
        <v>41</v>
      </c>
      <c r="G589" t="s">
        <v>3</v>
      </c>
      <c r="H589" s="1">
        <v>51</v>
      </c>
      <c r="I589" t="s">
        <v>6</v>
      </c>
      <c r="J589" s="1">
        <v>42</v>
      </c>
      <c r="K589" s="1">
        <v>57</v>
      </c>
      <c r="L589" s="1">
        <v>2146</v>
      </c>
      <c r="M589" s="1">
        <v>6346</v>
      </c>
      <c r="N589" s="1">
        <v>10485</v>
      </c>
      <c r="O589" s="1">
        <v>404494</v>
      </c>
      <c r="P589" s="1">
        <v>111002</v>
      </c>
      <c r="Q589" s="1">
        <v>219922</v>
      </c>
      <c r="R589" s="1">
        <v>9722258</v>
      </c>
      <c r="S589" s="1">
        <v>6079</v>
      </c>
      <c r="T589" s="1">
        <v>6079</v>
      </c>
      <c r="U589" s="1">
        <v>41051</v>
      </c>
      <c r="V589" s="1">
        <v>0</v>
      </c>
      <c r="W589" s="1">
        <v>1</v>
      </c>
    </row>
    <row r="590">
      <c r="A590" s="1">
        <v>2019</v>
      </c>
      <c r="B590" s="1">
        <v>6</v>
      </c>
      <c r="C590" t="s">
        <v>11</v>
      </c>
      <c r="D590" s="1">
        <v>81</v>
      </c>
      <c r="E590" t="s">
        <v>72</v>
      </c>
      <c r="F590" s="1">
        <v>41</v>
      </c>
      <c r="G590" t="s">
        <v>3</v>
      </c>
      <c r="H590" s="1">
        <v>51</v>
      </c>
      <c r="I590" t="s">
        <v>6</v>
      </c>
      <c r="J590" s="1">
        <v>159</v>
      </c>
      <c r="K590" s="1">
        <v>227</v>
      </c>
      <c r="L590" s="1">
        <v>18622</v>
      </c>
      <c r="M590" s="1">
        <v>26624</v>
      </c>
      <c r="N590" s="1">
        <v>45342</v>
      </c>
      <c r="O590" s="1">
        <v>4360421</v>
      </c>
      <c r="P590" s="1">
        <v>335117</v>
      </c>
      <c r="Q590" s="1">
        <v>676934</v>
      </c>
      <c r="R590" s="1">
        <v>70628240</v>
      </c>
      <c r="S590" s="1">
        <v>6081</v>
      </c>
      <c r="T590" s="1">
        <v>6081</v>
      </c>
      <c r="U590" s="1">
        <v>41051</v>
      </c>
      <c r="V590" s="1">
        <v>0</v>
      </c>
      <c r="W590" s="1">
        <v>1</v>
      </c>
    </row>
    <row r="591">
      <c r="A591" s="1">
        <v>2019</v>
      </c>
      <c r="B591" s="1">
        <v>6</v>
      </c>
      <c r="C591" t="s">
        <v>11</v>
      </c>
      <c r="D591" s="1">
        <v>83</v>
      </c>
      <c r="E591" t="s">
        <v>73</v>
      </c>
      <c r="F591" s="1">
        <v>41</v>
      </c>
      <c r="G591" t="s">
        <v>3</v>
      </c>
      <c r="H591" s="1">
        <v>51</v>
      </c>
      <c r="I591" t="s">
        <v>6</v>
      </c>
      <c r="J591" s="1">
        <v>72</v>
      </c>
      <c r="K591" s="1">
        <v>95</v>
      </c>
      <c r="L591" s="1">
        <v>3465</v>
      </c>
      <c r="M591" s="1">
        <v>9123</v>
      </c>
      <c r="N591" s="1">
        <v>15264</v>
      </c>
      <c r="O591" s="1">
        <v>761161</v>
      </c>
      <c r="P591" s="1">
        <v>169597</v>
      </c>
      <c r="Q591" s="1">
        <v>360194</v>
      </c>
      <c r="R591" s="1">
        <v>15822469</v>
      </c>
      <c r="S591" s="1">
        <v>6083</v>
      </c>
      <c r="T591" s="1">
        <v>6083</v>
      </c>
      <c r="U591" s="1">
        <v>41051</v>
      </c>
      <c r="V591" s="1">
        <v>0</v>
      </c>
      <c r="W591" s="1">
        <v>1</v>
      </c>
    </row>
    <row r="592">
      <c r="A592" s="1">
        <v>2019</v>
      </c>
      <c r="B592" s="1">
        <v>6</v>
      </c>
      <c r="C592" t="s">
        <v>11</v>
      </c>
      <c r="D592" s="1">
        <v>85</v>
      </c>
      <c r="E592" t="s">
        <v>74</v>
      </c>
      <c r="F592" s="1">
        <v>41</v>
      </c>
      <c r="G592" t="s">
        <v>3</v>
      </c>
      <c r="H592" s="1">
        <v>51</v>
      </c>
      <c r="I592" t="s">
        <v>6</v>
      </c>
      <c r="J592" s="1">
        <v>332</v>
      </c>
      <c r="K592" s="1">
        <v>513</v>
      </c>
      <c r="L592" s="1">
        <v>56861</v>
      </c>
      <c r="M592" s="1">
        <v>50688</v>
      </c>
      <c r="N592" s="1">
        <v>90461</v>
      </c>
      <c r="O592" s="1">
        <v>8576393</v>
      </c>
      <c r="P592" s="1">
        <v>804641</v>
      </c>
      <c r="Q592" s="1">
        <v>1703049</v>
      </c>
      <c r="R592" s="1">
        <v>155855520</v>
      </c>
      <c r="S592" s="1">
        <v>6085</v>
      </c>
      <c r="T592" s="1">
        <v>6085</v>
      </c>
      <c r="U592" s="1">
        <v>41051</v>
      </c>
      <c r="V592" s="1">
        <v>0</v>
      </c>
      <c r="W592" s="1">
        <v>1</v>
      </c>
    </row>
    <row r="593">
      <c r="A593" s="1">
        <v>2019</v>
      </c>
      <c r="B593" s="1">
        <v>6</v>
      </c>
      <c r="C593" t="s">
        <v>11</v>
      </c>
      <c r="D593" s="1">
        <v>87</v>
      </c>
      <c r="E593" t="s">
        <v>75</v>
      </c>
      <c r="F593" s="1">
        <v>41</v>
      </c>
      <c r="G593" t="s">
        <v>3</v>
      </c>
      <c r="H593" s="1">
        <v>51</v>
      </c>
      <c r="I593" t="s">
        <v>6</v>
      </c>
      <c r="J593" s="1">
        <v>66</v>
      </c>
      <c r="K593" s="1">
        <v>96</v>
      </c>
      <c r="L593" s="1">
        <v>3524</v>
      </c>
      <c r="M593" s="1">
        <v>6581</v>
      </c>
      <c r="N593" s="1">
        <v>10728</v>
      </c>
      <c r="O593" s="1">
        <v>539104</v>
      </c>
      <c r="P593" s="1">
        <v>109424</v>
      </c>
      <c r="Q593" s="1">
        <v>220821</v>
      </c>
      <c r="R593" s="1">
        <v>11581288</v>
      </c>
      <c r="S593" s="1">
        <v>6087</v>
      </c>
      <c r="T593" s="1">
        <v>6087</v>
      </c>
      <c r="U593" s="1">
        <v>41051</v>
      </c>
      <c r="V593" s="1">
        <v>0</v>
      </c>
      <c r="W593" s="1">
        <v>1</v>
      </c>
    </row>
    <row r="594">
      <c r="A594" s="1">
        <v>2019</v>
      </c>
      <c r="B594" s="1">
        <v>6</v>
      </c>
      <c r="C594" t="s">
        <v>11</v>
      </c>
      <c r="D594" s="1">
        <v>89</v>
      </c>
      <c r="E594" t="s">
        <v>76</v>
      </c>
      <c r="F594" s="1">
        <v>41</v>
      </c>
      <c r="G594" t="s">
        <v>3</v>
      </c>
      <c r="H594" s="1">
        <v>51</v>
      </c>
      <c r="I594" t="s">
        <v>6</v>
      </c>
      <c r="J594" s="1">
        <v>34</v>
      </c>
      <c r="K594" s="1">
        <v>43</v>
      </c>
      <c r="L594" s="1">
        <v>1510</v>
      </c>
      <c r="M594" s="1">
        <v>4005</v>
      </c>
      <c r="N594" s="1">
        <v>7058</v>
      </c>
      <c r="O594" s="1">
        <v>239356</v>
      </c>
      <c r="P594" s="1">
        <v>64970</v>
      </c>
      <c r="Q594" s="1">
        <v>133693</v>
      </c>
      <c r="R594" s="1">
        <v>4294626</v>
      </c>
      <c r="S594" s="1">
        <v>6089</v>
      </c>
      <c r="T594" s="1">
        <v>6089</v>
      </c>
      <c r="U594" s="1">
        <v>41051</v>
      </c>
      <c r="V594" s="1">
        <v>0</v>
      </c>
      <c r="W594" s="1">
        <v>1</v>
      </c>
    </row>
    <row r="595">
      <c r="A595" s="1">
        <v>2019</v>
      </c>
      <c r="B595" s="1">
        <v>6</v>
      </c>
      <c r="C595" t="s">
        <v>11</v>
      </c>
      <c r="D595" s="1">
        <v>95</v>
      </c>
      <c r="E595" t="s">
        <v>180</v>
      </c>
      <c r="F595" s="1">
        <v>41</v>
      </c>
      <c r="G595" t="s">
        <v>3</v>
      </c>
      <c r="H595" s="1">
        <v>51</v>
      </c>
      <c r="I595" t="s">
        <v>6</v>
      </c>
      <c r="J595" s="1">
        <v>34</v>
      </c>
      <c r="K595" s="1">
        <v>50</v>
      </c>
      <c r="L595" s="1">
        <v>2093</v>
      </c>
      <c r="M595" s="1">
        <v>11607</v>
      </c>
      <c r="N595" s="1">
        <v>21338</v>
      </c>
      <c r="O595" s="1">
        <v>759515</v>
      </c>
      <c r="P595" s="1">
        <v>176332</v>
      </c>
      <c r="Q595" s="1">
        <v>368214</v>
      </c>
      <c r="R595" s="1">
        <v>14019212</v>
      </c>
      <c r="S595" s="1">
        <v>6095</v>
      </c>
      <c r="T595" s="1">
        <v>6095</v>
      </c>
      <c r="U595" s="1">
        <v>41051</v>
      </c>
      <c r="V595" s="1">
        <v>0</v>
      </c>
      <c r="W595" s="1">
        <v>1</v>
      </c>
    </row>
    <row r="596">
      <c r="A596" s="1">
        <v>2019</v>
      </c>
      <c r="B596" s="1">
        <v>6</v>
      </c>
      <c r="C596" t="s">
        <v>11</v>
      </c>
      <c r="D596" s="1">
        <v>97</v>
      </c>
      <c r="E596" t="s">
        <v>77</v>
      </c>
      <c r="F596" s="1">
        <v>41</v>
      </c>
      <c r="G596" t="s">
        <v>3</v>
      </c>
      <c r="H596" s="1">
        <v>51</v>
      </c>
      <c r="I596" t="s">
        <v>6</v>
      </c>
      <c r="J596" s="1">
        <v>108</v>
      </c>
      <c r="K596" s="1">
        <v>142</v>
      </c>
      <c r="L596" s="1">
        <v>5892</v>
      </c>
      <c r="M596" s="1">
        <v>9897</v>
      </c>
      <c r="N596" s="1">
        <v>16225</v>
      </c>
      <c r="O596" s="1">
        <v>879202</v>
      </c>
      <c r="P596" s="1">
        <v>205351</v>
      </c>
      <c r="Q596" s="1">
        <v>406610</v>
      </c>
      <c r="R596" s="1">
        <v>19799674</v>
      </c>
      <c r="S596" s="1">
        <v>6097</v>
      </c>
      <c r="T596" s="1">
        <v>6097</v>
      </c>
      <c r="U596" s="1">
        <v>41051</v>
      </c>
      <c r="V596" s="1">
        <v>0</v>
      </c>
      <c r="W596" s="1">
        <v>1</v>
      </c>
    </row>
    <row r="597">
      <c r="A597" s="1">
        <v>2019</v>
      </c>
      <c r="B597" s="1">
        <v>6</v>
      </c>
      <c r="C597" t="s">
        <v>11</v>
      </c>
      <c r="D597" s="1">
        <v>99</v>
      </c>
      <c r="E597" t="s">
        <v>325</v>
      </c>
      <c r="F597" s="1">
        <v>41</v>
      </c>
      <c r="G597" t="s">
        <v>3</v>
      </c>
      <c r="H597" s="1">
        <v>51</v>
      </c>
      <c r="I597" t="s">
        <v>6</v>
      </c>
      <c r="J597" s="1">
        <v>22</v>
      </c>
      <c r="K597" s="1">
        <v>35</v>
      </c>
      <c r="L597" s="1">
        <v>928</v>
      </c>
      <c r="M597" s="1">
        <v>9329</v>
      </c>
      <c r="N597" s="1">
        <v>18690</v>
      </c>
      <c r="O597" s="1">
        <v>525710</v>
      </c>
      <c r="P597" s="1">
        <v>191130</v>
      </c>
      <c r="Q597" s="1">
        <v>445794</v>
      </c>
      <c r="R597" s="1">
        <v>12509435</v>
      </c>
      <c r="S597" s="1">
        <v>6099</v>
      </c>
      <c r="T597" s="1">
        <v>6099</v>
      </c>
      <c r="U597" s="1">
        <v>41051</v>
      </c>
      <c r="V597" s="1">
        <v>0</v>
      </c>
      <c r="W597" s="1">
        <v>1</v>
      </c>
    </row>
    <row r="598">
      <c r="A598" s="1">
        <v>2019</v>
      </c>
      <c r="B598" s="1">
        <v>6</v>
      </c>
      <c r="C598" t="s">
        <v>11</v>
      </c>
      <c r="D598" s="1">
        <v>111</v>
      </c>
      <c r="E598" t="s">
        <v>78</v>
      </c>
      <c r="F598" s="1">
        <v>41</v>
      </c>
      <c r="G598" t="s">
        <v>3</v>
      </c>
      <c r="H598" s="1">
        <v>51</v>
      </c>
      <c r="I598" t="s">
        <v>6</v>
      </c>
      <c r="J598" s="1">
        <v>71</v>
      </c>
      <c r="K598" s="1">
        <v>96</v>
      </c>
      <c r="L598" s="1">
        <v>4025</v>
      </c>
      <c r="M598" s="1">
        <v>16706</v>
      </c>
      <c r="N598" s="1">
        <v>30108</v>
      </c>
      <c r="O598" s="1">
        <v>1459775</v>
      </c>
      <c r="P598" s="1">
        <v>337035</v>
      </c>
      <c r="Q598" s="1">
        <v>726801</v>
      </c>
      <c r="R598" s="1">
        <v>32195648</v>
      </c>
      <c r="S598" s="1">
        <v>6111</v>
      </c>
      <c r="T598" s="1">
        <v>6111</v>
      </c>
      <c r="U598" s="1">
        <v>41051</v>
      </c>
      <c r="V598" s="1">
        <v>0</v>
      </c>
      <c r="W598" s="1">
        <v>1</v>
      </c>
    </row>
    <row r="599">
      <c r="A599" s="1">
        <v>2019</v>
      </c>
      <c r="B599" s="1">
        <v>6</v>
      </c>
      <c r="C599" t="s">
        <v>11</v>
      </c>
      <c r="D599" s="1">
        <v>113</v>
      </c>
      <c r="E599" t="s">
        <v>181</v>
      </c>
      <c r="F599" s="1">
        <v>41</v>
      </c>
      <c r="G599" t="s">
        <v>3</v>
      </c>
      <c r="H599" s="1">
        <v>51</v>
      </c>
      <c r="I599" t="s">
        <v>6</v>
      </c>
      <c r="J599" s="1">
        <v>31</v>
      </c>
      <c r="K599" s="1">
        <v>34</v>
      </c>
      <c r="L599" s="1">
        <v>1225</v>
      </c>
      <c r="M599" s="1">
        <v>6563</v>
      </c>
      <c r="N599" s="1">
        <v>10789</v>
      </c>
      <c r="O599" s="1">
        <v>397240</v>
      </c>
      <c r="P599" s="1">
        <v>76681</v>
      </c>
      <c r="Q599" s="1">
        <v>163577</v>
      </c>
      <c r="R599" s="1">
        <v>6866554</v>
      </c>
      <c r="S599" s="1">
        <v>6113</v>
      </c>
      <c r="T599" s="1">
        <v>6113</v>
      </c>
      <c r="U599" s="1">
        <v>41051</v>
      </c>
      <c r="V599" s="1">
        <v>0</v>
      </c>
      <c r="W599" s="1">
        <v>1</v>
      </c>
    </row>
    <row r="600">
      <c r="A600" s="1">
        <v>2019</v>
      </c>
      <c r="B600" s="1">
        <v>8</v>
      </c>
      <c r="C600" t="s">
        <v>12</v>
      </c>
      <c r="D600" s="1">
        <v>1</v>
      </c>
      <c r="E600" t="s">
        <v>225</v>
      </c>
      <c r="F600" s="1">
        <v>41</v>
      </c>
      <c r="G600" t="s">
        <v>3</v>
      </c>
      <c r="H600" s="1">
        <v>51</v>
      </c>
      <c r="I600" t="s">
        <v>6</v>
      </c>
      <c r="J600" s="1">
        <v>20</v>
      </c>
      <c r="K600" s="1">
        <v>23</v>
      </c>
      <c r="L600" s="1">
        <v>617</v>
      </c>
      <c r="M600" s="1">
        <v>20248</v>
      </c>
      <c r="N600" s="1">
        <v>38305</v>
      </c>
      <c r="O600" s="1">
        <v>1152161</v>
      </c>
      <c r="P600" s="1">
        <v>194783</v>
      </c>
      <c r="Q600" s="1">
        <v>416574</v>
      </c>
      <c r="R600" s="1">
        <v>13323213</v>
      </c>
      <c r="S600" s="1">
        <v>8001</v>
      </c>
      <c r="T600" s="1">
        <v>8001</v>
      </c>
      <c r="U600" s="1">
        <v>41051</v>
      </c>
      <c r="V600" s="1">
        <v>0</v>
      </c>
      <c r="W600" s="1">
        <v>1</v>
      </c>
    </row>
    <row r="601">
      <c r="A601" s="1">
        <v>2019</v>
      </c>
      <c r="B601" s="1">
        <v>8</v>
      </c>
      <c r="C601" t="s">
        <v>12</v>
      </c>
      <c r="D601" s="1">
        <v>5</v>
      </c>
      <c r="E601" t="s">
        <v>79</v>
      </c>
      <c r="F601" s="1">
        <v>41</v>
      </c>
      <c r="G601" t="s">
        <v>3</v>
      </c>
      <c r="H601" s="1">
        <v>51</v>
      </c>
      <c r="I601" t="s">
        <v>6</v>
      </c>
      <c r="J601" s="1">
        <v>51</v>
      </c>
      <c r="K601" s="1">
        <v>73</v>
      </c>
      <c r="L601" s="1">
        <v>2781</v>
      </c>
      <c r="M601" s="1">
        <v>30896</v>
      </c>
      <c r="N601" s="1">
        <v>54143</v>
      </c>
      <c r="O601" s="1">
        <v>2260267</v>
      </c>
      <c r="P601" s="1">
        <v>263706</v>
      </c>
      <c r="Q601" s="1">
        <v>539463</v>
      </c>
      <c r="R601" s="1">
        <v>25985160</v>
      </c>
      <c r="S601" s="1">
        <v>8005</v>
      </c>
      <c r="T601" s="1">
        <v>8005</v>
      </c>
      <c r="U601" s="1">
        <v>41051</v>
      </c>
      <c r="V601" s="1">
        <v>0</v>
      </c>
      <c r="W601" s="1">
        <v>1</v>
      </c>
    </row>
    <row r="602">
      <c r="A602" s="1">
        <v>2019</v>
      </c>
      <c r="B602" s="1">
        <v>8</v>
      </c>
      <c r="C602" t="s">
        <v>12</v>
      </c>
      <c r="D602" s="1">
        <v>13</v>
      </c>
      <c r="E602" t="s">
        <v>80</v>
      </c>
      <c r="F602" s="1">
        <v>41</v>
      </c>
      <c r="G602" t="s">
        <v>3</v>
      </c>
      <c r="H602" s="1">
        <v>51</v>
      </c>
      <c r="I602" t="s">
        <v>6</v>
      </c>
      <c r="J602" s="1">
        <v>67</v>
      </c>
      <c r="K602" s="1">
        <v>82</v>
      </c>
      <c r="L602" s="1">
        <v>4003</v>
      </c>
      <c r="M602" s="1">
        <v>13030</v>
      </c>
      <c r="N602" s="1">
        <v>20072</v>
      </c>
      <c r="O602" s="1">
        <v>952374</v>
      </c>
      <c r="P602" s="1">
        <v>133450</v>
      </c>
      <c r="Q602" s="1">
        <v>257950</v>
      </c>
      <c r="R602" s="1">
        <v>16340664</v>
      </c>
      <c r="S602" s="1">
        <v>8013</v>
      </c>
      <c r="T602" s="1">
        <v>8013</v>
      </c>
      <c r="U602" s="1">
        <v>41051</v>
      </c>
      <c r="V602" s="1">
        <v>0</v>
      </c>
      <c r="W602" s="1">
        <v>1</v>
      </c>
    </row>
    <row r="603">
      <c r="A603" s="1">
        <v>2019</v>
      </c>
      <c r="B603" s="1">
        <v>8</v>
      </c>
      <c r="C603" t="s">
        <v>12</v>
      </c>
      <c r="D603" s="1">
        <v>31</v>
      </c>
      <c r="E603" t="s">
        <v>81</v>
      </c>
      <c r="F603" s="1">
        <v>41</v>
      </c>
      <c r="G603" t="s">
        <v>3</v>
      </c>
      <c r="H603" s="1">
        <v>51</v>
      </c>
      <c r="I603" t="s">
        <v>6</v>
      </c>
      <c r="J603" s="1">
        <v>169</v>
      </c>
      <c r="K603" s="1">
        <v>194</v>
      </c>
      <c r="L603" s="1">
        <v>26508</v>
      </c>
      <c r="M603" s="1">
        <v>40805</v>
      </c>
      <c r="N603" s="1">
        <v>64553</v>
      </c>
      <c r="O603" s="1">
        <v>2994545</v>
      </c>
      <c r="P603" s="1">
        <v>304237</v>
      </c>
      <c r="Q603" s="1">
        <v>540698</v>
      </c>
      <c r="R603" s="1">
        <v>31802468</v>
      </c>
      <c r="S603" s="1">
        <v>8031</v>
      </c>
      <c r="T603" s="1">
        <v>8031</v>
      </c>
      <c r="U603" s="1">
        <v>41051</v>
      </c>
      <c r="V603" s="1">
        <v>0</v>
      </c>
      <c r="W603" s="1">
        <v>1</v>
      </c>
    </row>
    <row r="604">
      <c r="A604" s="1">
        <v>2019</v>
      </c>
      <c r="B604" s="1">
        <v>8</v>
      </c>
      <c r="C604" t="s">
        <v>12</v>
      </c>
      <c r="D604" s="1">
        <v>41</v>
      </c>
      <c r="E604" t="s">
        <v>82</v>
      </c>
      <c r="F604" s="1">
        <v>41</v>
      </c>
      <c r="G604" t="s">
        <v>3</v>
      </c>
      <c r="H604" s="1">
        <v>51</v>
      </c>
      <c r="I604" t="s">
        <v>6</v>
      </c>
      <c r="J604" s="1">
        <v>47</v>
      </c>
      <c r="K604" s="1">
        <v>64</v>
      </c>
      <c r="L604" s="1">
        <v>2100</v>
      </c>
      <c r="M604" s="1">
        <v>23603</v>
      </c>
      <c r="N604" s="1">
        <v>46866</v>
      </c>
      <c r="O604" s="1">
        <v>1298862</v>
      </c>
      <c r="P604" s="1">
        <v>275247</v>
      </c>
      <c r="Q604" s="1">
        <v>585333</v>
      </c>
      <c r="R604" s="1">
        <v>21214632</v>
      </c>
      <c r="S604" s="1">
        <v>8041</v>
      </c>
      <c r="T604" s="1">
        <v>8041</v>
      </c>
      <c r="U604" s="1">
        <v>41051</v>
      </c>
      <c r="V604" s="1">
        <v>0</v>
      </c>
      <c r="W604" s="1">
        <v>1</v>
      </c>
    </row>
    <row r="605">
      <c r="A605" s="1">
        <v>2019</v>
      </c>
      <c r="B605" s="1">
        <v>8</v>
      </c>
      <c r="C605" t="s">
        <v>12</v>
      </c>
      <c r="D605" s="1">
        <v>59</v>
      </c>
      <c r="E605" t="s">
        <v>83</v>
      </c>
      <c r="F605" s="1">
        <v>41</v>
      </c>
      <c r="G605" t="s">
        <v>3</v>
      </c>
      <c r="H605" s="1">
        <v>51</v>
      </c>
      <c r="I605" t="s">
        <v>6</v>
      </c>
      <c r="J605" s="1">
        <v>61</v>
      </c>
      <c r="K605" s="1">
        <v>75</v>
      </c>
      <c r="L605" s="1">
        <v>3518</v>
      </c>
      <c r="M605" s="1">
        <v>24980</v>
      </c>
      <c r="N605" s="1">
        <v>40911</v>
      </c>
      <c r="O605" s="1">
        <v>1659540</v>
      </c>
      <c r="P605" s="1">
        <v>251306</v>
      </c>
      <c r="Q605" s="1">
        <v>485208</v>
      </c>
      <c r="R605" s="1">
        <v>24773772</v>
      </c>
      <c r="S605" s="1">
        <v>8059</v>
      </c>
      <c r="T605" s="1">
        <v>8059</v>
      </c>
      <c r="U605" s="1">
        <v>41051</v>
      </c>
      <c r="V605" s="1">
        <v>0</v>
      </c>
      <c r="W605" s="1">
        <v>1</v>
      </c>
    </row>
    <row r="606">
      <c r="A606" s="1">
        <v>2019</v>
      </c>
      <c r="B606" s="1">
        <v>8</v>
      </c>
      <c r="C606" t="s">
        <v>12</v>
      </c>
      <c r="D606" s="1">
        <v>69</v>
      </c>
      <c r="E606" t="s">
        <v>84</v>
      </c>
      <c r="F606" s="1">
        <v>41</v>
      </c>
      <c r="G606" t="s">
        <v>3</v>
      </c>
      <c r="H606" s="1">
        <v>51</v>
      </c>
      <c r="I606" t="s">
        <v>6</v>
      </c>
      <c r="J606" s="1">
        <v>42</v>
      </c>
      <c r="K606" s="1">
        <v>54</v>
      </c>
      <c r="L606" s="1">
        <v>1951</v>
      </c>
      <c r="M606" s="1">
        <v>11948</v>
      </c>
      <c r="N606" s="1">
        <v>19629</v>
      </c>
      <c r="O606" s="1">
        <v>748032</v>
      </c>
      <c r="P606" s="1">
        <v>142900</v>
      </c>
      <c r="Q606" s="1">
        <v>281054</v>
      </c>
      <c r="R606" s="1">
        <v>13010131</v>
      </c>
      <c r="S606" s="1">
        <v>8069</v>
      </c>
      <c r="T606" s="1">
        <v>8069</v>
      </c>
      <c r="U606" s="1">
        <v>41051</v>
      </c>
      <c r="V606" s="1">
        <v>0</v>
      </c>
      <c r="W606" s="1">
        <v>1</v>
      </c>
    </row>
    <row r="607">
      <c r="A607" s="1">
        <v>2019</v>
      </c>
      <c r="B607" s="1">
        <v>9</v>
      </c>
      <c r="C607" t="s">
        <v>13</v>
      </c>
      <c r="D607" s="1">
        <v>1</v>
      </c>
      <c r="E607" t="s">
        <v>241</v>
      </c>
      <c r="F607" s="1">
        <v>41</v>
      </c>
      <c r="G607" t="s">
        <v>3</v>
      </c>
      <c r="H607" s="1">
        <v>51</v>
      </c>
      <c r="I607" t="s">
        <v>6</v>
      </c>
      <c r="J607" s="1">
        <v>21</v>
      </c>
      <c r="K607" s="1">
        <v>26</v>
      </c>
      <c r="L607" s="1">
        <v>1360</v>
      </c>
      <c r="M607" s="1">
        <v>20488</v>
      </c>
      <c r="N607" s="1">
        <v>34241</v>
      </c>
      <c r="O607" s="1">
        <v>2867384</v>
      </c>
      <c r="P607" s="1">
        <v>380944</v>
      </c>
      <c r="Q607" s="1">
        <v>795101</v>
      </c>
      <c r="R607" s="1">
        <v>72997904</v>
      </c>
      <c r="S607" s="1">
        <v>9001</v>
      </c>
      <c r="T607" s="1">
        <v>9001</v>
      </c>
      <c r="U607" s="1">
        <v>41051</v>
      </c>
      <c r="V607" s="1">
        <v>0</v>
      </c>
      <c r="W607" s="1">
        <v>1</v>
      </c>
    </row>
    <row r="608">
      <c r="A608" s="1">
        <v>2019</v>
      </c>
      <c r="B608" s="1">
        <v>9</v>
      </c>
      <c r="C608" t="s">
        <v>13</v>
      </c>
      <c r="D608" s="1">
        <v>3</v>
      </c>
      <c r="E608" t="s">
        <v>182</v>
      </c>
      <c r="F608" s="1">
        <v>41</v>
      </c>
      <c r="G608" t="s">
        <v>3</v>
      </c>
      <c r="H608" s="1">
        <v>51</v>
      </c>
      <c r="I608" t="s">
        <v>6</v>
      </c>
      <c r="J608" s="1">
        <v>28</v>
      </c>
      <c r="K608" s="1">
        <v>40</v>
      </c>
      <c r="L608" s="1">
        <v>2204</v>
      </c>
      <c r="M608" s="1">
        <v>17973</v>
      </c>
      <c r="N608" s="1">
        <v>29275</v>
      </c>
      <c r="O608" s="1">
        <v>1491583</v>
      </c>
      <c r="P608" s="1">
        <v>378282</v>
      </c>
      <c r="Q608" s="1">
        <v>743938</v>
      </c>
      <c r="R608" s="1">
        <v>35045016</v>
      </c>
      <c r="S608" s="1">
        <v>9003</v>
      </c>
      <c r="T608" s="1">
        <v>9003</v>
      </c>
      <c r="U608" s="1">
        <v>41051</v>
      </c>
      <c r="V608" s="1">
        <v>0</v>
      </c>
      <c r="W608" s="1">
        <v>1</v>
      </c>
    </row>
    <row r="609">
      <c r="A609" s="1">
        <v>2019</v>
      </c>
      <c r="B609" s="1">
        <v>9</v>
      </c>
      <c r="C609" t="s">
        <v>13</v>
      </c>
      <c r="D609" s="1">
        <v>9</v>
      </c>
      <c r="E609" t="s">
        <v>85</v>
      </c>
      <c r="F609" s="1">
        <v>41</v>
      </c>
      <c r="G609" t="s">
        <v>3</v>
      </c>
      <c r="H609" s="1">
        <v>51</v>
      </c>
      <c r="I609" t="s">
        <v>6</v>
      </c>
      <c r="J609" s="1">
        <v>26</v>
      </c>
      <c r="K609" s="1">
        <v>32</v>
      </c>
      <c r="L609" s="1">
        <v>1383</v>
      </c>
      <c r="M609" s="1">
        <v>17790</v>
      </c>
      <c r="N609" s="1">
        <v>28841</v>
      </c>
      <c r="O609" s="1">
        <v>1254704</v>
      </c>
      <c r="P609" s="1">
        <v>348905</v>
      </c>
      <c r="Q609" s="1">
        <v>680158</v>
      </c>
      <c r="R609" s="1">
        <v>29297740</v>
      </c>
      <c r="S609" s="1">
        <v>9009</v>
      </c>
      <c r="T609" s="1">
        <v>9009</v>
      </c>
      <c r="U609" s="1">
        <v>41051</v>
      </c>
      <c r="V609" s="1">
        <v>0</v>
      </c>
      <c r="W609" s="1">
        <v>1</v>
      </c>
    </row>
    <row r="610">
      <c r="A610" s="1">
        <v>2019</v>
      </c>
      <c r="B610" s="1">
        <v>11</v>
      </c>
      <c r="C610" t="s">
        <v>14</v>
      </c>
      <c r="D610" s="1">
        <v>1</v>
      </c>
      <c r="E610" t="s">
        <v>14</v>
      </c>
      <c r="F610" s="1">
        <v>41</v>
      </c>
      <c r="G610" t="s">
        <v>3</v>
      </c>
      <c r="H610" s="1">
        <v>51</v>
      </c>
      <c r="I610" t="s">
        <v>6</v>
      </c>
      <c r="J610" s="1">
        <v>107</v>
      </c>
      <c r="K610" s="1">
        <v>132</v>
      </c>
      <c r="L610" s="1">
        <v>8655</v>
      </c>
      <c r="M610" s="1">
        <v>30664</v>
      </c>
      <c r="N610" s="1">
        <v>44788</v>
      </c>
      <c r="O610" s="1">
        <v>2938378</v>
      </c>
      <c r="P610" s="1">
        <v>298179</v>
      </c>
      <c r="Q610" s="1">
        <v>488244</v>
      </c>
      <c r="R610" s="1">
        <v>34602188</v>
      </c>
      <c r="S610" s="1">
        <v>11001</v>
      </c>
      <c r="T610" s="1">
        <v>11001</v>
      </c>
      <c r="U610" s="1">
        <v>41051</v>
      </c>
      <c r="V610" s="1">
        <v>0</v>
      </c>
      <c r="W610" s="1">
        <v>1</v>
      </c>
    </row>
    <row r="611">
      <c r="A611" s="1">
        <v>2019</v>
      </c>
      <c r="B611" s="1">
        <v>12</v>
      </c>
      <c r="C611" t="s">
        <v>15</v>
      </c>
      <c r="D611" s="1">
        <v>1</v>
      </c>
      <c r="E611" t="s">
        <v>350</v>
      </c>
      <c r="F611" s="1">
        <v>41</v>
      </c>
      <c r="G611" t="s">
        <v>3</v>
      </c>
      <c r="H611" s="1">
        <v>51</v>
      </c>
      <c r="I611" t="s">
        <v>6</v>
      </c>
      <c r="J611" s="1">
        <v>27</v>
      </c>
      <c r="K611" s="1">
        <v>39</v>
      </c>
      <c r="L611" s="1">
        <v>1465</v>
      </c>
      <c r="M611" s="1">
        <v>8696</v>
      </c>
      <c r="N611" s="1">
        <v>13972</v>
      </c>
      <c r="O611" s="1">
        <v>442935</v>
      </c>
      <c r="P611" s="1">
        <v>96542</v>
      </c>
      <c r="Q611" s="1">
        <v>184273</v>
      </c>
      <c r="R611" s="1">
        <v>7151033</v>
      </c>
      <c r="S611" s="1">
        <v>12001</v>
      </c>
      <c r="T611" s="1">
        <v>12001</v>
      </c>
      <c r="U611" s="1">
        <v>41051</v>
      </c>
      <c r="V611" s="1">
        <v>0</v>
      </c>
      <c r="W611" s="1">
        <v>1</v>
      </c>
    </row>
    <row r="612">
      <c r="A612" s="1">
        <v>2019</v>
      </c>
      <c r="B612" s="1">
        <v>12</v>
      </c>
      <c r="C612" t="s">
        <v>15</v>
      </c>
      <c r="D612" s="1">
        <v>11</v>
      </c>
      <c r="E612" t="s">
        <v>183</v>
      </c>
      <c r="F612" s="1">
        <v>41</v>
      </c>
      <c r="G612" t="s">
        <v>3</v>
      </c>
      <c r="H612" s="1">
        <v>51</v>
      </c>
      <c r="I612" t="s">
        <v>6</v>
      </c>
      <c r="J612" s="1">
        <v>63</v>
      </c>
      <c r="K612" s="1">
        <v>91</v>
      </c>
      <c r="L612" s="1">
        <v>4582</v>
      </c>
      <c r="M612" s="1">
        <v>49793</v>
      </c>
      <c r="N612" s="1">
        <v>87862</v>
      </c>
      <c r="O612" s="1">
        <v>3160957</v>
      </c>
      <c r="P612" s="1">
        <v>798826</v>
      </c>
      <c r="Q612" s="1">
        <v>1549503</v>
      </c>
      <c r="R612" s="1">
        <v>63815172</v>
      </c>
      <c r="S612" s="1">
        <v>12011</v>
      </c>
      <c r="T612" s="1">
        <v>12011</v>
      </c>
      <c r="U612" s="1">
        <v>41051</v>
      </c>
      <c r="V612" s="1">
        <v>0</v>
      </c>
      <c r="W612" s="1">
        <v>1</v>
      </c>
    </row>
    <row r="613">
      <c r="A613" s="1">
        <v>2019</v>
      </c>
      <c r="B613" s="1">
        <v>12</v>
      </c>
      <c r="C613" t="s">
        <v>15</v>
      </c>
      <c r="D613" s="1">
        <v>31</v>
      </c>
      <c r="E613" t="s">
        <v>184</v>
      </c>
      <c r="F613" s="1">
        <v>41</v>
      </c>
      <c r="G613" t="s">
        <v>3</v>
      </c>
      <c r="H613" s="1">
        <v>51</v>
      </c>
      <c r="I613" t="s">
        <v>6</v>
      </c>
      <c r="J613" s="1">
        <v>29</v>
      </c>
      <c r="K613" s="1">
        <v>34</v>
      </c>
      <c r="L613" s="1">
        <v>1684</v>
      </c>
      <c r="M613" s="1">
        <v>25592</v>
      </c>
      <c r="N613" s="1">
        <v>47387</v>
      </c>
      <c r="O613" s="1">
        <v>1539689</v>
      </c>
      <c r="P613" s="1">
        <v>381570</v>
      </c>
      <c r="Q613" s="1">
        <v>751896</v>
      </c>
      <c r="R613" s="1">
        <v>26875570</v>
      </c>
      <c r="S613" s="1">
        <v>12031</v>
      </c>
      <c r="T613" s="1">
        <v>12031</v>
      </c>
      <c r="U613" s="1">
        <v>41051</v>
      </c>
      <c r="V613" s="1">
        <v>0</v>
      </c>
      <c r="W613" s="1">
        <v>1</v>
      </c>
    </row>
    <row r="614">
      <c r="A614" s="1">
        <v>2019</v>
      </c>
      <c r="B614" s="1">
        <v>12</v>
      </c>
      <c r="C614" t="s">
        <v>15</v>
      </c>
      <c r="D614" s="1">
        <v>57</v>
      </c>
      <c r="E614" t="s">
        <v>86</v>
      </c>
      <c r="F614" s="1">
        <v>41</v>
      </c>
      <c r="G614" t="s">
        <v>3</v>
      </c>
      <c r="H614" s="1">
        <v>51</v>
      </c>
      <c r="I614" t="s">
        <v>6</v>
      </c>
      <c r="J614" s="1">
        <v>33</v>
      </c>
      <c r="K614" s="1">
        <v>53</v>
      </c>
      <c r="L614" s="1">
        <v>1752</v>
      </c>
      <c r="M614" s="1">
        <v>39065</v>
      </c>
      <c r="N614" s="1">
        <v>70928</v>
      </c>
      <c r="O614" s="1">
        <v>2465665</v>
      </c>
      <c r="P614" s="1">
        <v>557039</v>
      </c>
      <c r="Q614" s="1">
        <v>1129650</v>
      </c>
      <c r="R614" s="1">
        <v>43849196</v>
      </c>
      <c r="S614" s="1">
        <v>12057</v>
      </c>
      <c r="T614" s="1">
        <v>12057</v>
      </c>
      <c r="U614" s="1">
        <v>41051</v>
      </c>
      <c r="V614" s="1">
        <v>0</v>
      </c>
      <c r="W614" s="1">
        <v>1</v>
      </c>
    </row>
    <row r="615">
      <c r="A615" s="1">
        <v>2019</v>
      </c>
      <c r="B615" s="1">
        <v>12</v>
      </c>
      <c r="C615" t="s">
        <v>15</v>
      </c>
      <c r="D615" s="1">
        <v>86</v>
      </c>
      <c r="E615" t="s">
        <v>87</v>
      </c>
      <c r="F615" s="1">
        <v>41</v>
      </c>
      <c r="G615" t="s">
        <v>3</v>
      </c>
      <c r="H615" s="1">
        <v>51</v>
      </c>
      <c r="I615" t="s">
        <v>6</v>
      </c>
      <c r="J615" s="1">
        <v>67</v>
      </c>
      <c r="K615" s="1">
        <v>91</v>
      </c>
      <c r="L615" s="1">
        <v>3627</v>
      </c>
      <c r="M615" s="1">
        <v>53249</v>
      </c>
      <c r="N615" s="1">
        <v>93619</v>
      </c>
      <c r="O615" s="1">
        <v>3274688</v>
      </c>
      <c r="P615" s="1">
        <v>1132400</v>
      </c>
      <c r="Q615" s="1">
        <v>2148009</v>
      </c>
      <c r="R615" s="1">
        <v>83457104</v>
      </c>
      <c r="S615" s="1">
        <v>12086</v>
      </c>
      <c r="T615" s="1">
        <v>12086</v>
      </c>
      <c r="U615" s="1">
        <v>41051</v>
      </c>
      <c r="V615" s="1">
        <v>0</v>
      </c>
      <c r="W615" s="1">
        <v>1</v>
      </c>
    </row>
    <row r="616">
      <c r="A616" s="1">
        <v>2019</v>
      </c>
      <c r="B616" s="1">
        <v>12</v>
      </c>
      <c r="C616" t="s">
        <v>15</v>
      </c>
      <c r="D616" s="1">
        <v>95</v>
      </c>
      <c r="E616" t="s">
        <v>64</v>
      </c>
      <c r="F616" s="1">
        <v>41</v>
      </c>
      <c r="G616" t="s">
        <v>3</v>
      </c>
      <c r="H616" s="1">
        <v>51</v>
      </c>
      <c r="I616" t="s">
        <v>6</v>
      </c>
      <c r="J616" s="1">
        <v>48</v>
      </c>
      <c r="K616" s="1">
        <v>65</v>
      </c>
      <c r="L616" s="1">
        <v>2009</v>
      </c>
      <c r="M616" s="1">
        <v>48906</v>
      </c>
      <c r="N616" s="1">
        <v>87731</v>
      </c>
      <c r="O616" s="1">
        <v>2766605</v>
      </c>
      <c r="P616" s="1">
        <v>547472</v>
      </c>
      <c r="Q616" s="1">
        <v>1096430</v>
      </c>
      <c r="R616" s="1">
        <v>39800476</v>
      </c>
      <c r="S616" s="1">
        <v>12095</v>
      </c>
      <c r="T616" s="1">
        <v>12095</v>
      </c>
      <c r="U616" s="1">
        <v>41051</v>
      </c>
      <c r="V616" s="1">
        <v>0</v>
      </c>
      <c r="W616" s="1">
        <v>1</v>
      </c>
    </row>
    <row r="617">
      <c r="A617" s="1">
        <v>2019</v>
      </c>
      <c r="B617" s="1">
        <v>12</v>
      </c>
      <c r="C617" t="s">
        <v>15</v>
      </c>
      <c r="D617" s="1">
        <v>99</v>
      </c>
      <c r="E617" t="s">
        <v>88</v>
      </c>
      <c r="F617" s="1">
        <v>41</v>
      </c>
      <c r="G617" t="s">
        <v>3</v>
      </c>
      <c r="H617" s="1">
        <v>51</v>
      </c>
      <c r="I617" t="s">
        <v>6</v>
      </c>
      <c r="J617" s="1">
        <v>43</v>
      </c>
      <c r="K617" s="1">
        <v>57</v>
      </c>
      <c r="L617" s="1">
        <v>2263</v>
      </c>
      <c r="M617" s="1">
        <v>34153</v>
      </c>
      <c r="N617" s="1">
        <v>56839</v>
      </c>
      <c r="O617" s="1">
        <v>2883243</v>
      </c>
      <c r="P617" s="1">
        <v>610161</v>
      </c>
      <c r="Q617" s="1">
        <v>1167229</v>
      </c>
      <c r="R617" s="1">
        <v>73177344</v>
      </c>
      <c r="S617" s="1">
        <v>12099</v>
      </c>
      <c r="T617" s="1">
        <v>12099</v>
      </c>
      <c r="U617" s="1">
        <v>41051</v>
      </c>
      <c r="V617" s="1">
        <v>0</v>
      </c>
      <c r="W617" s="1">
        <v>1</v>
      </c>
    </row>
    <row r="618">
      <c r="A618" s="1">
        <v>2019</v>
      </c>
      <c r="B618" s="1">
        <v>12</v>
      </c>
      <c r="C618" t="s">
        <v>15</v>
      </c>
      <c r="D618" s="1">
        <v>103</v>
      </c>
      <c r="E618" t="s">
        <v>89</v>
      </c>
      <c r="F618" s="1">
        <v>41</v>
      </c>
      <c r="G618" t="s">
        <v>3</v>
      </c>
      <c r="H618" s="1">
        <v>51</v>
      </c>
      <c r="I618" t="s">
        <v>6</v>
      </c>
      <c r="J618" s="1">
        <v>50</v>
      </c>
      <c r="K618" s="1">
        <v>69</v>
      </c>
      <c r="L618" s="1">
        <v>2692</v>
      </c>
      <c r="M618" s="1">
        <v>25824</v>
      </c>
      <c r="N618" s="1">
        <v>42704</v>
      </c>
      <c r="O618" s="1">
        <v>1688396</v>
      </c>
      <c r="P618" s="1">
        <v>407005</v>
      </c>
      <c r="Q618" s="1">
        <v>730395</v>
      </c>
      <c r="R618" s="1">
        <v>32179964</v>
      </c>
      <c r="S618" s="1">
        <v>12103</v>
      </c>
      <c r="T618" s="1">
        <v>12103</v>
      </c>
      <c r="U618" s="1">
        <v>41051</v>
      </c>
      <c r="V618" s="1">
        <v>0</v>
      </c>
      <c r="W618" s="1">
        <v>1</v>
      </c>
    </row>
    <row r="619">
      <c r="A619" s="1">
        <v>2019</v>
      </c>
      <c r="B619" s="1">
        <v>13</v>
      </c>
      <c r="C619" t="s">
        <v>16</v>
      </c>
      <c r="D619" s="1">
        <v>67</v>
      </c>
      <c r="E619" t="s">
        <v>243</v>
      </c>
      <c r="F619" s="1">
        <v>41</v>
      </c>
      <c r="G619" t="s">
        <v>3</v>
      </c>
      <c r="H619" s="1">
        <v>51</v>
      </c>
      <c r="I619" t="s">
        <v>6</v>
      </c>
      <c r="J619" s="1">
        <v>24</v>
      </c>
      <c r="K619" s="1">
        <v>44</v>
      </c>
      <c r="L619" s="1">
        <v>1405</v>
      </c>
      <c r="M619" s="1">
        <v>28018</v>
      </c>
      <c r="N619" s="1">
        <v>51227</v>
      </c>
      <c r="O619" s="1">
        <v>1967501</v>
      </c>
      <c r="P619" s="1">
        <v>286317</v>
      </c>
      <c r="Q619" s="1">
        <v>607754</v>
      </c>
      <c r="R619" s="1">
        <v>28495844</v>
      </c>
      <c r="S619" s="1">
        <v>13067</v>
      </c>
      <c r="T619" s="1">
        <v>13067</v>
      </c>
      <c r="U619" s="1">
        <v>41051</v>
      </c>
      <c r="V619" s="1">
        <v>0</v>
      </c>
      <c r="W619" s="1">
        <v>1</v>
      </c>
    </row>
    <row r="620">
      <c r="A620" s="1">
        <v>2019</v>
      </c>
      <c r="B620" s="1">
        <v>13</v>
      </c>
      <c r="C620" t="s">
        <v>16</v>
      </c>
      <c r="D620" s="1">
        <v>89</v>
      </c>
      <c r="E620" t="s">
        <v>90</v>
      </c>
      <c r="F620" s="1">
        <v>41</v>
      </c>
      <c r="G620" t="s">
        <v>3</v>
      </c>
      <c r="H620" s="1">
        <v>51</v>
      </c>
      <c r="I620" t="s">
        <v>6</v>
      </c>
      <c r="J620" s="1">
        <v>33</v>
      </c>
      <c r="K620" s="1">
        <v>45</v>
      </c>
      <c r="L620" s="1">
        <v>2243</v>
      </c>
      <c r="M620" s="1">
        <v>32584</v>
      </c>
      <c r="N620" s="1">
        <v>59457</v>
      </c>
      <c r="O620" s="1">
        <v>1951219</v>
      </c>
      <c r="P620" s="1">
        <v>282580</v>
      </c>
      <c r="Q620" s="1">
        <v>563153</v>
      </c>
      <c r="R620" s="1">
        <v>23073030</v>
      </c>
      <c r="S620" s="1">
        <v>13089</v>
      </c>
      <c r="T620" s="1">
        <v>13089</v>
      </c>
      <c r="U620" s="1">
        <v>41051</v>
      </c>
      <c r="V620" s="1">
        <v>0</v>
      </c>
      <c r="W620" s="1">
        <v>1</v>
      </c>
    </row>
    <row r="621">
      <c r="A621" s="1">
        <v>2019</v>
      </c>
      <c r="B621" s="1">
        <v>13</v>
      </c>
      <c r="C621" t="s">
        <v>16</v>
      </c>
      <c r="D621" s="1">
        <v>121</v>
      </c>
      <c r="E621" t="s">
        <v>91</v>
      </c>
      <c r="F621" s="1">
        <v>41</v>
      </c>
      <c r="G621" t="s">
        <v>3</v>
      </c>
      <c r="H621" s="1">
        <v>51</v>
      </c>
      <c r="I621" t="s">
        <v>6</v>
      </c>
      <c r="J621" s="1">
        <v>57</v>
      </c>
      <c r="K621" s="1">
        <v>75</v>
      </c>
      <c r="L621" s="1">
        <v>4070</v>
      </c>
      <c r="M621" s="1">
        <v>45522</v>
      </c>
      <c r="N621" s="1">
        <v>79941</v>
      </c>
      <c r="O621" s="1">
        <v>3857240</v>
      </c>
      <c r="P621" s="1">
        <v>433354</v>
      </c>
      <c r="Q621" s="1">
        <v>813939</v>
      </c>
      <c r="R621" s="1">
        <v>52884108</v>
      </c>
      <c r="S621" s="1">
        <v>13121</v>
      </c>
      <c r="T621" s="1">
        <v>13121</v>
      </c>
      <c r="U621" s="1">
        <v>41051</v>
      </c>
      <c r="V621" s="1">
        <v>0</v>
      </c>
      <c r="W621" s="1">
        <v>1</v>
      </c>
    </row>
    <row r="622">
      <c r="A622" s="1">
        <v>2019</v>
      </c>
      <c r="B622" s="1">
        <v>15</v>
      </c>
      <c r="C622" t="s">
        <v>17</v>
      </c>
      <c r="D622" s="1">
        <v>1</v>
      </c>
      <c r="E622" t="s">
        <v>92</v>
      </c>
      <c r="F622" s="1">
        <v>41</v>
      </c>
      <c r="G622" t="s">
        <v>3</v>
      </c>
      <c r="H622" s="1">
        <v>51</v>
      </c>
      <c r="I622" t="s">
        <v>6</v>
      </c>
      <c r="J622" s="1">
        <v>43</v>
      </c>
      <c r="K622" s="1">
        <v>71</v>
      </c>
      <c r="L622" s="1">
        <v>992</v>
      </c>
      <c r="M622" s="1">
        <v>3625</v>
      </c>
      <c r="N622" s="1">
        <v>6327</v>
      </c>
      <c r="O622" s="1">
        <v>215172</v>
      </c>
      <c r="P622" s="1">
        <v>75739</v>
      </c>
      <c r="Q622" s="1">
        <v>150199</v>
      </c>
      <c r="R622" s="1">
        <v>4608433</v>
      </c>
      <c r="S622" s="1">
        <v>15001</v>
      </c>
      <c r="T622" s="1">
        <v>15001</v>
      </c>
      <c r="U622" s="1">
        <v>41051</v>
      </c>
      <c r="V622" s="1">
        <v>0</v>
      </c>
      <c r="W622" s="1">
        <v>1</v>
      </c>
    </row>
    <row r="623">
      <c r="A623" s="1">
        <v>2019</v>
      </c>
      <c r="B623" s="1">
        <v>15</v>
      </c>
      <c r="C623" t="s">
        <v>17</v>
      </c>
      <c r="D623" s="1">
        <v>3</v>
      </c>
      <c r="E623" t="s">
        <v>93</v>
      </c>
      <c r="F623" s="1">
        <v>41</v>
      </c>
      <c r="G623" t="s">
        <v>3</v>
      </c>
      <c r="H623" s="1">
        <v>51</v>
      </c>
      <c r="I623" t="s">
        <v>6</v>
      </c>
      <c r="J623" s="1">
        <v>156</v>
      </c>
      <c r="K623" s="1">
        <v>232</v>
      </c>
      <c r="L623" s="1">
        <v>9201</v>
      </c>
      <c r="M623" s="1">
        <v>22310</v>
      </c>
      <c r="N623" s="1">
        <v>46410</v>
      </c>
      <c r="O623" s="1">
        <v>1394799</v>
      </c>
      <c r="P623" s="1">
        <v>412682</v>
      </c>
      <c r="Q623" s="1">
        <v>816678</v>
      </c>
      <c r="R623" s="1">
        <v>32349776</v>
      </c>
      <c r="S623" s="1">
        <v>15003</v>
      </c>
      <c r="T623" s="1">
        <v>15003</v>
      </c>
      <c r="U623" s="1">
        <v>41051</v>
      </c>
      <c r="V623" s="1">
        <v>0</v>
      </c>
      <c r="W623" s="1">
        <v>1</v>
      </c>
    </row>
    <row r="624">
      <c r="A624" s="1">
        <v>2019</v>
      </c>
      <c r="B624" s="1">
        <v>15</v>
      </c>
      <c r="C624" t="s">
        <v>17</v>
      </c>
      <c r="D624" s="1">
        <v>9</v>
      </c>
      <c r="E624" t="s">
        <v>94</v>
      </c>
      <c r="F624" s="1">
        <v>41</v>
      </c>
      <c r="G624" t="s">
        <v>3</v>
      </c>
      <c r="H624" s="1">
        <v>51</v>
      </c>
      <c r="I624" t="s">
        <v>6</v>
      </c>
      <c r="J624" s="1">
        <v>48</v>
      </c>
      <c r="K624" s="1">
        <v>75</v>
      </c>
      <c r="L624" s="1">
        <v>2641</v>
      </c>
      <c r="M624" s="1">
        <v>3214</v>
      </c>
      <c r="N624" s="1">
        <v>5268</v>
      </c>
      <c r="O624" s="1">
        <v>203116</v>
      </c>
      <c r="P624" s="1">
        <v>69084</v>
      </c>
      <c r="Q624" s="1">
        <v>133397</v>
      </c>
      <c r="R624" s="1">
        <v>4803973</v>
      </c>
      <c r="S624" s="1">
        <v>15009</v>
      </c>
      <c r="T624" s="1">
        <v>15009</v>
      </c>
      <c r="U624" s="1">
        <v>41051</v>
      </c>
      <c r="V624" s="1">
        <v>0</v>
      </c>
      <c r="W624" s="1">
        <v>1</v>
      </c>
    </row>
    <row r="625">
      <c r="A625" s="1">
        <v>2019</v>
      </c>
      <c r="B625" s="1">
        <v>16</v>
      </c>
      <c r="C625" t="s">
        <v>18</v>
      </c>
      <c r="D625" s="1">
        <v>1</v>
      </c>
      <c r="E625" t="s">
        <v>95</v>
      </c>
      <c r="F625" s="1">
        <v>41</v>
      </c>
      <c r="G625" t="s">
        <v>3</v>
      </c>
      <c r="H625" s="1">
        <v>51</v>
      </c>
      <c r="I625" t="s">
        <v>6</v>
      </c>
      <c r="J625" s="1">
        <v>115</v>
      </c>
      <c r="K625" s="1">
        <v>146</v>
      </c>
      <c r="L625" s="1">
        <v>3768</v>
      </c>
      <c r="M625" s="1">
        <v>10941</v>
      </c>
      <c r="N625" s="1">
        <v>20494</v>
      </c>
      <c r="O625" s="1">
        <v>676770</v>
      </c>
      <c r="P625" s="1">
        <v>182789</v>
      </c>
      <c r="Q625" s="1">
        <v>390432</v>
      </c>
      <c r="R625" s="1">
        <v>16371166</v>
      </c>
      <c r="S625" s="1">
        <v>16001</v>
      </c>
      <c r="T625" s="1">
        <v>16001</v>
      </c>
      <c r="U625" s="1">
        <v>41051</v>
      </c>
      <c r="V625" s="1">
        <v>0</v>
      </c>
      <c r="W625" s="1">
        <v>1</v>
      </c>
    </row>
    <row r="626">
      <c r="A626" s="1">
        <v>2019</v>
      </c>
      <c r="B626" s="1">
        <v>16</v>
      </c>
      <c r="C626" t="s">
        <v>18</v>
      </c>
      <c r="D626" s="1">
        <v>55</v>
      </c>
      <c r="E626" t="s">
        <v>97</v>
      </c>
      <c r="F626" s="1">
        <v>41</v>
      </c>
      <c r="G626" t="s">
        <v>3</v>
      </c>
      <c r="H626" s="1">
        <v>51</v>
      </c>
      <c r="I626" t="s">
        <v>6</v>
      </c>
      <c r="J626" s="1">
        <v>28</v>
      </c>
      <c r="K626" s="1">
        <v>36</v>
      </c>
      <c r="L626" s="1">
        <v>1281</v>
      </c>
      <c r="M626" s="1">
        <v>3744</v>
      </c>
      <c r="N626" s="1">
        <v>6649</v>
      </c>
      <c r="O626" s="1">
        <v>209431</v>
      </c>
      <c r="P626" s="1">
        <v>64667</v>
      </c>
      <c r="Q626" s="1">
        <v>136146</v>
      </c>
      <c r="R626" s="1">
        <v>4535478</v>
      </c>
      <c r="S626" s="1">
        <v>16055</v>
      </c>
      <c r="T626" s="1">
        <v>16055</v>
      </c>
      <c r="U626" s="1">
        <v>41051</v>
      </c>
      <c r="V626" s="1">
        <v>0</v>
      </c>
      <c r="W626" s="1">
        <v>1</v>
      </c>
    </row>
    <row r="627">
      <c r="A627" s="1">
        <v>2019</v>
      </c>
      <c r="B627" s="1">
        <v>17</v>
      </c>
      <c r="C627" t="s">
        <v>19</v>
      </c>
      <c r="D627" s="1">
        <v>31</v>
      </c>
      <c r="E627" t="s">
        <v>98</v>
      </c>
      <c r="F627" s="1">
        <v>41</v>
      </c>
      <c r="G627" t="s">
        <v>3</v>
      </c>
      <c r="H627" s="1">
        <v>51</v>
      </c>
      <c r="I627" t="s">
        <v>6</v>
      </c>
      <c r="J627" s="1">
        <v>310</v>
      </c>
      <c r="K627" s="1">
        <v>404</v>
      </c>
      <c r="L627" s="1">
        <v>26144</v>
      </c>
      <c r="M627" s="1">
        <v>94934</v>
      </c>
      <c r="N627" s="1">
        <v>164454</v>
      </c>
      <c r="O627" s="1">
        <v>8666105</v>
      </c>
      <c r="P627" s="1">
        <v>2111792</v>
      </c>
      <c r="Q627" s="1">
        <v>4230109</v>
      </c>
      <c r="R627" s="1">
        <v>197705056</v>
      </c>
      <c r="S627" s="1">
        <v>17031</v>
      </c>
      <c r="T627" s="1">
        <v>17031</v>
      </c>
      <c r="U627" s="1">
        <v>41051</v>
      </c>
      <c r="V627" s="1">
        <v>0</v>
      </c>
      <c r="W627" s="1">
        <v>1</v>
      </c>
    </row>
    <row r="628">
      <c r="A628" s="1">
        <v>2019</v>
      </c>
      <c r="B628" s="1">
        <v>17</v>
      </c>
      <c r="C628" t="s">
        <v>19</v>
      </c>
      <c r="D628" s="1">
        <v>43</v>
      </c>
      <c r="E628" t="s">
        <v>187</v>
      </c>
      <c r="F628" s="1">
        <v>41</v>
      </c>
      <c r="G628" t="s">
        <v>3</v>
      </c>
      <c r="H628" s="1">
        <v>51</v>
      </c>
      <c r="I628" t="s">
        <v>6</v>
      </c>
      <c r="J628" s="1">
        <v>33</v>
      </c>
      <c r="K628" s="1">
        <v>46</v>
      </c>
      <c r="L628" s="1">
        <v>2286</v>
      </c>
      <c r="M628" s="1">
        <v>28223</v>
      </c>
      <c r="N628" s="1">
        <v>50165</v>
      </c>
      <c r="O628" s="1">
        <v>2545295</v>
      </c>
      <c r="P628" s="1">
        <v>389854</v>
      </c>
      <c r="Q628" s="1">
        <v>846558</v>
      </c>
      <c r="R628" s="1">
        <v>46450256</v>
      </c>
      <c r="S628" s="1">
        <v>17043</v>
      </c>
      <c r="T628" s="1">
        <v>17043</v>
      </c>
      <c r="U628" s="1">
        <v>41051</v>
      </c>
      <c r="V628" s="1">
        <v>0</v>
      </c>
      <c r="W628" s="1">
        <v>1</v>
      </c>
    </row>
    <row r="629">
      <c r="A629" s="1">
        <v>2019</v>
      </c>
      <c r="B629" s="1">
        <v>17</v>
      </c>
      <c r="C629" t="s">
        <v>19</v>
      </c>
      <c r="D629" s="1">
        <v>97</v>
      </c>
      <c r="E629" t="s">
        <v>232</v>
      </c>
      <c r="F629" s="1">
        <v>41</v>
      </c>
      <c r="G629" t="s">
        <v>3</v>
      </c>
      <c r="H629" s="1">
        <v>51</v>
      </c>
      <c r="I629" t="s">
        <v>6</v>
      </c>
      <c r="J629" s="1">
        <v>27</v>
      </c>
      <c r="K629" s="1">
        <v>35</v>
      </c>
      <c r="L629" s="1">
        <v>1460</v>
      </c>
      <c r="M629" s="1">
        <v>17232</v>
      </c>
      <c r="N629" s="1">
        <v>30680</v>
      </c>
      <c r="O629" s="1">
        <v>2021068</v>
      </c>
      <c r="P629" s="1">
        <v>280844</v>
      </c>
      <c r="Q629" s="1">
        <v>631093</v>
      </c>
      <c r="R629" s="1">
        <v>38121768</v>
      </c>
      <c r="S629" s="1">
        <v>17097</v>
      </c>
      <c r="T629" s="1">
        <v>17097</v>
      </c>
      <c r="U629" s="1">
        <v>41051</v>
      </c>
      <c r="V629" s="1">
        <v>0</v>
      </c>
      <c r="W629" s="1">
        <v>1</v>
      </c>
    </row>
    <row r="630">
      <c r="A630" s="1">
        <v>2019</v>
      </c>
      <c r="B630" s="1">
        <v>17</v>
      </c>
      <c r="C630" t="s">
        <v>19</v>
      </c>
      <c r="D630" s="1">
        <v>197</v>
      </c>
      <c r="E630" t="s">
        <v>362</v>
      </c>
      <c r="F630" s="1">
        <v>41</v>
      </c>
      <c r="G630" t="s">
        <v>3</v>
      </c>
      <c r="H630" s="1">
        <v>51</v>
      </c>
      <c r="I630" t="s">
        <v>6</v>
      </c>
      <c r="J630" s="1">
        <v>20</v>
      </c>
      <c r="K630" s="1">
        <v>24</v>
      </c>
      <c r="L630" s="1">
        <v>821</v>
      </c>
      <c r="M630" s="1">
        <v>17369</v>
      </c>
      <c r="N630" s="1">
        <v>32296</v>
      </c>
      <c r="O630" s="1">
        <v>1352031</v>
      </c>
      <c r="P630" s="1">
        <v>273902</v>
      </c>
      <c r="Q630" s="1">
        <v>618426</v>
      </c>
      <c r="R630" s="1">
        <v>24824184</v>
      </c>
      <c r="S630" s="1">
        <v>17197</v>
      </c>
      <c r="T630" s="1">
        <v>17197</v>
      </c>
      <c r="U630" s="1">
        <v>41051</v>
      </c>
      <c r="V630" s="1">
        <v>0</v>
      </c>
      <c r="W630" s="1">
        <v>1</v>
      </c>
    </row>
    <row r="631">
      <c r="A631" s="1">
        <v>2019</v>
      </c>
      <c r="B631" s="1">
        <v>18</v>
      </c>
      <c r="C631" t="s">
        <v>20</v>
      </c>
      <c r="D631" s="1">
        <v>97</v>
      </c>
      <c r="E631" t="s">
        <v>99</v>
      </c>
      <c r="F631" s="1">
        <v>41</v>
      </c>
      <c r="G631" t="s">
        <v>3</v>
      </c>
      <c r="H631" s="1">
        <v>51</v>
      </c>
      <c r="I631" t="s">
        <v>6</v>
      </c>
      <c r="J631" s="1">
        <v>33</v>
      </c>
      <c r="K631" s="1">
        <v>44</v>
      </c>
      <c r="L631" s="1">
        <v>2434</v>
      </c>
      <c r="M631" s="1">
        <v>26374</v>
      </c>
      <c r="N631" s="1">
        <v>46556</v>
      </c>
      <c r="O631" s="1">
        <v>1538322</v>
      </c>
      <c r="P631" s="1">
        <v>376714</v>
      </c>
      <c r="Q631" s="1">
        <v>752422</v>
      </c>
      <c r="R631" s="1">
        <v>24154312</v>
      </c>
      <c r="S631" s="1">
        <v>18097</v>
      </c>
      <c r="T631" s="1">
        <v>18097</v>
      </c>
      <c r="U631" s="1">
        <v>41051</v>
      </c>
      <c r="V631" s="1">
        <v>0</v>
      </c>
      <c r="W631" s="1">
        <v>1</v>
      </c>
    </row>
    <row r="632">
      <c r="A632" s="1">
        <v>2019</v>
      </c>
      <c r="B632" s="1">
        <v>19</v>
      </c>
      <c r="C632" t="s">
        <v>21</v>
      </c>
      <c r="D632" s="1">
        <v>103</v>
      </c>
      <c r="E632" t="s">
        <v>188</v>
      </c>
      <c r="F632" s="1">
        <v>41</v>
      </c>
      <c r="G632" t="s">
        <v>3</v>
      </c>
      <c r="H632" s="1">
        <v>51</v>
      </c>
      <c r="I632" t="s">
        <v>6</v>
      </c>
      <c r="J632" s="1">
        <v>20</v>
      </c>
      <c r="K632" s="1">
        <v>26</v>
      </c>
      <c r="L632" s="1">
        <v>1113</v>
      </c>
      <c r="M632" s="1">
        <v>4687</v>
      </c>
      <c r="N632" s="1">
        <v>7616</v>
      </c>
      <c r="O632" s="1">
        <v>267108</v>
      </c>
      <c r="P632" s="1">
        <v>55812</v>
      </c>
      <c r="Q632" s="1">
        <v>112143</v>
      </c>
      <c r="R632" s="1">
        <v>5076661</v>
      </c>
      <c r="S632" s="1">
        <v>19103</v>
      </c>
      <c r="T632" s="1">
        <v>19103</v>
      </c>
      <c r="U632" s="1">
        <v>41051</v>
      </c>
      <c r="V632" s="1">
        <v>0</v>
      </c>
      <c r="W632" s="1">
        <v>1</v>
      </c>
    </row>
    <row r="633">
      <c r="A633" s="1">
        <v>2019</v>
      </c>
      <c r="B633" s="1">
        <v>20</v>
      </c>
      <c r="C633" t="s">
        <v>42</v>
      </c>
      <c r="D633" s="1">
        <v>91</v>
      </c>
      <c r="E633" t="s">
        <v>188</v>
      </c>
      <c r="F633" s="1">
        <v>41</v>
      </c>
      <c r="G633" t="s">
        <v>3</v>
      </c>
      <c r="H633" s="1">
        <v>51</v>
      </c>
      <c r="I633" t="s">
        <v>6</v>
      </c>
      <c r="J633" s="1">
        <v>23</v>
      </c>
      <c r="K633" s="1">
        <v>38</v>
      </c>
      <c r="L633" s="1">
        <v>2367</v>
      </c>
      <c r="M633" s="1">
        <v>15912</v>
      </c>
      <c r="N633" s="1">
        <v>27853</v>
      </c>
      <c r="O633" s="1">
        <v>1262685</v>
      </c>
      <c r="P633" s="1">
        <v>242534</v>
      </c>
      <c r="Q633" s="1">
        <v>528439</v>
      </c>
      <c r="R633" s="1">
        <v>29580208</v>
      </c>
      <c r="S633" s="1">
        <v>20091</v>
      </c>
      <c r="T633" s="1">
        <v>20091</v>
      </c>
      <c r="U633" s="1">
        <v>41051</v>
      </c>
      <c r="V633" s="1">
        <v>0</v>
      </c>
      <c r="W633" s="1">
        <v>1</v>
      </c>
    </row>
    <row r="634">
      <c r="A634" s="1">
        <v>2019</v>
      </c>
      <c r="B634" s="1">
        <v>21</v>
      </c>
      <c r="C634" t="s">
        <v>43</v>
      </c>
      <c r="D634" s="1">
        <v>111</v>
      </c>
      <c r="E634" t="s">
        <v>83</v>
      </c>
      <c r="F634" s="1">
        <v>41</v>
      </c>
      <c r="G634" t="s">
        <v>3</v>
      </c>
      <c r="H634" s="1">
        <v>51</v>
      </c>
      <c r="I634" t="s">
        <v>6</v>
      </c>
      <c r="J634" s="1">
        <v>22</v>
      </c>
      <c r="K634" s="1">
        <v>30</v>
      </c>
      <c r="L634" s="1">
        <v>1594</v>
      </c>
      <c r="M634" s="1">
        <v>15985</v>
      </c>
      <c r="N634" s="1">
        <v>28494</v>
      </c>
      <c r="O634" s="1">
        <v>1091621</v>
      </c>
      <c r="P634" s="1">
        <v>309562</v>
      </c>
      <c r="Q634" s="1">
        <v>605854</v>
      </c>
      <c r="R634" s="1">
        <v>23628666</v>
      </c>
      <c r="S634" s="1">
        <v>21111</v>
      </c>
      <c r="T634" s="1">
        <v>21111</v>
      </c>
      <c r="U634" s="1">
        <v>41051</v>
      </c>
      <c r="V634" s="1">
        <v>0</v>
      </c>
      <c r="W634" s="1">
        <v>1</v>
      </c>
    </row>
    <row r="635">
      <c r="A635" s="1">
        <v>2019</v>
      </c>
      <c r="B635" s="1">
        <v>22</v>
      </c>
      <c r="C635" t="s">
        <v>22</v>
      </c>
      <c r="D635" s="1">
        <v>71</v>
      </c>
      <c r="E635" t="s">
        <v>101</v>
      </c>
      <c r="F635" s="1">
        <v>41</v>
      </c>
      <c r="G635" t="s">
        <v>3</v>
      </c>
      <c r="H635" s="1">
        <v>51</v>
      </c>
      <c r="I635" t="s">
        <v>6</v>
      </c>
      <c r="J635" s="1">
        <v>44</v>
      </c>
      <c r="K635" s="1">
        <v>55</v>
      </c>
      <c r="L635" s="1">
        <v>3363</v>
      </c>
      <c r="M635" s="1">
        <v>10942</v>
      </c>
      <c r="N635" s="1">
        <v>19214</v>
      </c>
      <c r="O635" s="1">
        <v>628621</v>
      </c>
      <c r="P635" s="1">
        <v>129340</v>
      </c>
      <c r="Q635" s="1">
        <v>244677</v>
      </c>
      <c r="R635" s="1">
        <v>9319526</v>
      </c>
      <c r="S635" s="1">
        <v>22071</v>
      </c>
      <c r="T635" s="1">
        <v>22071</v>
      </c>
      <c r="U635" s="1">
        <v>41051</v>
      </c>
      <c r="V635" s="1">
        <v>0</v>
      </c>
      <c r="W635" s="1">
        <v>1</v>
      </c>
    </row>
    <row r="636">
      <c r="A636" s="1">
        <v>2019</v>
      </c>
      <c r="B636" s="1">
        <v>23</v>
      </c>
      <c r="C636" t="s">
        <v>23</v>
      </c>
      <c r="D636" s="1">
        <v>5</v>
      </c>
      <c r="E636" t="s">
        <v>102</v>
      </c>
      <c r="F636" s="1">
        <v>41</v>
      </c>
      <c r="G636" t="s">
        <v>3</v>
      </c>
      <c r="H636" s="1">
        <v>51</v>
      </c>
      <c r="I636" t="s">
        <v>6</v>
      </c>
      <c r="J636" s="1">
        <v>25</v>
      </c>
      <c r="K636" s="1">
        <v>30</v>
      </c>
      <c r="L636" s="1">
        <v>1439</v>
      </c>
      <c r="M636" s="1">
        <v>8002</v>
      </c>
      <c r="N636" s="1">
        <v>12416</v>
      </c>
      <c r="O636" s="1">
        <v>514282</v>
      </c>
      <c r="P636" s="1">
        <v>131662</v>
      </c>
      <c r="Q636" s="1">
        <v>248271</v>
      </c>
      <c r="R636" s="1">
        <v>11941731</v>
      </c>
      <c r="S636" s="1">
        <v>23005</v>
      </c>
      <c r="T636" s="1">
        <v>23005</v>
      </c>
      <c r="U636" s="1">
        <v>41051</v>
      </c>
      <c r="V636" s="1">
        <v>0</v>
      </c>
      <c r="W636" s="1">
        <v>1</v>
      </c>
    </row>
    <row r="637">
      <c r="A637" s="1">
        <v>2019</v>
      </c>
      <c r="B637" s="1">
        <v>24</v>
      </c>
      <c r="C637" t="s">
        <v>24</v>
      </c>
      <c r="D637" s="1">
        <v>3</v>
      </c>
      <c r="E637" t="s">
        <v>361</v>
      </c>
      <c r="F637" s="1">
        <v>41</v>
      </c>
      <c r="G637" t="s">
        <v>3</v>
      </c>
      <c r="H637" s="1">
        <v>51</v>
      </c>
      <c r="I637" t="s">
        <v>6</v>
      </c>
      <c r="J637" s="1">
        <v>23</v>
      </c>
      <c r="K637" s="1">
        <v>41</v>
      </c>
      <c r="L637" s="1">
        <v>1603</v>
      </c>
      <c r="M637" s="1">
        <v>17955</v>
      </c>
      <c r="N637" s="1">
        <v>32657</v>
      </c>
      <c r="O637" s="1">
        <v>1410695</v>
      </c>
      <c r="P637" s="1">
        <v>239839</v>
      </c>
      <c r="Q637" s="1">
        <v>490520</v>
      </c>
      <c r="R637" s="1">
        <v>25131148</v>
      </c>
      <c r="S637" s="1">
        <v>24003</v>
      </c>
      <c r="T637" s="1">
        <v>24003</v>
      </c>
      <c r="U637" s="1">
        <v>41051</v>
      </c>
      <c r="V637" s="1">
        <v>0</v>
      </c>
      <c r="W637" s="1">
        <v>1</v>
      </c>
    </row>
    <row r="638">
      <c r="A638" s="1">
        <v>2019</v>
      </c>
      <c r="B638" s="1">
        <v>24</v>
      </c>
      <c r="C638" t="s">
        <v>24</v>
      </c>
      <c r="D638" s="1">
        <v>5</v>
      </c>
      <c r="E638" t="s">
        <v>284</v>
      </c>
      <c r="F638" s="1">
        <v>41</v>
      </c>
      <c r="G638" t="s">
        <v>3</v>
      </c>
      <c r="H638" s="1">
        <v>51</v>
      </c>
      <c r="I638" t="s">
        <v>6</v>
      </c>
      <c r="J638" s="1">
        <v>24</v>
      </c>
      <c r="K638" s="1">
        <v>33</v>
      </c>
      <c r="L638" s="1">
        <v>2556</v>
      </c>
      <c r="M638" s="1">
        <v>23548</v>
      </c>
      <c r="N638" s="1">
        <v>41952</v>
      </c>
      <c r="O638" s="1">
        <v>1693287</v>
      </c>
      <c r="P638" s="1">
        <v>340972</v>
      </c>
      <c r="Q638" s="1">
        <v>680910</v>
      </c>
      <c r="R638" s="1">
        <v>31014052</v>
      </c>
      <c r="S638" s="1">
        <v>24005</v>
      </c>
      <c r="T638" s="1">
        <v>24005</v>
      </c>
      <c r="U638" s="1">
        <v>41051</v>
      </c>
      <c r="V638" s="1">
        <v>0</v>
      </c>
      <c r="W638" s="1">
        <v>1</v>
      </c>
    </row>
    <row r="639">
      <c r="A639" s="1">
        <v>2019</v>
      </c>
      <c r="B639" s="1">
        <v>24</v>
      </c>
      <c r="C639" t="s">
        <v>24</v>
      </c>
      <c r="D639" s="1">
        <v>31</v>
      </c>
      <c r="E639" t="s">
        <v>103</v>
      </c>
      <c r="F639" s="1">
        <v>41</v>
      </c>
      <c r="G639" t="s">
        <v>3</v>
      </c>
      <c r="H639" s="1">
        <v>51</v>
      </c>
      <c r="I639" t="s">
        <v>6</v>
      </c>
      <c r="J639" s="1">
        <v>43</v>
      </c>
      <c r="K639" s="1">
        <v>68</v>
      </c>
      <c r="L639" s="1">
        <v>6606</v>
      </c>
      <c r="M639" s="1">
        <v>30476</v>
      </c>
      <c r="N639" s="1">
        <v>51678</v>
      </c>
      <c r="O639" s="1">
        <v>2814406</v>
      </c>
      <c r="P639" s="1">
        <v>440471</v>
      </c>
      <c r="Q639" s="1">
        <v>913974</v>
      </c>
      <c r="R639" s="1">
        <v>58098096</v>
      </c>
      <c r="S639" s="1">
        <v>24031</v>
      </c>
      <c r="T639" s="1">
        <v>24031</v>
      </c>
      <c r="U639" s="1">
        <v>41051</v>
      </c>
      <c r="V639" s="1">
        <v>0</v>
      </c>
      <c r="W639" s="1">
        <v>1</v>
      </c>
    </row>
    <row r="640">
      <c r="A640" s="1">
        <v>2019</v>
      </c>
      <c r="B640" s="1">
        <v>24</v>
      </c>
      <c r="C640" t="s">
        <v>24</v>
      </c>
      <c r="D640" s="1">
        <v>510</v>
      </c>
      <c r="E640" t="s">
        <v>190</v>
      </c>
      <c r="F640" s="1">
        <v>41</v>
      </c>
      <c r="G640" t="s">
        <v>3</v>
      </c>
      <c r="H640" s="1">
        <v>51</v>
      </c>
      <c r="I640" t="s">
        <v>6</v>
      </c>
      <c r="J640" s="1">
        <v>39</v>
      </c>
      <c r="K640" s="1">
        <v>51</v>
      </c>
      <c r="L640" s="1">
        <v>4721</v>
      </c>
      <c r="M640" s="1">
        <v>21850</v>
      </c>
      <c r="N640" s="1">
        <v>37785</v>
      </c>
      <c r="O640" s="1">
        <v>1345946</v>
      </c>
      <c r="P640" s="1">
        <v>209327</v>
      </c>
      <c r="Q640" s="1">
        <v>384352</v>
      </c>
      <c r="R640" s="1">
        <v>13345733</v>
      </c>
      <c r="S640" s="1">
        <v>24510</v>
      </c>
      <c r="T640" s="1">
        <v>24510</v>
      </c>
      <c r="U640" s="1">
        <v>41051</v>
      </c>
      <c r="V640" s="1">
        <v>0</v>
      </c>
      <c r="W640" s="1">
        <v>1</v>
      </c>
    </row>
    <row r="641">
      <c r="A641" s="1">
        <v>2019</v>
      </c>
      <c r="B641" s="1">
        <v>25</v>
      </c>
      <c r="C641" t="s">
        <v>25</v>
      </c>
      <c r="D641" s="1">
        <v>9</v>
      </c>
      <c r="E641" t="s">
        <v>305</v>
      </c>
      <c r="F641" s="1">
        <v>41</v>
      </c>
      <c r="G641" t="s">
        <v>3</v>
      </c>
      <c r="H641" s="1">
        <v>51</v>
      </c>
      <c r="I641" t="s">
        <v>6</v>
      </c>
      <c r="J641" s="1">
        <v>23</v>
      </c>
      <c r="K641" s="1">
        <v>35</v>
      </c>
      <c r="L641" s="1">
        <v>1431</v>
      </c>
      <c r="M641" s="1">
        <v>16989</v>
      </c>
      <c r="N641" s="1">
        <v>27932</v>
      </c>
      <c r="O641" s="1">
        <v>1332349</v>
      </c>
      <c r="P641" s="1">
        <v>335065</v>
      </c>
      <c r="Q641" s="1">
        <v>667057</v>
      </c>
      <c r="R641" s="1">
        <v>34920944</v>
      </c>
      <c r="S641" s="1">
        <v>25009</v>
      </c>
      <c r="T641" s="1">
        <v>25009</v>
      </c>
      <c r="U641" s="1">
        <v>41051</v>
      </c>
      <c r="V641" s="1">
        <v>0</v>
      </c>
      <c r="W641" s="1">
        <v>1</v>
      </c>
    </row>
    <row r="642">
      <c r="A642" s="1">
        <v>2019</v>
      </c>
      <c r="B642" s="1">
        <v>25</v>
      </c>
      <c r="C642" t="s">
        <v>25</v>
      </c>
      <c r="D642" s="1">
        <v>17</v>
      </c>
      <c r="E642" t="s">
        <v>104</v>
      </c>
      <c r="F642" s="1">
        <v>41</v>
      </c>
      <c r="G642" t="s">
        <v>3</v>
      </c>
      <c r="H642" s="1">
        <v>51</v>
      </c>
      <c r="I642" t="s">
        <v>6</v>
      </c>
      <c r="J642" s="1">
        <v>121</v>
      </c>
      <c r="K642" s="1">
        <v>150</v>
      </c>
      <c r="L642" s="1">
        <v>10108</v>
      </c>
      <c r="M642" s="1">
        <v>48464</v>
      </c>
      <c r="N642" s="1">
        <v>74314</v>
      </c>
      <c r="O642" s="1">
        <v>5082296</v>
      </c>
      <c r="P642" s="1">
        <v>680985</v>
      </c>
      <c r="Q642" s="1">
        <v>1341464</v>
      </c>
      <c r="R642" s="1">
        <v>96784400</v>
      </c>
      <c r="S642" s="1">
        <v>25017</v>
      </c>
      <c r="T642" s="1">
        <v>25017</v>
      </c>
      <c r="U642" s="1">
        <v>41051</v>
      </c>
      <c r="V642" s="1">
        <v>0</v>
      </c>
      <c r="W642" s="1">
        <v>1</v>
      </c>
    </row>
    <row r="643">
      <c r="A643" s="1">
        <v>2019</v>
      </c>
      <c r="B643" s="1">
        <v>25</v>
      </c>
      <c r="C643" t="s">
        <v>25</v>
      </c>
      <c r="D643" s="1">
        <v>21</v>
      </c>
      <c r="E643" t="s">
        <v>192</v>
      </c>
      <c r="F643" s="1">
        <v>41</v>
      </c>
      <c r="G643" t="s">
        <v>3</v>
      </c>
      <c r="H643" s="1">
        <v>51</v>
      </c>
      <c r="I643" t="s">
        <v>6</v>
      </c>
      <c r="J643" s="1">
        <v>25</v>
      </c>
      <c r="K643" s="1">
        <v>38</v>
      </c>
      <c r="L643" s="1">
        <v>3526</v>
      </c>
      <c r="M643" s="1">
        <v>22813</v>
      </c>
      <c r="N643" s="1">
        <v>36221</v>
      </c>
      <c r="O643" s="1">
        <v>2346487</v>
      </c>
      <c r="P643" s="1">
        <v>298424</v>
      </c>
      <c r="Q643" s="1">
        <v>610235</v>
      </c>
      <c r="R643" s="1">
        <v>47945436</v>
      </c>
      <c r="S643" s="1">
        <v>25021</v>
      </c>
      <c r="T643" s="1">
        <v>25021</v>
      </c>
      <c r="U643" s="1">
        <v>41051</v>
      </c>
      <c r="V643" s="1">
        <v>0</v>
      </c>
      <c r="W643" s="1">
        <v>1</v>
      </c>
    </row>
    <row r="644">
      <c r="A644" s="1">
        <v>2019</v>
      </c>
      <c r="B644" s="1">
        <v>25</v>
      </c>
      <c r="C644" t="s">
        <v>25</v>
      </c>
      <c r="D644" s="1">
        <v>25</v>
      </c>
      <c r="E644" t="s">
        <v>105</v>
      </c>
      <c r="F644" s="1">
        <v>41</v>
      </c>
      <c r="G644" t="s">
        <v>3</v>
      </c>
      <c r="H644" s="1">
        <v>51</v>
      </c>
      <c r="I644" t="s">
        <v>6</v>
      </c>
      <c r="J644" s="1">
        <v>92</v>
      </c>
      <c r="K644" s="1">
        <v>123</v>
      </c>
      <c r="L644" s="1">
        <v>8574</v>
      </c>
      <c r="M644" s="1">
        <v>37752</v>
      </c>
      <c r="N644" s="1">
        <v>55499</v>
      </c>
      <c r="O644" s="1">
        <v>3568440</v>
      </c>
      <c r="P644" s="1">
        <v>331625</v>
      </c>
      <c r="Q644" s="1">
        <v>556672</v>
      </c>
      <c r="R644" s="1">
        <v>39825144</v>
      </c>
      <c r="S644" s="1">
        <v>25025</v>
      </c>
      <c r="T644" s="1">
        <v>25025</v>
      </c>
      <c r="U644" s="1">
        <v>41051</v>
      </c>
      <c r="V644" s="1">
        <v>0</v>
      </c>
      <c r="W644" s="1">
        <v>1</v>
      </c>
    </row>
    <row r="645">
      <c r="A645" s="1">
        <v>2019</v>
      </c>
      <c r="B645" s="1">
        <v>25</v>
      </c>
      <c r="C645" t="s">
        <v>25</v>
      </c>
      <c r="D645" s="1">
        <v>27</v>
      </c>
      <c r="E645" t="s">
        <v>354</v>
      </c>
      <c r="F645" s="1">
        <v>41</v>
      </c>
      <c r="G645" t="s">
        <v>3</v>
      </c>
      <c r="H645" s="1">
        <v>51</v>
      </c>
      <c r="I645" t="s">
        <v>6</v>
      </c>
      <c r="J645" s="1">
        <v>27</v>
      </c>
      <c r="K645" s="1">
        <v>31</v>
      </c>
      <c r="L645" s="1">
        <v>1386</v>
      </c>
      <c r="M645" s="1">
        <v>15052</v>
      </c>
      <c r="N645" s="1">
        <v>24815</v>
      </c>
      <c r="O645" s="1">
        <v>1108220</v>
      </c>
      <c r="P645" s="1">
        <v>339991</v>
      </c>
      <c r="Q645" s="1">
        <v>687392</v>
      </c>
      <c r="R645" s="1">
        <v>29919360</v>
      </c>
      <c r="S645" s="1">
        <v>25027</v>
      </c>
      <c r="T645" s="1">
        <v>25027</v>
      </c>
      <c r="U645" s="1">
        <v>41051</v>
      </c>
      <c r="V645" s="1">
        <v>0</v>
      </c>
      <c r="W645" s="1">
        <v>1</v>
      </c>
    </row>
    <row r="646">
      <c r="A646" s="1">
        <v>2019</v>
      </c>
      <c r="B646" s="1">
        <v>26</v>
      </c>
      <c r="C646" t="s">
        <v>26</v>
      </c>
      <c r="D646" s="1">
        <v>81</v>
      </c>
      <c r="E646" t="s">
        <v>193</v>
      </c>
      <c r="F646" s="1">
        <v>41</v>
      </c>
      <c r="G646" t="s">
        <v>3</v>
      </c>
      <c r="H646" s="1">
        <v>51</v>
      </c>
      <c r="I646" t="s">
        <v>6</v>
      </c>
      <c r="J646" s="1">
        <v>32</v>
      </c>
      <c r="K646" s="1">
        <v>37</v>
      </c>
      <c r="L646" s="1">
        <v>1246</v>
      </c>
      <c r="M646" s="1">
        <v>14166</v>
      </c>
      <c r="N646" s="1">
        <v>24608</v>
      </c>
      <c r="O646" s="1">
        <v>893524</v>
      </c>
      <c r="P646" s="1">
        <v>260500</v>
      </c>
      <c r="Q646" s="1">
        <v>547694</v>
      </c>
      <c r="R646" s="1">
        <v>21844196</v>
      </c>
      <c r="S646" s="1">
        <v>26081</v>
      </c>
      <c r="T646" s="1">
        <v>26081</v>
      </c>
      <c r="U646" s="1">
        <v>41051</v>
      </c>
      <c r="V646" s="1">
        <v>0</v>
      </c>
      <c r="W646" s="1">
        <v>1</v>
      </c>
    </row>
    <row r="647">
      <c r="A647" s="1">
        <v>2019</v>
      </c>
      <c r="B647" s="1">
        <v>26</v>
      </c>
      <c r="C647" t="s">
        <v>26</v>
      </c>
      <c r="D647" s="1">
        <v>125</v>
      </c>
      <c r="E647" t="s">
        <v>194</v>
      </c>
      <c r="F647" s="1">
        <v>41</v>
      </c>
      <c r="G647" t="s">
        <v>3</v>
      </c>
      <c r="H647" s="1">
        <v>51</v>
      </c>
      <c r="I647" t="s">
        <v>6</v>
      </c>
      <c r="J647" s="1">
        <v>44</v>
      </c>
      <c r="K647" s="1">
        <v>57</v>
      </c>
      <c r="L647" s="1">
        <v>3430</v>
      </c>
      <c r="M647" s="1">
        <v>31373</v>
      </c>
      <c r="N647" s="1">
        <v>53225</v>
      </c>
      <c r="O647" s="1">
        <v>2461595</v>
      </c>
      <c r="P647" s="1">
        <v>530307</v>
      </c>
      <c r="Q647" s="1">
        <v>1074624</v>
      </c>
      <c r="R647" s="1">
        <v>58741816</v>
      </c>
      <c r="S647" s="1">
        <v>26125</v>
      </c>
      <c r="T647" s="1">
        <v>26125</v>
      </c>
      <c r="U647" s="1">
        <v>41051</v>
      </c>
      <c r="V647" s="1">
        <v>0</v>
      </c>
      <c r="W647" s="1">
        <v>1</v>
      </c>
    </row>
    <row r="648">
      <c r="A648" s="1">
        <v>2019</v>
      </c>
      <c r="B648" s="1">
        <v>26</v>
      </c>
      <c r="C648" t="s">
        <v>26</v>
      </c>
      <c r="D648" s="1">
        <v>161</v>
      </c>
      <c r="E648" t="s">
        <v>106</v>
      </c>
      <c r="F648" s="1">
        <v>41</v>
      </c>
      <c r="G648" t="s">
        <v>3</v>
      </c>
      <c r="H648" s="1">
        <v>51</v>
      </c>
      <c r="I648" t="s">
        <v>6</v>
      </c>
      <c r="J648" s="1">
        <v>35</v>
      </c>
      <c r="K648" s="1">
        <v>45</v>
      </c>
      <c r="L648" s="1">
        <v>2109</v>
      </c>
      <c r="M648" s="1">
        <v>12383</v>
      </c>
      <c r="N648" s="1">
        <v>19115</v>
      </c>
      <c r="O648" s="1">
        <v>922835</v>
      </c>
      <c r="P648" s="1">
        <v>141371</v>
      </c>
      <c r="Q648" s="1">
        <v>277424</v>
      </c>
      <c r="R648" s="1">
        <v>14569001</v>
      </c>
      <c r="S648" s="1">
        <v>26161</v>
      </c>
      <c r="T648" s="1">
        <v>26161</v>
      </c>
      <c r="U648" s="1">
        <v>41051</v>
      </c>
      <c r="V648" s="1">
        <v>0</v>
      </c>
      <c r="W648" s="1">
        <v>1</v>
      </c>
    </row>
    <row r="649">
      <c r="A649" s="1">
        <v>2019</v>
      </c>
      <c r="B649" s="1">
        <v>26</v>
      </c>
      <c r="C649" t="s">
        <v>26</v>
      </c>
      <c r="D649" s="1">
        <v>163</v>
      </c>
      <c r="E649" t="s">
        <v>195</v>
      </c>
      <c r="F649" s="1">
        <v>41</v>
      </c>
      <c r="G649" t="s">
        <v>3</v>
      </c>
      <c r="H649" s="1">
        <v>51</v>
      </c>
      <c r="I649" t="s">
        <v>6</v>
      </c>
      <c r="J649" s="1">
        <v>39</v>
      </c>
      <c r="K649" s="1">
        <v>52</v>
      </c>
      <c r="L649" s="1">
        <v>2529</v>
      </c>
      <c r="M649" s="1">
        <v>30783</v>
      </c>
      <c r="N649" s="1">
        <v>54763</v>
      </c>
      <c r="O649" s="1">
        <v>1827813</v>
      </c>
      <c r="P649" s="1">
        <v>649296</v>
      </c>
      <c r="Q649" s="1">
        <v>1326306</v>
      </c>
      <c r="R649" s="1">
        <v>41457052</v>
      </c>
      <c r="S649" s="1">
        <v>26163</v>
      </c>
      <c r="T649" s="1">
        <v>26163</v>
      </c>
      <c r="U649" s="1">
        <v>41051</v>
      </c>
      <c r="V649" s="1">
        <v>0</v>
      </c>
      <c r="W649" s="1">
        <v>1</v>
      </c>
    </row>
    <row r="650">
      <c r="A650" s="1">
        <v>2019</v>
      </c>
      <c r="B650" s="1">
        <v>27</v>
      </c>
      <c r="C650" t="s">
        <v>27</v>
      </c>
      <c r="D650" s="1">
        <v>53</v>
      </c>
      <c r="E650" t="s">
        <v>107</v>
      </c>
      <c r="F650" s="1">
        <v>41</v>
      </c>
      <c r="G650" t="s">
        <v>3</v>
      </c>
      <c r="H650" s="1">
        <v>51</v>
      </c>
      <c r="I650" t="s">
        <v>6</v>
      </c>
      <c r="J650" s="1">
        <v>135</v>
      </c>
      <c r="K650" s="1">
        <v>168</v>
      </c>
      <c r="L650" s="1">
        <v>11283</v>
      </c>
      <c r="M650" s="1">
        <v>38726</v>
      </c>
      <c r="N650" s="1">
        <v>64534</v>
      </c>
      <c r="O650" s="1">
        <v>2952991</v>
      </c>
      <c r="P650" s="1">
        <v>544743</v>
      </c>
      <c r="Q650" s="1">
        <v>1063850</v>
      </c>
      <c r="R650" s="1">
        <v>60056628</v>
      </c>
      <c r="S650" s="1">
        <v>27053</v>
      </c>
      <c r="T650" s="1">
        <v>27053</v>
      </c>
      <c r="U650" s="1">
        <v>41051</v>
      </c>
      <c r="V650" s="1">
        <v>0</v>
      </c>
      <c r="W650" s="1">
        <v>1</v>
      </c>
    </row>
    <row r="651">
      <c r="A651" s="1">
        <v>2019</v>
      </c>
      <c r="B651" s="1">
        <v>27</v>
      </c>
      <c r="C651" t="s">
        <v>27</v>
      </c>
      <c r="D651" s="1">
        <v>123</v>
      </c>
      <c r="E651" t="s">
        <v>108</v>
      </c>
      <c r="F651" s="1">
        <v>41</v>
      </c>
      <c r="G651" t="s">
        <v>3</v>
      </c>
      <c r="H651" s="1">
        <v>51</v>
      </c>
      <c r="I651" t="s">
        <v>6</v>
      </c>
      <c r="J651" s="1">
        <v>37</v>
      </c>
      <c r="K651" s="1">
        <v>47</v>
      </c>
      <c r="L651" s="1">
        <v>1527</v>
      </c>
      <c r="M651" s="1">
        <v>21525</v>
      </c>
      <c r="N651" s="1">
        <v>36596</v>
      </c>
      <c r="O651" s="1">
        <v>1359638</v>
      </c>
      <c r="P651" s="1">
        <v>228920</v>
      </c>
      <c r="Q651" s="1">
        <v>450834</v>
      </c>
      <c r="R651" s="1">
        <v>18410498</v>
      </c>
      <c r="S651" s="1">
        <v>27123</v>
      </c>
      <c r="T651" s="1">
        <v>27123</v>
      </c>
      <c r="U651" s="1">
        <v>41051</v>
      </c>
      <c r="V651" s="1">
        <v>0</v>
      </c>
      <c r="W651" s="1">
        <v>1</v>
      </c>
    </row>
    <row r="652">
      <c r="A652" s="1">
        <v>2019</v>
      </c>
      <c r="B652" s="1">
        <v>29</v>
      </c>
      <c r="C652" t="s">
        <v>44</v>
      </c>
      <c r="D652" s="1">
        <v>95</v>
      </c>
      <c r="E652" t="s">
        <v>133</v>
      </c>
      <c r="F652" s="1">
        <v>41</v>
      </c>
      <c r="G652" t="s">
        <v>3</v>
      </c>
      <c r="H652" s="1">
        <v>51</v>
      </c>
      <c r="I652" t="s">
        <v>6</v>
      </c>
      <c r="J652" s="1">
        <v>31</v>
      </c>
      <c r="K652" s="1">
        <v>42</v>
      </c>
      <c r="L652" s="1">
        <v>1758</v>
      </c>
      <c r="M652" s="1">
        <v>18808</v>
      </c>
      <c r="N652" s="1">
        <v>32689</v>
      </c>
      <c r="O652" s="1">
        <v>1182614</v>
      </c>
      <c r="P652" s="1">
        <v>273107</v>
      </c>
      <c r="Q652" s="1">
        <v>541177</v>
      </c>
      <c r="R652" s="1">
        <v>18761172</v>
      </c>
      <c r="S652" s="1">
        <v>29095</v>
      </c>
      <c r="T652" s="1">
        <v>29095</v>
      </c>
      <c r="U652" s="1">
        <v>41051</v>
      </c>
      <c r="V652" s="1">
        <v>0</v>
      </c>
      <c r="W652" s="1">
        <v>1</v>
      </c>
    </row>
    <row r="653">
      <c r="A653" s="1">
        <v>2019</v>
      </c>
      <c r="B653" s="1">
        <v>29</v>
      </c>
      <c r="C653" t="s">
        <v>44</v>
      </c>
      <c r="D653" s="1">
        <v>189</v>
      </c>
      <c r="E653" t="s">
        <v>197</v>
      </c>
      <c r="F653" s="1">
        <v>41</v>
      </c>
      <c r="G653" t="s">
        <v>3</v>
      </c>
      <c r="H653" s="1">
        <v>51</v>
      </c>
      <c r="I653" t="s">
        <v>6</v>
      </c>
      <c r="J653" s="1">
        <v>31</v>
      </c>
      <c r="K653" s="1">
        <v>40</v>
      </c>
      <c r="L653" s="1">
        <v>2093</v>
      </c>
      <c r="M653" s="1">
        <v>24748</v>
      </c>
      <c r="N653" s="1">
        <v>43591</v>
      </c>
      <c r="O653" s="1">
        <v>1827051</v>
      </c>
      <c r="P653" s="1">
        <v>413236</v>
      </c>
      <c r="Q653" s="1">
        <v>837129</v>
      </c>
      <c r="R653" s="1">
        <v>46429248</v>
      </c>
      <c r="S653" s="1">
        <v>29189</v>
      </c>
      <c r="T653" s="1">
        <v>29189</v>
      </c>
      <c r="U653" s="1">
        <v>41051</v>
      </c>
      <c r="V653" s="1">
        <v>0</v>
      </c>
      <c r="W653" s="1">
        <v>1</v>
      </c>
    </row>
    <row r="654">
      <c r="A654" s="1">
        <v>2019</v>
      </c>
      <c r="B654" s="1">
        <v>29</v>
      </c>
      <c r="C654" t="s">
        <v>44</v>
      </c>
      <c r="D654" s="1">
        <v>510</v>
      </c>
      <c r="E654" t="s">
        <v>198</v>
      </c>
      <c r="F654" s="1">
        <v>41</v>
      </c>
      <c r="G654" t="s">
        <v>3</v>
      </c>
      <c r="H654" s="1">
        <v>51</v>
      </c>
      <c r="I654" t="s">
        <v>6</v>
      </c>
      <c r="J654" s="1">
        <v>33</v>
      </c>
      <c r="K654" s="1">
        <v>40</v>
      </c>
      <c r="L654" s="1">
        <v>2266</v>
      </c>
      <c r="M654" s="1">
        <v>13923</v>
      </c>
      <c r="N654" s="1">
        <v>24099</v>
      </c>
      <c r="O654" s="1">
        <v>718654</v>
      </c>
      <c r="P654" s="1">
        <v>116576</v>
      </c>
      <c r="Q654" s="1">
        <v>204366</v>
      </c>
      <c r="R654" s="1">
        <v>6768624</v>
      </c>
      <c r="S654" s="1">
        <v>29510</v>
      </c>
      <c r="T654" s="1">
        <v>29510</v>
      </c>
      <c r="U654" s="1">
        <v>41051</v>
      </c>
      <c r="V654" s="1">
        <v>0</v>
      </c>
      <c r="W654" s="1">
        <v>1</v>
      </c>
    </row>
    <row r="655">
      <c r="A655" s="1">
        <v>2019</v>
      </c>
      <c r="B655" s="1">
        <v>30</v>
      </c>
      <c r="C655" t="s">
        <v>28</v>
      </c>
      <c r="D655" s="1">
        <v>29</v>
      </c>
      <c r="E655" t="s">
        <v>199</v>
      </c>
      <c r="F655" s="1">
        <v>41</v>
      </c>
      <c r="G655" t="s">
        <v>3</v>
      </c>
      <c r="H655" s="1">
        <v>51</v>
      </c>
      <c r="I655" t="s">
        <v>6</v>
      </c>
      <c r="J655" s="1">
        <v>23</v>
      </c>
      <c r="K655" s="1">
        <v>28</v>
      </c>
      <c r="L655" s="1">
        <v>537</v>
      </c>
      <c r="M655" s="1">
        <v>2334</v>
      </c>
      <c r="N655" s="1">
        <v>4072</v>
      </c>
      <c r="O655" s="1">
        <v>112470</v>
      </c>
      <c r="P655" s="1">
        <v>42294</v>
      </c>
      <c r="Q655" s="1">
        <v>85964</v>
      </c>
      <c r="R655" s="1">
        <v>2913156</v>
      </c>
      <c r="S655" s="1">
        <v>30029</v>
      </c>
      <c r="T655" s="1">
        <v>30029</v>
      </c>
      <c r="U655" s="1">
        <v>41051</v>
      </c>
      <c r="V655" s="1">
        <v>0</v>
      </c>
      <c r="W655" s="1">
        <v>1</v>
      </c>
    </row>
    <row r="656">
      <c r="A656" s="1">
        <v>2019</v>
      </c>
      <c r="B656" s="1">
        <v>30</v>
      </c>
      <c r="C656" t="s">
        <v>28</v>
      </c>
      <c r="D656" s="1">
        <v>31</v>
      </c>
      <c r="E656" t="s">
        <v>109</v>
      </c>
      <c r="F656" s="1">
        <v>41</v>
      </c>
      <c r="G656" t="s">
        <v>3</v>
      </c>
      <c r="H656" s="1">
        <v>51</v>
      </c>
      <c r="I656" t="s">
        <v>6</v>
      </c>
      <c r="J656" s="1">
        <v>37</v>
      </c>
      <c r="K656" s="1">
        <v>39</v>
      </c>
      <c r="L656" s="1">
        <v>1210</v>
      </c>
      <c r="M656" s="1">
        <v>3954</v>
      </c>
      <c r="N656" s="1">
        <v>6047</v>
      </c>
      <c r="O656" s="1">
        <v>219498</v>
      </c>
      <c r="P656" s="1">
        <v>47377</v>
      </c>
      <c r="Q656" s="1">
        <v>90082</v>
      </c>
      <c r="R656" s="1">
        <v>4265505</v>
      </c>
      <c r="S656" s="1">
        <v>30031</v>
      </c>
      <c r="T656" s="1">
        <v>30031</v>
      </c>
      <c r="U656" s="1">
        <v>41051</v>
      </c>
      <c r="V656" s="1">
        <v>0</v>
      </c>
      <c r="W656" s="1">
        <v>1</v>
      </c>
    </row>
    <row r="657">
      <c r="A657" s="1">
        <v>2019</v>
      </c>
      <c r="B657" s="1">
        <v>30</v>
      </c>
      <c r="C657" t="s">
        <v>28</v>
      </c>
      <c r="D657" s="1">
        <v>63</v>
      </c>
      <c r="E657" t="s">
        <v>110</v>
      </c>
      <c r="F657" s="1">
        <v>41</v>
      </c>
      <c r="G657" t="s">
        <v>3</v>
      </c>
      <c r="H657" s="1">
        <v>51</v>
      </c>
      <c r="I657" t="s">
        <v>6</v>
      </c>
      <c r="J657" s="1">
        <v>48</v>
      </c>
      <c r="K657" s="1">
        <v>62</v>
      </c>
      <c r="L657" s="1">
        <v>1708</v>
      </c>
      <c r="M657" s="1">
        <v>3563</v>
      </c>
      <c r="N657" s="1">
        <v>5629</v>
      </c>
      <c r="O657" s="1">
        <v>164453</v>
      </c>
      <c r="P657" s="1">
        <v>49011</v>
      </c>
      <c r="Q657" s="1">
        <v>90838</v>
      </c>
      <c r="R657" s="1">
        <v>3836818</v>
      </c>
      <c r="S657" s="1">
        <v>30063</v>
      </c>
      <c r="T657" s="1">
        <v>30063</v>
      </c>
      <c r="U657" s="1">
        <v>41051</v>
      </c>
      <c r="V657" s="1">
        <v>0</v>
      </c>
      <c r="W657" s="1">
        <v>1</v>
      </c>
    </row>
    <row r="658">
      <c r="A658" s="1">
        <v>2019</v>
      </c>
      <c r="B658" s="1">
        <v>30</v>
      </c>
      <c r="C658" t="s">
        <v>28</v>
      </c>
      <c r="D658" s="1">
        <v>111</v>
      </c>
      <c r="E658" t="s">
        <v>111</v>
      </c>
      <c r="F658" s="1">
        <v>41</v>
      </c>
      <c r="G658" t="s">
        <v>3</v>
      </c>
      <c r="H658" s="1">
        <v>51</v>
      </c>
      <c r="I658" t="s">
        <v>6</v>
      </c>
      <c r="J658" s="1">
        <v>25</v>
      </c>
      <c r="K658" s="1">
        <v>33</v>
      </c>
      <c r="L658" s="1">
        <v>823</v>
      </c>
      <c r="M658" s="1">
        <v>3343</v>
      </c>
      <c r="N658" s="1">
        <v>5926</v>
      </c>
      <c r="O658" s="1">
        <v>192905</v>
      </c>
      <c r="P658" s="1">
        <v>65508</v>
      </c>
      <c r="Q658" s="1">
        <v>132073</v>
      </c>
      <c r="R658" s="1">
        <v>4949560</v>
      </c>
      <c r="S658" s="1">
        <v>30111</v>
      </c>
      <c r="T658" s="1">
        <v>30111</v>
      </c>
      <c r="U658" s="1">
        <v>41051</v>
      </c>
      <c r="V658" s="1">
        <v>0</v>
      </c>
      <c r="W658" s="1">
        <v>1</v>
      </c>
    </row>
    <row r="659">
      <c r="A659" s="1">
        <v>2019</v>
      </c>
      <c r="B659" s="1">
        <v>31</v>
      </c>
      <c r="C659" t="s">
        <v>45</v>
      </c>
      <c r="D659" s="1">
        <v>55</v>
      </c>
      <c r="E659" t="s">
        <v>131</v>
      </c>
      <c r="F659" s="1">
        <v>41</v>
      </c>
      <c r="G659" t="s">
        <v>3</v>
      </c>
      <c r="H659" s="1">
        <v>51</v>
      </c>
      <c r="I659" t="s">
        <v>6</v>
      </c>
      <c r="J659" s="1">
        <v>39</v>
      </c>
      <c r="K659" s="1">
        <v>48</v>
      </c>
      <c r="L659" s="1">
        <v>1438</v>
      </c>
      <c r="M659" s="1">
        <v>13169</v>
      </c>
      <c r="N659" s="1">
        <v>23992</v>
      </c>
      <c r="O659" s="1">
        <v>866122</v>
      </c>
      <c r="P659" s="1">
        <v>224532</v>
      </c>
      <c r="Q659" s="1">
        <v>477729</v>
      </c>
      <c r="R659" s="1">
        <v>20301544</v>
      </c>
      <c r="S659" s="1">
        <v>31055</v>
      </c>
      <c r="T659" s="1">
        <v>31055</v>
      </c>
      <c r="U659" s="1">
        <v>41051</v>
      </c>
      <c r="V659" s="1">
        <v>0</v>
      </c>
      <c r="W659" s="1">
        <v>1</v>
      </c>
    </row>
    <row r="660">
      <c r="A660" s="1">
        <v>2019</v>
      </c>
      <c r="B660" s="1">
        <v>32</v>
      </c>
      <c r="C660" t="s">
        <v>29</v>
      </c>
      <c r="D660" s="1">
        <v>3</v>
      </c>
      <c r="E660" t="s">
        <v>112</v>
      </c>
      <c r="F660" s="1">
        <v>41</v>
      </c>
      <c r="G660" t="s">
        <v>3</v>
      </c>
      <c r="H660" s="1">
        <v>51</v>
      </c>
      <c r="I660" t="s">
        <v>6</v>
      </c>
      <c r="J660" s="1">
        <v>220</v>
      </c>
      <c r="K660" s="1">
        <v>332</v>
      </c>
      <c r="L660" s="1">
        <v>11739</v>
      </c>
      <c r="M660" s="1">
        <v>38073</v>
      </c>
      <c r="N660" s="1">
        <v>70828</v>
      </c>
      <c r="O660" s="1">
        <v>2426374</v>
      </c>
      <c r="P660" s="1">
        <v>855593</v>
      </c>
      <c r="Q660" s="1">
        <v>1743737</v>
      </c>
      <c r="R660" s="1">
        <v>67524560</v>
      </c>
      <c r="S660" s="1">
        <v>32003</v>
      </c>
      <c r="T660" s="1">
        <v>32003</v>
      </c>
      <c r="U660" s="1">
        <v>41051</v>
      </c>
      <c r="V660" s="1">
        <v>0</v>
      </c>
      <c r="W660" s="1">
        <v>1</v>
      </c>
    </row>
    <row r="661">
      <c r="A661" s="1">
        <v>2019</v>
      </c>
      <c r="B661" s="1">
        <v>32</v>
      </c>
      <c r="C661" t="s">
        <v>29</v>
      </c>
      <c r="D661" s="1">
        <v>31</v>
      </c>
      <c r="E661" t="s">
        <v>113</v>
      </c>
      <c r="F661" s="1">
        <v>41</v>
      </c>
      <c r="G661" t="s">
        <v>3</v>
      </c>
      <c r="H661" s="1">
        <v>51</v>
      </c>
      <c r="I661" t="s">
        <v>6</v>
      </c>
      <c r="J661" s="1">
        <v>74</v>
      </c>
      <c r="K661" s="1">
        <v>97</v>
      </c>
      <c r="L661" s="1">
        <v>4052</v>
      </c>
      <c r="M661" s="1">
        <v>10434</v>
      </c>
      <c r="N661" s="1">
        <v>18022</v>
      </c>
      <c r="O661" s="1">
        <v>670423</v>
      </c>
      <c r="P661" s="1">
        <v>194830</v>
      </c>
      <c r="Q661" s="1">
        <v>382116</v>
      </c>
      <c r="R661" s="1">
        <v>19211648</v>
      </c>
      <c r="S661" s="1">
        <v>32031</v>
      </c>
      <c r="T661" s="1">
        <v>32031</v>
      </c>
      <c r="U661" s="1">
        <v>41051</v>
      </c>
      <c r="V661" s="1">
        <v>0</v>
      </c>
      <c r="W661" s="1">
        <v>1</v>
      </c>
    </row>
    <row r="662">
      <c r="A662" s="1">
        <v>2019</v>
      </c>
      <c r="B662" s="1">
        <v>34</v>
      </c>
      <c r="C662" t="s">
        <v>46</v>
      </c>
      <c r="D662" s="1">
        <v>17</v>
      </c>
      <c r="E662" t="s">
        <v>201</v>
      </c>
      <c r="F662" s="1">
        <v>41</v>
      </c>
      <c r="G662" t="s">
        <v>3</v>
      </c>
      <c r="H662" s="1">
        <v>51</v>
      </c>
      <c r="I662" t="s">
        <v>6</v>
      </c>
      <c r="J662" s="1">
        <v>30</v>
      </c>
      <c r="K662" s="1">
        <v>41</v>
      </c>
      <c r="L662" s="1">
        <v>2952</v>
      </c>
      <c r="M662" s="1">
        <v>27693</v>
      </c>
      <c r="N662" s="1">
        <v>48042</v>
      </c>
      <c r="O662" s="1">
        <v>2793821</v>
      </c>
      <c r="P662" s="1">
        <v>292070</v>
      </c>
      <c r="Q662" s="1">
        <v>545392</v>
      </c>
      <c r="R662" s="1">
        <v>25395412</v>
      </c>
      <c r="S662" s="1">
        <v>34017</v>
      </c>
      <c r="T662" s="1">
        <v>34017</v>
      </c>
      <c r="U662" s="1">
        <v>41051</v>
      </c>
      <c r="V662" s="1">
        <v>0</v>
      </c>
      <c r="W662" s="1">
        <v>1</v>
      </c>
    </row>
    <row r="663">
      <c r="A663" s="1">
        <v>2019</v>
      </c>
      <c r="B663" s="1">
        <v>35</v>
      </c>
      <c r="C663" t="s">
        <v>30</v>
      </c>
      <c r="D663" s="1">
        <v>1</v>
      </c>
      <c r="E663" t="s">
        <v>114</v>
      </c>
      <c r="F663" s="1">
        <v>41</v>
      </c>
      <c r="G663" t="s">
        <v>3</v>
      </c>
      <c r="H663" s="1">
        <v>51</v>
      </c>
      <c r="I663" t="s">
        <v>6</v>
      </c>
      <c r="J663" s="1">
        <v>68</v>
      </c>
      <c r="K663" s="1">
        <v>104</v>
      </c>
      <c r="L663" s="1">
        <v>5151</v>
      </c>
      <c r="M663" s="1">
        <v>13721</v>
      </c>
      <c r="N663" s="1">
        <v>25053</v>
      </c>
      <c r="O663" s="1">
        <v>817466</v>
      </c>
      <c r="P663" s="1">
        <v>262489</v>
      </c>
      <c r="Q663" s="1">
        <v>511474</v>
      </c>
      <c r="R663" s="1">
        <v>17589344</v>
      </c>
      <c r="S663" s="1">
        <v>35001</v>
      </c>
      <c r="T663" s="1">
        <v>35001</v>
      </c>
      <c r="U663" s="1">
        <v>41051</v>
      </c>
      <c r="V663" s="1">
        <v>0</v>
      </c>
      <c r="W663" s="1">
        <v>1</v>
      </c>
    </row>
    <row r="664">
      <c r="A664" s="1">
        <v>2019</v>
      </c>
      <c r="B664" s="1">
        <v>35</v>
      </c>
      <c r="C664" t="s">
        <v>30</v>
      </c>
      <c r="D664" s="1">
        <v>49</v>
      </c>
      <c r="E664" t="s">
        <v>115</v>
      </c>
      <c r="F664" s="1">
        <v>41</v>
      </c>
      <c r="G664" t="s">
        <v>3</v>
      </c>
      <c r="H664" s="1">
        <v>51</v>
      </c>
      <c r="I664" t="s">
        <v>6</v>
      </c>
      <c r="J664" s="1">
        <v>21</v>
      </c>
      <c r="K664" s="1">
        <v>28</v>
      </c>
      <c r="L664" s="1">
        <v>1002</v>
      </c>
      <c r="M664" s="1">
        <v>3910</v>
      </c>
      <c r="N664" s="1">
        <v>6574</v>
      </c>
      <c r="O664" s="1">
        <v>288434</v>
      </c>
      <c r="P664" s="1">
        <v>65536</v>
      </c>
      <c r="Q664" s="1">
        <v>119521</v>
      </c>
      <c r="R664" s="1">
        <v>5401414</v>
      </c>
      <c r="S664" s="1">
        <v>35049</v>
      </c>
      <c r="T664" s="1">
        <v>35049</v>
      </c>
      <c r="U664" s="1">
        <v>41051</v>
      </c>
      <c r="V664" s="1">
        <v>0</v>
      </c>
      <c r="W664" s="1">
        <v>1</v>
      </c>
    </row>
    <row r="665">
      <c r="A665" s="1">
        <v>2019</v>
      </c>
      <c r="B665" s="1">
        <v>36</v>
      </c>
      <c r="C665" t="s">
        <v>31</v>
      </c>
      <c r="D665" s="1">
        <v>47</v>
      </c>
      <c r="E665" t="s">
        <v>116</v>
      </c>
      <c r="F665" s="1">
        <v>41</v>
      </c>
      <c r="G665" t="s">
        <v>3</v>
      </c>
      <c r="H665" s="1">
        <v>51</v>
      </c>
      <c r="I665" t="s">
        <v>6</v>
      </c>
      <c r="J665" s="1">
        <v>239</v>
      </c>
      <c r="K665" s="1">
        <v>320</v>
      </c>
      <c r="L665" s="1">
        <v>26139</v>
      </c>
      <c r="M665" s="1">
        <v>73104</v>
      </c>
      <c r="N665" s="1">
        <v>125257</v>
      </c>
      <c r="O665" s="1">
        <v>5390957</v>
      </c>
      <c r="P665" s="1">
        <v>1065449</v>
      </c>
      <c r="Q665" s="1">
        <v>2054281</v>
      </c>
      <c r="R665" s="1">
        <v>77131056</v>
      </c>
      <c r="S665" s="1">
        <v>36047</v>
      </c>
      <c r="T665" s="1">
        <v>36047</v>
      </c>
      <c r="U665" s="1">
        <v>41051</v>
      </c>
      <c r="V665" s="1">
        <v>0</v>
      </c>
      <c r="W665" s="1">
        <v>1</v>
      </c>
    </row>
    <row r="666">
      <c r="A666" s="1">
        <v>2019</v>
      </c>
      <c r="B666" s="1">
        <v>36</v>
      </c>
      <c r="C666" t="s">
        <v>31</v>
      </c>
      <c r="D666" s="1">
        <v>55</v>
      </c>
      <c r="E666" t="s">
        <v>203</v>
      </c>
      <c r="F666" s="1">
        <v>41</v>
      </c>
      <c r="G666" t="s">
        <v>3</v>
      </c>
      <c r="H666" s="1">
        <v>51</v>
      </c>
      <c r="I666" t="s">
        <v>6</v>
      </c>
      <c r="J666" s="1">
        <v>24</v>
      </c>
      <c r="K666" s="1">
        <v>32</v>
      </c>
      <c r="L666" s="1">
        <v>1198</v>
      </c>
      <c r="M666" s="1">
        <v>11943</v>
      </c>
      <c r="N666" s="1">
        <v>19090</v>
      </c>
      <c r="O666" s="1">
        <v>828745</v>
      </c>
      <c r="P666" s="1">
        <v>310495</v>
      </c>
      <c r="Q666" s="1">
        <v>601369</v>
      </c>
      <c r="R666" s="1">
        <v>23451404</v>
      </c>
      <c r="S666" s="1">
        <v>36055</v>
      </c>
      <c r="T666" s="1">
        <v>36055</v>
      </c>
      <c r="U666" s="1">
        <v>41051</v>
      </c>
      <c r="V666" s="1">
        <v>0</v>
      </c>
      <c r="W666" s="1">
        <v>1</v>
      </c>
    </row>
    <row r="667">
      <c r="A667" s="1">
        <v>2019</v>
      </c>
      <c r="B667" s="1">
        <v>36</v>
      </c>
      <c r="C667" t="s">
        <v>31</v>
      </c>
      <c r="D667" s="1">
        <v>59</v>
      </c>
      <c r="E667" t="s">
        <v>316</v>
      </c>
      <c r="F667" s="1">
        <v>41</v>
      </c>
      <c r="G667" t="s">
        <v>3</v>
      </c>
      <c r="H667" s="1">
        <v>51</v>
      </c>
      <c r="I667" t="s">
        <v>6</v>
      </c>
      <c r="J667" s="1">
        <v>22</v>
      </c>
      <c r="K667" s="1">
        <v>28</v>
      </c>
      <c r="L667" s="1">
        <v>1585</v>
      </c>
      <c r="M667" s="1">
        <v>29633</v>
      </c>
      <c r="N667" s="1">
        <v>49632</v>
      </c>
      <c r="O667" s="1">
        <v>2900817</v>
      </c>
      <c r="P667" s="1">
        <v>603047</v>
      </c>
      <c r="Q667" s="1">
        <v>1248895</v>
      </c>
      <c r="R667" s="1">
        <v>82927504</v>
      </c>
      <c r="S667" s="1">
        <v>36059</v>
      </c>
      <c r="T667" s="1">
        <v>36059</v>
      </c>
      <c r="U667" s="1">
        <v>41051</v>
      </c>
      <c r="V667" s="1">
        <v>0</v>
      </c>
      <c r="W667" s="1">
        <v>1</v>
      </c>
    </row>
    <row r="668">
      <c r="A668" s="1">
        <v>2019</v>
      </c>
      <c r="B668" s="1">
        <v>36</v>
      </c>
      <c r="C668" t="s">
        <v>31</v>
      </c>
      <c r="D668" s="1">
        <v>61</v>
      </c>
      <c r="E668" t="s">
        <v>117</v>
      </c>
      <c r="F668" s="1">
        <v>41</v>
      </c>
      <c r="G668" t="s">
        <v>3</v>
      </c>
      <c r="H668" s="1">
        <v>51</v>
      </c>
      <c r="I668" t="s">
        <v>6</v>
      </c>
      <c r="J668" s="1">
        <v>156</v>
      </c>
      <c r="K668" s="1">
        <v>191</v>
      </c>
      <c r="L668" s="1">
        <v>25351</v>
      </c>
      <c r="M668" s="1">
        <v>76449</v>
      </c>
      <c r="N668" s="1">
        <v>112466</v>
      </c>
      <c r="O668" s="1">
        <v>11680542</v>
      </c>
      <c r="P668" s="1">
        <v>774695</v>
      </c>
      <c r="Q668" s="1">
        <v>1242392</v>
      </c>
      <c r="R668" s="1">
        <v>186827680</v>
      </c>
      <c r="S668" s="1">
        <v>36061</v>
      </c>
      <c r="T668" s="1">
        <v>36061</v>
      </c>
      <c r="U668" s="1">
        <v>41051</v>
      </c>
      <c r="V668" s="1">
        <v>0</v>
      </c>
      <c r="W668" s="1">
        <v>1</v>
      </c>
    </row>
    <row r="669">
      <c r="A669" s="1">
        <v>2019</v>
      </c>
      <c r="B669" s="1">
        <v>36</v>
      </c>
      <c r="C669" t="s">
        <v>31</v>
      </c>
      <c r="D669" s="1">
        <v>81</v>
      </c>
      <c r="E669" t="s">
        <v>118</v>
      </c>
      <c r="F669" s="1">
        <v>41</v>
      </c>
      <c r="G669" t="s">
        <v>3</v>
      </c>
      <c r="H669" s="1">
        <v>51</v>
      </c>
      <c r="I669" t="s">
        <v>6</v>
      </c>
      <c r="J669" s="1">
        <v>64</v>
      </c>
      <c r="K669" s="1">
        <v>92</v>
      </c>
      <c r="L669" s="1">
        <v>5065</v>
      </c>
      <c r="M669" s="1">
        <v>60849</v>
      </c>
      <c r="N669" s="1">
        <v>108733</v>
      </c>
      <c r="O669" s="1">
        <v>4104149</v>
      </c>
      <c r="P669" s="1">
        <v>1006808</v>
      </c>
      <c r="Q669" s="1">
        <v>1936166</v>
      </c>
      <c r="R669" s="1">
        <v>61463628</v>
      </c>
      <c r="S669" s="1">
        <v>36081</v>
      </c>
      <c r="T669" s="1">
        <v>36081</v>
      </c>
      <c r="U669" s="1">
        <v>41051</v>
      </c>
      <c r="V669" s="1">
        <v>0</v>
      </c>
      <c r="W669" s="1">
        <v>1</v>
      </c>
    </row>
    <row r="670">
      <c r="A670" s="1">
        <v>2019</v>
      </c>
      <c r="B670" s="1">
        <v>36</v>
      </c>
      <c r="C670" t="s">
        <v>31</v>
      </c>
      <c r="D670" s="1">
        <v>103</v>
      </c>
      <c r="E670" t="s">
        <v>105</v>
      </c>
      <c r="F670" s="1">
        <v>41</v>
      </c>
      <c r="G670" t="s">
        <v>3</v>
      </c>
      <c r="H670" s="1">
        <v>51</v>
      </c>
      <c r="I670" t="s">
        <v>6</v>
      </c>
      <c r="J670" s="1">
        <v>28</v>
      </c>
      <c r="K670" s="1">
        <v>37</v>
      </c>
      <c r="L670" s="1">
        <v>1392</v>
      </c>
      <c r="M670" s="1">
        <v>24909</v>
      </c>
      <c r="N670" s="1">
        <v>40993</v>
      </c>
      <c r="O670" s="1">
        <v>2331253</v>
      </c>
      <c r="P670" s="1">
        <v>657203</v>
      </c>
      <c r="Q670" s="1">
        <v>1322907</v>
      </c>
      <c r="R670" s="1">
        <v>69199152</v>
      </c>
      <c r="S670" s="1">
        <v>36103</v>
      </c>
      <c r="T670" s="1">
        <v>36103</v>
      </c>
      <c r="U670" s="1">
        <v>41051</v>
      </c>
      <c r="V670" s="1">
        <v>0</v>
      </c>
      <c r="W670" s="1">
        <v>1</v>
      </c>
    </row>
    <row r="671">
      <c r="A671" s="1">
        <v>2019</v>
      </c>
      <c r="B671" s="1">
        <v>36</v>
      </c>
      <c r="C671" t="s">
        <v>31</v>
      </c>
      <c r="D671" s="1">
        <v>119</v>
      </c>
      <c r="E671" t="s">
        <v>119</v>
      </c>
      <c r="F671" s="1">
        <v>41</v>
      </c>
      <c r="G671" t="s">
        <v>3</v>
      </c>
      <c r="H671" s="1">
        <v>51</v>
      </c>
      <c r="I671" t="s">
        <v>6</v>
      </c>
      <c r="J671" s="1">
        <v>20</v>
      </c>
      <c r="K671" s="1">
        <v>28</v>
      </c>
      <c r="L671" s="1">
        <v>1825</v>
      </c>
      <c r="M671" s="1">
        <v>21927</v>
      </c>
      <c r="N671" s="1">
        <v>37410</v>
      </c>
      <c r="O671" s="1">
        <v>2929383</v>
      </c>
      <c r="P671" s="1">
        <v>408996</v>
      </c>
      <c r="Q671" s="1">
        <v>841108</v>
      </c>
      <c r="R671" s="1">
        <v>73341824</v>
      </c>
      <c r="S671" s="1">
        <v>36119</v>
      </c>
      <c r="T671" s="1">
        <v>36119</v>
      </c>
      <c r="U671" s="1">
        <v>41051</v>
      </c>
      <c r="V671" s="1">
        <v>0</v>
      </c>
      <c r="W671" s="1">
        <v>1</v>
      </c>
    </row>
    <row r="672">
      <c r="A672" s="1">
        <v>2019</v>
      </c>
      <c r="B672" s="1">
        <v>37</v>
      </c>
      <c r="C672" t="s">
        <v>32</v>
      </c>
      <c r="D672" s="1">
        <v>21</v>
      </c>
      <c r="E672" t="s">
        <v>120</v>
      </c>
      <c r="F672" s="1">
        <v>41</v>
      </c>
      <c r="G672" t="s">
        <v>3</v>
      </c>
      <c r="H672" s="1">
        <v>51</v>
      </c>
      <c r="I672" t="s">
        <v>6</v>
      </c>
      <c r="J672" s="1">
        <v>21</v>
      </c>
      <c r="K672" s="1">
        <v>26</v>
      </c>
      <c r="L672" s="1">
        <v>712</v>
      </c>
      <c r="M672" s="1">
        <v>7699</v>
      </c>
      <c r="N672" s="1">
        <v>12569</v>
      </c>
      <c r="O672" s="1">
        <v>428344</v>
      </c>
      <c r="P672" s="1">
        <v>107599</v>
      </c>
      <c r="Q672" s="1">
        <v>203902</v>
      </c>
      <c r="R672" s="1">
        <v>7767354</v>
      </c>
      <c r="S672" s="1">
        <v>37021</v>
      </c>
      <c r="T672" s="1">
        <v>37021</v>
      </c>
      <c r="U672" s="1">
        <v>41051</v>
      </c>
      <c r="V672" s="1">
        <v>0</v>
      </c>
      <c r="W672" s="1">
        <v>1</v>
      </c>
    </row>
    <row r="673">
      <c r="A673" s="1">
        <v>2019</v>
      </c>
      <c r="B673" s="1">
        <v>37</v>
      </c>
      <c r="C673" t="s">
        <v>32</v>
      </c>
      <c r="D673" s="1">
        <v>63</v>
      </c>
      <c r="E673" t="s">
        <v>205</v>
      </c>
      <c r="F673" s="1">
        <v>41</v>
      </c>
      <c r="G673" t="s">
        <v>3</v>
      </c>
      <c r="H673" s="1">
        <v>51</v>
      </c>
      <c r="I673" t="s">
        <v>6</v>
      </c>
      <c r="J673" s="1">
        <v>34</v>
      </c>
      <c r="K673" s="1">
        <v>53</v>
      </c>
      <c r="L673" s="1">
        <v>2408</v>
      </c>
      <c r="M673" s="1">
        <v>12511</v>
      </c>
      <c r="N673" s="1">
        <v>21148</v>
      </c>
      <c r="O673" s="1">
        <v>825508</v>
      </c>
      <c r="P673" s="1">
        <v>122191</v>
      </c>
      <c r="Q673" s="1">
        <v>236120</v>
      </c>
      <c r="R673" s="1">
        <v>9685894</v>
      </c>
      <c r="S673" s="1">
        <v>37063</v>
      </c>
      <c r="T673" s="1">
        <v>37063</v>
      </c>
      <c r="U673" s="1">
        <v>41051</v>
      </c>
      <c r="V673" s="1">
        <v>0</v>
      </c>
      <c r="W673" s="1">
        <v>1</v>
      </c>
    </row>
    <row r="674">
      <c r="A674" s="1">
        <v>2019</v>
      </c>
      <c r="B674" s="1">
        <v>37</v>
      </c>
      <c r="C674" t="s">
        <v>32</v>
      </c>
      <c r="D674" s="1">
        <v>119</v>
      </c>
      <c r="E674" t="s">
        <v>121</v>
      </c>
      <c r="F674" s="1">
        <v>41</v>
      </c>
      <c r="G674" t="s">
        <v>3</v>
      </c>
      <c r="H674" s="1">
        <v>51</v>
      </c>
      <c r="I674" t="s">
        <v>6</v>
      </c>
      <c r="J674" s="1">
        <v>44</v>
      </c>
      <c r="K674" s="1">
        <v>62</v>
      </c>
      <c r="L674" s="1">
        <v>3709</v>
      </c>
      <c r="M674" s="1">
        <v>33830</v>
      </c>
      <c r="N674" s="1">
        <v>61987</v>
      </c>
      <c r="O674" s="1">
        <v>2518480</v>
      </c>
      <c r="P674" s="1">
        <v>417014</v>
      </c>
      <c r="Q674" s="1">
        <v>854652</v>
      </c>
      <c r="R674" s="1">
        <v>42359896</v>
      </c>
      <c r="S674" s="1">
        <v>37119</v>
      </c>
      <c r="T674" s="1">
        <v>37119</v>
      </c>
      <c r="U674" s="1">
        <v>41051</v>
      </c>
      <c r="V674" s="1">
        <v>0</v>
      </c>
      <c r="W674" s="1">
        <v>1</v>
      </c>
    </row>
    <row r="675">
      <c r="A675" s="1">
        <v>2019</v>
      </c>
      <c r="B675" s="1">
        <v>37</v>
      </c>
      <c r="C675" t="s">
        <v>32</v>
      </c>
      <c r="D675" s="1">
        <v>183</v>
      </c>
      <c r="E675" t="s">
        <v>206</v>
      </c>
      <c r="F675" s="1">
        <v>41</v>
      </c>
      <c r="G675" t="s">
        <v>3</v>
      </c>
      <c r="H675" s="1">
        <v>51</v>
      </c>
      <c r="I675" t="s">
        <v>6</v>
      </c>
      <c r="J675" s="1">
        <v>43</v>
      </c>
      <c r="K675" s="1">
        <v>57</v>
      </c>
      <c r="L675" s="1">
        <v>2534</v>
      </c>
      <c r="M675" s="1">
        <v>29490</v>
      </c>
      <c r="N675" s="1">
        <v>52780</v>
      </c>
      <c r="O675" s="1">
        <v>2126328</v>
      </c>
      <c r="P675" s="1">
        <v>418260</v>
      </c>
      <c r="Q675" s="1">
        <v>908165</v>
      </c>
      <c r="R675" s="1">
        <v>44113412</v>
      </c>
      <c r="S675" s="1">
        <v>37183</v>
      </c>
      <c r="T675" s="1">
        <v>37183</v>
      </c>
      <c r="U675" s="1">
        <v>41051</v>
      </c>
      <c r="V675" s="1">
        <v>0</v>
      </c>
      <c r="W675" s="1">
        <v>1</v>
      </c>
    </row>
    <row r="676">
      <c r="A676" s="1">
        <v>2019</v>
      </c>
      <c r="B676" s="1">
        <v>39</v>
      </c>
      <c r="C676" t="s">
        <v>33</v>
      </c>
      <c r="D676" s="1">
        <v>35</v>
      </c>
      <c r="E676" t="s">
        <v>207</v>
      </c>
      <c r="F676" s="1">
        <v>41</v>
      </c>
      <c r="G676" t="s">
        <v>3</v>
      </c>
      <c r="H676" s="1">
        <v>51</v>
      </c>
      <c r="I676" t="s">
        <v>6</v>
      </c>
      <c r="J676" s="1">
        <v>46</v>
      </c>
      <c r="K676" s="1">
        <v>62</v>
      </c>
      <c r="L676" s="1">
        <v>2555</v>
      </c>
      <c r="M676" s="1">
        <v>23166</v>
      </c>
      <c r="N676" s="1">
        <v>38798</v>
      </c>
      <c r="O676" s="1">
        <v>1729029</v>
      </c>
      <c r="P676" s="1">
        <v>515665</v>
      </c>
      <c r="Q676" s="1">
        <v>972239</v>
      </c>
      <c r="R676" s="1">
        <v>39494156</v>
      </c>
      <c r="S676" s="1">
        <v>39035</v>
      </c>
      <c r="T676" s="1">
        <v>39035</v>
      </c>
      <c r="U676" s="1">
        <v>41051</v>
      </c>
      <c r="V676" s="1">
        <v>0</v>
      </c>
      <c r="W676" s="1">
        <v>1</v>
      </c>
    </row>
    <row r="677">
      <c r="A677" s="1">
        <v>2019</v>
      </c>
      <c r="B677" s="1">
        <v>39</v>
      </c>
      <c r="C677" t="s">
        <v>33</v>
      </c>
      <c r="D677" s="1">
        <v>49</v>
      </c>
      <c r="E677" t="s">
        <v>122</v>
      </c>
      <c r="F677" s="1">
        <v>41</v>
      </c>
      <c r="G677" t="s">
        <v>3</v>
      </c>
      <c r="H677" s="1">
        <v>51</v>
      </c>
      <c r="I677" t="s">
        <v>6</v>
      </c>
      <c r="J677" s="1">
        <v>70</v>
      </c>
      <c r="K677" s="1">
        <v>92</v>
      </c>
      <c r="L677" s="1">
        <v>4862</v>
      </c>
      <c r="M677" s="1">
        <v>31164</v>
      </c>
      <c r="N677" s="1">
        <v>54846</v>
      </c>
      <c r="O677" s="1">
        <v>2048161</v>
      </c>
      <c r="P677" s="1">
        <v>526681</v>
      </c>
      <c r="Q677" s="1">
        <v>1028219</v>
      </c>
      <c r="R677" s="1">
        <v>39756156</v>
      </c>
      <c r="S677" s="1">
        <v>39049</v>
      </c>
      <c r="T677" s="1">
        <v>39049</v>
      </c>
      <c r="U677" s="1">
        <v>41051</v>
      </c>
      <c r="V677" s="1">
        <v>0</v>
      </c>
      <c r="W677" s="1">
        <v>1</v>
      </c>
    </row>
    <row r="678">
      <c r="A678" s="1">
        <v>2019</v>
      </c>
      <c r="B678" s="1">
        <v>39</v>
      </c>
      <c r="C678" t="s">
        <v>33</v>
      </c>
      <c r="D678" s="1">
        <v>61</v>
      </c>
      <c r="E678" t="s">
        <v>208</v>
      </c>
      <c r="F678" s="1">
        <v>41</v>
      </c>
      <c r="G678" t="s">
        <v>3</v>
      </c>
      <c r="H678" s="1">
        <v>51</v>
      </c>
      <c r="I678" t="s">
        <v>6</v>
      </c>
      <c r="J678" s="1">
        <v>35</v>
      </c>
      <c r="K678" s="1">
        <v>41</v>
      </c>
      <c r="L678" s="1">
        <v>3207</v>
      </c>
      <c r="M678" s="1">
        <v>18582</v>
      </c>
      <c r="N678" s="1">
        <v>31313</v>
      </c>
      <c r="O678" s="1">
        <v>1334335</v>
      </c>
      <c r="P678" s="1">
        <v>333457</v>
      </c>
      <c r="Q678" s="1">
        <v>652508</v>
      </c>
      <c r="R678" s="1">
        <v>29819756</v>
      </c>
      <c r="S678" s="1">
        <v>39061</v>
      </c>
      <c r="T678" s="1">
        <v>39061</v>
      </c>
      <c r="U678" s="1">
        <v>41051</v>
      </c>
      <c r="V678" s="1">
        <v>0</v>
      </c>
      <c r="W678" s="1">
        <v>1</v>
      </c>
    </row>
    <row r="679">
      <c r="A679" s="1">
        <v>2019</v>
      </c>
      <c r="B679" s="1">
        <v>40</v>
      </c>
      <c r="C679" t="s">
        <v>47</v>
      </c>
      <c r="D679" s="1">
        <v>109</v>
      </c>
      <c r="E679" t="s">
        <v>209</v>
      </c>
      <c r="F679" s="1">
        <v>41</v>
      </c>
      <c r="G679" t="s">
        <v>3</v>
      </c>
      <c r="H679" s="1">
        <v>51</v>
      </c>
      <c r="I679" t="s">
        <v>6</v>
      </c>
      <c r="J679" s="1">
        <v>28</v>
      </c>
      <c r="K679" s="1">
        <v>36</v>
      </c>
      <c r="L679" s="1">
        <v>1243</v>
      </c>
      <c r="M679" s="1">
        <v>17885</v>
      </c>
      <c r="N679" s="1">
        <v>34801</v>
      </c>
      <c r="O679" s="1">
        <v>1056110</v>
      </c>
      <c r="P679" s="1">
        <v>278162</v>
      </c>
      <c r="Q679" s="1">
        <v>589629</v>
      </c>
      <c r="R679" s="1">
        <v>22124432</v>
      </c>
      <c r="S679" s="1">
        <v>40109</v>
      </c>
      <c r="T679" s="1">
        <v>40109</v>
      </c>
      <c r="U679" s="1">
        <v>41051</v>
      </c>
      <c r="V679" s="1">
        <v>0</v>
      </c>
      <c r="W679" s="1">
        <v>1</v>
      </c>
    </row>
    <row r="680">
      <c r="A680" s="1">
        <v>2019</v>
      </c>
      <c r="B680" s="1">
        <v>40</v>
      </c>
      <c r="C680" t="s">
        <v>47</v>
      </c>
      <c r="D680" s="1">
        <v>143</v>
      </c>
      <c r="E680" t="s">
        <v>233</v>
      </c>
      <c r="F680" s="1">
        <v>41</v>
      </c>
      <c r="G680" t="s">
        <v>3</v>
      </c>
      <c r="H680" s="1">
        <v>51</v>
      </c>
      <c r="I680" t="s">
        <v>6</v>
      </c>
      <c r="J680" s="1">
        <v>20</v>
      </c>
      <c r="K680" s="1">
        <v>28</v>
      </c>
      <c r="L680" s="1">
        <v>1009</v>
      </c>
      <c r="M680" s="1">
        <v>13832</v>
      </c>
      <c r="N680" s="1">
        <v>27461</v>
      </c>
      <c r="O680" s="1">
        <v>807170</v>
      </c>
      <c r="P680" s="1">
        <v>232683</v>
      </c>
      <c r="Q680" s="1">
        <v>501651</v>
      </c>
      <c r="R680" s="1">
        <v>19637342</v>
      </c>
      <c r="S680" s="1">
        <v>40143</v>
      </c>
      <c r="T680" s="1">
        <v>40143</v>
      </c>
      <c r="U680" s="1">
        <v>41051</v>
      </c>
      <c r="V680" s="1">
        <v>0</v>
      </c>
      <c r="W680" s="1">
        <v>1</v>
      </c>
    </row>
    <row r="681">
      <c r="A681" s="1">
        <v>2019</v>
      </c>
      <c r="B681" s="1">
        <v>41</v>
      </c>
      <c r="C681" t="s">
        <v>3</v>
      </c>
      <c r="D681" s="1">
        <v>3</v>
      </c>
      <c r="E681" t="s">
        <v>124</v>
      </c>
      <c r="F681" s="1">
        <v>41</v>
      </c>
      <c r="G681" t="s">
        <v>3</v>
      </c>
      <c r="H681" s="1">
        <v>51</v>
      </c>
      <c r="I681" t="s">
        <v>6</v>
      </c>
      <c r="J681" s="1">
        <v>305</v>
      </c>
      <c r="K681" s="1">
        <v>371</v>
      </c>
      <c r="L681" s="1">
        <v>11908</v>
      </c>
      <c r="M681" s="1">
        <v>3628</v>
      </c>
      <c r="N681" s="1">
        <v>5479</v>
      </c>
      <c r="O681" s="1">
        <v>178209</v>
      </c>
      <c r="P681" s="1">
        <v>33527</v>
      </c>
      <c r="Q681" s="1">
        <v>64740</v>
      </c>
      <c r="R681" s="1">
        <v>2877133</v>
      </c>
      <c r="S681" s="1">
        <v>41003</v>
      </c>
      <c r="T681" s="1">
        <v>41003</v>
      </c>
      <c r="U681" s="1">
        <v>41051</v>
      </c>
      <c r="V681" s="1">
        <v>0</v>
      </c>
      <c r="W681" s="1">
        <v>1</v>
      </c>
    </row>
    <row r="682">
      <c r="A682" s="1">
        <v>2019</v>
      </c>
      <c r="B682" s="1">
        <v>41</v>
      </c>
      <c r="C682" t="s">
        <v>3</v>
      </c>
      <c r="D682" s="1">
        <v>5</v>
      </c>
      <c r="E682" t="s">
        <v>125</v>
      </c>
      <c r="F682" s="1">
        <v>41</v>
      </c>
      <c r="G682" t="s">
        <v>3</v>
      </c>
      <c r="H682" s="1">
        <v>51</v>
      </c>
      <c r="I682" t="s">
        <v>6</v>
      </c>
      <c r="J682" s="1">
        <v>4076</v>
      </c>
      <c r="K682" s="1">
        <v>6267</v>
      </c>
      <c r="L682" s="1">
        <v>230740</v>
      </c>
      <c r="M682" s="1">
        <v>13355</v>
      </c>
      <c r="N682" s="1">
        <v>22560</v>
      </c>
      <c r="O682" s="1">
        <v>977089</v>
      </c>
      <c r="P682" s="1">
        <v>168063</v>
      </c>
      <c r="Q682" s="1">
        <v>348083</v>
      </c>
      <c r="R682" s="1">
        <v>17210060</v>
      </c>
      <c r="S682" s="1">
        <v>41005</v>
      </c>
      <c r="T682" s="1">
        <v>41005</v>
      </c>
      <c r="U682" s="1">
        <v>41051</v>
      </c>
      <c r="V682" s="1">
        <v>0</v>
      </c>
      <c r="W682" s="1">
        <v>1</v>
      </c>
    </row>
    <row r="683">
      <c r="A683" s="1">
        <v>2019</v>
      </c>
      <c r="B683" s="1">
        <v>41</v>
      </c>
      <c r="C683" t="s">
        <v>3</v>
      </c>
      <c r="D683" s="1">
        <v>7</v>
      </c>
      <c r="E683" t="s">
        <v>126</v>
      </c>
      <c r="F683" s="1">
        <v>41</v>
      </c>
      <c r="G683" t="s">
        <v>3</v>
      </c>
      <c r="H683" s="1">
        <v>51</v>
      </c>
      <c r="I683" t="s">
        <v>6</v>
      </c>
      <c r="J683" s="1">
        <v>101</v>
      </c>
      <c r="K683" s="1">
        <v>154</v>
      </c>
      <c r="L683" s="1">
        <v>5837</v>
      </c>
      <c r="M683" s="1">
        <v>1223</v>
      </c>
      <c r="N683" s="1">
        <v>2223</v>
      </c>
      <c r="O683" s="1">
        <v>70972</v>
      </c>
      <c r="P683" s="1">
        <v>15663</v>
      </c>
      <c r="Q683" s="1">
        <v>30569</v>
      </c>
      <c r="R683" s="1">
        <v>991557</v>
      </c>
      <c r="S683" s="1">
        <v>41007</v>
      </c>
      <c r="T683" s="1">
        <v>41007</v>
      </c>
      <c r="U683" s="1">
        <v>41051</v>
      </c>
      <c r="V683" s="1">
        <v>0</v>
      </c>
      <c r="W683" s="1">
        <v>1</v>
      </c>
    </row>
    <row r="684">
      <c r="A684" s="1">
        <v>2019</v>
      </c>
      <c r="B684" s="1">
        <v>41</v>
      </c>
      <c r="C684" t="s">
        <v>3</v>
      </c>
      <c r="D684" s="1">
        <v>9</v>
      </c>
      <c r="E684" t="s">
        <v>127</v>
      </c>
      <c r="F684" s="1">
        <v>41</v>
      </c>
      <c r="G684" t="s">
        <v>3</v>
      </c>
      <c r="H684" s="1">
        <v>51</v>
      </c>
      <c r="I684" t="s">
        <v>6</v>
      </c>
      <c r="J684" s="1">
        <v>176</v>
      </c>
      <c r="K684" s="1">
        <v>268</v>
      </c>
      <c r="L684" s="1">
        <v>9116</v>
      </c>
      <c r="M684" s="1">
        <v>1323</v>
      </c>
      <c r="N684" s="1">
        <v>2436</v>
      </c>
      <c r="O684" s="1">
        <v>72699</v>
      </c>
      <c r="P684" s="1">
        <v>20016</v>
      </c>
      <c r="Q684" s="1">
        <v>41267</v>
      </c>
      <c r="R684" s="1">
        <v>1399098</v>
      </c>
      <c r="S684" s="1">
        <v>41009</v>
      </c>
      <c r="T684" s="1">
        <v>41009</v>
      </c>
      <c r="U684" s="1">
        <v>41051</v>
      </c>
      <c r="V684" s="1">
        <v>0</v>
      </c>
      <c r="W684" s="1">
        <v>1</v>
      </c>
    </row>
    <row r="685">
      <c r="A685" s="1">
        <v>2019</v>
      </c>
      <c r="B685" s="1">
        <v>41</v>
      </c>
      <c r="C685" t="s">
        <v>3</v>
      </c>
      <c r="D685" s="1">
        <v>11</v>
      </c>
      <c r="E685" t="s">
        <v>128</v>
      </c>
      <c r="F685" s="1">
        <v>41</v>
      </c>
      <c r="G685" t="s">
        <v>3</v>
      </c>
      <c r="H685" s="1">
        <v>51</v>
      </c>
      <c r="I685" t="s">
        <v>6</v>
      </c>
      <c r="J685" s="1">
        <v>59</v>
      </c>
      <c r="K685" s="1">
        <v>93</v>
      </c>
      <c r="L685" s="1">
        <v>2765</v>
      </c>
      <c r="M685" s="1">
        <v>1440</v>
      </c>
      <c r="N685" s="1">
        <v>2613</v>
      </c>
      <c r="O685" s="1">
        <v>69413</v>
      </c>
      <c r="P685" s="1">
        <v>23556</v>
      </c>
      <c r="Q685" s="1">
        <v>46192</v>
      </c>
      <c r="R685" s="1">
        <v>1337082</v>
      </c>
      <c r="S685" s="1">
        <v>41011</v>
      </c>
      <c r="T685" s="1">
        <v>41011</v>
      </c>
      <c r="U685" s="1">
        <v>41051</v>
      </c>
      <c r="V685" s="1">
        <v>0</v>
      </c>
      <c r="W685" s="1">
        <v>1</v>
      </c>
    </row>
    <row r="686">
      <c r="A686" s="1">
        <v>2019</v>
      </c>
      <c r="B686" s="1">
        <v>41</v>
      </c>
      <c r="C686" t="s">
        <v>3</v>
      </c>
      <c r="D686" s="1">
        <v>17</v>
      </c>
      <c r="E686" t="s">
        <v>130</v>
      </c>
      <c r="F686" s="1">
        <v>41</v>
      </c>
      <c r="G686" t="s">
        <v>3</v>
      </c>
      <c r="H686" s="1">
        <v>51</v>
      </c>
      <c r="I686" t="s">
        <v>6</v>
      </c>
      <c r="J686" s="1">
        <v>295</v>
      </c>
      <c r="K686" s="1">
        <v>387</v>
      </c>
      <c r="L686" s="1">
        <v>18930</v>
      </c>
      <c r="M686" s="1">
        <v>5424</v>
      </c>
      <c r="N686" s="1">
        <v>9114</v>
      </c>
      <c r="O686" s="1">
        <v>348901</v>
      </c>
      <c r="P686" s="1">
        <v>79612</v>
      </c>
      <c r="Q686" s="1">
        <v>158280</v>
      </c>
      <c r="R686" s="1">
        <v>6969047</v>
      </c>
      <c r="S686" s="1">
        <v>41017</v>
      </c>
      <c r="T686" s="1">
        <v>41017</v>
      </c>
      <c r="U686" s="1">
        <v>41051</v>
      </c>
      <c r="V686" s="1">
        <v>0</v>
      </c>
      <c r="W686" s="1">
        <v>1</v>
      </c>
    </row>
    <row r="687">
      <c r="A687" s="1">
        <v>2019</v>
      </c>
      <c r="B687" s="1">
        <v>41</v>
      </c>
      <c r="C687" t="s">
        <v>3</v>
      </c>
      <c r="D687" s="1">
        <v>19</v>
      </c>
      <c r="E687" t="s">
        <v>131</v>
      </c>
      <c r="F687" s="1">
        <v>41</v>
      </c>
      <c r="G687" t="s">
        <v>3</v>
      </c>
      <c r="H687" s="1">
        <v>51</v>
      </c>
      <c r="I687" t="s">
        <v>6</v>
      </c>
      <c r="J687" s="1">
        <v>47</v>
      </c>
      <c r="K687" s="1">
        <v>71</v>
      </c>
      <c r="L687" s="1">
        <v>1553</v>
      </c>
      <c r="M687" s="1">
        <v>1929</v>
      </c>
      <c r="N687" s="1">
        <v>3421</v>
      </c>
      <c r="O687" s="1">
        <v>90022</v>
      </c>
      <c r="P687" s="1">
        <v>39168</v>
      </c>
      <c r="Q687" s="1">
        <v>79696</v>
      </c>
      <c r="R687" s="1">
        <v>2342137</v>
      </c>
      <c r="S687" s="1">
        <v>41019</v>
      </c>
      <c r="T687" s="1">
        <v>41019</v>
      </c>
      <c r="U687" s="1">
        <v>41051</v>
      </c>
      <c r="V687" s="1">
        <v>0</v>
      </c>
      <c r="W687" s="1">
        <v>1</v>
      </c>
    </row>
    <row r="688">
      <c r="A688" s="1">
        <v>2019</v>
      </c>
      <c r="B688" s="1">
        <v>41</v>
      </c>
      <c r="C688" t="s">
        <v>3</v>
      </c>
      <c r="D688" s="1">
        <v>27</v>
      </c>
      <c r="E688" t="s">
        <v>132</v>
      </c>
      <c r="F688" s="1">
        <v>41</v>
      </c>
      <c r="G688" t="s">
        <v>3</v>
      </c>
      <c r="H688" s="1">
        <v>51</v>
      </c>
      <c r="I688" t="s">
        <v>6</v>
      </c>
      <c r="J688" s="1">
        <v>95</v>
      </c>
      <c r="K688" s="1">
        <v>131</v>
      </c>
      <c r="L688" s="1">
        <v>5466</v>
      </c>
      <c r="M688" s="1">
        <v>759</v>
      </c>
      <c r="N688" s="1">
        <v>1273</v>
      </c>
      <c r="O688" s="1">
        <v>46726</v>
      </c>
      <c r="P688" s="1">
        <v>10007</v>
      </c>
      <c r="Q688" s="1">
        <v>21641</v>
      </c>
      <c r="R688" s="1">
        <v>810001</v>
      </c>
      <c r="S688" s="1">
        <v>41027</v>
      </c>
      <c r="T688" s="1">
        <v>41027</v>
      </c>
      <c r="U688" s="1">
        <v>41051</v>
      </c>
      <c r="V688" s="1">
        <v>0</v>
      </c>
      <c r="W688" s="1">
        <v>1</v>
      </c>
    </row>
    <row r="689">
      <c r="A689" s="1">
        <v>2019</v>
      </c>
      <c r="B689" s="1">
        <v>41</v>
      </c>
      <c r="C689" t="s">
        <v>3</v>
      </c>
      <c r="D689" s="1">
        <v>29</v>
      </c>
      <c r="E689" t="s">
        <v>133</v>
      </c>
      <c r="F689" s="1">
        <v>41</v>
      </c>
      <c r="G689" t="s">
        <v>3</v>
      </c>
      <c r="H689" s="1">
        <v>51</v>
      </c>
      <c r="I689" t="s">
        <v>6</v>
      </c>
      <c r="J689" s="1">
        <v>222</v>
      </c>
      <c r="K689" s="1">
        <v>293</v>
      </c>
      <c r="L689" s="1">
        <v>9642</v>
      </c>
      <c r="M689" s="1">
        <v>4667</v>
      </c>
      <c r="N689" s="1">
        <v>7821</v>
      </c>
      <c r="O689" s="1">
        <v>259657</v>
      </c>
      <c r="P689" s="1">
        <v>86258</v>
      </c>
      <c r="Q689" s="1">
        <v>171636</v>
      </c>
      <c r="R689" s="1">
        <v>5897402</v>
      </c>
      <c r="S689" s="1">
        <v>41029</v>
      </c>
      <c r="T689" s="1">
        <v>41029</v>
      </c>
      <c r="U689" s="1">
        <v>41051</v>
      </c>
      <c r="V689" s="1">
        <v>0</v>
      </c>
      <c r="W689" s="1">
        <v>1</v>
      </c>
    </row>
    <row r="690">
      <c r="A690" s="1">
        <v>2019</v>
      </c>
      <c r="B690" s="1">
        <v>41</v>
      </c>
      <c r="C690" t="s">
        <v>3</v>
      </c>
      <c r="D690" s="1">
        <v>33</v>
      </c>
      <c r="E690" t="s">
        <v>134</v>
      </c>
      <c r="F690" s="1">
        <v>41</v>
      </c>
      <c r="G690" t="s">
        <v>3</v>
      </c>
      <c r="H690" s="1">
        <v>51</v>
      </c>
      <c r="I690" t="s">
        <v>6</v>
      </c>
      <c r="J690" s="1">
        <v>51</v>
      </c>
      <c r="K690" s="1">
        <v>64</v>
      </c>
      <c r="L690" s="1">
        <v>1848</v>
      </c>
      <c r="M690" s="1">
        <v>2032</v>
      </c>
      <c r="N690" s="1">
        <v>3596</v>
      </c>
      <c r="O690" s="1">
        <v>88421</v>
      </c>
      <c r="P690" s="1">
        <v>31712</v>
      </c>
      <c r="Q690" s="1">
        <v>62943</v>
      </c>
      <c r="R690" s="1">
        <v>1934612</v>
      </c>
      <c r="S690" s="1">
        <v>41033</v>
      </c>
      <c r="T690" s="1">
        <v>41033</v>
      </c>
      <c r="U690" s="1">
        <v>41051</v>
      </c>
      <c r="V690" s="1">
        <v>0</v>
      </c>
      <c r="W690" s="1">
        <v>1</v>
      </c>
    </row>
    <row r="691">
      <c r="A691" s="1">
        <v>2019</v>
      </c>
      <c r="B691" s="1">
        <v>41</v>
      </c>
      <c r="C691" t="s">
        <v>3</v>
      </c>
      <c r="D691" s="1">
        <v>35</v>
      </c>
      <c r="E691" t="s">
        <v>135</v>
      </c>
      <c r="F691" s="1">
        <v>41</v>
      </c>
      <c r="G691" t="s">
        <v>3</v>
      </c>
      <c r="H691" s="1">
        <v>51</v>
      </c>
      <c r="I691" t="s">
        <v>6</v>
      </c>
      <c r="J691" s="1">
        <v>28</v>
      </c>
      <c r="K691" s="1">
        <v>43</v>
      </c>
      <c r="L691" s="1">
        <v>805</v>
      </c>
      <c r="M691" s="1">
        <v>1531</v>
      </c>
      <c r="N691" s="1">
        <v>2751</v>
      </c>
      <c r="O691" s="1">
        <v>73773</v>
      </c>
      <c r="P691" s="1">
        <v>23975</v>
      </c>
      <c r="Q691" s="1">
        <v>49761</v>
      </c>
      <c r="R691" s="1">
        <v>1335006</v>
      </c>
      <c r="S691" s="1">
        <v>41035</v>
      </c>
      <c r="T691" s="1">
        <v>41035</v>
      </c>
      <c r="U691" s="1">
        <v>41051</v>
      </c>
      <c r="V691" s="1">
        <v>0</v>
      </c>
      <c r="W691" s="1">
        <v>1</v>
      </c>
    </row>
    <row r="692">
      <c r="A692" s="1">
        <v>2019</v>
      </c>
      <c r="B692" s="1">
        <v>41</v>
      </c>
      <c r="C692" t="s">
        <v>3</v>
      </c>
      <c r="D692" s="1">
        <v>39</v>
      </c>
      <c r="E692" t="s">
        <v>136</v>
      </c>
      <c r="F692" s="1">
        <v>41</v>
      </c>
      <c r="G692" t="s">
        <v>3</v>
      </c>
      <c r="H692" s="1">
        <v>51</v>
      </c>
      <c r="I692" t="s">
        <v>6</v>
      </c>
      <c r="J692" s="1">
        <v>638</v>
      </c>
      <c r="K692" s="1">
        <v>812</v>
      </c>
      <c r="L692" s="1">
        <v>27850</v>
      </c>
      <c r="M692" s="1">
        <v>7904</v>
      </c>
      <c r="N692" s="1">
        <v>12588</v>
      </c>
      <c r="O692" s="1">
        <v>385312</v>
      </c>
      <c r="P692" s="1">
        <v>144462</v>
      </c>
      <c r="Q692" s="1">
        <v>275255</v>
      </c>
      <c r="R692" s="1">
        <v>10154470</v>
      </c>
      <c r="S692" s="1">
        <v>41039</v>
      </c>
      <c r="T692" s="1">
        <v>41039</v>
      </c>
      <c r="U692" s="1">
        <v>41051</v>
      </c>
      <c r="V692" s="1">
        <v>0</v>
      </c>
      <c r="W692" s="1">
        <v>1</v>
      </c>
    </row>
    <row r="693">
      <c r="A693" s="1">
        <v>2019</v>
      </c>
      <c r="B693" s="1">
        <v>41</v>
      </c>
      <c r="C693" t="s">
        <v>3</v>
      </c>
      <c r="D693" s="1">
        <v>41</v>
      </c>
      <c r="E693" t="s">
        <v>137</v>
      </c>
      <c r="F693" s="1">
        <v>41</v>
      </c>
      <c r="G693" t="s">
        <v>3</v>
      </c>
      <c r="H693" s="1">
        <v>51</v>
      </c>
      <c r="I693" t="s">
        <v>6</v>
      </c>
      <c r="J693" s="1">
        <v>71</v>
      </c>
      <c r="K693" s="1">
        <v>122</v>
      </c>
      <c r="L693" s="1">
        <v>3253</v>
      </c>
      <c r="M693" s="1">
        <v>1524</v>
      </c>
      <c r="N693" s="1">
        <v>2665</v>
      </c>
      <c r="O693" s="1">
        <v>73384</v>
      </c>
      <c r="P693" s="1">
        <v>19266</v>
      </c>
      <c r="Q693" s="1">
        <v>36330</v>
      </c>
      <c r="R693" s="1">
        <v>1159886</v>
      </c>
      <c r="S693" s="1">
        <v>41041</v>
      </c>
      <c r="T693" s="1">
        <v>41041</v>
      </c>
      <c r="U693" s="1">
        <v>41051</v>
      </c>
      <c r="V693" s="1">
        <v>0</v>
      </c>
      <c r="W693" s="1">
        <v>1</v>
      </c>
    </row>
    <row r="694">
      <c r="A694" s="1">
        <v>2019</v>
      </c>
      <c r="B694" s="1">
        <v>41</v>
      </c>
      <c r="C694" t="s">
        <v>3</v>
      </c>
      <c r="D694" s="1">
        <v>43</v>
      </c>
      <c r="E694" t="s">
        <v>138</v>
      </c>
      <c r="F694" s="1">
        <v>41</v>
      </c>
      <c r="G694" t="s">
        <v>3</v>
      </c>
      <c r="H694" s="1">
        <v>51</v>
      </c>
      <c r="I694" t="s">
        <v>6</v>
      </c>
      <c r="J694" s="1">
        <v>99</v>
      </c>
      <c r="K694" s="1">
        <v>140</v>
      </c>
      <c r="L694" s="1">
        <v>3401</v>
      </c>
      <c r="M694" s="1">
        <v>3289</v>
      </c>
      <c r="N694" s="1">
        <v>5898</v>
      </c>
      <c r="O694" s="1">
        <v>150365</v>
      </c>
      <c r="P694" s="1">
        <v>47099</v>
      </c>
      <c r="Q694" s="1">
        <v>99053</v>
      </c>
      <c r="R694" s="1">
        <v>2931989</v>
      </c>
      <c r="S694" s="1">
        <v>41043</v>
      </c>
      <c r="T694" s="1">
        <v>41043</v>
      </c>
      <c r="U694" s="1">
        <v>41051</v>
      </c>
      <c r="V694" s="1">
        <v>0</v>
      </c>
      <c r="W694" s="1">
        <v>1</v>
      </c>
    </row>
    <row r="695">
      <c r="A695" s="1">
        <v>2019</v>
      </c>
      <c r="B695" s="1">
        <v>41</v>
      </c>
      <c r="C695" t="s">
        <v>3</v>
      </c>
      <c r="D695" s="1">
        <v>47</v>
      </c>
      <c r="E695" t="s">
        <v>99</v>
      </c>
      <c r="F695" s="1">
        <v>41</v>
      </c>
      <c r="G695" t="s">
        <v>3</v>
      </c>
      <c r="H695" s="1">
        <v>51</v>
      </c>
      <c r="I695" t="s">
        <v>6</v>
      </c>
      <c r="J695" s="1">
        <v>514</v>
      </c>
      <c r="K695" s="1">
        <v>764</v>
      </c>
      <c r="L695" s="1">
        <v>23068</v>
      </c>
      <c r="M695" s="1">
        <v>7634</v>
      </c>
      <c r="N695" s="1">
        <v>13914</v>
      </c>
      <c r="O695" s="1">
        <v>497744</v>
      </c>
      <c r="P695" s="1">
        <v>125692</v>
      </c>
      <c r="Q695" s="1">
        <v>272884</v>
      </c>
      <c r="R695" s="1">
        <v>8501465</v>
      </c>
      <c r="S695" s="1">
        <v>41047</v>
      </c>
      <c r="T695" s="1">
        <v>41047</v>
      </c>
      <c r="U695" s="1">
        <v>41051</v>
      </c>
      <c r="V695" s="1">
        <v>0</v>
      </c>
      <c r="W695" s="1">
        <v>1</v>
      </c>
    </row>
    <row r="696">
      <c r="A696" s="1">
        <v>2019</v>
      </c>
      <c r="B696" s="1">
        <v>41</v>
      </c>
      <c r="C696" t="s">
        <v>3</v>
      </c>
      <c r="D696" s="1">
        <v>53</v>
      </c>
      <c r="E696" t="s">
        <v>100</v>
      </c>
      <c r="F696" s="1">
        <v>41</v>
      </c>
      <c r="G696" t="s">
        <v>3</v>
      </c>
      <c r="H696" s="1">
        <v>51</v>
      </c>
      <c r="I696" t="s">
        <v>6</v>
      </c>
      <c r="J696" s="1">
        <v>96</v>
      </c>
      <c r="K696" s="1">
        <v>132</v>
      </c>
      <c r="L696" s="1">
        <v>3513</v>
      </c>
      <c r="M696" s="1">
        <v>2927</v>
      </c>
      <c r="N696" s="1">
        <v>5269</v>
      </c>
      <c r="O696" s="1">
        <v>144854</v>
      </c>
      <c r="P696" s="1">
        <v>30554</v>
      </c>
      <c r="Q696" s="1">
        <v>66301</v>
      </c>
      <c r="R696" s="1">
        <v>2175126</v>
      </c>
      <c r="S696" s="1">
        <v>41053</v>
      </c>
      <c r="T696" s="1">
        <v>41053</v>
      </c>
      <c r="U696" s="1">
        <v>41051</v>
      </c>
      <c r="V696" s="1">
        <v>0</v>
      </c>
      <c r="W696" s="1">
        <v>1</v>
      </c>
    </row>
    <row r="697">
      <c r="A697" s="1">
        <v>2019</v>
      </c>
      <c r="B697" s="1">
        <v>41</v>
      </c>
      <c r="C697" t="s">
        <v>3</v>
      </c>
      <c r="D697" s="1">
        <v>57</v>
      </c>
      <c r="E697" t="s">
        <v>139</v>
      </c>
      <c r="F697" s="1">
        <v>41</v>
      </c>
      <c r="G697" t="s">
        <v>3</v>
      </c>
      <c r="H697" s="1">
        <v>51</v>
      </c>
      <c r="I697" t="s">
        <v>6</v>
      </c>
      <c r="J697" s="1">
        <v>57</v>
      </c>
      <c r="K697" s="1">
        <v>89</v>
      </c>
      <c r="L697" s="1">
        <v>3752</v>
      </c>
      <c r="M697" s="1">
        <v>649</v>
      </c>
      <c r="N697" s="1">
        <v>1109</v>
      </c>
      <c r="O697" s="1">
        <v>42331</v>
      </c>
      <c r="P697" s="1">
        <v>10435</v>
      </c>
      <c r="Q697" s="1">
        <v>20645</v>
      </c>
      <c r="R697" s="1">
        <v>647645</v>
      </c>
      <c r="S697" s="1">
        <v>41057</v>
      </c>
      <c r="T697" s="1">
        <v>41057</v>
      </c>
      <c r="U697" s="1">
        <v>41051</v>
      </c>
      <c r="V697" s="1">
        <v>0</v>
      </c>
      <c r="W697" s="1">
        <v>1</v>
      </c>
    </row>
    <row r="698">
      <c r="A698" s="1">
        <v>2019</v>
      </c>
      <c r="B698" s="1">
        <v>41</v>
      </c>
      <c r="C698" t="s">
        <v>3</v>
      </c>
      <c r="D698" s="1">
        <v>59</v>
      </c>
      <c r="E698" t="s">
        <v>140</v>
      </c>
      <c r="F698" s="1">
        <v>41</v>
      </c>
      <c r="G698" t="s">
        <v>3</v>
      </c>
      <c r="H698" s="1">
        <v>51</v>
      </c>
      <c r="I698" t="s">
        <v>6</v>
      </c>
      <c r="J698" s="1">
        <v>41</v>
      </c>
      <c r="K698" s="1">
        <v>56</v>
      </c>
      <c r="L698" s="1">
        <v>1475</v>
      </c>
      <c r="M698" s="1">
        <v>1453</v>
      </c>
      <c r="N698" s="1">
        <v>2827</v>
      </c>
      <c r="O698" s="1">
        <v>76548</v>
      </c>
      <c r="P698" s="1">
        <v>26610</v>
      </c>
      <c r="Q698" s="1">
        <v>58903</v>
      </c>
      <c r="R698" s="1">
        <v>1561089</v>
      </c>
      <c r="S698" s="1">
        <v>41059</v>
      </c>
      <c r="T698" s="1">
        <v>41059</v>
      </c>
      <c r="U698" s="1">
        <v>41051</v>
      </c>
      <c r="V698" s="1">
        <v>0</v>
      </c>
      <c r="W698" s="1">
        <v>1</v>
      </c>
    </row>
    <row r="699">
      <c r="A699" s="1">
        <v>2019</v>
      </c>
      <c r="B699" s="1">
        <v>41</v>
      </c>
      <c r="C699" t="s">
        <v>3</v>
      </c>
      <c r="D699" s="1">
        <v>61</v>
      </c>
      <c r="E699" t="s">
        <v>141</v>
      </c>
      <c r="F699" s="1">
        <v>41</v>
      </c>
      <c r="G699" t="s">
        <v>3</v>
      </c>
      <c r="H699" s="1">
        <v>51</v>
      </c>
      <c r="I699" t="s">
        <v>6</v>
      </c>
      <c r="J699" s="1">
        <v>20</v>
      </c>
      <c r="K699" s="1">
        <v>45</v>
      </c>
      <c r="L699" s="1">
        <v>828</v>
      </c>
      <c r="M699" s="1">
        <v>596</v>
      </c>
      <c r="N699" s="1">
        <v>1073</v>
      </c>
      <c r="O699" s="1">
        <v>32914</v>
      </c>
      <c r="P699" s="1">
        <v>9661</v>
      </c>
      <c r="Q699" s="1">
        <v>20294</v>
      </c>
      <c r="R699" s="1">
        <v>602519</v>
      </c>
      <c r="S699" s="1">
        <v>41061</v>
      </c>
      <c r="T699" s="1">
        <v>41061</v>
      </c>
      <c r="U699" s="1">
        <v>41051</v>
      </c>
      <c r="V699" s="1">
        <v>0</v>
      </c>
      <c r="W699" s="1">
        <v>1</v>
      </c>
    </row>
    <row r="700">
      <c r="A700" s="1">
        <v>2019</v>
      </c>
      <c r="B700" s="1">
        <v>41</v>
      </c>
      <c r="C700" t="s">
        <v>3</v>
      </c>
      <c r="D700" s="1">
        <v>65</v>
      </c>
      <c r="E700" t="s">
        <v>142</v>
      </c>
      <c r="F700" s="1">
        <v>41</v>
      </c>
      <c r="G700" t="s">
        <v>3</v>
      </c>
      <c r="H700" s="1">
        <v>51</v>
      </c>
      <c r="I700" t="s">
        <v>6</v>
      </c>
      <c r="J700" s="1">
        <v>41</v>
      </c>
      <c r="K700" s="1">
        <v>68</v>
      </c>
      <c r="L700" s="1">
        <v>1515</v>
      </c>
      <c r="M700" s="1">
        <v>700</v>
      </c>
      <c r="N700" s="1">
        <v>1296</v>
      </c>
      <c r="O700" s="1">
        <v>36128</v>
      </c>
      <c r="P700" s="1">
        <v>9773</v>
      </c>
      <c r="Q700" s="1">
        <v>20291</v>
      </c>
      <c r="R700" s="1">
        <v>588723</v>
      </c>
      <c r="S700" s="1">
        <v>41065</v>
      </c>
      <c r="T700" s="1">
        <v>41065</v>
      </c>
      <c r="U700" s="1">
        <v>41051</v>
      </c>
      <c r="V700" s="1">
        <v>0</v>
      </c>
      <c r="W700" s="1">
        <v>1</v>
      </c>
    </row>
    <row r="701">
      <c r="A701" s="1">
        <v>2019</v>
      </c>
      <c r="B701" s="1">
        <v>41</v>
      </c>
      <c r="C701" t="s">
        <v>3</v>
      </c>
      <c r="D701" s="1">
        <v>67</v>
      </c>
      <c r="E701" t="s">
        <v>143</v>
      </c>
      <c r="F701" s="1">
        <v>41</v>
      </c>
      <c r="G701" t="s">
        <v>3</v>
      </c>
      <c r="H701" s="1">
        <v>51</v>
      </c>
      <c r="I701" t="s">
        <v>6</v>
      </c>
      <c r="J701" s="1">
        <v>4387</v>
      </c>
      <c r="K701" s="1">
        <v>6320</v>
      </c>
      <c r="L701" s="1">
        <v>315447</v>
      </c>
      <c r="M701" s="1">
        <v>18873</v>
      </c>
      <c r="N701" s="1">
        <v>32234</v>
      </c>
      <c r="O701" s="1">
        <v>1456625</v>
      </c>
      <c r="P701" s="1">
        <v>239026</v>
      </c>
      <c r="Q701" s="1">
        <v>500519</v>
      </c>
      <c r="R701" s="1">
        <v>23741090</v>
      </c>
      <c r="S701" s="1">
        <v>41067</v>
      </c>
      <c r="T701" s="1">
        <v>41067</v>
      </c>
      <c r="U701" s="1">
        <v>41051</v>
      </c>
      <c r="V701" s="1">
        <v>0</v>
      </c>
      <c r="W701" s="1">
        <v>1</v>
      </c>
    </row>
    <row r="702">
      <c r="A702" s="1">
        <v>2019</v>
      </c>
      <c r="B702" s="1">
        <v>41</v>
      </c>
      <c r="C702" t="s">
        <v>3</v>
      </c>
      <c r="D702" s="1">
        <v>71</v>
      </c>
      <c r="E702" t="s">
        <v>144</v>
      </c>
      <c r="F702" s="1">
        <v>41</v>
      </c>
      <c r="G702" t="s">
        <v>3</v>
      </c>
      <c r="H702" s="1">
        <v>51</v>
      </c>
      <c r="I702" t="s">
        <v>6</v>
      </c>
      <c r="J702" s="1">
        <v>207</v>
      </c>
      <c r="K702" s="1">
        <v>283</v>
      </c>
      <c r="L702" s="1">
        <v>10650</v>
      </c>
      <c r="M702" s="1">
        <v>2719</v>
      </c>
      <c r="N702" s="1">
        <v>4811</v>
      </c>
      <c r="O702" s="1">
        <v>146677</v>
      </c>
      <c r="P702" s="1">
        <v>38827</v>
      </c>
      <c r="Q702" s="1">
        <v>84144</v>
      </c>
      <c r="R702" s="1">
        <v>2955714</v>
      </c>
      <c r="S702" s="1">
        <v>41071</v>
      </c>
      <c r="T702" s="1">
        <v>41071</v>
      </c>
      <c r="U702" s="1">
        <v>41051</v>
      </c>
      <c r="V702" s="1">
        <v>0</v>
      </c>
      <c r="W702" s="1">
        <v>1</v>
      </c>
    </row>
    <row r="703">
      <c r="A703" s="1">
        <v>2019</v>
      </c>
      <c r="B703" s="1">
        <v>42</v>
      </c>
      <c r="C703" t="s">
        <v>34</v>
      </c>
      <c r="D703" s="1">
        <v>3</v>
      </c>
      <c r="E703" t="s">
        <v>145</v>
      </c>
      <c r="F703" s="1">
        <v>41</v>
      </c>
      <c r="G703" t="s">
        <v>3</v>
      </c>
      <c r="H703" s="1">
        <v>51</v>
      </c>
      <c r="I703" t="s">
        <v>6</v>
      </c>
      <c r="J703" s="1">
        <v>60</v>
      </c>
      <c r="K703" s="1">
        <v>70</v>
      </c>
      <c r="L703" s="1">
        <v>3509</v>
      </c>
      <c r="M703" s="1">
        <v>22541</v>
      </c>
      <c r="N703" s="1">
        <v>36125</v>
      </c>
      <c r="O703" s="1">
        <v>1906060</v>
      </c>
      <c r="P703" s="1">
        <v>530060</v>
      </c>
      <c r="Q703" s="1">
        <v>999091</v>
      </c>
      <c r="R703" s="1">
        <v>46797548</v>
      </c>
      <c r="S703" s="1">
        <v>42003</v>
      </c>
      <c r="T703" s="1">
        <v>42003</v>
      </c>
      <c r="U703" s="1">
        <v>41051</v>
      </c>
      <c r="V703" s="1">
        <v>0</v>
      </c>
      <c r="W703" s="1">
        <v>1</v>
      </c>
    </row>
    <row r="704">
      <c r="A704" s="1">
        <v>2019</v>
      </c>
      <c r="B704" s="1">
        <v>42</v>
      </c>
      <c r="C704" t="s">
        <v>34</v>
      </c>
      <c r="D704" s="1">
        <v>91</v>
      </c>
      <c r="E704" t="s">
        <v>103</v>
      </c>
      <c r="F704" s="1">
        <v>41</v>
      </c>
      <c r="G704" t="s">
        <v>3</v>
      </c>
      <c r="H704" s="1">
        <v>51</v>
      </c>
      <c r="I704" t="s">
        <v>6</v>
      </c>
      <c r="J704" s="1">
        <v>20</v>
      </c>
      <c r="K704" s="1">
        <v>28</v>
      </c>
      <c r="L704" s="1">
        <v>2600</v>
      </c>
      <c r="M704" s="1">
        <v>19939</v>
      </c>
      <c r="N704" s="1">
        <v>33012</v>
      </c>
      <c r="O704" s="1">
        <v>1961788</v>
      </c>
      <c r="P704" s="1">
        <v>350606</v>
      </c>
      <c r="Q704" s="1">
        <v>729246</v>
      </c>
      <c r="R704" s="1">
        <v>47815456</v>
      </c>
      <c r="S704" s="1">
        <v>42091</v>
      </c>
      <c r="T704" s="1">
        <v>42091</v>
      </c>
      <c r="U704" s="1">
        <v>41051</v>
      </c>
      <c r="V704" s="1">
        <v>0</v>
      </c>
      <c r="W704" s="1">
        <v>1</v>
      </c>
    </row>
    <row r="705">
      <c r="A705" s="1">
        <v>2019</v>
      </c>
      <c r="B705" s="1">
        <v>42</v>
      </c>
      <c r="C705" t="s">
        <v>34</v>
      </c>
      <c r="D705" s="1">
        <v>101</v>
      </c>
      <c r="E705" t="s">
        <v>146</v>
      </c>
      <c r="F705" s="1">
        <v>41</v>
      </c>
      <c r="G705" t="s">
        <v>3</v>
      </c>
      <c r="H705" s="1">
        <v>51</v>
      </c>
      <c r="I705" t="s">
        <v>6</v>
      </c>
      <c r="J705" s="1">
        <v>82</v>
      </c>
      <c r="K705" s="1">
        <v>114</v>
      </c>
      <c r="L705" s="1">
        <v>6624</v>
      </c>
      <c r="M705" s="1">
        <v>35904</v>
      </c>
      <c r="N705" s="1">
        <v>60606</v>
      </c>
      <c r="O705" s="1">
        <v>2489684</v>
      </c>
      <c r="P705" s="1">
        <v>571565</v>
      </c>
      <c r="Q705" s="1">
        <v>1071929</v>
      </c>
      <c r="R705" s="1">
        <v>35139988</v>
      </c>
      <c r="S705" s="1">
        <v>42101</v>
      </c>
      <c r="T705" s="1">
        <v>42101</v>
      </c>
      <c r="U705" s="1">
        <v>41051</v>
      </c>
      <c r="V705" s="1">
        <v>0</v>
      </c>
      <c r="W705" s="1">
        <v>1</v>
      </c>
    </row>
    <row r="706">
      <c r="A706" s="1">
        <v>2019</v>
      </c>
      <c r="B706" s="1">
        <v>47</v>
      </c>
      <c r="C706" t="s">
        <v>35</v>
      </c>
      <c r="D706" s="1">
        <v>37</v>
      </c>
      <c r="E706" t="s">
        <v>147</v>
      </c>
      <c r="F706" s="1">
        <v>41</v>
      </c>
      <c r="G706" t="s">
        <v>3</v>
      </c>
      <c r="H706" s="1">
        <v>51</v>
      </c>
      <c r="I706" t="s">
        <v>6</v>
      </c>
      <c r="J706" s="1">
        <v>60</v>
      </c>
      <c r="K706" s="1">
        <v>73</v>
      </c>
      <c r="L706" s="1">
        <v>3424</v>
      </c>
      <c r="M706" s="1">
        <v>27136</v>
      </c>
      <c r="N706" s="1">
        <v>47195</v>
      </c>
      <c r="O706" s="1">
        <v>1737459</v>
      </c>
      <c r="P706" s="1">
        <v>287557</v>
      </c>
      <c r="Q706" s="1">
        <v>534310</v>
      </c>
      <c r="R706" s="1">
        <v>26901244</v>
      </c>
      <c r="S706" s="1">
        <v>47037</v>
      </c>
      <c r="T706" s="1">
        <v>47037</v>
      </c>
      <c r="U706" s="1">
        <v>41051</v>
      </c>
      <c r="V706" s="1">
        <v>0</v>
      </c>
      <c r="W706" s="1">
        <v>1</v>
      </c>
    </row>
    <row r="707">
      <c r="A707" s="1">
        <v>2019</v>
      </c>
      <c r="B707" s="1">
        <v>47</v>
      </c>
      <c r="C707" t="s">
        <v>35</v>
      </c>
      <c r="D707" s="1">
        <v>157</v>
      </c>
      <c r="E707" t="s">
        <v>215</v>
      </c>
      <c r="F707" s="1">
        <v>41</v>
      </c>
      <c r="G707" t="s">
        <v>3</v>
      </c>
      <c r="H707" s="1">
        <v>51</v>
      </c>
      <c r="I707" t="s">
        <v>6</v>
      </c>
      <c r="J707" s="1">
        <v>24</v>
      </c>
      <c r="K707" s="1">
        <v>35</v>
      </c>
      <c r="L707" s="1">
        <v>1136</v>
      </c>
      <c r="M707" s="1">
        <v>16250</v>
      </c>
      <c r="N707" s="1">
        <v>31437</v>
      </c>
      <c r="O707" s="1">
        <v>1103697</v>
      </c>
      <c r="P707" s="1">
        <v>350401</v>
      </c>
      <c r="Q707" s="1">
        <v>730482</v>
      </c>
      <c r="R707" s="1">
        <v>26067440</v>
      </c>
      <c r="S707" s="1">
        <v>47157</v>
      </c>
      <c r="T707" s="1">
        <v>47157</v>
      </c>
      <c r="U707" s="1">
        <v>41051</v>
      </c>
      <c r="V707" s="1">
        <v>0</v>
      </c>
      <c r="W707" s="1">
        <v>1</v>
      </c>
    </row>
    <row r="708">
      <c r="A708" s="1">
        <v>2019</v>
      </c>
      <c r="B708" s="1">
        <v>48</v>
      </c>
      <c r="C708" t="s">
        <v>36</v>
      </c>
      <c r="D708" s="1">
        <v>29</v>
      </c>
      <c r="E708" t="s">
        <v>149</v>
      </c>
      <c r="F708" s="1">
        <v>41</v>
      </c>
      <c r="G708" t="s">
        <v>3</v>
      </c>
      <c r="H708" s="1">
        <v>51</v>
      </c>
      <c r="I708" t="s">
        <v>6</v>
      </c>
      <c r="J708" s="1">
        <v>74</v>
      </c>
      <c r="K708" s="1">
        <v>122</v>
      </c>
      <c r="L708" s="1">
        <v>8502</v>
      </c>
      <c r="M708" s="1">
        <v>36629</v>
      </c>
      <c r="N708" s="1">
        <v>72430</v>
      </c>
      <c r="O708" s="1">
        <v>2376656</v>
      </c>
      <c r="P708" s="1">
        <v>728453</v>
      </c>
      <c r="Q708" s="1">
        <v>1555117</v>
      </c>
      <c r="R708" s="1">
        <v>51505720</v>
      </c>
      <c r="S708" s="1">
        <v>48029</v>
      </c>
      <c r="T708" s="1">
        <v>48029</v>
      </c>
      <c r="U708" s="1">
        <v>41051</v>
      </c>
      <c r="V708" s="1">
        <v>0</v>
      </c>
      <c r="W708" s="1">
        <v>1</v>
      </c>
    </row>
    <row r="709">
      <c r="A709" s="1">
        <v>2019</v>
      </c>
      <c r="B709" s="1">
        <v>48</v>
      </c>
      <c r="C709" t="s">
        <v>36</v>
      </c>
      <c r="D709" s="1">
        <v>85</v>
      </c>
      <c r="E709" t="s">
        <v>216</v>
      </c>
      <c r="F709" s="1">
        <v>41</v>
      </c>
      <c r="G709" t="s">
        <v>3</v>
      </c>
      <c r="H709" s="1">
        <v>51</v>
      </c>
      <c r="I709" t="s">
        <v>6</v>
      </c>
      <c r="J709" s="1">
        <v>34</v>
      </c>
      <c r="K709" s="1">
        <v>44</v>
      </c>
      <c r="L709" s="1">
        <v>1998</v>
      </c>
      <c r="M709" s="1">
        <v>35254</v>
      </c>
      <c r="N709" s="1">
        <v>66420</v>
      </c>
      <c r="O709" s="1">
        <v>3036733</v>
      </c>
      <c r="P709" s="1">
        <v>372651</v>
      </c>
      <c r="Q709" s="1">
        <v>875168</v>
      </c>
      <c r="R709" s="1">
        <v>44863940</v>
      </c>
      <c r="S709" s="1">
        <v>48085</v>
      </c>
      <c r="T709" s="1">
        <v>48085</v>
      </c>
      <c r="U709" s="1">
        <v>41051</v>
      </c>
      <c r="V709" s="1">
        <v>0</v>
      </c>
      <c r="W709" s="1">
        <v>1</v>
      </c>
    </row>
    <row r="710">
      <c r="A710" s="1">
        <v>2019</v>
      </c>
      <c r="B710" s="1">
        <v>48</v>
      </c>
      <c r="C710" t="s">
        <v>36</v>
      </c>
      <c r="D710" s="1">
        <v>113</v>
      </c>
      <c r="E710" t="s">
        <v>150</v>
      </c>
      <c r="F710" s="1">
        <v>41</v>
      </c>
      <c r="G710" t="s">
        <v>3</v>
      </c>
      <c r="H710" s="1">
        <v>51</v>
      </c>
      <c r="I710" t="s">
        <v>6</v>
      </c>
      <c r="J710" s="1">
        <v>99</v>
      </c>
      <c r="K710" s="1">
        <v>138</v>
      </c>
      <c r="L710" s="1">
        <v>8923</v>
      </c>
      <c r="M710" s="1">
        <v>74126</v>
      </c>
      <c r="N710" s="1">
        <v>137929</v>
      </c>
      <c r="O710" s="1">
        <v>5461121</v>
      </c>
      <c r="P710" s="1">
        <v>971861</v>
      </c>
      <c r="Q710" s="1">
        <v>2071294</v>
      </c>
      <c r="R710" s="1">
        <v>87112384</v>
      </c>
      <c r="S710" s="1">
        <v>48113</v>
      </c>
      <c r="T710" s="1">
        <v>48113</v>
      </c>
      <c r="U710" s="1">
        <v>41051</v>
      </c>
      <c r="V710" s="1">
        <v>0</v>
      </c>
      <c r="W710" s="1">
        <v>1</v>
      </c>
    </row>
    <row r="711">
      <c r="A711" s="1">
        <v>2019</v>
      </c>
      <c r="B711" s="1">
        <v>48</v>
      </c>
      <c r="C711" t="s">
        <v>36</v>
      </c>
      <c r="D711" s="1">
        <v>121</v>
      </c>
      <c r="E711" t="s">
        <v>234</v>
      </c>
      <c r="F711" s="1">
        <v>41</v>
      </c>
      <c r="G711" t="s">
        <v>3</v>
      </c>
      <c r="H711" s="1">
        <v>51</v>
      </c>
      <c r="I711" t="s">
        <v>6</v>
      </c>
      <c r="J711" s="1">
        <v>20</v>
      </c>
      <c r="K711" s="1">
        <v>30</v>
      </c>
      <c r="L711" s="1">
        <v>1282</v>
      </c>
      <c r="M711" s="1">
        <v>29475</v>
      </c>
      <c r="N711" s="1">
        <v>54150</v>
      </c>
      <c r="O711" s="1">
        <v>2352958</v>
      </c>
      <c r="P711" s="1">
        <v>311774</v>
      </c>
      <c r="Q711" s="1">
        <v>705912</v>
      </c>
      <c r="R711" s="1">
        <v>32514870</v>
      </c>
      <c r="S711" s="1">
        <v>48121</v>
      </c>
      <c r="T711" s="1">
        <v>48121</v>
      </c>
      <c r="U711" s="1">
        <v>41051</v>
      </c>
      <c r="V711" s="1">
        <v>0</v>
      </c>
      <c r="W711" s="1">
        <v>1</v>
      </c>
    </row>
    <row r="712">
      <c r="A712" s="1">
        <v>2019</v>
      </c>
      <c r="B712" s="1">
        <v>48</v>
      </c>
      <c r="C712" t="s">
        <v>36</v>
      </c>
      <c r="D712" s="1">
        <v>201</v>
      </c>
      <c r="E712" t="s">
        <v>151</v>
      </c>
      <c r="F712" s="1">
        <v>41</v>
      </c>
      <c r="G712" t="s">
        <v>3</v>
      </c>
      <c r="H712" s="1">
        <v>51</v>
      </c>
      <c r="I712" t="s">
        <v>6</v>
      </c>
      <c r="J712" s="1">
        <v>118</v>
      </c>
      <c r="K712" s="1">
        <v>171</v>
      </c>
      <c r="L712" s="1">
        <v>7878</v>
      </c>
      <c r="M712" s="1">
        <v>86320</v>
      </c>
      <c r="N712" s="1">
        <v>170904</v>
      </c>
      <c r="O712" s="1">
        <v>6931662</v>
      </c>
      <c r="P712" s="1">
        <v>1649306</v>
      </c>
      <c r="Q712" s="1">
        <v>3637706</v>
      </c>
      <c r="R712" s="1">
        <v>144674464</v>
      </c>
      <c r="S712" s="1">
        <v>48201</v>
      </c>
      <c r="T712" s="1">
        <v>48201</v>
      </c>
      <c r="U712" s="1">
        <v>41051</v>
      </c>
      <c r="V712" s="1">
        <v>0</v>
      </c>
      <c r="W712" s="1">
        <v>1</v>
      </c>
    </row>
    <row r="713">
      <c r="A713" s="1">
        <v>2019</v>
      </c>
      <c r="B713" s="1">
        <v>48</v>
      </c>
      <c r="C713" t="s">
        <v>36</v>
      </c>
      <c r="D713" s="1">
        <v>439</v>
      </c>
      <c r="E713" t="s">
        <v>152</v>
      </c>
      <c r="F713" s="1">
        <v>41</v>
      </c>
      <c r="G713" t="s">
        <v>3</v>
      </c>
      <c r="H713" s="1">
        <v>51</v>
      </c>
      <c r="I713" t="s">
        <v>6</v>
      </c>
      <c r="J713" s="1">
        <v>47</v>
      </c>
      <c r="K713" s="1">
        <v>75</v>
      </c>
      <c r="L713" s="1">
        <v>1955</v>
      </c>
      <c r="M713" s="1">
        <v>51071</v>
      </c>
      <c r="N713" s="1">
        <v>98630</v>
      </c>
      <c r="O713" s="1">
        <v>3525221</v>
      </c>
      <c r="P713" s="1">
        <v>770900</v>
      </c>
      <c r="Q713" s="1">
        <v>1698532</v>
      </c>
      <c r="R713" s="1">
        <v>66360076</v>
      </c>
      <c r="S713" s="1">
        <v>48439</v>
      </c>
      <c r="T713" s="1">
        <v>48439</v>
      </c>
      <c r="U713" s="1">
        <v>41051</v>
      </c>
      <c r="V713" s="1">
        <v>0</v>
      </c>
      <c r="W713" s="1">
        <v>1</v>
      </c>
    </row>
    <row r="714">
      <c r="A714" s="1">
        <v>2019</v>
      </c>
      <c r="B714" s="1">
        <v>48</v>
      </c>
      <c r="C714" t="s">
        <v>36</v>
      </c>
      <c r="D714" s="1">
        <v>453</v>
      </c>
      <c r="E714" t="s">
        <v>153</v>
      </c>
      <c r="F714" s="1">
        <v>41</v>
      </c>
      <c r="G714" t="s">
        <v>3</v>
      </c>
      <c r="H714" s="1">
        <v>51</v>
      </c>
      <c r="I714" t="s">
        <v>6</v>
      </c>
      <c r="J714" s="1">
        <v>165</v>
      </c>
      <c r="K714" s="1">
        <v>224</v>
      </c>
      <c r="L714" s="1">
        <v>20029</v>
      </c>
      <c r="M714" s="1">
        <v>43676</v>
      </c>
      <c r="N714" s="1">
        <v>74528</v>
      </c>
      <c r="O714" s="1">
        <v>3367206</v>
      </c>
      <c r="P714" s="1">
        <v>491672</v>
      </c>
      <c r="Q714" s="1">
        <v>961315</v>
      </c>
      <c r="R714" s="1">
        <v>57897388</v>
      </c>
      <c r="S714" s="1">
        <v>48453</v>
      </c>
      <c r="T714" s="1">
        <v>48453</v>
      </c>
      <c r="U714" s="1">
        <v>41051</v>
      </c>
      <c r="V714" s="1">
        <v>0</v>
      </c>
      <c r="W714" s="1">
        <v>1</v>
      </c>
    </row>
    <row r="715">
      <c r="A715" s="1">
        <v>2019</v>
      </c>
      <c r="B715" s="1">
        <v>48</v>
      </c>
      <c r="C715" t="s">
        <v>36</v>
      </c>
      <c r="D715" s="1">
        <v>491</v>
      </c>
      <c r="E715" t="s">
        <v>217</v>
      </c>
      <c r="F715" s="1">
        <v>41</v>
      </c>
      <c r="G715" t="s">
        <v>3</v>
      </c>
      <c r="H715" s="1">
        <v>51</v>
      </c>
      <c r="I715" t="s">
        <v>6</v>
      </c>
      <c r="J715" s="1">
        <v>21</v>
      </c>
      <c r="K715" s="1">
        <v>27</v>
      </c>
      <c r="L715" s="1">
        <v>1071</v>
      </c>
      <c r="M715" s="1">
        <v>18859</v>
      </c>
      <c r="N715" s="1">
        <v>34432</v>
      </c>
      <c r="O715" s="1">
        <v>1242322</v>
      </c>
      <c r="P715" s="1">
        <v>216428</v>
      </c>
      <c r="Q715" s="1">
        <v>484965</v>
      </c>
      <c r="R715" s="1">
        <v>19901228</v>
      </c>
      <c r="S715" s="1">
        <v>48491</v>
      </c>
      <c r="T715" s="1">
        <v>48491</v>
      </c>
      <c r="U715" s="1">
        <v>41051</v>
      </c>
      <c r="V715" s="1">
        <v>0</v>
      </c>
      <c r="W715" s="1">
        <v>1</v>
      </c>
    </row>
    <row r="716">
      <c r="A716" s="1">
        <v>2019</v>
      </c>
      <c r="B716" s="1">
        <v>49</v>
      </c>
      <c r="C716" t="s">
        <v>37</v>
      </c>
      <c r="D716" s="1">
        <v>35</v>
      </c>
      <c r="E716" t="s">
        <v>154</v>
      </c>
      <c r="F716" s="1">
        <v>41</v>
      </c>
      <c r="G716" t="s">
        <v>3</v>
      </c>
      <c r="H716" s="1">
        <v>51</v>
      </c>
      <c r="I716" t="s">
        <v>6</v>
      </c>
      <c r="J716" s="1">
        <v>148</v>
      </c>
      <c r="K716" s="1">
        <v>208</v>
      </c>
      <c r="L716" s="1">
        <v>9249</v>
      </c>
      <c r="M716" s="1">
        <v>24946</v>
      </c>
      <c r="N716" s="1">
        <v>49600</v>
      </c>
      <c r="O716" s="1">
        <v>1675408</v>
      </c>
      <c r="P716" s="1">
        <v>428352</v>
      </c>
      <c r="Q716" s="1">
        <v>956905</v>
      </c>
      <c r="R716" s="1">
        <v>36651648</v>
      </c>
      <c r="S716" s="1">
        <v>49035</v>
      </c>
      <c r="T716" s="1">
        <v>49035</v>
      </c>
      <c r="U716" s="1">
        <v>41051</v>
      </c>
      <c r="V716" s="1">
        <v>0</v>
      </c>
      <c r="W716" s="1">
        <v>1</v>
      </c>
    </row>
    <row r="717">
      <c r="A717" s="1">
        <v>2019</v>
      </c>
      <c r="B717" s="1">
        <v>49</v>
      </c>
      <c r="C717" t="s">
        <v>37</v>
      </c>
      <c r="D717" s="1">
        <v>49</v>
      </c>
      <c r="E717" t="s">
        <v>219</v>
      </c>
      <c r="F717" s="1">
        <v>41</v>
      </c>
      <c r="G717" t="s">
        <v>3</v>
      </c>
      <c r="H717" s="1">
        <v>51</v>
      </c>
      <c r="I717" t="s">
        <v>6</v>
      </c>
      <c r="J717" s="1">
        <v>32</v>
      </c>
      <c r="K717" s="1">
        <v>46</v>
      </c>
      <c r="L717" s="1">
        <v>1465</v>
      </c>
      <c r="M717" s="1">
        <v>13088</v>
      </c>
      <c r="N717" s="1">
        <v>29261</v>
      </c>
      <c r="O717" s="1">
        <v>777765</v>
      </c>
      <c r="P717" s="1">
        <v>187935</v>
      </c>
      <c r="Q717" s="1">
        <v>523843</v>
      </c>
      <c r="R717" s="1">
        <v>16094485</v>
      </c>
      <c r="S717" s="1">
        <v>49049</v>
      </c>
      <c r="T717" s="1">
        <v>49049</v>
      </c>
      <c r="U717" s="1">
        <v>41051</v>
      </c>
      <c r="V717" s="1">
        <v>0</v>
      </c>
      <c r="W717" s="1">
        <v>1</v>
      </c>
    </row>
    <row r="718">
      <c r="A718" s="1">
        <v>2019</v>
      </c>
      <c r="B718" s="1">
        <v>49</v>
      </c>
      <c r="C718" t="s">
        <v>37</v>
      </c>
      <c r="D718" s="1">
        <v>57</v>
      </c>
      <c r="E718" t="s">
        <v>220</v>
      </c>
      <c r="F718" s="1">
        <v>41</v>
      </c>
      <c r="G718" t="s">
        <v>3</v>
      </c>
      <c r="H718" s="1">
        <v>51</v>
      </c>
      <c r="I718" t="s">
        <v>6</v>
      </c>
      <c r="J718" s="1">
        <v>21</v>
      </c>
      <c r="K718" s="1">
        <v>39</v>
      </c>
      <c r="L718" s="1">
        <v>1282</v>
      </c>
      <c r="M718" s="1">
        <v>6478</v>
      </c>
      <c r="N718" s="1">
        <v>13521</v>
      </c>
      <c r="O718" s="1">
        <v>333672</v>
      </c>
      <c r="P718" s="1">
        <v>92829</v>
      </c>
      <c r="Q718" s="1">
        <v>213862</v>
      </c>
      <c r="R718" s="1">
        <v>6414821</v>
      </c>
      <c r="S718" s="1">
        <v>49057</v>
      </c>
      <c r="T718" s="1">
        <v>49057</v>
      </c>
      <c r="U718" s="1">
        <v>41051</v>
      </c>
      <c r="V718" s="1">
        <v>0</v>
      </c>
      <c r="W718" s="1">
        <v>1</v>
      </c>
    </row>
    <row r="719">
      <c r="A719" s="1">
        <v>2019</v>
      </c>
      <c r="B719" s="1">
        <v>50</v>
      </c>
      <c r="C719" t="s">
        <v>38</v>
      </c>
      <c r="D719" s="1">
        <v>7</v>
      </c>
      <c r="E719" t="s">
        <v>155</v>
      </c>
      <c r="F719" s="1">
        <v>41</v>
      </c>
      <c r="G719" t="s">
        <v>3</v>
      </c>
      <c r="H719" s="1">
        <v>51</v>
      </c>
      <c r="I719" t="s">
        <v>6</v>
      </c>
      <c r="J719" s="1">
        <v>41</v>
      </c>
      <c r="K719" s="1">
        <v>46</v>
      </c>
      <c r="L719" s="1">
        <v>2674</v>
      </c>
      <c r="M719" s="1">
        <v>4848</v>
      </c>
      <c r="N719" s="1">
        <v>7272</v>
      </c>
      <c r="O719" s="1">
        <v>304112</v>
      </c>
      <c r="P719" s="1">
        <v>72826</v>
      </c>
      <c r="Q719" s="1">
        <v>135228</v>
      </c>
      <c r="R719" s="1">
        <v>6549323</v>
      </c>
      <c r="S719" s="1">
        <v>50007</v>
      </c>
      <c r="T719" s="1">
        <v>50007</v>
      </c>
      <c r="U719" s="1">
        <v>41051</v>
      </c>
      <c r="V719" s="1">
        <v>0</v>
      </c>
      <c r="W719" s="1">
        <v>1</v>
      </c>
    </row>
    <row r="720">
      <c r="A720" s="1">
        <v>2019</v>
      </c>
      <c r="B720" s="1">
        <v>51</v>
      </c>
      <c r="C720" t="s">
        <v>39</v>
      </c>
      <c r="D720" s="1">
        <v>59</v>
      </c>
      <c r="E720" t="s">
        <v>156</v>
      </c>
      <c r="F720" s="1">
        <v>41</v>
      </c>
      <c r="G720" t="s">
        <v>3</v>
      </c>
      <c r="H720" s="1">
        <v>51</v>
      </c>
      <c r="I720" t="s">
        <v>6</v>
      </c>
      <c r="J720" s="1">
        <v>45</v>
      </c>
      <c r="K720" s="1">
        <v>63</v>
      </c>
      <c r="L720" s="1">
        <v>3464</v>
      </c>
      <c r="M720" s="1">
        <v>42569</v>
      </c>
      <c r="N720" s="1">
        <v>77547</v>
      </c>
      <c r="O720" s="1">
        <v>4256280</v>
      </c>
      <c r="P720" s="1">
        <v>466945</v>
      </c>
      <c r="Q720" s="1">
        <v>999984</v>
      </c>
      <c r="R720" s="1">
        <v>67040272</v>
      </c>
      <c r="S720" s="1">
        <v>51059</v>
      </c>
      <c r="T720" s="1">
        <v>51059</v>
      </c>
      <c r="U720" s="1">
        <v>41051</v>
      </c>
      <c r="V720" s="1">
        <v>0</v>
      </c>
      <c r="W720" s="1">
        <v>1</v>
      </c>
    </row>
    <row r="721">
      <c r="A721" s="1">
        <v>2019</v>
      </c>
      <c r="B721" s="1">
        <v>53</v>
      </c>
      <c r="C721" t="s">
        <v>40</v>
      </c>
      <c r="D721" s="1">
        <v>5</v>
      </c>
      <c r="E721" t="s">
        <v>124</v>
      </c>
      <c r="F721" s="1">
        <v>41</v>
      </c>
      <c r="G721" t="s">
        <v>3</v>
      </c>
      <c r="H721" s="1">
        <v>51</v>
      </c>
      <c r="I721" t="s">
        <v>6</v>
      </c>
      <c r="J721" s="1">
        <v>42</v>
      </c>
      <c r="K721" s="1">
        <v>65</v>
      </c>
      <c r="L721" s="1">
        <v>1962</v>
      </c>
      <c r="M721" s="1">
        <v>5077</v>
      </c>
      <c r="N721" s="1">
        <v>10179</v>
      </c>
      <c r="O721" s="1">
        <v>319509</v>
      </c>
      <c r="P721" s="1">
        <v>75200</v>
      </c>
      <c r="Q721" s="1">
        <v>169244</v>
      </c>
      <c r="R721" s="1">
        <v>6205596</v>
      </c>
      <c r="S721" s="1">
        <v>53005</v>
      </c>
      <c r="T721" s="1">
        <v>53005</v>
      </c>
      <c r="U721" s="1">
        <v>41051</v>
      </c>
      <c r="V721" s="1">
        <v>0</v>
      </c>
      <c r="W721" s="1">
        <v>1</v>
      </c>
    </row>
    <row r="722">
      <c r="A722" s="1">
        <v>2019</v>
      </c>
      <c r="B722" s="1">
        <v>53</v>
      </c>
      <c r="C722" t="s">
        <v>40</v>
      </c>
      <c r="D722" s="1">
        <v>9</v>
      </c>
      <c r="E722" t="s">
        <v>222</v>
      </c>
      <c r="F722" s="1">
        <v>41</v>
      </c>
      <c r="G722" t="s">
        <v>3</v>
      </c>
      <c r="H722" s="1">
        <v>51</v>
      </c>
      <c r="I722" t="s">
        <v>6</v>
      </c>
      <c r="J722" s="1">
        <v>22</v>
      </c>
      <c r="K722" s="1">
        <v>28</v>
      </c>
      <c r="L722" s="1">
        <v>1295</v>
      </c>
      <c r="M722" s="1">
        <v>1641</v>
      </c>
      <c r="N722" s="1">
        <v>2823</v>
      </c>
      <c r="O722" s="1">
        <v>101823</v>
      </c>
      <c r="P722" s="1">
        <v>31270</v>
      </c>
      <c r="Q722" s="1">
        <v>59340</v>
      </c>
      <c r="R722" s="1">
        <v>2109458</v>
      </c>
      <c r="S722" s="1">
        <v>53009</v>
      </c>
      <c r="T722" s="1">
        <v>53009</v>
      </c>
      <c r="U722" s="1">
        <v>41051</v>
      </c>
      <c r="V722" s="1">
        <v>0</v>
      </c>
      <c r="W722" s="1">
        <v>1</v>
      </c>
    </row>
    <row r="723">
      <c r="A723" s="1">
        <v>2019</v>
      </c>
      <c r="B723" s="1">
        <v>53</v>
      </c>
      <c r="C723" t="s">
        <v>40</v>
      </c>
      <c r="D723" s="1">
        <v>11</v>
      </c>
      <c r="E723" t="s">
        <v>112</v>
      </c>
      <c r="F723" s="1">
        <v>41</v>
      </c>
      <c r="G723" t="s">
        <v>3</v>
      </c>
      <c r="H723" s="1">
        <v>51</v>
      </c>
      <c r="I723" t="s">
        <v>6</v>
      </c>
      <c r="J723" s="1">
        <v>1774</v>
      </c>
      <c r="K723" s="1">
        <v>2808</v>
      </c>
      <c r="L723" s="1">
        <v>103561</v>
      </c>
      <c r="M723" s="1">
        <v>11235</v>
      </c>
      <c r="N723" s="1">
        <v>20608</v>
      </c>
      <c r="O723" s="1">
        <v>838348</v>
      </c>
      <c r="P723" s="1">
        <v>192554</v>
      </c>
      <c r="Q723" s="1">
        <v>411569</v>
      </c>
      <c r="R723" s="1">
        <v>17554508</v>
      </c>
      <c r="S723" s="1">
        <v>53011</v>
      </c>
      <c r="T723" s="1">
        <v>53011</v>
      </c>
      <c r="U723" s="1">
        <v>41051</v>
      </c>
      <c r="V723" s="1">
        <v>0</v>
      </c>
      <c r="W723" s="1">
        <v>1</v>
      </c>
    </row>
    <row r="724">
      <c r="A724" s="1">
        <v>2019</v>
      </c>
      <c r="B724" s="1">
        <v>53</v>
      </c>
      <c r="C724" t="s">
        <v>40</v>
      </c>
      <c r="D724" s="1">
        <v>15</v>
      </c>
      <c r="E724" t="s">
        <v>157</v>
      </c>
      <c r="F724" s="1">
        <v>41</v>
      </c>
      <c r="G724" t="s">
        <v>3</v>
      </c>
      <c r="H724" s="1">
        <v>51</v>
      </c>
      <c r="I724" t="s">
        <v>6</v>
      </c>
      <c r="J724" s="1">
        <v>97</v>
      </c>
      <c r="K724" s="1">
        <v>154</v>
      </c>
      <c r="L724" s="1">
        <v>4749</v>
      </c>
      <c r="M724" s="1">
        <v>2494</v>
      </c>
      <c r="N724" s="1">
        <v>4804</v>
      </c>
      <c r="O724" s="1">
        <v>136538</v>
      </c>
      <c r="P724" s="1">
        <v>40934</v>
      </c>
      <c r="Q724" s="1">
        <v>86701</v>
      </c>
      <c r="R724" s="1">
        <v>2771448</v>
      </c>
      <c r="S724" s="1">
        <v>53015</v>
      </c>
      <c r="T724" s="1">
        <v>53015</v>
      </c>
      <c r="U724" s="1">
        <v>41051</v>
      </c>
      <c r="V724" s="1">
        <v>0</v>
      </c>
      <c r="W724" s="1">
        <v>1</v>
      </c>
    </row>
    <row r="725">
      <c r="A725" s="1">
        <v>2019</v>
      </c>
      <c r="B725" s="1">
        <v>53</v>
      </c>
      <c r="C725" t="s">
        <v>40</v>
      </c>
      <c r="D725" s="1">
        <v>29</v>
      </c>
      <c r="E725" t="s">
        <v>159</v>
      </c>
      <c r="F725" s="1">
        <v>41</v>
      </c>
      <c r="G725" t="s">
        <v>3</v>
      </c>
      <c r="H725" s="1">
        <v>51</v>
      </c>
      <c r="I725" t="s">
        <v>6</v>
      </c>
      <c r="J725" s="1">
        <v>21</v>
      </c>
      <c r="K725" s="1">
        <v>35</v>
      </c>
      <c r="L725" s="1">
        <v>774</v>
      </c>
      <c r="M725" s="1">
        <v>3478</v>
      </c>
      <c r="N725" s="1">
        <v>6761</v>
      </c>
      <c r="O725" s="1">
        <v>204540</v>
      </c>
      <c r="P725" s="1">
        <v>36037</v>
      </c>
      <c r="Q725" s="1">
        <v>71657</v>
      </c>
      <c r="R725" s="1">
        <v>2912026</v>
      </c>
      <c r="S725" s="1">
        <v>53029</v>
      </c>
      <c r="T725" s="1">
        <v>53029</v>
      </c>
      <c r="U725" s="1">
        <v>41051</v>
      </c>
      <c r="V725" s="1">
        <v>0</v>
      </c>
      <c r="W725" s="1">
        <v>1</v>
      </c>
    </row>
    <row r="726">
      <c r="A726" s="1">
        <v>2019</v>
      </c>
      <c r="B726" s="1">
        <v>53</v>
      </c>
      <c r="C726" t="s">
        <v>40</v>
      </c>
      <c r="D726" s="1">
        <v>33</v>
      </c>
      <c r="E726" t="s">
        <v>160</v>
      </c>
      <c r="F726" s="1">
        <v>41</v>
      </c>
      <c r="G726" t="s">
        <v>3</v>
      </c>
      <c r="H726" s="1">
        <v>51</v>
      </c>
      <c r="I726" t="s">
        <v>6</v>
      </c>
      <c r="J726" s="1">
        <v>848</v>
      </c>
      <c r="K726" s="1">
        <v>1125</v>
      </c>
      <c r="L726" s="1">
        <v>64214</v>
      </c>
      <c r="M726" s="1">
        <v>60592</v>
      </c>
      <c r="N726" s="1">
        <v>102371</v>
      </c>
      <c r="O726" s="1">
        <v>6378369</v>
      </c>
      <c r="P726" s="1">
        <v>954143</v>
      </c>
      <c r="Q726" s="1">
        <v>1859705</v>
      </c>
      <c r="R726" s="1">
        <v>138029728</v>
      </c>
      <c r="S726" s="1">
        <v>53033</v>
      </c>
      <c r="T726" s="1">
        <v>53033</v>
      </c>
      <c r="U726" s="1">
        <v>41051</v>
      </c>
      <c r="V726" s="1">
        <v>0</v>
      </c>
      <c r="W726" s="1">
        <v>1</v>
      </c>
    </row>
    <row r="727">
      <c r="A727" s="1">
        <v>2019</v>
      </c>
      <c r="B727" s="1">
        <v>53</v>
      </c>
      <c r="C727" t="s">
        <v>40</v>
      </c>
      <c r="D727" s="1">
        <v>35</v>
      </c>
      <c r="E727" t="s">
        <v>161</v>
      </c>
      <c r="F727" s="1">
        <v>41</v>
      </c>
      <c r="G727" t="s">
        <v>3</v>
      </c>
      <c r="H727" s="1">
        <v>51</v>
      </c>
      <c r="I727" t="s">
        <v>6</v>
      </c>
      <c r="J727" s="1">
        <v>49</v>
      </c>
      <c r="K727" s="1">
        <v>78</v>
      </c>
      <c r="L727" s="1">
        <v>3198</v>
      </c>
      <c r="M727" s="1">
        <v>8386</v>
      </c>
      <c r="N727" s="1">
        <v>15802</v>
      </c>
      <c r="O727" s="1">
        <v>543740</v>
      </c>
      <c r="P727" s="1">
        <v>110056</v>
      </c>
      <c r="Q727" s="1">
        <v>223902</v>
      </c>
      <c r="R727" s="1">
        <v>9829362</v>
      </c>
      <c r="S727" s="1">
        <v>53035</v>
      </c>
      <c r="T727" s="1">
        <v>53035</v>
      </c>
      <c r="U727" s="1">
        <v>41051</v>
      </c>
      <c r="V727" s="1">
        <v>0</v>
      </c>
      <c r="W727" s="1">
        <v>1</v>
      </c>
    </row>
    <row r="728">
      <c r="A728" s="1">
        <v>2019</v>
      </c>
      <c r="B728" s="1">
        <v>53</v>
      </c>
      <c r="C728" t="s">
        <v>40</v>
      </c>
      <c r="D728" s="1">
        <v>39</v>
      </c>
      <c r="E728" t="s">
        <v>162</v>
      </c>
      <c r="F728" s="1">
        <v>41</v>
      </c>
      <c r="G728" t="s">
        <v>3</v>
      </c>
      <c r="H728" s="1">
        <v>51</v>
      </c>
      <c r="I728" t="s">
        <v>6</v>
      </c>
      <c r="J728" s="1">
        <v>39</v>
      </c>
      <c r="K728" s="1">
        <v>46</v>
      </c>
      <c r="L728" s="1">
        <v>1895</v>
      </c>
      <c r="M728" s="1">
        <v>590</v>
      </c>
      <c r="N728" s="1">
        <v>1041</v>
      </c>
      <c r="O728" s="1">
        <v>31235</v>
      </c>
      <c r="P728" s="1">
        <v>8629</v>
      </c>
      <c r="Q728" s="1">
        <v>17998</v>
      </c>
      <c r="R728" s="1">
        <v>635420</v>
      </c>
      <c r="S728" s="1">
        <v>53039</v>
      </c>
      <c r="T728" s="1">
        <v>53039</v>
      </c>
      <c r="U728" s="1">
        <v>41051</v>
      </c>
      <c r="V728" s="1">
        <v>0</v>
      </c>
      <c r="W728" s="1">
        <v>1</v>
      </c>
    </row>
    <row r="729">
      <c r="A729" s="1">
        <v>2019</v>
      </c>
      <c r="B729" s="1">
        <v>53</v>
      </c>
      <c r="C729" t="s">
        <v>40</v>
      </c>
      <c r="D729" s="1">
        <v>41</v>
      </c>
      <c r="E729" t="s">
        <v>163</v>
      </c>
      <c r="F729" s="1">
        <v>41</v>
      </c>
      <c r="G729" t="s">
        <v>3</v>
      </c>
      <c r="H729" s="1">
        <v>51</v>
      </c>
      <c r="I729" t="s">
        <v>6</v>
      </c>
      <c r="J729" s="1">
        <v>23</v>
      </c>
      <c r="K729" s="1">
        <v>35</v>
      </c>
      <c r="L729" s="1">
        <v>872</v>
      </c>
      <c r="M729" s="1">
        <v>1898</v>
      </c>
      <c r="N729" s="1">
        <v>3476</v>
      </c>
      <c r="O729" s="1">
        <v>88369</v>
      </c>
      <c r="P729" s="1">
        <v>29764</v>
      </c>
      <c r="Q729" s="1">
        <v>63076</v>
      </c>
      <c r="R729" s="1">
        <v>1859930</v>
      </c>
      <c r="S729" s="1">
        <v>53041</v>
      </c>
      <c r="T729" s="1">
        <v>53041</v>
      </c>
      <c r="U729" s="1">
        <v>41051</v>
      </c>
      <c r="V729" s="1">
        <v>0</v>
      </c>
      <c r="W729" s="1">
        <v>1</v>
      </c>
    </row>
    <row r="730">
      <c r="A730" s="1">
        <v>2019</v>
      </c>
      <c r="B730" s="1">
        <v>53</v>
      </c>
      <c r="C730" t="s">
        <v>40</v>
      </c>
      <c r="D730" s="1">
        <v>53</v>
      </c>
      <c r="E730" t="s">
        <v>165</v>
      </c>
      <c r="F730" s="1">
        <v>41</v>
      </c>
      <c r="G730" t="s">
        <v>3</v>
      </c>
      <c r="H730" s="1">
        <v>51</v>
      </c>
      <c r="I730" t="s">
        <v>6</v>
      </c>
      <c r="J730" s="1">
        <v>189</v>
      </c>
      <c r="K730" s="1">
        <v>289</v>
      </c>
      <c r="L730" s="1">
        <v>11949</v>
      </c>
      <c r="M730" s="1">
        <v>26041</v>
      </c>
      <c r="N730" s="1">
        <v>49675</v>
      </c>
      <c r="O730" s="1">
        <v>1539939</v>
      </c>
      <c r="P730" s="1">
        <v>351243</v>
      </c>
      <c r="Q730" s="1">
        <v>731385</v>
      </c>
      <c r="R730" s="1">
        <v>28246008</v>
      </c>
      <c r="S730" s="1">
        <v>53053</v>
      </c>
      <c r="T730" s="1">
        <v>53053</v>
      </c>
      <c r="U730" s="1">
        <v>41051</v>
      </c>
      <c r="V730" s="1">
        <v>0</v>
      </c>
      <c r="W730" s="1">
        <v>1</v>
      </c>
    </row>
    <row r="731">
      <c r="A731" s="1">
        <v>2019</v>
      </c>
      <c r="B731" s="1">
        <v>53</v>
      </c>
      <c r="C731" t="s">
        <v>40</v>
      </c>
      <c r="D731" s="1">
        <v>59</v>
      </c>
      <c r="E731" t="s">
        <v>166</v>
      </c>
      <c r="F731" s="1">
        <v>41</v>
      </c>
      <c r="G731" t="s">
        <v>3</v>
      </c>
      <c r="H731" s="1">
        <v>51</v>
      </c>
      <c r="I731" t="s">
        <v>6</v>
      </c>
      <c r="J731" s="1">
        <v>27</v>
      </c>
      <c r="K731" s="1">
        <v>31</v>
      </c>
      <c r="L731" s="1">
        <v>1357</v>
      </c>
      <c r="M731" s="1">
        <v>326</v>
      </c>
      <c r="N731" s="1">
        <v>566</v>
      </c>
      <c r="O731" s="1">
        <v>20183</v>
      </c>
      <c r="P731" s="1">
        <v>4256</v>
      </c>
      <c r="Q731" s="1">
        <v>8694</v>
      </c>
      <c r="R731" s="1">
        <v>360901</v>
      </c>
      <c r="S731" s="1">
        <v>53059</v>
      </c>
      <c r="T731" s="1">
        <v>53059</v>
      </c>
      <c r="U731" s="1">
        <v>41051</v>
      </c>
      <c r="V731" s="1">
        <v>0</v>
      </c>
      <c r="W731" s="1">
        <v>1</v>
      </c>
    </row>
    <row r="732">
      <c r="A732" s="1">
        <v>2019</v>
      </c>
      <c r="B732" s="1">
        <v>53</v>
      </c>
      <c r="C732" t="s">
        <v>40</v>
      </c>
      <c r="D732" s="1">
        <v>61</v>
      </c>
      <c r="E732" t="s">
        <v>167</v>
      </c>
      <c r="F732" s="1">
        <v>41</v>
      </c>
      <c r="G732" t="s">
        <v>3</v>
      </c>
      <c r="H732" s="1">
        <v>51</v>
      </c>
      <c r="I732" t="s">
        <v>6</v>
      </c>
      <c r="J732" s="1">
        <v>112</v>
      </c>
      <c r="K732" s="1">
        <v>168</v>
      </c>
      <c r="L732" s="1">
        <v>5526</v>
      </c>
      <c r="M732" s="1">
        <v>20772</v>
      </c>
      <c r="N732" s="1">
        <v>36993</v>
      </c>
      <c r="O732" s="1">
        <v>1504871</v>
      </c>
      <c r="P732" s="1">
        <v>325792</v>
      </c>
      <c r="Q732" s="1">
        <v>680759</v>
      </c>
      <c r="R732" s="1">
        <v>30635210</v>
      </c>
      <c r="S732" s="1">
        <v>53061</v>
      </c>
      <c r="T732" s="1">
        <v>53061</v>
      </c>
      <c r="U732" s="1">
        <v>41051</v>
      </c>
      <c r="V732" s="1">
        <v>0</v>
      </c>
      <c r="W732" s="1">
        <v>1</v>
      </c>
    </row>
    <row r="733">
      <c r="A733" s="1">
        <v>2019</v>
      </c>
      <c r="B733" s="1">
        <v>53</v>
      </c>
      <c r="C733" t="s">
        <v>40</v>
      </c>
      <c r="D733" s="1">
        <v>63</v>
      </c>
      <c r="E733" t="s">
        <v>168</v>
      </c>
      <c r="F733" s="1">
        <v>41</v>
      </c>
      <c r="G733" t="s">
        <v>3</v>
      </c>
      <c r="H733" s="1">
        <v>51</v>
      </c>
      <c r="I733" t="s">
        <v>6</v>
      </c>
      <c r="J733" s="1">
        <v>106</v>
      </c>
      <c r="K733" s="1">
        <v>141</v>
      </c>
      <c r="L733" s="1">
        <v>4075</v>
      </c>
      <c r="M733" s="1">
        <v>9874</v>
      </c>
      <c r="N733" s="1">
        <v>17794</v>
      </c>
      <c r="O733" s="1">
        <v>552307</v>
      </c>
      <c r="P733" s="1">
        <v>201711</v>
      </c>
      <c r="Q733" s="1">
        <v>414449</v>
      </c>
      <c r="R733" s="1">
        <v>14872184</v>
      </c>
      <c r="S733" s="1">
        <v>53063</v>
      </c>
      <c r="T733" s="1">
        <v>53063</v>
      </c>
      <c r="U733" s="1">
        <v>41051</v>
      </c>
      <c r="V733" s="1">
        <v>0</v>
      </c>
      <c r="W733" s="1">
        <v>1</v>
      </c>
    </row>
    <row r="734">
      <c r="A734" s="1">
        <v>2019</v>
      </c>
      <c r="B734" s="1">
        <v>53</v>
      </c>
      <c r="C734" t="s">
        <v>40</v>
      </c>
      <c r="D734" s="1">
        <v>67</v>
      </c>
      <c r="E734" t="s">
        <v>169</v>
      </c>
      <c r="F734" s="1">
        <v>41</v>
      </c>
      <c r="G734" t="s">
        <v>3</v>
      </c>
      <c r="H734" s="1">
        <v>51</v>
      </c>
      <c r="I734" t="s">
        <v>6</v>
      </c>
      <c r="J734" s="1">
        <v>128</v>
      </c>
      <c r="K734" s="1">
        <v>173</v>
      </c>
      <c r="L734" s="1">
        <v>6622</v>
      </c>
      <c r="M734" s="1">
        <v>9262</v>
      </c>
      <c r="N734" s="1">
        <v>17496</v>
      </c>
      <c r="O734" s="1">
        <v>541399</v>
      </c>
      <c r="P734" s="1">
        <v>117733</v>
      </c>
      <c r="Q734" s="1">
        <v>238569</v>
      </c>
      <c r="R734" s="1">
        <v>9212665</v>
      </c>
      <c r="S734" s="1">
        <v>53067</v>
      </c>
      <c r="T734" s="1">
        <v>53067</v>
      </c>
      <c r="U734" s="1">
        <v>41051</v>
      </c>
      <c r="V734" s="1">
        <v>0</v>
      </c>
      <c r="W734" s="1">
        <v>1</v>
      </c>
    </row>
    <row r="735">
      <c r="A735" s="1">
        <v>2019</v>
      </c>
      <c r="B735" s="1">
        <v>53</v>
      </c>
      <c r="C735" t="s">
        <v>40</v>
      </c>
      <c r="D735" s="1">
        <v>71</v>
      </c>
      <c r="E735" t="s">
        <v>170</v>
      </c>
      <c r="F735" s="1">
        <v>41</v>
      </c>
      <c r="G735" t="s">
        <v>3</v>
      </c>
      <c r="H735" s="1">
        <v>51</v>
      </c>
      <c r="I735" t="s">
        <v>6</v>
      </c>
      <c r="J735" s="1">
        <v>26</v>
      </c>
      <c r="K735" s="1">
        <v>32</v>
      </c>
      <c r="L735" s="1">
        <v>953</v>
      </c>
      <c r="M735" s="1">
        <v>1406</v>
      </c>
      <c r="N735" s="1">
        <v>2505</v>
      </c>
      <c r="O735" s="1">
        <v>75465</v>
      </c>
      <c r="P735" s="1">
        <v>22027</v>
      </c>
      <c r="Q735" s="1">
        <v>47014</v>
      </c>
      <c r="R735" s="1">
        <v>1904896</v>
      </c>
      <c r="S735" s="1">
        <v>53071</v>
      </c>
      <c r="T735" s="1">
        <v>53071</v>
      </c>
      <c r="U735" s="1">
        <v>41051</v>
      </c>
      <c r="V735" s="1">
        <v>0</v>
      </c>
      <c r="W735" s="1">
        <v>1</v>
      </c>
    </row>
    <row r="736">
      <c r="A736" s="1">
        <v>2019</v>
      </c>
      <c r="B736" s="1">
        <v>53</v>
      </c>
      <c r="C736" t="s">
        <v>40</v>
      </c>
      <c r="D736" s="1">
        <v>73</v>
      </c>
      <c r="E736" t="s">
        <v>171</v>
      </c>
      <c r="F736" s="1">
        <v>41</v>
      </c>
      <c r="G736" t="s">
        <v>3</v>
      </c>
      <c r="H736" s="1">
        <v>51</v>
      </c>
      <c r="I736" t="s">
        <v>6</v>
      </c>
      <c r="J736" s="1">
        <v>88</v>
      </c>
      <c r="K736" s="1">
        <v>103</v>
      </c>
      <c r="L736" s="1">
        <v>3331</v>
      </c>
      <c r="M736" s="1">
        <v>4835</v>
      </c>
      <c r="N736" s="1">
        <v>7556</v>
      </c>
      <c r="O736" s="1">
        <v>256354</v>
      </c>
      <c r="P736" s="1">
        <v>88621</v>
      </c>
      <c r="Q736" s="1">
        <v>175447</v>
      </c>
      <c r="R736" s="1">
        <v>6988301</v>
      </c>
      <c r="S736" s="1">
        <v>53073</v>
      </c>
      <c r="T736" s="1">
        <v>53073</v>
      </c>
      <c r="U736" s="1">
        <v>41051</v>
      </c>
      <c r="V736" s="1">
        <v>0</v>
      </c>
      <c r="W736" s="1">
        <v>1</v>
      </c>
    </row>
    <row r="737">
      <c r="A737" s="1">
        <v>2019</v>
      </c>
      <c r="B737" s="1">
        <v>53</v>
      </c>
      <c r="C737" t="s">
        <v>40</v>
      </c>
      <c r="D737" s="1">
        <v>75</v>
      </c>
      <c r="E737" t="s">
        <v>228</v>
      </c>
      <c r="F737" s="1">
        <v>41</v>
      </c>
      <c r="G737" t="s">
        <v>3</v>
      </c>
      <c r="H737" s="1">
        <v>51</v>
      </c>
      <c r="I737" t="s">
        <v>6</v>
      </c>
      <c r="J737" s="1">
        <v>22</v>
      </c>
      <c r="K737" s="1">
        <v>25</v>
      </c>
      <c r="L737" s="1">
        <v>936</v>
      </c>
      <c r="M737" s="1">
        <v>1928</v>
      </c>
      <c r="N737" s="1">
        <v>3006</v>
      </c>
      <c r="O737" s="1">
        <v>88918</v>
      </c>
      <c r="P737" s="1">
        <v>14752</v>
      </c>
      <c r="Q737" s="1">
        <v>28688</v>
      </c>
      <c r="R737" s="1">
        <v>1111781</v>
      </c>
      <c r="S737" s="1">
        <v>53075</v>
      </c>
      <c r="T737" s="1">
        <v>53075</v>
      </c>
      <c r="U737" s="1">
        <v>41051</v>
      </c>
      <c r="V737" s="1">
        <v>0</v>
      </c>
      <c r="W737" s="1">
        <v>1</v>
      </c>
    </row>
    <row r="738">
      <c r="A738" s="1">
        <v>2019</v>
      </c>
      <c r="B738" s="1">
        <v>53</v>
      </c>
      <c r="C738" t="s">
        <v>40</v>
      </c>
      <c r="D738" s="1">
        <v>77</v>
      </c>
      <c r="E738" t="s">
        <v>172</v>
      </c>
      <c r="F738" s="1">
        <v>41</v>
      </c>
      <c r="G738" t="s">
        <v>3</v>
      </c>
      <c r="H738" s="1">
        <v>51</v>
      </c>
      <c r="I738" t="s">
        <v>6</v>
      </c>
      <c r="J738" s="1">
        <v>26</v>
      </c>
      <c r="K738" s="1">
        <v>40</v>
      </c>
      <c r="L738" s="1">
        <v>926</v>
      </c>
      <c r="M738" s="1">
        <v>3449</v>
      </c>
      <c r="N738" s="1">
        <v>6540</v>
      </c>
      <c r="O738" s="1">
        <v>161418</v>
      </c>
      <c r="P738" s="1">
        <v>91908</v>
      </c>
      <c r="Q738" s="1">
        <v>213808</v>
      </c>
      <c r="R738" s="1">
        <v>5701463</v>
      </c>
      <c r="S738" s="1">
        <v>53077</v>
      </c>
      <c r="T738" s="1">
        <v>53077</v>
      </c>
      <c r="U738" s="1">
        <v>41051</v>
      </c>
      <c r="V738" s="1">
        <v>0</v>
      </c>
      <c r="W738" s="1">
        <v>1</v>
      </c>
    </row>
    <row r="739">
      <c r="A739" s="1">
        <v>2019</v>
      </c>
      <c r="B739" s="1">
        <v>55</v>
      </c>
      <c r="C739" t="s">
        <v>41</v>
      </c>
      <c r="D739" s="1">
        <v>25</v>
      </c>
      <c r="E739" t="s">
        <v>173</v>
      </c>
      <c r="F739" s="1">
        <v>41</v>
      </c>
      <c r="G739" t="s">
        <v>3</v>
      </c>
      <c r="H739" s="1">
        <v>51</v>
      </c>
      <c r="I739" t="s">
        <v>6</v>
      </c>
      <c r="J739" s="1">
        <v>65</v>
      </c>
      <c r="K739" s="1">
        <v>92</v>
      </c>
      <c r="L739" s="1">
        <v>4183</v>
      </c>
      <c r="M739" s="1">
        <v>13571</v>
      </c>
      <c r="N739" s="1">
        <v>20917</v>
      </c>
      <c r="O739" s="1">
        <v>898105</v>
      </c>
      <c r="P739" s="1">
        <v>235113</v>
      </c>
      <c r="Q739" s="1">
        <v>454904</v>
      </c>
      <c r="R739" s="1">
        <v>22352324</v>
      </c>
      <c r="S739" s="1">
        <v>55025</v>
      </c>
      <c r="T739" s="1">
        <v>55025</v>
      </c>
      <c r="U739" s="1">
        <v>41051</v>
      </c>
      <c r="V739" s="1">
        <v>0</v>
      </c>
      <c r="W739" s="1">
        <v>1</v>
      </c>
    </row>
    <row r="740">
      <c r="A740" s="1">
        <v>2019</v>
      </c>
      <c r="B740" s="1">
        <v>55</v>
      </c>
      <c r="C740" t="s">
        <v>41</v>
      </c>
      <c r="D740" s="1">
        <v>79</v>
      </c>
      <c r="E740" t="s">
        <v>174</v>
      </c>
      <c r="F740" s="1">
        <v>41</v>
      </c>
      <c r="G740" t="s">
        <v>3</v>
      </c>
      <c r="H740" s="1">
        <v>51</v>
      </c>
      <c r="I740" t="s">
        <v>6</v>
      </c>
      <c r="J740" s="1">
        <v>54</v>
      </c>
      <c r="K740" s="1">
        <v>69</v>
      </c>
      <c r="L740" s="1">
        <v>4262</v>
      </c>
      <c r="M740" s="1">
        <v>19036</v>
      </c>
      <c r="N740" s="1">
        <v>32390</v>
      </c>
      <c r="O740" s="1">
        <v>1248128</v>
      </c>
      <c r="P740" s="1">
        <v>367618</v>
      </c>
      <c r="Q740" s="1">
        <v>727853</v>
      </c>
      <c r="R740" s="1">
        <v>24570504</v>
      </c>
      <c r="S740" s="1">
        <v>55079</v>
      </c>
      <c r="T740" s="1">
        <v>55079</v>
      </c>
      <c r="U740" s="1">
        <v>41051</v>
      </c>
      <c r="V740" s="1">
        <v>0</v>
      </c>
      <c r="W740" s="1">
        <v>1</v>
      </c>
    </row>
    <row r="741">
      <c r="A741" s="1">
        <v>2020</v>
      </c>
      <c r="B741" s="1">
        <v>2</v>
      </c>
      <c r="C741" t="s">
        <v>9</v>
      </c>
      <c r="D741" s="1">
        <v>20</v>
      </c>
      <c r="E741" t="s">
        <v>52</v>
      </c>
      <c r="F741" s="1">
        <v>41</v>
      </c>
      <c r="G741" t="s">
        <v>3</v>
      </c>
      <c r="H741" s="1">
        <v>51</v>
      </c>
      <c r="I741" t="s">
        <v>6</v>
      </c>
      <c r="J741" s="1">
        <v>60</v>
      </c>
      <c r="K741" s="1">
        <v>88</v>
      </c>
      <c r="L741" s="1">
        <v>3407</v>
      </c>
      <c r="M741" s="1">
        <v>9602</v>
      </c>
      <c r="N741" s="1">
        <v>19635</v>
      </c>
      <c r="O741" s="1">
        <v>682666</v>
      </c>
      <c r="P741" s="1">
        <v>119058</v>
      </c>
      <c r="Q741" s="1">
        <v>247105</v>
      </c>
      <c r="R741" s="1">
        <v>11253753</v>
      </c>
      <c r="S741" s="1">
        <v>2020</v>
      </c>
      <c r="T741" s="1">
        <v>2020</v>
      </c>
      <c r="U741" s="1">
        <v>41051</v>
      </c>
      <c r="V741" s="1">
        <v>0</v>
      </c>
      <c r="W741" s="1">
        <v>1</v>
      </c>
    </row>
    <row r="742">
      <c r="A742" s="1">
        <v>2020</v>
      </c>
      <c r="B742" s="1">
        <v>4</v>
      </c>
      <c r="C742" t="s">
        <v>10</v>
      </c>
      <c r="D742" s="1">
        <v>5</v>
      </c>
      <c r="E742" t="s">
        <v>175</v>
      </c>
      <c r="F742" s="1">
        <v>41</v>
      </c>
      <c r="G742" t="s">
        <v>3</v>
      </c>
      <c r="H742" s="1">
        <v>51</v>
      </c>
      <c r="I742" t="s">
        <v>6</v>
      </c>
      <c r="J742" s="1">
        <v>34</v>
      </c>
      <c r="K742" s="1">
        <v>42</v>
      </c>
      <c r="L742" s="1">
        <v>1439</v>
      </c>
      <c r="M742" s="1">
        <v>5357</v>
      </c>
      <c r="N742" s="1">
        <v>9000</v>
      </c>
      <c r="O742" s="1">
        <v>344741</v>
      </c>
      <c r="P742" s="1">
        <v>50516</v>
      </c>
      <c r="Q742" s="1">
        <v>104434</v>
      </c>
      <c r="R742" s="1">
        <v>3629722</v>
      </c>
      <c r="S742" s="1">
        <v>4005</v>
      </c>
      <c r="T742" s="1">
        <v>4005</v>
      </c>
      <c r="U742" s="1">
        <v>41051</v>
      </c>
      <c r="V742" s="1">
        <v>0</v>
      </c>
      <c r="W742" s="1">
        <v>1</v>
      </c>
    </row>
    <row r="743">
      <c r="A743" s="1">
        <v>2020</v>
      </c>
      <c r="B743" s="1">
        <v>4</v>
      </c>
      <c r="C743" t="s">
        <v>10</v>
      </c>
      <c r="D743" s="1">
        <v>13</v>
      </c>
      <c r="E743" t="s">
        <v>53</v>
      </c>
      <c r="F743" s="1">
        <v>41</v>
      </c>
      <c r="G743" t="s">
        <v>3</v>
      </c>
      <c r="H743" s="1">
        <v>51</v>
      </c>
      <c r="I743" t="s">
        <v>6</v>
      </c>
      <c r="J743" s="1">
        <v>353</v>
      </c>
      <c r="K743" s="1">
        <v>479</v>
      </c>
      <c r="L743" s="1">
        <v>18458</v>
      </c>
      <c r="M743" s="1">
        <v>74873</v>
      </c>
      <c r="N743" s="1">
        <v>139753</v>
      </c>
      <c r="O743" s="1">
        <v>5620525</v>
      </c>
      <c r="P743" s="1">
        <v>1632953</v>
      </c>
      <c r="Q743" s="1">
        <v>3488317</v>
      </c>
      <c r="R743" s="1">
        <v>139255920</v>
      </c>
      <c r="S743" s="1">
        <v>4013</v>
      </c>
      <c r="T743" s="1">
        <v>4013</v>
      </c>
      <c r="U743" s="1">
        <v>41051</v>
      </c>
      <c r="V743" s="1">
        <v>0</v>
      </c>
      <c r="W743" s="1">
        <v>1</v>
      </c>
    </row>
    <row r="744">
      <c r="A744" s="1">
        <v>2020</v>
      </c>
      <c r="B744" s="1">
        <v>4</v>
      </c>
      <c r="C744" t="s">
        <v>10</v>
      </c>
      <c r="D744" s="1">
        <v>15</v>
      </c>
      <c r="E744" t="s">
        <v>224</v>
      </c>
      <c r="F744" s="1">
        <v>41</v>
      </c>
      <c r="G744" t="s">
        <v>3</v>
      </c>
      <c r="H744" s="1">
        <v>51</v>
      </c>
      <c r="I744" t="s">
        <v>6</v>
      </c>
      <c r="J744" s="1">
        <v>21</v>
      </c>
      <c r="K744" s="1">
        <v>32</v>
      </c>
      <c r="L744" s="1">
        <v>627</v>
      </c>
      <c r="M744" s="1">
        <v>5219</v>
      </c>
      <c r="N744" s="1">
        <v>9594</v>
      </c>
      <c r="O744" s="1">
        <v>290939</v>
      </c>
      <c r="P744" s="1">
        <v>72456</v>
      </c>
      <c r="Q744" s="1">
        <v>144969</v>
      </c>
      <c r="R744" s="1">
        <v>3839493</v>
      </c>
      <c r="S744" s="1">
        <v>4015</v>
      </c>
      <c r="T744" s="1">
        <v>4015</v>
      </c>
      <c r="U744" s="1">
        <v>41051</v>
      </c>
      <c r="V744" s="1">
        <v>0</v>
      </c>
      <c r="W744" s="1">
        <v>1</v>
      </c>
    </row>
    <row r="745">
      <c r="A745" s="1">
        <v>2020</v>
      </c>
      <c r="B745" s="1">
        <v>4</v>
      </c>
      <c r="C745" t="s">
        <v>10</v>
      </c>
      <c r="D745" s="1">
        <v>19</v>
      </c>
      <c r="E745" t="s">
        <v>54</v>
      </c>
      <c r="F745" s="1">
        <v>41</v>
      </c>
      <c r="G745" t="s">
        <v>3</v>
      </c>
      <c r="H745" s="1">
        <v>51</v>
      </c>
      <c r="I745" t="s">
        <v>6</v>
      </c>
      <c r="J745" s="1">
        <v>93</v>
      </c>
      <c r="K745" s="1">
        <v>120</v>
      </c>
      <c r="L745" s="1">
        <v>6115</v>
      </c>
      <c r="M745" s="1">
        <v>19052</v>
      </c>
      <c r="N745" s="1">
        <v>34430</v>
      </c>
      <c r="O745" s="1">
        <v>1217461</v>
      </c>
      <c r="P745" s="1">
        <v>392483</v>
      </c>
      <c r="Q745" s="1">
        <v>800801</v>
      </c>
      <c r="R745" s="1">
        <v>27723308</v>
      </c>
      <c r="S745" s="1">
        <v>4019</v>
      </c>
      <c r="T745" s="1">
        <v>4019</v>
      </c>
      <c r="U745" s="1">
        <v>41051</v>
      </c>
      <c r="V745" s="1">
        <v>0</v>
      </c>
      <c r="W745" s="1">
        <v>1</v>
      </c>
    </row>
    <row r="746">
      <c r="A746" s="1">
        <v>2020</v>
      </c>
      <c r="B746" s="1">
        <v>6</v>
      </c>
      <c r="C746" t="s">
        <v>11</v>
      </c>
      <c r="D746" s="1">
        <v>1</v>
      </c>
      <c r="E746" t="s">
        <v>56</v>
      </c>
      <c r="F746" s="1">
        <v>41</v>
      </c>
      <c r="G746" t="s">
        <v>3</v>
      </c>
      <c r="H746" s="1">
        <v>51</v>
      </c>
      <c r="I746" t="s">
        <v>6</v>
      </c>
      <c r="J746" s="1">
        <v>474</v>
      </c>
      <c r="K746" s="1">
        <v>702</v>
      </c>
      <c r="L746" s="1">
        <v>57313</v>
      </c>
      <c r="M746" s="1">
        <v>55882</v>
      </c>
      <c r="N746" s="1">
        <v>97423</v>
      </c>
      <c r="O746" s="1">
        <v>6337943</v>
      </c>
      <c r="P746" s="1">
        <v>680302</v>
      </c>
      <c r="Q746" s="1">
        <v>1397614</v>
      </c>
      <c r="R746" s="1">
        <v>87114960</v>
      </c>
      <c r="S746" s="1">
        <v>6001</v>
      </c>
      <c r="T746" s="1">
        <v>6001</v>
      </c>
      <c r="U746" s="1">
        <v>41051</v>
      </c>
      <c r="V746" s="1">
        <v>0</v>
      </c>
      <c r="W746" s="1">
        <v>1</v>
      </c>
    </row>
    <row r="747">
      <c r="A747" s="1">
        <v>2020</v>
      </c>
      <c r="B747" s="1">
        <v>6</v>
      </c>
      <c r="C747" t="s">
        <v>11</v>
      </c>
      <c r="D747" s="1">
        <v>7</v>
      </c>
      <c r="E747" t="s">
        <v>177</v>
      </c>
      <c r="F747" s="1">
        <v>41</v>
      </c>
      <c r="G747" t="s">
        <v>3</v>
      </c>
      <c r="H747" s="1">
        <v>51</v>
      </c>
      <c r="I747" t="s">
        <v>6</v>
      </c>
      <c r="J747" s="1">
        <v>41</v>
      </c>
      <c r="K747" s="1">
        <v>58</v>
      </c>
      <c r="L747" s="1">
        <v>1834</v>
      </c>
      <c r="M747" s="1">
        <v>5748</v>
      </c>
      <c r="N747" s="1">
        <v>10207</v>
      </c>
      <c r="O747" s="1">
        <v>288581</v>
      </c>
      <c r="P747" s="1">
        <v>73838</v>
      </c>
      <c r="Q747" s="1">
        <v>152123</v>
      </c>
      <c r="R747" s="1">
        <v>5078486</v>
      </c>
      <c r="S747" s="1">
        <v>6007</v>
      </c>
      <c r="T747" s="1">
        <v>6007</v>
      </c>
      <c r="U747" s="1">
        <v>41051</v>
      </c>
      <c r="V747" s="1">
        <v>0</v>
      </c>
      <c r="W747" s="1">
        <v>1</v>
      </c>
    </row>
    <row r="748">
      <c r="A748" s="1">
        <v>2020</v>
      </c>
      <c r="B748" s="1">
        <v>6</v>
      </c>
      <c r="C748" t="s">
        <v>11</v>
      </c>
      <c r="D748" s="1">
        <v>13</v>
      </c>
      <c r="E748" t="s">
        <v>57</v>
      </c>
      <c r="F748" s="1">
        <v>41</v>
      </c>
      <c r="G748" t="s">
        <v>3</v>
      </c>
      <c r="H748" s="1">
        <v>51</v>
      </c>
      <c r="I748" t="s">
        <v>6</v>
      </c>
      <c r="J748" s="1">
        <v>170</v>
      </c>
      <c r="K748" s="1">
        <v>261</v>
      </c>
      <c r="L748" s="1">
        <v>17971</v>
      </c>
      <c r="M748" s="1">
        <v>30685</v>
      </c>
      <c r="N748" s="1">
        <v>56441</v>
      </c>
      <c r="O748" s="1">
        <v>3554622</v>
      </c>
      <c r="P748" s="1">
        <v>463556</v>
      </c>
      <c r="Q748" s="1">
        <v>1001196</v>
      </c>
      <c r="R748" s="1">
        <v>62565080</v>
      </c>
      <c r="S748" s="1">
        <v>6013</v>
      </c>
      <c r="T748" s="1">
        <v>6013</v>
      </c>
      <c r="U748" s="1">
        <v>41051</v>
      </c>
      <c r="V748" s="1">
        <v>0</v>
      </c>
      <c r="W748" s="1">
        <v>1</v>
      </c>
    </row>
    <row r="749">
      <c r="A749" s="1">
        <v>2020</v>
      </c>
      <c r="B749" s="1">
        <v>6</v>
      </c>
      <c r="C749" t="s">
        <v>11</v>
      </c>
      <c r="D749" s="1">
        <v>19</v>
      </c>
      <c r="E749" t="s">
        <v>58</v>
      </c>
      <c r="F749" s="1">
        <v>41</v>
      </c>
      <c r="G749" t="s">
        <v>3</v>
      </c>
      <c r="H749" s="1">
        <v>51</v>
      </c>
      <c r="I749" t="s">
        <v>6</v>
      </c>
      <c r="J749" s="1">
        <v>60</v>
      </c>
      <c r="K749" s="1">
        <v>103</v>
      </c>
      <c r="L749" s="1">
        <v>2797</v>
      </c>
      <c r="M749" s="1">
        <v>12675</v>
      </c>
      <c r="N749" s="1">
        <v>25061</v>
      </c>
      <c r="O749" s="1">
        <v>793928</v>
      </c>
      <c r="P749" s="1">
        <v>339552</v>
      </c>
      <c r="Q749" s="1">
        <v>806943</v>
      </c>
      <c r="R749" s="1">
        <v>21876528</v>
      </c>
      <c r="S749" s="1">
        <v>6019</v>
      </c>
      <c r="T749" s="1">
        <v>6019</v>
      </c>
      <c r="U749" s="1">
        <v>41051</v>
      </c>
      <c r="V749" s="1">
        <v>0</v>
      </c>
      <c r="W749" s="1">
        <v>1</v>
      </c>
    </row>
    <row r="750">
      <c r="A750" s="1">
        <v>2020</v>
      </c>
      <c r="B750" s="1">
        <v>6</v>
      </c>
      <c r="C750" t="s">
        <v>11</v>
      </c>
      <c r="D750" s="1">
        <v>23</v>
      </c>
      <c r="E750" t="s">
        <v>59</v>
      </c>
      <c r="F750" s="1">
        <v>41</v>
      </c>
      <c r="G750" t="s">
        <v>3</v>
      </c>
      <c r="H750" s="1">
        <v>51</v>
      </c>
      <c r="I750" t="s">
        <v>6</v>
      </c>
      <c r="J750" s="1">
        <v>42</v>
      </c>
      <c r="K750" s="1">
        <v>50</v>
      </c>
      <c r="L750" s="1">
        <v>1245</v>
      </c>
      <c r="M750" s="1">
        <v>2991</v>
      </c>
      <c r="N750" s="1">
        <v>4807</v>
      </c>
      <c r="O750" s="1">
        <v>134349</v>
      </c>
      <c r="P750" s="1">
        <v>47992</v>
      </c>
      <c r="Q750" s="1">
        <v>93188</v>
      </c>
      <c r="R750" s="1">
        <v>2952685</v>
      </c>
      <c r="S750" s="1">
        <v>6023</v>
      </c>
      <c r="T750" s="1">
        <v>6023</v>
      </c>
      <c r="U750" s="1">
        <v>41051</v>
      </c>
      <c r="V750" s="1">
        <v>0</v>
      </c>
      <c r="W750" s="1">
        <v>1</v>
      </c>
    </row>
    <row r="751">
      <c r="A751" s="1">
        <v>2020</v>
      </c>
      <c r="B751" s="1">
        <v>6</v>
      </c>
      <c r="C751" t="s">
        <v>11</v>
      </c>
      <c r="D751" s="1">
        <v>29</v>
      </c>
      <c r="E751" t="s">
        <v>60</v>
      </c>
      <c r="F751" s="1">
        <v>41</v>
      </c>
      <c r="G751" t="s">
        <v>3</v>
      </c>
      <c r="H751" s="1">
        <v>51</v>
      </c>
      <c r="I751" t="s">
        <v>6</v>
      </c>
      <c r="J751" s="1">
        <v>30</v>
      </c>
      <c r="K751" s="1">
        <v>47</v>
      </c>
      <c r="L751" s="1">
        <v>1102</v>
      </c>
      <c r="M751" s="1">
        <v>12566</v>
      </c>
      <c r="N751" s="1">
        <v>26710</v>
      </c>
      <c r="O751" s="1">
        <v>780472</v>
      </c>
      <c r="P751" s="1">
        <v>288477</v>
      </c>
      <c r="Q751" s="1">
        <v>708868</v>
      </c>
      <c r="R751" s="1">
        <v>18003792</v>
      </c>
      <c r="S751" s="1">
        <v>6029</v>
      </c>
      <c r="T751" s="1">
        <v>6029</v>
      </c>
      <c r="U751" s="1">
        <v>41051</v>
      </c>
      <c r="V751" s="1">
        <v>0</v>
      </c>
      <c r="W751" s="1">
        <v>1</v>
      </c>
    </row>
    <row r="752">
      <c r="A752" s="1">
        <v>2020</v>
      </c>
      <c r="B752" s="1">
        <v>6</v>
      </c>
      <c r="C752" t="s">
        <v>11</v>
      </c>
      <c r="D752" s="1">
        <v>37</v>
      </c>
      <c r="E752" t="s">
        <v>61</v>
      </c>
      <c r="F752" s="1">
        <v>41</v>
      </c>
      <c r="G752" t="s">
        <v>3</v>
      </c>
      <c r="H752" s="1">
        <v>51</v>
      </c>
      <c r="I752" t="s">
        <v>6</v>
      </c>
      <c r="J752" s="1">
        <v>1055</v>
      </c>
      <c r="K752" s="1">
        <v>1452</v>
      </c>
      <c r="L752" s="1">
        <v>85559</v>
      </c>
      <c r="M752" s="1">
        <v>173918</v>
      </c>
      <c r="N752" s="1">
        <v>307509</v>
      </c>
      <c r="O752" s="1">
        <v>14622701</v>
      </c>
      <c r="P752" s="1">
        <v>3928784</v>
      </c>
      <c r="Q752" s="1">
        <v>7937829</v>
      </c>
      <c r="R752" s="1">
        <v>360508128</v>
      </c>
      <c r="S752" s="1">
        <v>6037</v>
      </c>
      <c r="T752" s="1">
        <v>6037</v>
      </c>
      <c r="U752" s="1">
        <v>41051</v>
      </c>
      <c r="V752" s="1">
        <v>0</v>
      </c>
      <c r="W752" s="1">
        <v>1</v>
      </c>
    </row>
    <row r="753">
      <c r="A753" s="1">
        <v>2020</v>
      </c>
      <c r="B753" s="1">
        <v>6</v>
      </c>
      <c r="C753" t="s">
        <v>11</v>
      </c>
      <c r="D753" s="1">
        <v>41</v>
      </c>
      <c r="E753" t="s">
        <v>62</v>
      </c>
      <c r="F753" s="1">
        <v>41</v>
      </c>
      <c r="G753" t="s">
        <v>3</v>
      </c>
      <c r="H753" s="1">
        <v>51</v>
      </c>
      <c r="I753" t="s">
        <v>6</v>
      </c>
      <c r="J753" s="1">
        <v>96</v>
      </c>
      <c r="K753" s="1">
        <v>150</v>
      </c>
      <c r="L753" s="1">
        <v>12225</v>
      </c>
      <c r="M753" s="1">
        <v>7998</v>
      </c>
      <c r="N753" s="1">
        <v>13442</v>
      </c>
      <c r="O753" s="1">
        <v>1406933</v>
      </c>
      <c r="P753" s="1">
        <v>110318</v>
      </c>
      <c r="Q753" s="1">
        <v>219857</v>
      </c>
      <c r="R753" s="1">
        <v>24425184</v>
      </c>
      <c r="S753" s="1">
        <v>6041</v>
      </c>
      <c r="T753" s="1">
        <v>6041</v>
      </c>
      <c r="U753" s="1">
        <v>41051</v>
      </c>
      <c r="V753" s="1">
        <v>0</v>
      </c>
      <c r="W753" s="1">
        <v>1</v>
      </c>
    </row>
    <row r="754">
      <c r="A754" s="1">
        <v>2020</v>
      </c>
      <c r="B754" s="1">
        <v>6</v>
      </c>
      <c r="C754" t="s">
        <v>11</v>
      </c>
      <c r="D754" s="1">
        <v>53</v>
      </c>
      <c r="E754" t="s">
        <v>63</v>
      </c>
      <c r="F754" s="1">
        <v>41</v>
      </c>
      <c r="G754" t="s">
        <v>3</v>
      </c>
      <c r="H754" s="1">
        <v>51</v>
      </c>
      <c r="I754" t="s">
        <v>6</v>
      </c>
      <c r="J754" s="1">
        <v>43</v>
      </c>
      <c r="K754" s="1">
        <v>65</v>
      </c>
      <c r="L754" s="1">
        <v>3003</v>
      </c>
      <c r="M754" s="1">
        <v>9549</v>
      </c>
      <c r="N754" s="1">
        <v>18192</v>
      </c>
      <c r="O754" s="1">
        <v>703964</v>
      </c>
      <c r="P754" s="1">
        <v>162376</v>
      </c>
      <c r="Q754" s="1">
        <v>372812</v>
      </c>
      <c r="R754" s="1">
        <v>13012503</v>
      </c>
      <c r="S754" s="1">
        <v>6053</v>
      </c>
      <c r="T754" s="1">
        <v>6053</v>
      </c>
      <c r="U754" s="1">
        <v>41051</v>
      </c>
      <c r="V754" s="1">
        <v>0</v>
      </c>
      <c r="W754" s="1">
        <v>1</v>
      </c>
    </row>
    <row r="755">
      <c r="A755" s="1">
        <v>2020</v>
      </c>
      <c r="B755" s="1">
        <v>6</v>
      </c>
      <c r="C755" t="s">
        <v>11</v>
      </c>
      <c r="D755" s="1">
        <v>55</v>
      </c>
      <c r="E755" t="s">
        <v>299</v>
      </c>
      <c r="F755" s="1">
        <v>41</v>
      </c>
      <c r="G755" t="s">
        <v>3</v>
      </c>
      <c r="H755" s="1">
        <v>51</v>
      </c>
      <c r="I755" t="s">
        <v>6</v>
      </c>
      <c r="J755" s="1">
        <v>25</v>
      </c>
      <c r="K755" s="1">
        <v>37</v>
      </c>
      <c r="L755" s="1">
        <v>2403</v>
      </c>
      <c r="M755" s="1">
        <v>3915</v>
      </c>
      <c r="N755" s="1">
        <v>6891</v>
      </c>
      <c r="O755" s="1">
        <v>333002</v>
      </c>
      <c r="P755" s="1">
        <v>56646</v>
      </c>
      <c r="Q755" s="1">
        <v>120968</v>
      </c>
      <c r="R755" s="1">
        <v>6219448</v>
      </c>
      <c r="S755" s="1">
        <v>6055</v>
      </c>
      <c r="T755" s="1">
        <v>6055</v>
      </c>
      <c r="U755" s="1">
        <v>41051</v>
      </c>
      <c r="V755" s="1">
        <v>0</v>
      </c>
      <c r="W755" s="1">
        <v>1</v>
      </c>
    </row>
    <row r="756">
      <c r="A756" s="1">
        <v>2020</v>
      </c>
      <c r="B756" s="1">
        <v>6</v>
      </c>
      <c r="C756" t="s">
        <v>11</v>
      </c>
      <c r="D756" s="1">
        <v>57</v>
      </c>
      <c r="E756" t="s">
        <v>230</v>
      </c>
      <c r="F756" s="1">
        <v>41</v>
      </c>
      <c r="G756" t="s">
        <v>3</v>
      </c>
      <c r="H756" s="1">
        <v>51</v>
      </c>
      <c r="I756" t="s">
        <v>6</v>
      </c>
      <c r="J756" s="1">
        <v>34</v>
      </c>
      <c r="K756" s="1">
        <v>53</v>
      </c>
      <c r="L756" s="1">
        <v>943</v>
      </c>
      <c r="M756" s="1">
        <v>3398</v>
      </c>
      <c r="N756" s="1">
        <v>5839</v>
      </c>
      <c r="O756" s="1">
        <v>261229</v>
      </c>
      <c r="P756" s="1">
        <v>41989</v>
      </c>
      <c r="Q756" s="1">
        <v>81129</v>
      </c>
      <c r="R756" s="1">
        <v>3613339</v>
      </c>
      <c r="S756" s="1">
        <v>6057</v>
      </c>
      <c r="T756" s="1">
        <v>6057</v>
      </c>
      <c r="U756" s="1">
        <v>41051</v>
      </c>
      <c r="V756" s="1">
        <v>0</v>
      </c>
      <c r="W756" s="1">
        <v>1</v>
      </c>
    </row>
    <row r="757">
      <c r="A757" s="1">
        <v>2020</v>
      </c>
      <c r="B757" s="1">
        <v>6</v>
      </c>
      <c r="C757" t="s">
        <v>11</v>
      </c>
      <c r="D757" s="1">
        <v>59</v>
      </c>
      <c r="E757" t="s">
        <v>64</v>
      </c>
      <c r="F757" s="1">
        <v>41</v>
      </c>
      <c r="G757" t="s">
        <v>3</v>
      </c>
      <c r="H757" s="1">
        <v>51</v>
      </c>
      <c r="I757" t="s">
        <v>6</v>
      </c>
      <c r="J757" s="1">
        <v>333</v>
      </c>
      <c r="K757" s="1">
        <v>483</v>
      </c>
      <c r="L757" s="1">
        <v>21301</v>
      </c>
      <c r="M757" s="1">
        <v>69286</v>
      </c>
      <c r="N757" s="1">
        <v>123836</v>
      </c>
      <c r="O757" s="1">
        <v>6002336</v>
      </c>
      <c r="P757" s="1">
        <v>1274399</v>
      </c>
      <c r="Q757" s="1">
        <v>2684220</v>
      </c>
      <c r="R757" s="1">
        <v>139501808</v>
      </c>
      <c r="S757" s="1">
        <v>6059</v>
      </c>
      <c r="T757" s="1">
        <v>6059</v>
      </c>
      <c r="U757" s="1">
        <v>41051</v>
      </c>
      <c r="V757" s="1">
        <v>0</v>
      </c>
      <c r="W757" s="1">
        <v>1</v>
      </c>
    </row>
    <row r="758">
      <c r="A758" s="1">
        <v>2020</v>
      </c>
      <c r="B758" s="1">
        <v>6</v>
      </c>
      <c r="C758" t="s">
        <v>11</v>
      </c>
      <c r="D758" s="1">
        <v>61</v>
      </c>
      <c r="E758" t="s">
        <v>65</v>
      </c>
      <c r="F758" s="1">
        <v>41</v>
      </c>
      <c r="G758" t="s">
        <v>3</v>
      </c>
      <c r="H758" s="1">
        <v>51</v>
      </c>
      <c r="I758" t="s">
        <v>6</v>
      </c>
      <c r="J758" s="1">
        <v>30</v>
      </c>
      <c r="K758" s="1">
        <v>41</v>
      </c>
      <c r="L758" s="1">
        <v>1721</v>
      </c>
      <c r="M758" s="1">
        <v>12428</v>
      </c>
      <c r="N758" s="1">
        <v>22578</v>
      </c>
      <c r="O758" s="1">
        <v>1015585</v>
      </c>
      <c r="P758" s="1">
        <v>157982</v>
      </c>
      <c r="Q758" s="1">
        <v>346300</v>
      </c>
      <c r="R758" s="1">
        <v>17580788</v>
      </c>
      <c r="S758" s="1">
        <v>6061</v>
      </c>
      <c r="T758" s="1">
        <v>6061</v>
      </c>
      <c r="U758" s="1">
        <v>41051</v>
      </c>
      <c r="V758" s="1">
        <v>0</v>
      </c>
      <c r="W758" s="1">
        <v>1</v>
      </c>
    </row>
    <row r="759">
      <c r="A759" s="1">
        <v>2020</v>
      </c>
      <c r="B759" s="1">
        <v>6</v>
      </c>
      <c r="C759" t="s">
        <v>11</v>
      </c>
      <c r="D759" s="1">
        <v>65</v>
      </c>
      <c r="E759" t="s">
        <v>66</v>
      </c>
      <c r="F759" s="1">
        <v>41</v>
      </c>
      <c r="G759" t="s">
        <v>3</v>
      </c>
      <c r="H759" s="1">
        <v>51</v>
      </c>
      <c r="I759" t="s">
        <v>6</v>
      </c>
      <c r="J759" s="1">
        <v>134</v>
      </c>
      <c r="K759" s="1">
        <v>193</v>
      </c>
      <c r="L759" s="1">
        <v>10296</v>
      </c>
      <c r="M759" s="1">
        <v>51360</v>
      </c>
      <c r="N759" s="1">
        <v>101484</v>
      </c>
      <c r="O759" s="1">
        <v>3160828</v>
      </c>
      <c r="P759" s="1">
        <v>850692</v>
      </c>
      <c r="Q759" s="1">
        <v>1951726</v>
      </c>
      <c r="R759" s="1">
        <v>57767772</v>
      </c>
      <c r="S759" s="1">
        <v>6065</v>
      </c>
      <c r="T759" s="1">
        <v>6065</v>
      </c>
      <c r="U759" s="1">
        <v>41051</v>
      </c>
      <c r="V759" s="1">
        <v>0</v>
      </c>
      <c r="W759" s="1">
        <v>1</v>
      </c>
    </row>
    <row r="760">
      <c r="A760" s="1">
        <v>2020</v>
      </c>
      <c r="B760" s="1">
        <v>6</v>
      </c>
      <c r="C760" t="s">
        <v>11</v>
      </c>
      <c r="D760" s="1">
        <v>67</v>
      </c>
      <c r="E760" t="s">
        <v>67</v>
      </c>
      <c r="F760" s="1">
        <v>41</v>
      </c>
      <c r="G760" t="s">
        <v>3</v>
      </c>
      <c r="H760" s="1">
        <v>51</v>
      </c>
      <c r="I760" t="s">
        <v>6</v>
      </c>
      <c r="J760" s="1">
        <v>142</v>
      </c>
      <c r="K760" s="1">
        <v>196</v>
      </c>
      <c r="L760" s="1">
        <v>8235</v>
      </c>
      <c r="M760" s="1">
        <v>34281</v>
      </c>
      <c r="N760" s="1">
        <v>63516</v>
      </c>
      <c r="O760" s="1">
        <v>2264156</v>
      </c>
      <c r="P760" s="1">
        <v>598306</v>
      </c>
      <c r="Q760" s="1">
        <v>1285999</v>
      </c>
      <c r="R760" s="1">
        <v>45720608</v>
      </c>
      <c r="S760" s="1">
        <v>6067</v>
      </c>
      <c r="T760" s="1">
        <v>6067</v>
      </c>
      <c r="U760" s="1">
        <v>41051</v>
      </c>
      <c r="V760" s="1">
        <v>0</v>
      </c>
      <c r="W760" s="1">
        <v>1</v>
      </c>
    </row>
    <row r="761">
      <c r="A761" s="1">
        <v>2020</v>
      </c>
      <c r="B761" s="1">
        <v>6</v>
      </c>
      <c r="C761" t="s">
        <v>11</v>
      </c>
      <c r="D761" s="1">
        <v>71</v>
      </c>
      <c r="E761" t="s">
        <v>68</v>
      </c>
      <c r="F761" s="1">
        <v>41</v>
      </c>
      <c r="G761" t="s">
        <v>3</v>
      </c>
      <c r="H761" s="1">
        <v>51</v>
      </c>
      <c r="I761" t="s">
        <v>6</v>
      </c>
      <c r="J761" s="1">
        <v>122</v>
      </c>
      <c r="K761" s="1">
        <v>193</v>
      </c>
      <c r="L761" s="1">
        <v>4442</v>
      </c>
      <c r="M761" s="1">
        <v>48230</v>
      </c>
      <c r="N761" s="1">
        <v>96676</v>
      </c>
      <c r="O761" s="1">
        <v>2694890</v>
      </c>
      <c r="P761" s="1">
        <v>768011</v>
      </c>
      <c r="Q761" s="1">
        <v>1750208</v>
      </c>
      <c r="R761" s="1">
        <v>48623608</v>
      </c>
      <c r="S761" s="1">
        <v>6071</v>
      </c>
      <c r="T761" s="1">
        <v>6071</v>
      </c>
      <c r="U761" s="1">
        <v>41051</v>
      </c>
      <c r="V761" s="1">
        <v>0</v>
      </c>
      <c r="W761" s="1">
        <v>1</v>
      </c>
    </row>
    <row r="762">
      <c r="A762" s="1">
        <v>2020</v>
      </c>
      <c r="B762" s="1">
        <v>6</v>
      </c>
      <c r="C762" t="s">
        <v>11</v>
      </c>
      <c r="D762" s="1">
        <v>73</v>
      </c>
      <c r="E762" t="s">
        <v>69</v>
      </c>
      <c r="F762" s="1">
        <v>41</v>
      </c>
      <c r="G762" t="s">
        <v>3</v>
      </c>
      <c r="H762" s="1">
        <v>51</v>
      </c>
      <c r="I762" t="s">
        <v>6</v>
      </c>
      <c r="J762" s="1">
        <v>389</v>
      </c>
      <c r="K762" s="1">
        <v>552</v>
      </c>
      <c r="L762" s="1">
        <v>21571</v>
      </c>
      <c r="M762" s="1">
        <v>73601</v>
      </c>
      <c r="N762" s="1">
        <v>136972</v>
      </c>
      <c r="O762" s="1">
        <v>5516487</v>
      </c>
      <c r="P762" s="1">
        <v>1349512</v>
      </c>
      <c r="Q762" s="1">
        <v>2816299</v>
      </c>
      <c r="R762" s="1">
        <v>128480808</v>
      </c>
      <c r="S762" s="1">
        <v>6073</v>
      </c>
      <c r="T762" s="1">
        <v>6073</v>
      </c>
      <c r="U762" s="1">
        <v>41051</v>
      </c>
      <c r="V762" s="1">
        <v>0</v>
      </c>
      <c r="W762" s="1">
        <v>1</v>
      </c>
    </row>
    <row r="763">
      <c r="A763" s="1">
        <v>2020</v>
      </c>
      <c r="B763" s="1">
        <v>6</v>
      </c>
      <c r="C763" t="s">
        <v>11</v>
      </c>
      <c r="D763" s="1">
        <v>75</v>
      </c>
      <c r="E763" t="s">
        <v>70</v>
      </c>
      <c r="F763" s="1">
        <v>41</v>
      </c>
      <c r="G763" t="s">
        <v>3</v>
      </c>
      <c r="H763" s="1">
        <v>51</v>
      </c>
      <c r="I763" t="s">
        <v>6</v>
      </c>
      <c r="J763" s="1">
        <v>640</v>
      </c>
      <c r="K763" s="1">
        <v>885</v>
      </c>
      <c r="L763" s="1">
        <v>110494</v>
      </c>
      <c r="M763" s="1">
        <v>54130</v>
      </c>
      <c r="N763" s="1">
        <v>77273</v>
      </c>
      <c r="O763" s="1">
        <v>10637558</v>
      </c>
      <c r="P763" s="1">
        <v>421310</v>
      </c>
      <c r="Q763" s="1">
        <v>695440</v>
      </c>
      <c r="R763" s="1">
        <v>80770824</v>
      </c>
      <c r="S763" s="1">
        <v>6075</v>
      </c>
      <c r="T763" s="1">
        <v>6075</v>
      </c>
      <c r="U763" s="1">
        <v>41051</v>
      </c>
      <c r="V763" s="1">
        <v>0</v>
      </c>
      <c r="W763" s="1">
        <v>1</v>
      </c>
    </row>
    <row r="764">
      <c r="A764" s="1">
        <v>2020</v>
      </c>
      <c r="B764" s="1">
        <v>6</v>
      </c>
      <c r="C764" t="s">
        <v>11</v>
      </c>
      <c r="D764" s="1">
        <v>77</v>
      </c>
      <c r="E764" t="s">
        <v>179</v>
      </c>
      <c r="F764" s="1">
        <v>41</v>
      </c>
      <c r="G764" t="s">
        <v>3</v>
      </c>
      <c r="H764" s="1">
        <v>51</v>
      </c>
      <c r="I764" t="s">
        <v>6</v>
      </c>
      <c r="J764" s="1">
        <v>43</v>
      </c>
      <c r="K764" s="1">
        <v>70</v>
      </c>
      <c r="L764" s="1">
        <v>1975</v>
      </c>
      <c r="M764" s="1">
        <v>14493</v>
      </c>
      <c r="N764" s="1">
        <v>28835</v>
      </c>
      <c r="O764" s="1">
        <v>897325</v>
      </c>
      <c r="P764" s="1">
        <v>269441</v>
      </c>
      <c r="Q764" s="1">
        <v>639270</v>
      </c>
      <c r="R764" s="1">
        <v>19205476</v>
      </c>
      <c r="S764" s="1">
        <v>6077</v>
      </c>
      <c r="T764" s="1">
        <v>6077</v>
      </c>
      <c r="U764" s="1">
        <v>41051</v>
      </c>
      <c r="V764" s="1">
        <v>0</v>
      </c>
      <c r="W764" s="1">
        <v>1</v>
      </c>
    </row>
    <row r="765">
      <c r="A765" s="1">
        <v>2020</v>
      </c>
      <c r="B765" s="1">
        <v>6</v>
      </c>
      <c r="C765" t="s">
        <v>11</v>
      </c>
      <c r="D765" s="1">
        <v>79</v>
      </c>
      <c r="E765" t="s">
        <v>71</v>
      </c>
      <c r="F765" s="1">
        <v>41</v>
      </c>
      <c r="G765" t="s">
        <v>3</v>
      </c>
      <c r="H765" s="1">
        <v>51</v>
      </c>
      <c r="I765" t="s">
        <v>6</v>
      </c>
      <c r="J765" s="1">
        <v>52</v>
      </c>
      <c r="K765" s="1">
        <v>66</v>
      </c>
      <c r="L765" s="1">
        <v>2310</v>
      </c>
      <c r="M765" s="1">
        <v>6809</v>
      </c>
      <c r="N765" s="1">
        <v>11251</v>
      </c>
      <c r="O765" s="1">
        <v>469105</v>
      </c>
      <c r="P765" s="1">
        <v>110834</v>
      </c>
      <c r="Q765" s="1">
        <v>220701</v>
      </c>
      <c r="R765" s="1">
        <v>10119520</v>
      </c>
      <c r="S765" s="1">
        <v>6079</v>
      </c>
      <c r="T765" s="1">
        <v>6079</v>
      </c>
      <c r="U765" s="1">
        <v>41051</v>
      </c>
      <c r="V765" s="1">
        <v>0</v>
      </c>
      <c r="W765" s="1">
        <v>1</v>
      </c>
    </row>
    <row r="766">
      <c r="A766" s="1">
        <v>2020</v>
      </c>
      <c r="B766" s="1">
        <v>6</v>
      </c>
      <c r="C766" t="s">
        <v>11</v>
      </c>
      <c r="D766" s="1">
        <v>81</v>
      </c>
      <c r="E766" t="s">
        <v>72</v>
      </c>
      <c r="F766" s="1">
        <v>41</v>
      </c>
      <c r="G766" t="s">
        <v>3</v>
      </c>
      <c r="H766" s="1">
        <v>51</v>
      </c>
      <c r="I766" t="s">
        <v>6</v>
      </c>
      <c r="J766" s="1">
        <v>163</v>
      </c>
      <c r="K766" s="1">
        <v>261</v>
      </c>
      <c r="L766" s="1">
        <v>21745</v>
      </c>
      <c r="M766" s="1">
        <v>30275</v>
      </c>
      <c r="N766" s="1">
        <v>52643</v>
      </c>
      <c r="O766" s="1">
        <v>5416745</v>
      </c>
      <c r="P766" s="1">
        <v>333608</v>
      </c>
      <c r="Q766" s="1">
        <v>676761</v>
      </c>
      <c r="R766" s="1">
        <v>74253848</v>
      </c>
      <c r="S766" s="1">
        <v>6081</v>
      </c>
      <c r="T766" s="1">
        <v>6081</v>
      </c>
      <c r="U766" s="1">
        <v>41051</v>
      </c>
      <c r="V766" s="1">
        <v>0</v>
      </c>
      <c r="W766" s="1">
        <v>1</v>
      </c>
    </row>
    <row r="767">
      <c r="A767" s="1">
        <v>2020</v>
      </c>
      <c r="B767" s="1">
        <v>6</v>
      </c>
      <c r="C767" t="s">
        <v>11</v>
      </c>
      <c r="D767" s="1">
        <v>83</v>
      </c>
      <c r="E767" t="s">
        <v>73</v>
      </c>
      <c r="F767" s="1">
        <v>41</v>
      </c>
      <c r="G767" t="s">
        <v>3</v>
      </c>
      <c r="H767" s="1">
        <v>51</v>
      </c>
      <c r="I767" t="s">
        <v>6</v>
      </c>
      <c r="J767" s="1">
        <v>66</v>
      </c>
      <c r="K767" s="1">
        <v>87</v>
      </c>
      <c r="L767" s="1">
        <v>3816</v>
      </c>
      <c r="M767" s="1">
        <v>9850</v>
      </c>
      <c r="N767" s="1">
        <v>16971</v>
      </c>
      <c r="O767" s="1">
        <v>764769</v>
      </c>
      <c r="P767" s="1">
        <v>170253</v>
      </c>
      <c r="Q767" s="1">
        <v>362567</v>
      </c>
      <c r="R767" s="1">
        <v>16011537</v>
      </c>
      <c r="S767" s="1">
        <v>6083</v>
      </c>
      <c r="T767" s="1">
        <v>6083</v>
      </c>
      <c r="U767" s="1">
        <v>41051</v>
      </c>
      <c r="V767" s="1">
        <v>0</v>
      </c>
      <c r="W767" s="1">
        <v>1</v>
      </c>
    </row>
    <row r="768">
      <c r="A768" s="1">
        <v>2020</v>
      </c>
      <c r="B768" s="1">
        <v>6</v>
      </c>
      <c r="C768" t="s">
        <v>11</v>
      </c>
      <c r="D768" s="1">
        <v>85</v>
      </c>
      <c r="E768" t="s">
        <v>74</v>
      </c>
      <c r="F768" s="1">
        <v>41</v>
      </c>
      <c r="G768" t="s">
        <v>3</v>
      </c>
      <c r="H768" s="1">
        <v>51</v>
      </c>
      <c r="I768" t="s">
        <v>6</v>
      </c>
      <c r="J768" s="1">
        <v>308</v>
      </c>
      <c r="K768" s="1">
        <v>465</v>
      </c>
      <c r="L768" s="1">
        <v>44146</v>
      </c>
      <c r="M768" s="1">
        <v>58011</v>
      </c>
      <c r="N768" s="1">
        <v>104797</v>
      </c>
      <c r="O768" s="1">
        <v>10130715</v>
      </c>
      <c r="P768" s="1">
        <v>807842</v>
      </c>
      <c r="Q768" s="1">
        <v>1710208</v>
      </c>
      <c r="R768" s="1">
        <v>153486672</v>
      </c>
      <c r="S768" s="1">
        <v>6085</v>
      </c>
      <c r="T768" s="1">
        <v>6085</v>
      </c>
      <c r="U768" s="1">
        <v>41051</v>
      </c>
      <c r="V768" s="1">
        <v>0</v>
      </c>
      <c r="W768" s="1">
        <v>1</v>
      </c>
    </row>
    <row r="769">
      <c r="A769" s="1">
        <v>2020</v>
      </c>
      <c r="B769" s="1">
        <v>6</v>
      </c>
      <c r="C769" t="s">
        <v>11</v>
      </c>
      <c r="D769" s="1">
        <v>87</v>
      </c>
      <c r="E769" t="s">
        <v>75</v>
      </c>
      <c r="F769" s="1">
        <v>41</v>
      </c>
      <c r="G769" t="s">
        <v>3</v>
      </c>
      <c r="H769" s="1">
        <v>51</v>
      </c>
      <c r="I769" t="s">
        <v>6</v>
      </c>
      <c r="J769" s="1">
        <v>89</v>
      </c>
      <c r="K769" s="1">
        <v>110</v>
      </c>
      <c r="L769" s="1">
        <v>6006</v>
      </c>
      <c r="M769" s="1">
        <v>7309</v>
      </c>
      <c r="N769" s="1">
        <v>12376</v>
      </c>
      <c r="O769" s="1">
        <v>647217</v>
      </c>
      <c r="P769" s="1">
        <v>108421</v>
      </c>
      <c r="Q769" s="1">
        <v>218797</v>
      </c>
      <c r="R769" s="1">
        <v>11940623</v>
      </c>
      <c r="S769" s="1">
        <v>6087</v>
      </c>
      <c r="T769" s="1">
        <v>6087</v>
      </c>
      <c r="U769" s="1">
        <v>41051</v>
      </c>
      <c r="V769" s="1">
        <v>0</v>
      </c>
      <c r="W769" s="1">
        <v>1</v>
      </c>
    </row>
    <row r="770">
      <c r="A770" s="1">
        <v>2020</v>
      </c>
      <c r="B770" s="1">
        <v>6</v>
      </c>
      <c r="C770" t="s">
        <v>11</v>
      </c>
      <c r="D770" s="1">
        <v>89</v>
      </c>
      <c r="E770" t="s">
        <v>76</v>
      </c>
      <c r="F770" s="1">
        <v>41</v>
      </c>
      <c r="G770" t="s">
        <v>3</v>
      </c>
      <c r="H770" s="1">
        <v>51</v>
      </c>
      <c r="I770" t="s">
        <v>6</v>
      </c>
      <c r="J770" s="1">
        <v>28</v>
      </c>
      <c r="K770" s="1">
        <v>39</v>
      </c>
      <c r="L770" s="1">
        <v>1148</v>
      </c>
      <c r="M770" s="1">
        <v>3955</v>
      </c>
      <c r="N770" s="1">
        <v>7273</v>
      </c>
      <c r="O770" s="1">
        <v>214391</v>
      </c>
      <c r="P770" s="1">
        <v>65047</v>
      </c>
      <c r="Q770" s="1">
        <v>136658</v>
      </c>
      <c r="R770" s="1">
        <v>4379255</v>
      </c>
      <c r="S770" s="1">
        <v>6089</v>
      </c>
      <c r="T770" s="1">
        <v>6089</v>
      </c>
      <c r="U770" s="1">
        <v>41051</v>
      </c>
      <c r="V770" s="1">
        <v>0</v>
      </c>
      <c r="W770" s="1">
        <v>1</v>
      </c>
    </row>
    <row r="771">
      <c r="A771" s="1">
        <v>2020</v>
      </c>
      <c r="B771" s="1">
        <v>6</v>
      </c>
      <c r="C771" t="s">
        <v>11</v>
      </c>
      <c r="D771" s="1">
        <v>95</v>
      </c>
      <c r="E771" t="s">
        <v>180</v>
      </c>
      <c r="F771" s="1">
        <v>41</v>
      </c>
      <c r="G771" t="s">
        <v>3</v>
      </c>
      <c r="H771" s="1">
        <v>51</v>
      </c>
      <c r="I771" t="s">
        <v>6</v>
      </c>
      <c r="J771" s="1">
        <v>31</v>
      </c>
      <c r="K771" s="1">
        <v>39</v>
      </c>
      <c r="L771" s="1">
        <v>1531</v>
      </c>
      <c r="M771" s="1">
        <v>12429</v>
      </c>
      <c r="N771" s="1">
        <v>23660</v>
      </c>
      <c r="O771" s="1">
        <v>837761</v>
      </c>
      <c r="P771" s="1">
        <v>177750</v>
      </c>
      <c r="Q771" s="1">
        <v>376026</v>
      </c>
      <c r="R771" s="1">
        <v>14404492</v>
      </c>
      <c r="S771" s="1">
        <v>6095</v>
      </c>
      <c r="T771" s="1">
        <v>6095</v>
      </c>
      <c r="U771" s="1">
        <v>41051</v>
      </c>
      <c r="V771" s="1">
        <v>0</v>
      </c>
      <c r="W771" s="1">
        <v>1</v>
      </c>
    </row>
    <row r="772">
      <c r="A772" s="1">
        <v>2020</v>
      </c>
      <c r="B772" s="1">
        <v>6</v>
      </c>
      <c r="C772" t="s">
        <v>11</v>
      </c>
      <c r="D772" s="1">
        <v>97</v>
      </c>
      <c r="E772" t="s">
        <v>77</v>
      </c>
      <c r="F772" s="1">
        <v>41</v>
      </c>
      <c r="G772" t="s">
        <v>3</v>
      </c>
      <c r="H772" s="1">
        <v>51</v>
      </c>
      <c r="I772" t="s">
        <v>6</v>
      </c>
      <c r="J772" s="1">
        <v>76</v>
      </c>
      <c r="K772" s="1">
        <v>105</v>
      </c>
      <c r="L772" s="1">
        <v>5730</v>
      </c>
      <c r="M772" s="1">
        <v>10295</v>
      </c>
      <c r="N772" s="1">
        <v>17148</v>
      </c>
      <c r="O772" s="1">
        <v>865737</v>
      </c>
      <c r="P772" s="1">
        <v>203838</v>
      </c>
      <c r="Q772" s="1">
        <v>407811</v>
      </c>
      <c r="R772" s="1">
        <v>19674604</v>
      </c>
      <c r="S772" s="1">
        <v>6097</v>
      </c>
      <c r="T772" s="1">
        <v>6097</v>
      </c>
      <c r="U772" s="1">
        <v>41051</v>
      </c>
      <c r="V772" s="1">
        <v>0</v>
      </c>
      <c r="W772" s="1">
        <v>1</v>
      </c>
    </row>
    <row r="773">
      <c r="A773" s="1">
        <v>2020</v>
      </c>
      <c r="B773" s="1">
        <v>6</v>
      </c>
      <c r="C773" t="s">
        <v>11</v>
      </c>
      <c r="D773" s="1">
        <v>99</v>
      </c>
      <c r="E773" t="s">
        <v>325</v>
      </c>
      <c r="F773" s="1">
        <v>41</v>
      </c>
      <c r="G773" t="s">
        <v>3</v>
      </c>
      <c r="H773" s="1">
        <v>51</v>
      </c>
      <c r="I773" t="s">
        <v>6</v>
      </c>
      <c r="J773" s="1">
        <v>30</v>
      </c>
      <c r="K773" s="1">
        <v>47</v>
      </c>
      <c r="L773" s="1">
        <v>1731</v>
      </c>
      <c r="M773" s="1">
        <v>10137</v>
      </c>
      <c r="N773" s="1">
        <v>20737</v>
      </c>
      <c r="O773" s="1">
        <v>581393</v>
      </c>
      <c r="P773" s="1">
        <v>192996</v>
      </c>
      <c r="Q773" s="1">
        <v>459076</v>
      </c>
      <c r="R773" s="1">
        <v>12834175</v>
      </c>
      <c r="S773" s="1">
        <v>6099</v>
      </c>
      <c r="T773" s="1">
        <v>6099</v>
      </c>
      <c r="U773" s="1">
        <v>41051</v>
      </c>
      <c r="V773" s="1">
        <v>0</v>
      </c>
      <c r="W773" s="1">
        <v>1</v>
      </c>
    </row>
    <row r="774">
      <c r="A774" s="1">
        <v>2020</v>
      </c>
      <c r="B774" s="1">
        <v>6</v>
      </c>
      <c r="C774" t="s">
        <v>11</v>
      </c>
      <c r="D774" s="1">
        <v>111</v>
      </c>
      <c r="E774" t="s">
        <v>78</v>
      </c>
      <c r="F774" s="1">
        <v>41</v>
      </c>
      <c r="G774" t="s">
        <v>3</v>
      </c>
      <c r="H774" s="1">
        <v>51</v>
      </c>
      <c r="I774" t="s">
        <v>6</v>
      </c>
      <c r="J774" s="1">
        <v>62</v>
      </c>
      <c r="K774" s="1">
        <v>94</v>
      </c>
      <c r="L774" s="1">
        <v>3554</v>
      </c>
      <c r="M774" s="1">
        <v>17551</v>
      </c>
      <c r="N774" s="1">
        <v>32065</v>
      </c>
      <c r="O774" s="1">
        <v>1528842</v>
      </c>
      <c r="P774" s="1">
        <v>336600</v>
      </c>
      <c r="Q774" s="1">
        <v>724813</v>
      </c>
      <c r="R774" s="1">
        <v>32940592</v>
      </c>
      <c r="S774" s="1">
        <v>6111</v>
      </c>
      <c r="T774" s="1">
        <v>6111</v>
      </c>
      <c r="U774" s="1">
        <v>41051</v>
      </c>
      <c r="V774" s="1">
        <v>0</v>
      </c>
      <c r="W774" s="1">
        <v>1</v>
      </c>
    </row>
    <row r="775">
      <c r="A775" s="1">
        <v>2020</v>
      </c>
      <c r="B775" s="1">
        <v>6</v>
      </c>
      <c r="C775" t="s">
        <v>11</v>
      </c>
      <c r="D775" s="1">
        <v>113</v>
      </c>
      <c r="E775" t="s">
        <v>181</v>
      </c>
      <c r="F775" s="1">
        <v>41</v>
      </c>
      <c r="G775" t="s">
        <v>3</v>
      </c>
      <c r="H775" s="1">
        <v>51</v>
      </c>
      <c r="I775" t="s">
        <v>6</v>
      </c>
      <c r="J775" s="1">
        <v>38</v>
      </c>
      <c r="K775" s="1">
        <v>45</v>
      </c>
      <c r="L775" s="1">
        <v>2014</v>
      </c>
      <c r="M775" s="1">
        <v>6763</v>
      </c>
      <c r="N775" s="1">
        <v>11402</v>
      </c>
      <c r="O775" s="1">
        <v>416425</v>
      </c>
      <c r="P775" s="1">
        <v>77063</v>
      </c>
      <c r="Q775" s="1">
        <v>165288</v>
      </c>
      <c r="R775" s="1">
        <v>6977078</v>
      </c>
      <c r="S775" s="1">
        <v>6113</v>
      </c>
      <c r="T775" s="1">
        <v>6113</v>
      </c>
      <c r="U775" s="1">
        <v>41051</v>
      </c>
      <c r="V775" s="1">
        <v>0</v>
      </c>
      <c r="W775" s="1">
        <v>1</v>
      </c>
    </row>
    <row r="776">
      <c r="A776" s="1">
        <v>2020</v>
      </c>
      <c r="B776" s="1">
        <v>8</v>
      </c>
      <c r="C776" t="s">
        <v>12</v>
      </c>
      <c r="D776" s="1">
        <v>1</v>
      </c>
      <c r="E776" t="s">
        <v>225</v>
      </c>
      <c r="F776" s="1">
        <v>41</v>
      </c>
      <c r="G776" t="s">
        <v>3</v>
      </c>
      <c r="H776" s="1">
        <v>51</v>
      </c>
      <c r="I776" t="s">
        <v>6</v>
      </c>
      <c r="J776" s="1">
        <v>26</v>
      </c>
      <c r="K776" s="1">
        <v>29</v>
      </c>
      <c r="L776" s="1">
        <v>1250</v>
      </c>
      <c r="M776" s="1">
        <v>22323</v>
      </c>
      <c r="N776" s="1">
        <v>42130</v>
      </c>
      <c r="O776" s="1">
        <v>1279984</v>
      </c>
      <c r="P776" s="1">
        <v>199430</v>
      </c>
      <c r="Q776" s="1">
        <v>427966</v>
      </c>
      <c r="R776" s="1">
        <v>14057123</v>
      </c>
      <c r="S776" s="1">
        <v>8001</v>
      </c>
      <c r="T776" s="1">
        <v>8001</v>
      </c>
      <c r="U776" s="1">
        <v>41051</v>
      </c>
      <c r="V776" s="1">
        <v>0</v>
      </c>
      <c r="W776" s="1">
        <v>1</v>
      </c>
    </row>
    <row r="777">
      <c r="A777" s="1">
        <v>2020</v>
      </c>
      <c r="B777" s="1">
        <v>8</v>
      </c>
      <c r="C777" t="s">
        <v>12</v>
      </c>
      <c r="D777" s="1">
        <v>5</v>
      </c>
      <c r="E777" t="s">
        <v>79</v>
      </c>
      <c r="F777" s="1">
        <v>41</v>
      </c>
      <c r="G777" t="s">
        <v>3</v>
      </c>
      <c r="H777" s="1">
        <v>51</v>
      </c>
      <c r="I777" t="s">
        <v>6</v>
      </c>
      <c r="J777" s="1">
        <v>44</v>
      </c>
      <c r="K777" s="1">
        <v>74</v>
      </c>
      <c r="L777" s="1">
        <v>2844</v>
      </c>
      <c r="M777" s="1">
        <v>33285</v>
      </c>
      <c r="N777" s="1">
        <v>58983</v>
      </c>
      <c r="O777" s="1">
        <v>2336243</v>
      </c>
      <c r="P777" s="1">
        <v>267607</v>
      </c>
      <c r="Q777" s="1">
        <v>551735</v>
      </c>
      <c r="R777" s="1">
        <v>26792948</v>
      </c>
      <c r="S777" s="1">
        <v>8005</v>
      </c>
      <c r="T777" s="1">
        <v>8005</v>
      </c>
      <c r="U777" s="1">
        <v>41051</v>
      </c>
      <c r="V777" s="1">
        <v>0</v>
      </c>
      <c r="W777" s="1">
        <v>1</v>
      </c>
    </row>
    <row r="778">
      <c r="A778" s="1">
        <v>2020</v>
      </c>
      <c r="B778" s="1">
        <v>8</v>
      </c>
      <c r="C778" t="s">
        <v>12</v>
      </c>
      <c r="D778" s="1">
        <v>13</v>
      </c>
      <c r="E778" t="s">
        <v>80</v>
      </c>
      <c r="F778" s="1">
        <v>41</v>
      </c>
      <c r="G778" t="s">
        <v>3</v>
      </c>
      <c r="H778" s="1">
        <v>51</v>
      </c>
      <c r="I778" t="s">
        <v>6</v>
      </c>
      <c r="J778" s="1">
        <v>56</v>
      </c>
      <c r="K778" s="1">
        <v>61</v>
      </c>
      <c r="L778" s="1">
        <v>3113</v>
      </c>
      <c r="M778" s="1">
        <v>14551</v>
      </c>
      <c r="N778" s="1">
        <v>22701</v>
      </c>
      <c r="O778" s="1">
        <v>1136968</v>
      </c>
      <c r="P778" s="1">
        <v>135090</v>
      </c>
      <c r="Q778" s="1">
        <v>261546</v>
      </c>
      <c r="R778" s="1">
        <v>17573326</v>
      </c>
      <c r="S778" s="1">
        <v>8013</v>
      </c>
      <c r="T778" s="1">
        <v>8013</v>
      </c>
      <c r="U778" s="1">
        <v>41051</v>
      </c>
      <c r="V778" s="1">
        <v>0</v>
      </c>
      <c r="W778" s="1">
        <v>1</v>
      </c>
    </row>
    <row r="779">
      <c r="A779" s="1">
        <v>2020</v>
      </c>
      <c r="B779" s="1">
        <v>8</v>
      </c>
      <c r="C779" t="s">
        <v>12</v>
      </c>
      <c r="D779" s="1">
        <v>31</v>
      </c>
      <c r="E779" t="s">
        <v>81</v>
      </c>
      <c r="F779" s="1">
        <v>41</v>
      </c>
      <c r="G779" t="s">
        <v>3</v>
      </c>
      <c r="H779" s="1">
        <v>51</v>
      </c>
      <c r="I779" t="s">
        <v>6</v>
      </c>
      <c r="J779" s="1">
        <v>170</v>
      </c>
      <c r="K779" s="1">
        <v>196</v>
      </c>
      <c r="L779" s="1">
        <v>9560</v>
      </c>
      <c r="M779" s="1">
        <v>46946</v>
      </c>
      <c r="N779" s="1">
        <v>74006</v>
      </c>
      <c r="O779" s="1">
        <v>3655908</v>
      </c>
      <c r="P779" s="1">
        <v>312869</v>
      </c>
      <c r="Q779" s="1">
        <v>556541</v>
      </c>
      <c r="R779" s="1">
        <v>32743636</v>
      </c>
      <c r="S779" s="1">
        <v>8031</v>
      </c>
      <c r="T779" s="1">
        <v>8031</v>
      </c>
      <c r="U779" s="1">
        <v>41051</v>
      </c>
      <c r="V779" s="1">
        <v>0</v>
      </c>
      <c r="W779" s="1">
        <v>1</v>
      </c>
    </row>
    <row r="780">
      <c r="A780" s="1">
        <v>2020</v>
      </c>
      <c r="B780" s="1">
        <v>8</v>
      </c>
      <c r="C780" t="s">
        <v>12</v>
      </c>
      <c r="D780" s="1">
        <v>41</v>
      </c>
      <c r="E780" t="s">
        <v>82</v>
      </c>
      <c r="F780" s="1">
        <v>41</v>
      </c>
      <c r="G780" t="s">
        <v>3</v>
      </c>
      <c r="H780" s="1">
        <v>51</v>
      </c>
      <c r="I780" t="s">
        <v>6</v>
      </c>
      <c r="J780" s="1">
        <v>52</v>
      </c>
      <c r="K780" s="1">
        <v>77</v>
      </c>
      <c r="L780" s="1">
        <v>2353</v>
      </c>
      <c r="M780" s="1">
        <v>25615</v>
      </c>
      <c r="N780" s="1">
        <v>53004</v>
      </c>
      <c r="O780" s="1">
        <v>1496037</v>
      </c>
      <c r="P780" s="1">
        <v>281780</v>
      </c>
      <c r="Q780" s="1">
        <v>609770</v>
      </c>
      <c r="R780" s="1">
        <v>22194068</v>
      </c>
      <c r="S780" s="1">
        <v>8041</v>
      </c>
      <c r="T780" s="1">
        <v>8041</v>
      </c>
      <c r="U780" s="1">
        <v>41051</v>
      </c>
      <c r="V780" s="1">
        <v>0</v>
      </c>
      <c r="W780" s="1">
        <v>1</v>
      </c>
    </row>
    <row r="781">
      <c r="A781" s="1">
        <v>2020</v>
      </c>
      <c r="B781" s="1">
        <v>8</v>
      </c>
      <c r="C781" t="s">
        <v>12</v>
      </c>
      <c r="D781" s="1">
        <v>59</v>
      </c>
      <c r="E781" t="s">
        <v>83</v>
      </c>
      <c r="F781" s="1">
        <v>41</v>
      </c>
      <c r="G781" t="s">
        <v>3</v>
      </c>
      <c r="H781" s="1">
        <v>51</v>
      </c>
      <c r="I781" t="s">
        <v>6</v>
      </c>
      <c r="J781" s="1">
        <v>49</v>
      </c>
      <c r="K781" s="1">
        <v>62</v>
      </c>
      <c r="L781" s="1">
        <v>3338</v>
      </c>
      <c r="M781" s="1">
        <v>28424</v>
      </c>
      <c r="N781" s="1">
        <v>47250</v>
      </c>
      <c r="O781" s="1">
        <v>2032609</v>
      </c>
      <c r="P781" s="1">
        <v>255282</v>
      </c>
      <c r="Q781" s="1">
        <v>494762</v>
      </c>
      <c r="R781" s="1">
        <v>25674256</v>
      </c>
      <c r="S781" s="1">
        <v>8059</v>
      </c>
      <c r="T781" s="1">
        <v>8059</v>
      </c>
      <c r="U781" s="1">
        <v>41051</v>
      </c>
      <c r="V781" s="1">
        <v>0</v>
      </c>
      <c r="W781" s="1">
        <v>1</v>
      </c>
    </row>
    <row r="782">
      <c r="A782" s="1">
        <v>2020</v>
      </c>
      <c r="B782" s="1">
        <v>8</v>
      </c>
      <c r="C782" t="s">
        <v>12</v>
      </c>
      <c r="D782" s="1">
        <v>69</v>
      </c>
      <c r="E782" t="s">
        <v>84</v>
      </c>
      <c r="F782" s="1">
        <v>41</v>
      </c>
      <c r="G782" t="s">
        <v>3</v>
      </c>
      <c r="H782" s="1">
        <v>51</v>
      </c>
      <c r="I782" t="s">
        <v>6</v>
      </c>
      <c r="J782" s="1">
        <v>49</v>
      </c>
      <c r="K782" s="1">
        <v>58</v>
      </c>
      <c r="L782" s="1">
        <v>2047</v>
      </c>
      <c r="M782" s="1">
        <v>13551</v>
      </c>
      <c r="N782" s="1">
        <v>22749</v>
      </c>
      <c r="O782" s="1">
        <v>850764</v>
      </c>
      <c r="P782" s="1">
        <v>146158</v>
      </c>
      <c r="Q782" s="1">
        <v>288980</v>
      </c>
      <c r="R782" s="1">
        <v>13594415</v>
      </c>
      <c r="S782" s="1">
        <v>8069</v>
      </c>
      <c r="T782" s="1">
        <v>8069</v>
      </c>
      <c r="U782" s="1">
        <v>41051</v>
      </c>
      <c r="V782" s="1">
        <v>0</v>
      </c>
      <c r="W782" s="1">
        <v>1</v>
      </c>
    </row>
    <row r="783">
      <c r="A783" s="1">
        <v>2020</v>
      </c>
      <c r="B783" s="1">
        <v>9</v>
      </c>
      <c r="C783" t="s">
        <v>13</v>
      </c>
      <c r="D783" s="1">
        <v>1</v>
      </c>
      <c r="E783" t="s">
        <v>241</v>
      </c>
      <c r="F783" s="1">
        <v>41</v>
      </c>
      <c r="G783" t="s">
        <v>3</v>
      </c>
      <c r="H783" s="1">
        <v>51</v>
      </c>
      <c r="I783" t="s">
        <v>6</v>
      </c>
      <c r="J783" s="1">
        <v>27</v>
      </c>
      <c r="K783" s="1">
        <v>32</v>
      </c>
      <c r="L783" s="1">
        <v>2568</v>
      </c>
      <c r="M783" s="1">
        <v>22603</v>
      </c>
      <c r="N783" s="1">
        <v>39245</v>
      </c>
      <c r="O783" s="1">
        <v>3434797</v>
      </c>
      <c r="P783" s="1">
        <v>378407</v>
      </c>
      <c r="Q783" s="1">
        <v>796766</v>
      </c>
      <c r="R783" s="1">
        <v>70614368</v>
      </c>
      <c r="S783" s="1">
        <v>9001</v>
      </c>
      <c r="T783" s="1">
        <v>9001</v>
      </c>
      <c r="U783" s="1">
        <v>41051</v>
      </c>
      <c r="V783" s="1">
        <v>0</v>
      </c>
      <c r="W783" s="1">
        <v>1</v>
      </c>
    </row>
    <row r="784">
      <c r="A784" s="1">
        <v>2020</v>
      </c>
      <c r="B784" s="1">
        <v>9</v>
      </c>
      <c r="C784" t="s">
        <v>13</v>
      </c>
      <c r="D784" s="1">
        <v>3</v>
      </c>
      <c r="E784" t="s">
        <v>182</v>
      </c>
      <c r="F784" s="1">
        <v>41</v>
      </c>
      <c r="G784" t="s">
        <v>3</v>
      </c>
      <c r="H784" s="1">
        <v>51</v>
      </c>
      <c r="I784" t="s">
        <v>6</v>
      </c>
      <c r="J784" s="1">
        <v>21</v>
      </c>
      <c r="K784" s="1">
        <v>25</v>
      </c>
      <c r="L784" s="1">
        <v>1330</v>
      </c>
      <c r="M784" s="1">
        <v>19079</v>
      </c>
      <c r="N784" s="1">
        <v>31750</v>
      </c>
      <c r="O784" s="1">
        <v>1670597</v>
      </c>
      <c r="P784" s="1">
        <v>378238</v>
      </c>
      <c r="Q784" s="1">
        <v>749883</v>
      </c>
      <c r="R784" s="1">
        <v>34946548</v>
      </c>
      <c r="S784" s="1">
        <v>9003</v>
      </c>
      <c r="T784" s="1">
        <v>9003</v>
      </c>
      <c r="U784" s="1">
        <v>41051</v>
      </c>
      <c r="V784" s="1">
        <v>0</v>
      </c>
      <c r="W784" s="1">
        <v>1</v>
      </c>
    </row>
    <row r="785">
      <c r="A785" s="1">
        <v>2020</v>
      </c>
      <c r="B785" s="1">
        <v>9</v>
      </c>
      <c r="C785" t="s">
        <v>13</v>
      </c>
      <c r="D785" s="1">
        <v>9</v>
      </c>
      <c r="E785" t="s">
        <v>85</v>
      </c>
      <c r="F785" s="1">
        <v>41</v>
      </c>
      <c r="G785" t="s">
        <v>3</v>
      </c>
      <c r="H785" s="1">
        <v>51</v>
      </c>
      <c r="I785" t="s">
        <v>6</v>
      </c>
      <c r="J785" s="1">
        <v>25</v>
      </c>
      <c r="K785" s="1">
        <v>28</v>
      </c>
      <c r="L785" s="1">
        <v>1158</v>
      </c>
      <c r="M785" s="1">
        <v>19079</v>
      </c>
      <c r="N785" s="1">
        <v>31661</v>
      </c>
      <c r="O785" s="1">
        <v>1379986</v>
      </c>
      <c r="P785" s="1">
        <v>348894</v>
      </c>
      <c r="Q785" s="1">
        <v>686606</v>
      </c>
      <c r="R785" s="1">
        <v>29872228</v>
      </c>
      <c r="S785" s="1">
        <v>9009</v>
      </c>
      <c r="T785" s="1">
        <v>9009</v>
      </c>
      <c r="U785" s="1">
        <v>41051</v>
      </c>
      <c r="V785" s="1">
        <v>0</v>
      </c>
      <c r="W785" s="1">
        <v>1</v>
      </c>
    </row>
    <row r="786">
      <c r="A786" s="1">
        <v>2020</v>
      </c>
      <c r="B786" s="1">
        <v>11</v>
      </c>
      <c r="C786" t="s">
        <v>14</v>
      </c>
      <c r="D786" s="1">
        <v>1</v>
      </c>
      <c r="E786" t="s">
        <v>14</v>
      </c>
      <c r="F786" s="1">
        <v>41</v>
      </c>
      <c r="G786" t="s">
        <v>3</v>
      </c>
      <c r="H786" s="1">
        <v>51</v>
      </c>
      <c r="I786" t="s">
        <v>6</v>
      </c>
      <c r="J786" s="1">
        <v>138</v>
      </c>
      <c r="K786" s="1">
        <v>182</v>
      </c>
      <c r="L786" s="1">
        <v>13881</v>
      </c>
      <c r="M786" s="1">
        <v>35911</v>
      </c>
      <c r="N786" s="1">
        <v>53104</v>
      </c>
      <c r="O786" s="1">
        <v>3726830</v>
      </c>
      <c r="P786" s="1">
        <v>299449</v>
      </c>
      <c r="Q786" s="1">
        <v>498412</v>
      </c>
      <c r="R786" s="1">
        <v>36296552</v>
      </c>
      <c r="S786" s="1">
        <v>11001</v>
      </c>
      <c r="T786" s="1">
        <v>11001</v>
      </c>
      <c r="U786" s="1">
        <v>41051</v>
      </c>
      <c r="V786" s="1">
        <v>0</v>
      </c>
      <c r="W786" s="1">
        <v>1</v>
      </c>
    </row>
    <row r="787">
      <c r="A787" s="1">
        <v>2020</v>
      </c>
      <c r="B787" s="1">
        <v>12</v>
      </c>
      <c r="C787" t="s">
        <v>15</v>
      </c>
      <c r="D787" s="1">
        <v>11</v>
      </c>
      <c r="E787" t="s">
        <v>183</v>
      </c>
      <c r="F787" s="1">
        <v>41</v>
      </c>
      <c r="G787" t="s">
        <v>3</v>
      </c>
      <c r="H787" s="1">
        <v>51</v>
      </c>
      <c r="I787" t="s">
        <v>6</v>
      </c>
      <c r="J787" s="1">
        <v>43</v>
      </c>
      <c r="K787" s="1">
        <v>58</v>
      </c>
      <c r="L787" s="1">
        <v>2416</v>
      </c>
      <c r="M787" s="1">
        <v>54040</v>
      </c>
      <c r="N787" s="1">
        <v>96065</v>
      </c>
      <c r="O787" s="1">
        <v>4186859</v>
      </c>
      <c r="P787" s="1">
        <v>799534</v>
      </c>
      <c r="Q787" s="1">
        <v>1559043</v>
      </c>
      <c r="R787" s="1">
        <v>65290392</v>
      </c>
      <c r="S787" s="1">
        <v>12011</v>
      </c>
      <c r="T787" s="1">
        <v>12011</v>
      </c>
      <c r="U787" s="1">
        <v>41051</v>
      </c>
      <c r="V787" s="1">
        <v>0</v>
      </c>
      <c r="W787" s="1">
        <v>1</v>
      </c>
    </row>
    <row r="788">
      <c r="A788" s="1">
        <v>2020</v>
      </c>
      <c r="B788" s="1">
        <v>12</v>
      </c>
      <c r="C788" t="s">
        <v>15</v>
      </c>
      <c r="D788" s="1">
        <v>31</v>
      </c>
      <c r="E788" t="s">
        <v>184</v>
      </c>
      <c r="F788" s="1">
        <v>41</v>
      </c>
      <c r="G788" t="s">
        <v>3</v>
      </c>
      <c r="H788" s="1">
        <v>51</v>
      </c>
      <c r="I788" t="s">
        <v>6</v>
      </c>
      <c r="J788" s="1">
        <v>29</v>
      </c>
      <c r="K788" s="1">
        <v>38</v>
      </c>
      <c r="L788" s="1">
        <v>1215</v>
      </c>
      <c r="M788" s="1">
        <v>28061</v>
      </c>
      <c r="N788" s="1">
        <v>53249</v>
      </c>
      <c r="O788" s="1">
        <v>1792086</v>
      </c>
      <c r="P788" s="1">
        <v>386623</v>
      </c>
      <c r="Q788" s="1">
        <v>771930</v>
      </c>
      <c r="R788" s="1">
        <v>27363836</v>
      </c>
      <c r="S788" s="1">
        <v>12031</v>
      </c>
      <c r="T788" s="1">
        <v>12031</v>
      </c>
      <c r="U788" s="1">
        <v>41051</v>
      </c>
      <c r="V788" s="1">
        <v>0</v>
      </c>
      <c r="W788" s="1">
        <v>1</v>
      </c>
    </row>
    <row r="789">
      <c r="A789" s="1">
        <v>2020</v>
      </c>
      <c r="B789" s="1">
        <v>12</v>
      </c>
      <c r="C789" t="s">
        <v>15</v>
      </c>
      <c r="D789" s="1">
        <v>57</v>
      </c>
      <c r="E789" t="s">
        <v>86</v>
      </c>
      <c r="F789" s="1">
        <v>41</v>
      </c>
      <c r="G789" t="s">
        <v>3</v>
      </c>
      <c r="H789" s="1">
        <v>51</v>
      </c>
      <c r="I789" t="s">
        <v>6</v>
      </c>
      <c r="J789" s="1">
        <v>47</v>
      </c>
      <c r="K789" s="1">
        <v>77</v>
      </c>
      <c r="L789" s="1">
        <v>2542</v>
      </c>
      <c r="M789" s="1">
        <v>41973</v>
      </c>
      <c r="N789" s="1">
        <v>76813</v>
      </c>
      <c r="O789" s="1">
        <v>2953950</v>
      </c>
      <c r="P789" s="1">
        <v>567194</v>
      </c>
      <c r="Q789" s="1">
        <v>1160648</v>
      </c>
      <c r="R789" s="1">
        <v>46240292</v>
      </c>
      <c r="S789" s="1">
        <v>12057</v>
      </c>
      <c r="T789" s="1">
        <v>12057</v>
      </c>
      <c r="U789" s="1">
        <v>41051</v>
      </c>
      <c r="V789" s="1">
        <v>0</v>
      </c>
      <c r="W789" s="1">
        <v>1</v>
      </c>
    </row>
    <row r="790">
      <c r="A790" s="1">
        <v>2020</v>
      </c>
      <c r="B790" s="1">
        <v>12</v>
      </c>
      <c r="C790" t="s">
        <v>15</v>
      </c>
      <c r="D790" s="1">
        <v>71</v>
      </c>
      <c r="E790" t="s">
        <v>226</v>
      </c>
      <c r="F790" s="1">
        <v>41</v>
      </c>
      <c r="G790" t="s">
        <v>3</v>
      </c>
      <c r="H790" s="1">
        <v>51</v>
      </c>
      <c r="I790" t="s">
        <v>6</v>
      </c>
      <c r="J790" s="1">
        <v>20</v>
      </c>
      <c r="K790" s="1">
        <v>22</v>
      </c>
      <c r="L790" s="1">
        <v>1058</v>
      </c>
      <c r="M790" s="1">
        <v>19244</v>
      </c>
      <c r="N790" s="1">
        <v>33135</v>
      </c>
      <c r="O790" s="1">
        <v>1551773</v>
      </c>
      <c r="P790" s="1">
        <v>303290</v>
      </c>
      <c r="Q790" s="1">
        <v>588303</v>
      </c>
      <c r="R790" s="1">
        <v>27650364</v>
      </c>
      <c r="S790" s="1">
        <v>12071</v>
      </c>
      <c r="T790" s="1">
        <v>12071</v>
      </c>
      <c r="U790" s="1">
        <v>41051</v>
      </c>
      <c r="V790" s="1">
        <v>0</v>
      </c>
      <c r="W790" s="1">
        <v>1</v>
      </c>
    </row>
    <row r="791">
      <c r="A791" s="1">
        <v>2020</v>
      </c>
      <c r="B791" s="1">
        <v>12</v>
      </c>
      <c r="C791" t="s">
        <v>15</v>
      </c>
      <c r="D791" s="1">
        <v>86</v>
      </c>
      <c r="E791" t="s">
        <v>87</v>
      </c>
      <c r="F791" s="1">
        <v>41</v>
      </c>
      <c r="G791" t="s">
        <v>3</v>
      </c>
      <c r="H791" s="1">
        <v>51</v>
      </c>
      <c r="I791" t="s">
        <v>6</v>
      </c>
      <c r="J791" s="1">
        <v>55</v>
      </c>
      <c r="K791" s="1">
        <v>86</v>
      </c>
      <c r="L791" s="1">
        <v>4486</v>
      </c>
      <c r="M791" s="1">
        <v>56335</v>
      </c>
      <c r="N791" s="1">
        <v>99545</v>
      </c>
      <c r="O791" s="1">
        <v>3547017</v>
      </c>
      <c r="P791" s="1">
        <v>1127371</v>
      </c>
      <c r="Q791" s="1">
        <v>2145880</v>
      </c>
      <c r="R791" s="1">
        <v>83902544</v>
      </c>
      <c r="S791" s="1">
        <v>12086</v>
      </c>
      <c r="T791" s="1">
        <v>12086</v>
      </c>
      <c r="U791" s="1">
        <v>41051</v>
      </c>
      <c r="V791" s="1">
        <v>0</v>
      </c>
      <c r="W791" s="1">
        <v>1</v>
      </c>
    </row>
    <row r="792">
      <c r="A792" s="1">
        <v>2020</v>
      </c>
      <c r="B792" s="1">
        <v>12</v>
      </c>
      <c r="C792" t="s">
        <v>15</v>
      </c>
      <c r="D792" s="1">
        <v>95</v>
      </c>
      <c r="E792" t="s">
        <v>64</v>
      </c>
      <c r="F792" s="1">
        <v>41</v>
      </c>
      <c r="G792" t="s">
        <v>3</v>
      </c>
      <c r="H792" s="1">
        <v>51</v>
      </c>
      <c r="I792" t="s">
        <v>6</v>
      </c>
      <c r="J792" s="1">
        <v>43</v>
      </c>
      <c r="K792" s="1">
        <v>57</v>
      </c>
      <c r="L792" s="1">
        <v>2247</v>
      </c>
      <c r="M792" s="1">
        <v>53893</v>
      </c>
      <c r="N792" s="1">
        <v>97498</v>
      </c>
      <c r="O792" s="1">
        <v>3012934</v>
      </c>
      <c r="P792" s="1">
        <v>556673</v>
      </c>
      <c r="Q792" s="1">
        <v>1122770</v>
      </c>
      <c r="R792" s="1">
        <v>41689200</v>
      </c>
      <c r="S792" s="1">
        <v>12095</v>
      </c>
      <c r="T792" s="1">
        <v>12095</v>
      </c>
      <c r="U792" s="1">
        <v>41051</v>
      </c>
      <c r="V792" s="1">
        <v>0</v>
      </c>
      <c r="W792" s="1">
        <v>1</v>
      </c>
    </row>
    <row r="793">
      <c r="A793" s="1">
        <v>2020</v>
      </c>
      <c r="B793" s="1">
        <v>12</v>
      </c>
      <c r="C793" t="s">
        <v>15</v>
      </c>
      <c r="D793" s="1">
        <v>99</v>
      </c>
      <c r="E793" t="s">
        <v>88</v>
      </c>
      <c r="F793" s="1">
        <v>41</v>
      </c>
      <c r="G793" t="s">
        <v>3</v>
      </c>
      <c r="H793" s="1">
        <v>51</v>
      </c>
      <c r="I793" t="s">
        <v>6</v>
      </c>
      <c r="J793" s="1">
        <v>36</v>
      </c>
      <c r="K793" s="1">
        <v>47</v>
      </c>
      <c r="L793" s="1">
        <v>1522</v>
      </c>
      <c r="M793" s="1">
        <v>36646</v>
      </c>
      <c r="N793" s="1">
        <v>62165</v>
      </c>
      <c r="O793" s="1">
        <v>3324292</v>
      </c>
      <c r="P793" s="1">
        <v>610012</v>
      </c>
      <c r="Q793" s="1">
        <v>1177621</v>
      </c>
      <c r="R793" s="1">
        <v>76544888</v>
      </c>
      <c r="S793" s="1">
        <v>12099</v>
      </c>
      <c r="T793" s="1">
        <v>12099</v>
      </c>
      <c r="U793" s="1">
        <v>41051</v>
      </c>
      <c r="V793" s="1">
        <v>0</v>
      </c>
      <c r="W793" s="1">
        <v>1</v>
      </c>
    </row>
    <row r="794">
      <c r="A794" s="1">
        <v>2020</v>
      </c>
      <c r="B794" s="1">
        <v>12</v>
      </c>
      <c r="C794" t="s">
        <v>15</v>
      </c>
      <c r="D794" s="1">
        <v>103</v>
      </c>
      <c r="E794" t="s">
        <v>89</v>
      </c>
      <c r="F794" s="1">
        <v>41</v>
      </c>
      <c r="G794" t="s">
        <v>3</v>
      </c>
      <c r="H794" s="1">
        <v>51</v>
      </c>
      <c r="I794" t="s">
        <v>6</v>
      </c>
      <c r="J794" s="1">
        <v>44</v>
      </c>
      <c r="K794" s="1">
        <v>60</v>
      </c>
      <c r="L794" s="1">
        <v>2965</v>
      </c>
      <c r="M794" s="1">
        <v>28384</v>
      </c>
      <c r="N794" s="1">
        <v>47369</v>
      </c>
      <c r="O794" s="1">
        <v>1789483</v>
      </c>
      <c r="P794" s="1">
        <v>409560</v>
      </c>
      <c r="Q794" s="1">
        <v>740820</v>
      </c>
      <c r="R794" s="1">
        <v>34231572</v>
      </c>
      <c r="S794" s="1">
        <v>12103</v>
      </c>
      <c r="T794" s="1">
        <v>12103</v>
      </c>
      <c r="U794" s="1">
        <v>41051</v>
      </c>
      <c r="V794" s="1">
        <v>0</v>
      </c>
      <c r="W794" s="1">
        <v>1</v>
      </c>
    </row>
    <row r="795">
      <c r="A795" s="1">
        <v>2020</v>
      </c>
      <c r="B795" s="1">
        <v>13</v>
      </c>
      <c r="C795" t="s">
        <v>16</v>
      </c>
      <c r="D795" s="1">
        <v>89</v>
      </c>
      <c r="E795" t="s">
        <v>90</v>
      </c>
      <c r="F795" s="1">
        <v>41</v>
      </c>
      <c r="G795" t="s">
        <v>3</v>
      </c>
      <c r="H795" s="1">
        <v>51</v>
      </c>
      <c r="I795" t="s">
        <v>6</v>
      </c>
      <c r="J795" s="1">
        <v>29</v>
      </c>
      <c r="K795" s="1">
        <v>51</v>
      </c>
      <c r="L795" s="1">
        <v>1828</v>
      </c>
      <c r="M795" s="1">
        <v>34806</v>
      </c>
      <c r="N795" s="1">
        <v>64620</v>
      </c>
      <c r="O795" s="1">
        <v>2207856</v>
      </c>
      <c r="P795" s="1">
        <v>284067</v>
      </c>
      <c r="Q795" s="1">
        <v>570744</v>
      </c>
      <c r="R795" s="1">
        <v>23792252</v>
      </c>
      <c r="S795" s="1">
        <v>13089</v>
      </c>
      <c r="T795" s="1">
        <v>13089</v>
      </c>
      <c r="U795" s="1">
        <v>41051</v>
      </c>
      <c r="V795" s="1">
        <v>0</v>
      </c>
      <c r="W795" s="1">
        <v>1</v>
      </c>
    </row>
    <row r="796">
      <c r="A796" s="1">
        <v>2020</v>
      </c>
      <c r="B796" s="1">
        <v>13</v>
      </c>
      <c r="C796" t="s">
        <v>16</v>
      </c>
      <c r="D796" s="1">
        <v>121</v>
      </c>
      <c r="E796" t="s">
        <v>91</v>
      </c>
      <c r="F796" s="1">
        <v>41</v>
      </c>
      <c r="G796" t="s">
        <v>3</v>
      </c>
      <c r="H796" s="1">
        <v>51</v>
      </c>
      <c r="I796" t="s">
        <v>6</v>
      </c>
      <c r="J796" s="1">
        <v>65</v>
      </c>
      <c r="K796" s="1">
        <v>79</v>
      </c>
      <c r="L796" s="1">
        <v>5288</v>
      </c>
      <c r="M796" s="1">
        <v>50065</v>
      </c>
      <c r="N796" s="1">
        <v>88135</v>
      </c>
      <c r="O796" s="1">
        <v>4432875</v>
      </c>
      <c r="P796" s="1">
        <v>440462</v>
      </c>
      <c r="Q796" s="1">
        <v>828845</v>
      </c>
      <c r="R796" s="1">
        <v>53492820</v>
      </c>
      <c r="S796" s="1">
        <v>13121</v>
      </c>
      <c r="T796" s="1">
        <v>13121</v>
      </c>
      <c r="U796" s="1">
        <v>41051</v>
      </c>
      <c r="V796" s="1">
        <v>0</v>
      </c>
      <c r="W796" s="1">
        <v>1</v>
      </c>
    </row>
    <row r="797">
      <c r="A797" s="1">
        <v>2020</v>
      </c>
      <c r="B797" s="1">
        <v>15</v>
      </c>
      <c r="C797" t="s">
        <v>17</v>
      </c>
      <c r="D797" s="1">
        <v>1</v>
      </c>
      <c r="E797" t="s">
        <v>92</v>
      </c>
      <c r="F797" s="1">
        <v>41</v>
      </c>
      <c r="G797" t="s">
        <v>3</v>
      </c>
      <c r="H797" s="1">
        <v>51</v>
      </c>
      <c r="I797" t="s">
        <v>6</v>
      </c>
      <c r="J797" s="1">
        <v>34</v>
      </c>
      <c r="K797" s="1">
        <v>47</v>
      </c>
      <c r="L797" s="1">
        <v>1887</v>
      </c>
      <c r="M797" s="1">
        <v>3427</v>
      </c>
      <c r="N797" s="1">
        <v>6179</v>
      </c>
      <c r="O797" s="1">
        <v>235909</v>
      </c>
      <c r="P797" s="1">
        <v>76819</v>
      </c>
      <c r="Q797" s="1">
        <v>156203</v>
      </c>
      <c r="R797" s="1">
        <v>4772866</v>
      </c>
      <c r="S797" s="1">
        <v>15001</v>
      </c>
      <c r="T797" s="1">
        <v>15001</v>
      </c>
      <c r="U797" s="1">
        <v>41051</v>
      </c>
      <c r="V797" s="1">
        <v>0</v>
      </c>
      <c r="W797" s="1">
        <v>1</v>
      </c>
    </row>
    <row r="798">
      <c r="A798" s="1">
        <v>2020</v>
      </c>
      <c r="B798" s="1">
        <v>15</v>
      </c>
      <c r="C798" t="s">
        <v>17</v>
      </c>
      <c r="D798" s="1">
        <v>3</v>
      </c>
      <c r="E798" t="s">
        <v>93</v>
      </c>
      <c r="F798" s="1">
        <v>41</v>
      </c>
      <c r="G798" t="s">
        <v>3</v>
      </c>
      <c r="H798" s="1">
        <v>51</v>
      </c>
      <c r="I798" t="s">
        <v>6</v>
      </c>
      <c r="J798" s="1">
        <v>152</v>
      </c>
      <c r="K798" s="1">
        <v>233</v>
      </c>
      <c r="L798" s="1">
        <v>7551</v>
      </c>
      <c r="M798" s="1">
        <v>23142</v>
      </c>
      <c r="N798" s="1">
        <v>50140</v>
      </c>
      <c r="O798" s="1">
        <v>1452039</v>
      </c>
      <c r="P798" s="1">
        <v>414986</v>
      </c>
      <c r="Q798" s="1">
        <v>838780</v>
      </c>
      <c r="R798" s="1">
        <v>31782810</v>
      </c>
      <c r="S798" s="1">
        <v>15003</v>
      </c>
      <c r="T798" s="1">
        <v>15003</v>
      </c>
      <c r="U798" s="1">
        <v>41051</v>
      </c>
      <c r="V798" s="1">
        <v>0</v>
      </c>
      <c r="W798" s="1">
        <v>1</v>
      </c>
    </row>
    <row r="799">
      <c r="A799" s="1">
        <v>2020</v>
      </c>
      <c r="B799" s="1">
        <v>15</v>
      </c>
      <c r="C799" t="s">
        <v>17</v>
      </c>
      <c r="D799" s="1">
        <v>9</v>
      </c>
      <c r="E799" t="s">
        <v>94</v>
      </c>
      <c r="F799" s="1">
        <v>41</v>
      </c>
      <c r="G799" t="s">
        <v>3</v>
      </c>
      <c r="H799" s="1">
        <v>51</v>
      </c>
      <c r="I799" t="s">
        <v>6</v>
      </c>
      <c r="J799" s="1">
        <v>40</v>
      </c>
      <c r="K799" s="1">
        <v>52</v>
      </c>
      <c r="L799" s="1">
        <v>1931</v>
      </c>
      <c r="M799" s="1">
        <v>3258</v>
      </c>
      <c r="N799" s="1">
        <v>5470</v>
      </c>
      <c r="O799" s="1">
        <v>197121</v>
      </c>
      <c r="P799" s="1">
        <v>70365</v>
      </c>
      <c r="Q799" s="1">
        <v>138756</v>
      </c>
      <c r="R799" s="1">
        <v>5011810</v>
      </c>
      <c r="S799" s="1">
        <v>15009</v>
      </c>
      <c r="T799" s="1">
        <v>15009</v>
      </c>
      <c r="U799" s="1">
        <v>41051</v>
      </c>
      <c r="V799" s="1">
        <v>0</v>
      </c>
      <c r="W799" s="1">
        <v>1</v>
      </c>
    </row>
    <row r="800">
      <c r="A800" s="1">
        <v>2020</v>
      </c>
      <c r="B800" s="1">
        <v>16</v>
      </c>
      <c r="C800" t="s">
        <v>18</v>
      </c>
      <c r="D800" s="1">
        <v>1</v>
      </c>
      <c r="E800" t="s">
        <v>95</v>
      </c>
      <c r="F800" s="1">
        <v>41</v>
      </c>
      <c r="G800" t="s">
        <v>3</v>
      </c>
      <c r="H800" s="1">
        <v>51</v>
      </c>
      <c r="I800" t="s">
        <v>6</v>
      </c>
      <c r="J800" s="1">
        <v>106</v>
      </c>
      <c r="K800" s="1">
        <v>153</v>
      </c>
      <c r="L800" s="1">
        <v>4745</v>
      </c>
      <c r="M800" s="1">
        <v>12192</v>
      </c>
      <c r="N800" s="1">
        <v>23601</v>
      </c>
      <c r="O800" s="1">
        <v>742121</v>
      </c>
      <c r="P800" s="1">
        <v>188951</v>
      </c>
      <c r="Q800" s="1">
        <v>412110</v>
      </c>
      <c r="R800" s="1">
        <v>17370256</v>
      </c>
      <c r="S800" s="1">
        <v>16001</v>
      </c>
      <c r="T800" s="1">
        <v>16001</v>
      </c>
      <c r="U800" s="1">
        <v>41051</v>
      </c>
      <c r="V800" s="1">
        <v>0</v>
      </c>
      <c r="W800" s="1">
        <v>1</v>
      </c>
    </row>
    <row r="801">
      <c r="A801" s="1">
        <v>2020</v>
      </c>
      <c r="B801" s="1">
        <v>16</v>
      </c>
      <c r="C801" t="s">
        <v>18</v>
      </c>
      <c r="D801" s="1">
        <v>27</v>
      </c>
      <c r="E801" t="s">
        <v>96</v>
      </c>
      <c r="F801" s="1">
        <v>41</v>
      </c>
      <c r="G801" t="s">
        <v>3</v>
      </c>
      <c r="H801" s="1">
        <v>51</v>
      </c>
      <c r="I801" t="s">
        <v>6</v>
      </c>
      <c r="J801" s="1">
        <v>24</v>
      </c>
      <c r="K801" s="1">
        <v>35</v>
      </c>
      <c r="L801" s="1">
        <v>903</v>
      </c>
      <c r="M801" s="1">
        <v>5934</v>
      </c>
      <c r="N801" s="1">
        <v>12637</v>
      </c>
      <c r="O801" s="1">
        <v>284904</v>
      </c>
      <c r="P801" s="1">
        <v>78400</v>
      </c>
      <c r="Q801" s="1">
        <v>192511</v>
      </c>
      <c r="R801" s="1">
        <v>4663248</v>
      </c>
      <c r="S801" s="1">
        <v>16027</v>
      </c>
      <c r="T801" s="1">
        <v>16027</v>
      </c>
      <c r="U801" s="1">
        <v>41051</v>
      </c>
      <c r="V801" s="1">
        <v>0</v>
      </c>
      <c r="W801" s="1">
        <v>1</v>
      </c>
    </row>
    <row r="802">
      <c r="A802" s="1">
        <v>2020</v>
      </c>
      <c r="B802" s="1">
        <v>17</v>
      </c>
      <c r="C802" t="s">
        <v>19</v>
      </c>
      <c r="D802" s="1">
        <v>31</v>
      </c>
      <c r="E802" t="s">
        <v>98</v>
      </c>
      <c r="F802" s="1">
        <v>41</v>
      </c>
      <c r="G802" t="s">
        <v>3</v>
      </c>
      <c r="H802" s="1">
        <v>51</v>
      </c>
      <c r="I802" t="s">
        <v>6</v>
      </c>
      <c r="J802" s="1">
        <v>282</v>
      </c>
      <c r="K802" s="1">
        <v>367</v>
      </c>
      <c r="L802" s="1">
        <v>24115</v>
      </c>
      <c r="M802" s="1">
        <v>106486</v>
      </c>
      <c r="N802" s="1">
        <v>188520</v>
      </c>
      <c r="O802" s="1">
        <v>11227208</v>
      </c>
      <c r="P802" s="1">
        <v>2101915</v>
      </c>
      <c r="Q802" s="1">
        <v>4242367</v>
      </c>
      <c r="R802" s="1">
        <v>197786304</v>
      </c>
      <c r="S802" s="1">
        <v>17031</v>
      </c>
      <c r="T802" s="1">
        <v>17031</v>
      </c>
      <c r="U802" s="1">
        <v>41051</v>
      </c>
      <c r="V802" s="1">
        <v>0</v>
      </c>
      <c r="W802" s="1">
        <v>1</v>
      </c>
    </row>
    <row r="803">
      <c r="A803" s="1">
        <v>2020</v>
      </c>
      <c r="B803" s="1">
        <v>17</v>
      </c>
      <c r="C803" t="s">
        <v>19</v>
      </c>
      <c r="D803" s="1">
        <v>43</v>
      </c>
      <c r="E803" t="s">
        <v>187</v>
      </c>
      <c r="F803" s="1">
        <v>41</v>
      </c>
      <c r="G803" t="s">
        <v>3</v>
      </c>
      <c r="H803" s="1">
        <v>51</v>
      </c>
      <c r="I803" t="s">
        <v>6</v>
      </c>
      <c r="J803" s="1">
        <v>32</v>
      </c>
      <c r="K803" s="1">
        <v>44</v>
      </c>
      <c r="L803" s="1">
        <v>2007</v>
      </c>
      <c r="M803" s="1">
        <v>29927</v>
      </c>
      <c r="N803" s="1">
        <v>54384</v>
      </c>
      <c r="O803" s="1">
        <v>2985522</v>
      </c>
      <c r="P803" s="1">
        <v>386166</v>
      </c>
      <c r="Q803" s="1">
        <v>846244</v>
      </c>
      <c r="R803" s="1">
        <v>47380716</v>
      </c>
      <c r="S803" s="1">
        <v>17043</v>
      </c>
      <c r="T803" s="1">
        <v>17043</v>
      </c>
      <c r="U803" s="1">
        <v>41051</v>
      </c>
      <c r="V803" s="1">
        <v>0</v>
      </c>
      <c r="W803" s="1">
        <v>1</v>
      </c>
    </row>
    <row r="804">
      <c r="A804" s="1">
        <v>2020</v>
      </c>
      <c r="B804" s="1">
        <v>17</v>
      </c>
      <c r="C804" t="s">
        <v>19</v>
      </c>
      <c r="D804" s="1">
        <v>197</v>
      </c>
      <c r="E804" t="s">
        <v>362</v>
      </c>
      <c r="F804" s="1">
        <v>41</v>
      </c>
      <c r="G804" t="s">
        <v>3</v>
      </c>
      <c r="H804" s="1">
        <v>51</v>
      </c>
      <c r="I804" t="s">
        <v>6</v>
      </c>
      <c r="J804" s="1">
        <v>22</v>
      </c>
      <c r="K804" s="1">
        <v>27</v>
      </c>
      <c r="L804" s="1">
        <v>1372</v>
      </c>
      <c r="M804" s="1">
        <v>18592</v>
      </c>
      <c r="N804" s="1">
        <v>35349</v>
      </c>
      <c r="O804" s="1">
        <v>1443033</v>
      </c>
      <c r="P804" s="1">
        <v>273888</v>
      </c>
      <c r="Q804" s="1">
        <v>622735</v>
      </c>
      <c r="R804" s="1">
        <v>25343372</v>
      </c>
      <c r="S804" s="1">
        <v>17197</v>
      </c>
      <c r="T804" s="1">
        <v>17197</v>
      </c>
      <c r="U804" s="1">
        <v>41051</v>
      </c>
      <c r="V804" s="1">
        <v>0</v>
      </c>
      <c r="W804" s="1">
        <v>1</v>
      </c>
    </row>
    <row r="805">
      <c r="A805" s="1">
        <v>2020</v>
      </c>
      <c r="B805" s="1">
        <v>18</v>
      </c>
      <c r="C805" t="s">
        <v>20</v>
      </c>
      <c r="D805" s="1">
        <v>97</v>
      </c>
      <c r="E805" t="s">
        <v>99</v>
      </c>
      <c r="F805" s="1">
        <v>41</v>
      </c>
      <c r="G805" t="s">
        <v>3</v>
      </c>
      <c r="H805" s="1">
        <v>51</v>
      </c>
      <c r="I805" t="s">
        <v>6</v>
      </c>
      <c r="J805" s="1">
        <v>51</v>
      </c>
      <c r="K805" s="1">
        <v>67</v>
      </c>
      <c r="L805" s="1">
        <v>3448</v>
      </c>
      <c r="M805" s="1">
        <v>29180</v>
      </c>
      <c r="N805" s="1">
        <v>52888</v>
      </c>
      <c r="O805" s="1">
        <v>1911629</v>
      </c>
      <c r="P805" s="1">
        <v>378437</v>
      </c>
      <c r="Q805" s="1">
        <v>767691</v>
      </c>
      <c r="R805" s="1">
        <v>24670062</v>
      </c>
      <c r="S805" s="1">
        <v>18097</v>
      </c>
      <c r="T805" s="1">
        <v>18097</v>
      </c>
      <c r="U805" s="1">
        <v>41051</v>
      </c>
      <c r="V805" s="1">
        <v>0</v>
      </c>
      <c r="W805" s="1">
        <v>1</v>
      </c>
    </row>
    <row r="806">
      <c r="A806" s="1">
        <v>2020</v>
      </c>
      <c r="B806" s="1">
        <v>19</v>
      </c>
      <c r="C806" t="s">
        <v>21</v>
      </c>
      <c r="D806" s="1">
        <v>103</v>
      </c>
      <c r="E806" t="s">
        <v>188</v>
      </c>
      <c r="F806" s="1">
        <v>41</v>
      </c>
      <c r="G806" t="s">
        <v>3</v>
      </c>
      <c r="H806" s="1">
        <v>51</v>
      </c>
      <c r="I806" t="s">
        <v>6</v>
      </c>
      <c r="J806" s="1">
        <v>21</v>
      </c>
      <c r="K806" s="1">
        <v>28</v>
      </c>
      <c r="L806" s="1">
        <v>1065</v>
      </c>
      <c r="M806" s="1">
        <v>5224</v>
      </c>
      <c r="N806" s="1">
        <v>8566</v>
      </c>
      <c r="O806" s="1">
        <v>323016</v>
      </c>
      <c r="P806" s="1">
        <v>56283</v>
      </c>
      <c r="Q806" s="1">
        <v>115351</v>
      </c>
      <c r="R806" s="1">
        <v>5080938</v>
      </c>
      <c r="S806" s="1">
        <v>19103</v>
      </c>
      <c r="T806" s="1">
        <v>19103</v>
      </c>
      <c r="U806" s="1">
        <v>41051</v>
      </c>
      <c r="V806" s="1">
        <v>0</v>
      </c>
      <c r="W806" s="1">
        <v>1</v>
      </c>
    </row>
    <row r="807">
      <c r="A807" s="1">
        <v>2020</v>
      </c>
      <c r="B807" s="1">
        <v>20</v>
      </c>
      <c r="C807" t="s">
        <v>42</v>
      </c>
      <c r="D807" s="1">
        <v>91</v>
      </c>
      <c r="E807" t="s">
        <v>188</v>
      </c>
      <c r="F807" s="1">
        <v>41</v>
      </c>
      <c r="G807" t="s">
        <v>3</v>
      </c>
      <c r="H807" s="1">
        <v>51</v>
      </c>
      <c r="I807" t="s">
        <v>6</v>
      </c>
      <c r="J807" s="1">
        <v>25</v>
      </c>
      <c r="K807" s="1">
        <v>37</v>
      </c>
      <c r="L807" s="1">
        <v>1990</v>
      </c>
      <c r="M807" s="1">
        <v>16554</v>
      </c>
      <c r="N807" s="1">
        <v>29706</v>
      </c>
      <c r="O807" s="1">
        <v>1362431</v>
      </c>
      <c r="P807" s="1">
        <v>243833</v>
      </c>
      <c r="Q807" s="1">
        <v>538630</v>
      </c>
      <c r="R807" s="1">
        <v>30618588</v>
      </c>
      <c r="S807" s="1">
        <v>20091</v>
      </c>
      <c r="T807" s="1">
        <v>20091</v>
      </c>
      <c r="U807" s="1">
        <v>41051</v>
      </c>
      <c r="V807" s="1">
        <v>0</v>
      </c>
      <c r="W807" s="1">
        <v>1</v>
      </c>
    </row>
    <row r="808">
      <c r="A808" s="1">
        <v>2020</v>
      </c>
      <c r="B808" s="1">
        <v>21</v>
      </c>
      <c r="C808" t="s">
        <v>43</v>
      </c>
      <c r="D808" s="1">
        <v>111</v>
      </c>
      <c r="E808" t="s">
        <v>83</v>
      </c>
      <c r="F808" s="1">
        <v>41</v>
      </c>
      <c r="G808" t="s">
        <v>3</v>
      </c>
      <c r="H808" s="1">
        <v>51</v>
      </c>
      <c r="I808" t="s">
        <v>6</v>
      </c>
      <c r="J808" s="1">
        <v>20</v>
      </c>
      <c r="K808" s="1">
        <v>24</v>
      </c>
      <c r="L808" s="1">
        <v>874</v>
      </c>
      <c r="M808" s="1">
        <v>16752</v>
      </c>
      <c r="N808" s="1">
        <v>30734</v>
      </c>
      <c r="O808" s="1">
        <v>1457102</v>
      </c>
      <c r="P808" s="1">
        <v>308450</v>
      </c>
      <c r="Q808" s="1">
        <v>612218</v>
      </c>
      <c r="R808" s="1">
        <v>24646840</v>
      </c>
      <c r="S808" s="1">
        <v>21111</v>
      </c>
      <c r="T808" s="1">
        <v>21111</v>
      </c>
      <c r="U808" s="1">
        <v>41051</v>
      </c>
      <c r="V808" s="1">
        <v>0</v>
      </c>
      <c r="W808" s="1">
        <v>1</v>
      </c>
    </row>
    <row r="809">
      <c r="A809" s="1">
        <v>2020</v>
      </c>
      <c r="B809" s="1">
        <v>22</v>
      </c>
      <c r="C809" t="s">
        <v>22</v>
      </c>
      <c r="D809" s="1">
        <v>71</v>
      </c>
      <c r="E809" t="s">
        <v>101</v>
      </c>
      <c r="F809" s="1">
        <v>41</v>
      </c>
      <c r="G809" t="s">
        <v>3</v>
      </c>
      <c r="H809" s="1">
        <v>51</v>
      </c>
      <c r="I809" t="s">
        <v>6</v>
      </c>
      <c r="J809" s="1">
        <v>43</v>
      </c>
      <c r="K809" s="1">
        <v>61</v>
      </c>
      <c r="L809" s="1">
        <v>2212</v>
      </c>
      <c r="M809" s="1">
        <v>12165</v>
      </c>
      <c r="N809" s="1">
        <v>21458</v>
      </c>
      <c r="O809" s="1">
        <v>702587</v>
      </c>
      <c r="P809" s="1">
        <v>130857</v>
      </c>
      <c r="Q809" s="1">
        <v>247917</v>
      </c>
      <c r="R809" s="1">
        <v>9516676</v>
      </c>
      <c r="S809" s="1">
        <v>22071</v>
      </c>
      <c r="T809" s="1">
        <v>22071</v>
      </c>
      <c r="U809" s="1">
        <v>41051</v>
      </c>
      <c r="V809" s="1">
        <v>0</v>
      </c>
      <c r="W809" s="1">
        <v>1</v>
      </c>
    </row>
    <row r="810">
      <c r="A810" s="1">
        <v>2020</v>
      </c>
      <c r="B810" s="1">
        <v>23</v>
      </c>
      <c r="C810" t="s">
        <v>23</v>
      </c>
      <c r="D810" s="1">
        <v>5</v>
      </c>
      <c r="E810" t="s">
        <v>102</v>
      </c>
      <c r="F810" s="1">
        <v>41</v>
      </c>
      <c r="G810" t="s">
        <v>3</v>
      </c>
      <c r="H810" s="1">
        <v>51</v>
      </c>
      <c r="I810" t="s">
        <v>6</v>
      </c>
      <c r="J810" s="1">
        <v>26</v>
      </c>
      <c r="K810" s="1">
        <v>35</v>
      </c>
      <c r="L810" s="1">
        <v>2537</v>
      </c>
      <c r="M810" s="1">
        <v>8477</v>
      </c>
      <c r="N810" s="1">
        <v>13311</v>
      </c>
      <c r="O810" s="1">
        <v>540342</v>
      </c>
      <c r="P810" s="1">
        <v>132059</v>
      </c>
      <c r="Q810" s="1">
        <v>251299</v>
      </c>
      <c r="R810" s="1">
        <v>12363740</v>
      </c>
      <c r="S810" s="1">
        <v>23005</v>
      </c>
      <c r="T810" s="1">
        <v>23005</v>
      </c>
      <c r="U810" s="1">
        <v>41051</v>
      </c>
      <c r="V810" s="1">
        <v>0</v>
      </c>
      <c r="W810" s="1">
        <v>1</v>
      </c>
    </row>
    <row r="811">
      <c r="A811" s="1">
        <v>2020</v>
      </c>
      <c r="B811" s="1">
        <v>24</v>
      </c>
      <c r="C811" t="s">
        <v>24</v>
      </c>
      <c r="D811" s="1">
        <v>31</v>
      </c>
      <c r="E811" t="s">
        <v>103</v>
      </c>
      <c r="F811" s="1">
        <v>41</v>
      </c>
      <c r="G811" t="s">
        <v>3</v>
      </c>
      <c r="H811" s="1">
        <v>51</v>
      </c>
      <c r="I811" t="s">
        <v>6</v>
      </c>
      <c r="J811" s="1">
        <v>38</v>
      </c>
      <c r="K811" s="1">
        <v>50</v>
      </c>
      <c r="L811" s="1">
        <v>2794</v>
      </c>
      <c r="M811" s="1">
        <v>32090</v>
      </c>
      <c r="N811" s="1">
        <v>55901</v>
      </c>
      <c r="O811" s="1">
        <v>3196436</v>
      </c>
      <c r="P811" s="1">
        <v>437340</v>
      </c>
      <c r="Q811" s="1">
        <v>920192</v>
      </c>
      <c r="R811" s="1">
        <v>59019044</v>
      </c>
      <c r="S811" s="1">
        <v>24031</v>
      </c>
      <c r="T811" s="1">
        <v>24031</v>
      </c>
      <c r="U811" s="1">
        <v>41051</v>
      </c>
      <c r="V811" s="1">
        <v>0</v>
      </c>
      <c r="W811" s="1">
        <v>1</v>
      </c>
    </row>
    <row r="812">
      <c r="A812" s="1">
        <v>2020</v>
      </c>
      <c r="B812" s="1">
        <v>24</v>
      </c>
      <c r="C812" t="s">
        <v>24</v>
      </c>
      <c r="D812" s="1">
        <v>510</v>
      </c>
      <c r="E812" t="s">
        <v>190</v>
      </c>
      <c r="F812" s="1">
        <v>41</v>
      </c>
      <c r="G812" t="s">
        <v>3</v>
      </c>
      <c r="H812" s="1">
        <v>51</v>
      </c>
      <c r="I812" t="s">
        <v>6</v>
      </c>
      <c r="J812" s="1">
        <v>41</v>
      </c>
      <c r="K812" s="1">
        <v>58</v>
      </c>
      <c r="L812" s="1">
        <v>2725</v>
      </c>
      <c r="M812" s="1">
        <v>22417</v>
      </c>
      <c r="N812" s="1">
        <v>39066</v>
      </c>
      <c r="O812" s="1">
        <v>1569836</v>
      </c>
      <c r="P812" s="1">
        <v>207409</v>
      </c>
      <c r="Q812" s="1">
        <v>388530</v>
      </c>
      <c r="R812" s="1">
        <v>13633211</v>
      </c>
      <c r="S812" s="1">
        <v>24510</v>
      </c>
      <c r="T812" s="1">
        <v>24510</v>
      </c>
      <c r="U812" s="1">
        <v>41051</v>
      </c>
      <c r="V812" s="1">
        <v>0</v>
      </c>
      <c r="W812" s="1">
        <v>1</v>
      </c>
    </row>
    <row r="813">
      <c r="A813" s="1">
        <v>2020</v>
      </c>
      <c r="B813" s="1">
        <v>25</v>
      </c>
      <c r="C813" t="s">
        <v>25</v>
      </c>
      <c r="D813" s="1">
        <v>17</v>
      </c>
      <c r="E813" t="s">
        <v>104</v>
      </c>
      <c r="F813" s="1">
        <v>41</v>
      </c>
      <c r="G813" t="s">
        <v>3</v>
      </c>
      <c r="H813" s="1">
        <v>51</v>
      </c>
      <c r="I813" t="s">
        <v>6</v>
      </c>
      <c r="J813" s="1">
        <v>117</v>
      </c>
      <c r="K813" s="1">
        <v>138</v>
      </c>
      <c r="L813" s="1">
        <v>8739</v>
      </c>
      <c r="M813" s="1">
        <v>53106</v>
      </c>
      <c r="N813" s="1">
        <v>83477</v>
      </c>
      <c r="O813" s="1">
        <v>5759388</v>
      </c>
      <c r="P813" s="1">
        <v>675161</v>
      </c>
      <c r="Q813" s="1">
        <v>1341026</v>
      </c>
      <c r="R813" s="1">
        <v>98937920</v>
      </c>
      <c r="S813" s="1">
        <v>25017</v>
      </c>
      <c r="T813" s="1">
        <v>25017</v>
      </c>
      <c r="U813" s="1">
        <v>41051</v>
      </c>
      <c r="V813" s="1">
        <v>0</v>
      </c>
      <c r="W813" s="1">
        <v>1</v>
      </c>
    </row>
    <row r="814">
      <c r="A814" s="1">
        <v>2020</v>
      </c>
      <c r="B814" s="1">
        <v>25</v>
      </c>
      <c r="C814" t="s">
        <v>25</v>
      </c>
      <c r="D814" s="1">
        <v>21</v>
      </c>
      <c r="E814" t="s">
        <v>192</v>
      </c>
      <c r="F814" s="1">
        <v>41</v>
      </c>
      <c r="G814" t="s">
        <v>3</v>
      </c>
      <c r="H814" s="1">
        <v>51</v>
      </c>
      <c r="I814" t="s">
        <v>6</v>
      </c>
      <c r="J814" s="1">
        <v>26</v>
      </c>
      <c r="K814" s="1">
        <v>40</v>
      </c>
      <c r="L814" s="1">
        <v>2633</v>
      </c>
      <c r="M814" s="1">
        <v>24766</v>
      </c>
      <c r="N814" s="1">
        <v>39942</v>
      </c>
      <c r="O814" s="1">
        <v>2737788</v>
      </c>
      <c r="P814" s="1">
        <v>297030</v>
      </c>
      <c r="Q814" s="1">
        <v>613175</v>
      </c>
      <c r="R814" s="1">
        <v>47965348</v>
      </c>
      <c r="S814" s="1">
        <v>25021</v>
      </c>
      <c r="T814" s="1">
        <v>25021</v>
      </c>
      <c r="U814" s="1">
        <v>41051</v>
      </c>
      <c r="V814" s="1">
        <v>0</v>
      </c>
      <c r="W814" s="1">
        <v>1</v>
      </c>
    </row>
    <row r="815">
      <c r="A815" s="1">
        <v>2020</v>
      </c>
      <c r="B815" s="1">
        <v>25</v>
      </c>
      <c r="C815" t="s">
        <v>25</v>
      </c>
      <c r="D815" s="1">
        <v>25</v>
      </c>
      <c r="E815" t="s">
        <v>105</v>
      </c>
      <c r="F815" s="1">
        <v>41</v>
      </c>
      <c r="G815" t="s">
        <v>3</v>
      </c>
      <c r="H815" s="1">
        <v>51</v>
      </c>
      <c r="I815" t="s">
        <v>6</v>
      </c>
      <c r="J815" s="1">
        <v>97</v>
      </c>
      <c r="K815" s="1">
        <v>120</v>
      </c>
      <c r="L815" s="1">
        <v>9196</v>
      </c>
      <c r="M815" s="1">
        <v>43288</v>
      </c>
      <c r="N815" s="1">
        <v>64287</v>
      </c>
      <c r="O815" s="1">
        <v>4805840</v>
      </c>
      <c r="P815" s="1">
        <v>329651</v>
      </c>
      <c r="Q815" s="1">
        <v>558090</v>
      </c>
      <c r="R815" s="1">
        <v>38047504</v>
      </c>
      <c r="S815" s="1">
        <v>25025</v>
      </c>
      <c r="T815" s="1">
        <v>25025</v>
      </c>
      <c r="U815" s="1">
        <v>41051</v>
      </c>
      <c r="V815" s="1">
        <v>0</v>
      </c>
      <c r="W815" s="1">
        <v>1</v>
      </c>
    </row>
    <row r="816">
      <c r="A816" s="1">
        <v>2020</v>
      </c>
      <c r="B816" s="1">
        <v>26</v>
      </c>
      <c r="C816" t="s">
        <v>26</v>
      </c>
      <c r="D816" s="1">
        <v>81</v>
      </c>
      <c r="E816" t="s">
        <v>193</v>
      </c>
      <c r="F816" s="1">
        <v>41</v>
      </c>
      <c r="G816" t="s">
        <v>3</v>
      </c>
      <c r="H816" s="1">
        <v>51</v>
      </c>
      <c r="I816" t="s">
        <v>6</v>
      </c>
      <c r="J816" s="1">
        <v>26</v>
      </c>
      <c r="K816" s="1">
        <v>34</v>
      </c>
      <c r="L816" s="1">
        <v>1252</v>
      </c>
      <c r="M816" s="1">
        <v>15339</v>
      </c>
      <c r="N816" s="1">
        <v>27134</v>
      </c>
      <c r="O816" s="1">
        <v>931647</v>
      </c>
      <c r="P816" s="1">
        <v>262180</v>
      </c>
      <c r="Q816" s="1">
        <v>560730</v>
      </c>
      <c r="R816" s="1">
        <v>21506888</v>
      </c>
      <c r="S816" s="1">
        <v>26081</v>
      </c>
      <c r="T816" s="1">
        <v>26081</v>
      </c>
      <c r="U816" s="1">
        <v>41051</v>
      </c>
      <c r="V816" s="1">
        <v>0</v>
      </c>
      <c r="W816" s="1">
        <v>1</v>
      </c>
    </row>
    <row r="817">
      <c r="A817" s="1">
        <v>2020</v>
      </c>
      <c r="B817" s="1">
        <v>26</v>
      </c>
      <c r="C817" t="s">
        <v>26</v>
      </c>
      <c r="D817" s="1">
        <v>125</v>
      </c>
      <c r="E817" t="s">
        <v>194</v>
      </c>
      <c r="F817" s="1">
        <v>41</v>
      </c>
      <c r="G817" t="s">
        <v>3</v>
      </c>
      <c r="H817" s="1">
        <v>51</v>
      </c>
      <c r="I817" t="s">
        <v>6</v>
      </c>
      <c r="J817" s="1">
        <v>50</v>
      </c>
      <c r="K817" s="1">
        <v>70</v>
      </c>
      <c r="L817" s="1">
        <v>3985</v>
      </c>
      <c r="M817" s="1">
        <v>32171</v>
      </c>
      <c r="N817" s="1">
        <v>55906</v>
      </c>
      <c r="O817" s="1">
        <v>2787325</v>
      </c>
      <c r="P817" s="1">
        <v>529411</v>
      </c>
      <c r="Q817" s="1">
        <v>1084934</v>
      </c>
      <c r="R817" s="1">
        <v>60481012</v>
      </c>
      <c r="S817" s="1">
        <v>26125</v>
      </c>
      <c r="T817" s="1">
        <v>26125</v>
      </c>
      <c r="U817" s="1">
        <v>41051</v>
      </c>
      <c r="V817" s="1">
        <v>0</v>
      </c>
      <c r="W817" s="1">
        <v>1</v>
      </c>
    </row>
    <row r="818">
      <c r="A818" s="1">
        <v>2020</v>
      </c>
      <c r="B818" s="1">
        <v>26</v>
      </c>
      <c r="C818" t="s">
        <v>26</v>
      </c>
      <c r="D818" s="1">
        <v>161</v>
      </c>
      <c r="E818" t="s">
        <v>106</v>
      </c>
      <c r="F818" s="1">
        <v>41</v>
      </c>
      <c r="G818" t="s">
        <v>3</v>
      </c>
      <c r="H818" s="1">
        <v>51</v>
      </c>
      <c r="I818" t="s">
        <v>6</v>
      </c>
      <c r="J818" s="1">
        <v>42</v>
      </c>
      <c r="K818" s="1">
        <v>61</v>
      </c>
      <c r="L818" s="1">
        <v>3802</v>
      </c>
      <c r="M818" s="1">
        <v>12880</v>
      </c>
      <c r="N818" s="1">
        <v>20391</v>
      </c>
      <c r="O818" s="1">
        <v>875299</v>
      </c>
      <c r="P818" s="1">
        <v>141458</v>
      </c>
      <c r="Q818" s="1">
        <v>282886</v>
      </c>
      <c r="R818" s="1">
        <v>14608163</v>
      </c>
      <c r="S818" s="1">
        <v>26161</v>
      </c>
      <c r="T818" s="1">
        <v>26161</v>
      </c>
      <c r="U818" s="1">
        <v>41051</v>
      </c>
      <c r="V818" s="1">
        <v>0</v>
      </c>
      <c r="W818" s="1">
        <v>1</v>
      </c>
    </row>
    <row r="819">
      <c r="A819" s="1">
        <v>2020</v>
      </c>
      <c r="B819" s="1">
        <v>26</v>
      </c>
      <c r="C819" t="s">
        <v>26</v>
      </c>
      <c r="D819" s="1">
        <v>163</v>
      </c>
      <c r="E819" t="s">
        <v>195</v>
      </c>
      <c r="F819" s="1">
        <v>41</v>
      </c>
      <c r="G819" t="s">
        <v>3</v>
      </c>
      <c r="H819" s="1">
        <v>51</v>
      </c>
      <c r="I819" t="s">
        <v>6</v>
      </c>
      <c r="J819" s="1">
        <v>21</v>
      </c>
      <c r="K819" s="1">
        <v>24</v>
      </c>
      <c r="L819" s="1">
        <v>1313</v>
      </c>
      <c r="M819" s="1">
        <v>32779</v>
      </c>
      <c r="N819" s="1">
        <v>59328</v>
      </c>
      <c r="O819" s="1">
        <v>1979599</v>
      </c>
      <c r="P819" s="1">
        <v>650403</v>
      </c>
      <c r="Q819" s="1">
        <v>1356011</v>
      </c>
      <c r="R819" s="1">
        <v>40767416</v>
      </c>
      <c r="S819" s="1">
        <v>26163</v>
      </c>
      <c r="T819" s="1">
        <v>26163</v>
      </c>
      <c r="U819" s="1">
        <v>41051</v>
      </c>
      <c r="V819" s="1">
        <v>0</v>
      </c>
      <c r="W819" s="1">
        <v>1</v>
      </c>
    </row>
    <row r="820">
      <c r="A820" s="1">
        <v>2020</v>
      </c>
      <c r="B820" s="1">
        <v>27</v>
      </c>
      <c r="C820" t="s">
        <v>27</v>
      </c>
      <c r="D820" s="1">
        <v>37</v>
      </c>
      <c r="E820" t="s">
        <v>363</v>
      </c>
      <c r="F820" s="1">
        <v>41</v>
      </c>
      <c r="G820" t="s">
        <v>3</v>
      </c>
      <c r="H820" s="1">
        <v>51</v>
      </c>
      <c r="I820" t="s">
        <v>6</v>
      </c>
      <c r="J820" s="1">
        <v>20</v>
      </c>
      <c r="K820" s="1">
        <v>23</v>
      </c>
      <c r="L820" s="1">
        <v>1082</v>
      </c>
      <c r="M820" s="1">
        <v>14548</v>
      </c>
      <c r="N820" s="1">
        <v>26070</v>
      </c>
      <c r="O820" s="1">
        <v>1066700</v>
      </c>
      <c r="P820" s="1">
        <v>184406</v>
      </c>
      <c r="Q820" s="1">
        <v>398406</v>
      </c>
      <c r="R820" s="1">
        <v>17850068</v>
      </c>
      <c r="S820" s="1">
        <v>27037</v>
      </c>
      <c r="T820" s="1">
        <v>27037</v>
      </c>
      <c r="U820" s="1">
        <v>41051</v>
      </c>
      <c r="V820" s="1">
        <v>0</v>
      </c>
      <c r="W820" s="1">
        <v>1</v>
      </c>
    </row>
    <row r="821">
      <c r="A821" s="1">
        <v>2020</v>
      </c>
      <c r="B821" s="1">
        <v>27</v>
      </c>
      <c r="C821" t="s">
        <v>27</v>
      </c>
      <c r="D821" s="1">
        <v>53</v>
      </c>
      <c r="E821" t="s">
        <v>107</v>
      </c>
      <c r="F821" s="1">
        <v>41</v>
      </c>
      <c r="G821" t="s">
        <v>3</v>
      </c>
      <c r="H821" s="1">
        <v>51</v>
      </c>
      <c r="I821" t="s">
        <v>6</v>
      </c>
      <c r="J821" s="1">
        <v>136</v>
      </c>
      <c r="K821" s="1">
        <v>173</v>
      </c>
      <c r="L821" s="1">
        <v>10576</v>
      </c>
      <c r="M821" s="1">
        <v>43746</v>
      </c>
      <c r="N821" s="1">
        <v>74903</v>
      </c>
      <c r="O821" s="1">
        <v>3790295</v>
      </c>
      <c r="P821" s="1">
        <v>548476</v>
      </c>
      <c r="Q821" s="1">
        <v>1091379</v>
      </c>
      <c r="R821" s="1">
        <v>61738584</v>
      </c>
      <c r="S821" s="1">
        <v>27053</v>
      </c>
      <c r="T821" s="1">
        <v>27053</v>
      </c>
      <c r="U821" s="1">
        <v>41051</v>
      </c>
      <c r="V821" s="1">
        <v>0</v>
      </c>
      <c r="W821" s="1">
        <v>1</v>
      </c>
    </row>
    <row r="822">
      <c r="A822" s="1">
        <v>2020</v>
      </c>
      <c r="B822" s="1">
        <v>27</v>
      </c>
      <c r="C822" t="s">
        <v>27</v>
      </c>
      <c r="D822" s="1">
        <v>123</v>
      </c>
      <c r="E822" t="s">
        <v>108</v>
      </c>
      <c r="F822" s="1">
        <v>41</v>
      </c>
      <c r="G822" t="s">
        <v>3</v>
      </c>
      <c r="H822" s="1">
        <v>51</v>
      </c>
      <c r="I822" t="s">
        <v>6</v>
      </c>
      <c r="J822" s="1">
        <v>33</v>
      </c>
      <c r="K822" s="1">
        <v>39</v>
      </c>
      <c r="L822" s="1">
        <v>2027</v>
      </c>
      <c r="M822" s="1">
        <v>23536</v>
      </c>
      <c r="N822" s="1">
        <v>41088</v>
      </c>
      <c r="O822" s="1">
        <v>1555372</v>
      </c>
      <c r="P822" s="1">
        <v>229195</v>
      </c>
      <c r="Q822" s="1">
        <v>466389</v>
      </c>
      <c r="R822" s="1">
        <v>18799808</v>
      </c>
      <c r="S822" s="1">
        <v>27123</v>
      </c>
      <c r="T822" s="1">
        <v>27123</v>
      </c>
      <c r="U822" s="1">
        <v>41051</v>
      </c>
      <c r="V822" s="1">
        <v>0</v>
      </c>
      <c r="W822" s="1">
        <v>1</v>
      </c>
    </row>
    <row r="823">
      <c r="A823" s="1">
        <v>2020</v>
      </c>
      <c r="B823" s="1">
        <v>29</v>
      </c>
      <c r="C823" t="s">
        <v>44</v>
      </c>
      <c r="D823" s="1">
        <v>95</v>
      </c>
      <c r="E823" t="s">
        <v>133</v>
      </c>
      <c r="F823" s="1">
        <v>41</v>
      </c>
      <c r="G823" t="s">
        <v>3</v>
      </c>
      <c r="H823" s="1">
        <v>51</v>
      </c>
      <c r="I823" t="s">
        <v>6</v>
      </c>
      <c r="J823" s="1">
        <v>45</v>
      </c>
      <c r="K823" s="1">
        <v>70</v>
      </c>
      <c r="L823" s="1">
        <v>2892</v>
      </c>
      <c r="M823" s="1">
        <v>19981</v>
      </c>
      <c r="N823" s="1">
        <v>35596</v>
      </c>
      <c r="O823" s="1">
        <v>1206185</v>
      </c>
      <c r="P823" s="1">
        <v>273580</v>
      </c>
      <c r="Q823" s="1">
        <v>553695</v>
      </c>
      <c r="R823" s="1">
        <v>18853196</v>
      </c>
      <c r="S823" s="1">
        <v>29095</v>
      </c>
      <c r="T823" s="1">
        <v>29095</v>
      </c>
      <c r="U823" s="1">
        <v>41051</v>
      </c>
      <c r="V823" s="1">
        <v>0</v>
      </c>
      <c r="W823" s="1">
        <v>1</v>
      </c>
    </row>
    <row r="824">
      <c r="A824" s="1">
        <v>2020</v>
      </c>
      <c r="B824" s="1">
        <v>29</v>
      </c>
      <c r="C824" t="s">
        <v>44</v>
      </c>
      <c r="D824" s="1">
        <v>189</v>
      </c>
      <c r="E824" t="s">
        <v>197</v>
      </c>
      <c r="F824" s="1">
        <v>41</v>
      </c>
      <c r="G824" t="s">
        <v>3</v>
      </c>
      <c r="H824" s="1">
        <v>51</v>
      </c>
      <c r="I824" t="s">
        <v>6</v>
      </c>
      <c r="J824" s="1">
        <v>34</v>
      </c>
      <c r="K824" s="1">
        <v>56</v>
      </c>
      <c r="L824" s="1">
        <v>2427</v>
      </c>
      <c r="M824" s="1">
        <v>26436</v>
      </c>
      <c r="N824" s="1">
        <v>47674</v>
      </c>
      <c r="O824" s="1">
        <v>2204853</v>
      </c>
      <c r="P824" s="1">
        <v>409815</v>
      </c>
      <c r="Q824" s="1">
        <v>842064</v>
      </c>
      <c r="R824" s="1">
        <v>44891764</v>
      </c>
      <c r="S824" s="1">
        <v>29189</v>
      </c>
      <c r="T824" s="1">
        <v>29189</v>
      </c>
      <c r="U824" s="1">
        <v>41051</v>
      </c>
      <c r="V824" s="1">
        <v>0</v>
      </c>
      <c r="W824" s="1">
        <v>1</v>
      </c>
    </row>
    <row r="825">
      <c r="A825" s="1">
        <v>2020</v>
      </c>
      <c r="B825" s="1">
        <v>29</v>
      </c>
      <c r="C825" t="s">
        <v>44</v>
      </c>
      <c r="D825" s="1">
        <v>510</v>
      </c>
      <c r="E825" t="s">
        <v>198</v>
      </c>
      <c r="F825" s="1">
        <v>41</v>
      </c>
      <c r="G825" t="s">
        <v>3</v>
      </c>
      <c r="H825" s="1">
        <v>51</v>
      </c>
      <c r="I825" t="s">
        <v>6</v>
      </c>
      <c r="J825" s="1">
        <v>31</v>
      </c>
      <c r="K825" s="1">
        <v>41</v>
      </c>
      <c r="L825" s="1">
        <v>1984</v>
      </c>
      <c r="M825" s="1">
        <v>14749</v>
      </c>
      <c r="N825" s="1">
        <v>25725</v>
      </c>
      <c r="O825" s="1">
        <v>815154</v>
      </c>
      <c r="P825" s="1">
        <v>115707</v>
      </c>
      <c r="Q825" s="1">
        <v>204649</v>
      </c>
      <c r="R825" s="1">
        <v>7499195</v>
      </c>
      <c r="S825" s="1">
        <v>29510</v>
      </c>
      <c r="T825" s="1">
        <v>29510</v>
      </c>
      <c r="U825" s="1">
        <v>41051</v>
      </c>
      <c r="V825" s="1">
        <v>0</v>
      </c>
      <c r="W825" s="1">
        <v>1</v>
      </c>
    </row>
    <row r="826">
      <c r="A826" s="1">
        <v>2020</v>
      </c>
      <c r="B826" s="1">
        <v>30</v>
      </c>
      <c r="C826" t="s">
        <v>28</v>
      </c>
      <c r="D826" s="1">
        <v>29</v>
      </c>
      <c r="E826" t="s">
        <v>199</v>
      </c>
      <c r="F826" s="1">
        <v>41</v>
      </c>
      <c r="G826" t="s">
        <v>3</v>
      </c>
      <c r="H826" s="1">
        <v>51</v>
      </c>
      <c r="I826" t="s">
        <v>6</v>
      </c>
      <c r="J826" s="1">
        <v>23</v>
      </c>
      <c r="K826" s="1">
        <v>38</v>
      </c>
      <c r="L826" s="1">
        <v>760</v>
      </c>
      <c r="M826" s="1">
        <v>2391</v>
      </c>
      <c r="N826" s="1">
        <v>4231</v>
      </c>
      <c r="O826" s="1">
        <v>129618</v>
      </c>
      <c r="P826" s="1">
        <v>43341</v>
      </c>
      <c r="Q826" s="1">
        <v>90644</v>
      </c>
      <c r="R826" s="1">
        <v>3130073</v>
      </c>
      <c r="S826" s="1">
        <v>30029</v>
      </c>
      <c r="T826" s="1">
        <v>30029</v>
      </c>
      <c r="U826" s="1">
        <v>41051</v>
      </c>
      <c r="V826" s="1">
        <v>0</v>
      </c>
      <c r="W826" s="1">
        <v>1</v>
      </c>
    </row>
    <row r="827">
      <c r="A827" s="1">
        <v>2020</v>
      </c>
      <c r="B827" s="1">
        <v>30</v>
      </c>
      <c r="C827" t="s">
        <v>28</v>
      </c>
      <c r="D827" s="1">
        <v>31</v>
      </c>
      <c r="E827" t="s">
        <v>109</v>
      </c>
      <c r="F827" s="1">
        <v>41</v>
      </c>
      <c r="G827" t="s">
        <v>3</v>
      </c>
      <c r="H827" s="1">
        <v>51</v>
      </c>
      <c r="I827" t="s">
        <v>6</v>
      </c>
      <c r="J827" s="1">
        <v>44</v>
      </c>
      <c r="K827" s="1">
        <v>53</v>
      </c>
      <c r="L827" s="1">
        <v>1527</v>
      </c>
      <c r="M827" s="1">
        <v>4437</v>
      </c>
      <c r="N827" s="1">
        <v>6947</v>
      </c>
      <c r="O827" s="1">
        <v>237570</v>
      </c>
      <c r="P827" s="1">
        <v>48767</v>
      </c>
      <c r="Q827" s="1">
        <v>93838</v>
      </c>
      <c r="R827" s="1">
        <v>4745027</v>
      </c>
      <c r="S827" s="1">
        <v>30031</v>
      </c>
      <c r="T827" s="1">
        <v>30031</v>
      </c>
      <c r="U827" s="1">
        <v>41051</v>
      </c>
      <c r="V827" s="1">
        <v>0</v>
      </c>
      <c r="W827" s="1">
        <v>1</v>
      </c>
    </row>
    <row r="828">
      <c r="A828" s="1">
        <v>2020</v>
      </c>
      <c r="B828" s="1">
        <v>30</v>
      </c>
      <c r="C828" t="s">
        <v>28</v>
      </c>
      <c r="D828" s="1">
        <v>63</v>
      </c>
      <c r="E828" t="s">
        <v>110</v>
      </c>
      <c r="F828" s="1">
        <v>41</v>
      </c>
      <c r="G828" t="s">
        <v>3</v>
      </c>
      <c r="H828" s="1">
        <v>51</v>
      </c>
      <c r="I828" t="s">
        <v>6</v>
      </c>
      <c r="J828" s="1">
        <v>42</v>
      </c>
      <c r="K828" s="1">
        <v>54</v>
      </c>
      <c r="L828" s="1">
        <v>1681</v>
      </c>
      <c r="M828" s="1">
        <v>3791</v>
      </c>
      <c r="N828" s="1">
        <v>6163</v>
      </c>
      <c r="O828" s="1">
        <v>183035</v>
      </c>
      <c r="P828" s="1">
        <v>49934</v>
      </c>
      <c r="Q828" s="1">
        <v>93979</v>
      </c>
      <c r="R828" s="1">
        <v>3715145</v>
      </c>
      <c r="S828" s="1">
        <v>30063</v>
      </c>
      <c r="T828" s="1">
        <v>30063</v>
      </c>
      <c r="U828" s="1">
        <v>41051</v>
      </c>
      <c r="V828" s="1">
        <v>0</v>
      </c>
      <c r="W828" s="1">
        <v>1</v>
      </c>
    </row>
    <row r="829">
      <c r="A829" s="1">
        <v>2020</v>
      </c>
      <c r="B829" s="1">
        <v>31</v>
      </c>
      <c r="C829" t="s">
        <v>45</v>
      </c>
      <c r="D829" s="1">
        <v>55</v>
      </c>
      <c r="E829" t="s">
        <v>131</v>
      </c>
      <c r="F829" s="1">
        <v>41</v>
      </c>
      <c r="G829" t="s">
        <v>3</v>
      </c>
      <c r="H829" s="1">
        <v>51</v>
      </c>
      <c r="I829" t="s">
        <v>6</v>
      </c>
      <c r="J829" s="1">
        <v>27</v>
      </c>
      <c r="K829" s="1">
        <v>44</v>
      </c>
      <c r="L829" s="1">
        <v>1803</v>
      </c>
      <c r="M829" s="1">
        <v>14496</v>
      </c>
      <c r="N829" s="1">
        <v>27549</v>
      </c>
      <c r="O829" s="1">
        <v>1269155</v>
      </c>
      <c r="P829" s="1">
        <v>227554</v>
      </c>
      <c r="Q829" s="1">
        <v>497786</v>
      </c>
      <c r="R829" s="1">
        <v>21312414</v>
      </c>
      <c r="S829" s="1">
        <v>31055</v>
      </c>
      <c r="T829" s="1">
        <v>31055</v>
      </c>
      <c r="U829" s="1">
        <v>41051</v>
      </c>
      <c r="V829" s="1">
        <v>0</v>
      </c>
      <c r="W829" s="1">
        <v>1</v>
      </c>
    </row>
    <row r="830">
      <c r="A830" s="1">
        <v>2020</v>
      </c>
      <c r="B830" s="1">
        <v>32</v>
      </c>
      <c r="C830" t="s">
        <v>29</v>
      </c>
      <c r="D830" s="1">
        <v>3</v>
      </c>
      <c r="E830" t="s">
        <v>112</v>
      </c>
      <c r="F830" s="1">
        <v>41</v>
      </c>
      <c r="G830" t="s">
        <v>3</v>
      </c>
      <c r="H830" s="1">
        <v>51</v>
      </c>
      <c r="I830" t="s">
        <v>6</v>
      </c>
      <c r="J830" s="1">
        <v>214</v>
      </c>
      <c r="K830" s="1">
        <v>343</v>
      </c>
      <c r="L830" s="1">
        <v>13407</v>
      </c>
      <c r="M830" s="1">
        <v>42961</v>
      </c>
      <c r="N830" s="1">
        <v>80557</v>
      </c>
      <c r="O830" s="1">
        <v>2655822</v>
      </c>
      <c r="P830" s="1">
        <v>881319</v>
      </c>
      <c r="Q830" s="1">
        <v>1804499</v>
      </c>
      <c r="R830" s="1">
        <v>66572332</v>
      </c>
      <c r="S830" s="1">
        <v>32003</v>
      </c>
      <c r="T830" s="1">
        <v>32003</v>
      </c>
      <c r="U830" s="1">
        <v>41051</v>
      </c>
      <c r="V830" s="1">
        <v>0</v>
      </c>
      <c r="W830" s="1">
        <v>1</v>
      </c>
    </row>
    <row r="831">
      <c r="A831" s="1">
        <v>2020</v>
      </c>
      <c r="B831" s="1">
        <v>32</v>
      </c>
      <c r="C831" t="s">
        <v>29</v>
      </c>
      <c r="D831" s="1">
        <v>31</v>
      </c>
      <c r="E831" t="s">
        <v>113</v>
      </c>
      <c r="F831" s="1">
        <v>41</v>
      </c>
      <c r="G831" t="s">
        <v>3</v>
      </c>
      <c r="H831" s="1">
        <v>51</v>
      </c>
      <c r="I831" t="s">
        <v>6</v>
      </c>
      <c r="J831" s="1">
        <v>92</v>
      </c>
      <c r="K831" s="1">
        <v>122</v>
      </c>
      <c r="L831" s="1">
        <v>4819</v>
      </c>
      <c r="M831" s="1">
        <v>11755</v>
      </c>
      <c r="N831" s="1">
        <v>20231</v>
      </c>
      <c r="O831" s="1">
        <v>811838</v>
      </c>
      <c r="P831" s="1">
        <v>200613</v>
      </c>
      <c r="Q831" s="1">
        <v>395988</v>
      </c>
      <c r="R831" s="1">
        <v>19278456</v>
      </c>
      <c r="S831" s="1">
        <v>32031</v>
      </c>
      <c r="T831" s="1">
        <v>32031</v>
      </c>
      <c r="U831" s="1">
        <v>41051</v>
      </c>
      <c r="V831" s="1">
        <v>0</v>
      </c>
      <c r="W831" s="1">
        <v>1</v>
      </c>
    </row>
    <row r="832">
      <c r="A832" s="1">
        <v>2020</v>
      </c>
      <c r="B832" s="1">
        <v>34</v>
      </c>
      <c r="C832" t="s">
        <v>46</v>
      </c>
      <c r="D832" s="1">
        <v>17</v>
      </c>
      <c r="E832" t="s">
        <v>201</v>
      </c>
      <c r="F832" s="1">
        <v>41</v>
      </c>
      <c r="G832" t="s">
        <v>3</v>
      </c>
      <c r="H832" s="1">
        <v>51</v>
      </c>
      <c r="I832" t="s">
        <v>6</v>
      </c>
      <c r="J832" s="1">
        <v>23</v>
      </c>
      <c r="K832" s="1">
        <v>29</v>
      </c>
      <c r="L832" s="1">
        <v>2681</v>
      </c>
      <c r="M832" s="1">
        <v>32685</v>
      </c>
      <c r="N832" s="1">
        <v>57605</v>
      </c>
      <c r="O832" s="1">
        <v>3890113</v>
      </c>
      <c r="P832" s="1">
        <v>294160</v>
      </c>
      <c r="Q832" s="1">
        <v>553254</v>
      </c>
      <c r="R832" s="1">
        <v>27054808</v>
      </c>
      <c r="S832" s="1">
        <v>34017</v>
      </c>
      <c r="T832" s="1">
        <v>34017</v>
      </c>
      <c r="U832" s="1">
        <v>41051</v>
      </c>
      <c r="V832" s="1">
        <v>0</v>
      </c>
      <c r="W832" s="1">
        <v>1</v>
      </c>
    </row>
    <row r="833">
      <c r="A833" s="1">
        <v>2020</v>
      </c>
      <c r="B833" s="1">
        <v>34</v>
      </c>
      <c r="C833" t="s">
        <v>46</v>
      </c>
      <c r="D833" s="1">
        <v>23</v>
      </c>
      <c r="E833" t="s">
        <v>104</v>
      </c>
      <c r="F833" s="1">
        <v>41</v>
      </c>
      <c r="G833" t="s">
        <v>3</v>
      </c>
      <c r="H833" s="1">
        <v>51</v>
      </c>
      <c r="I833" t="s">
        <v>6</v>
      </c>
      <c r="J833" s="1">
        <v>20</v>
      </c>
      <c r="K833" s="1">
        <v>22</v>
      </c>
      <c r="L833" s="1">
        <v>1078</v>
      </c>
      <c r="M833" s="1">
        <v>24997</v>
      </c>
      <c r="N833" s="1">
        <v>45160</v>
      </c>
      <c r="O833" s="1">
        <v>2170948</v>
      </c>
      <c r="P833" s="1">
        <v>344799</v>
      </c>
      <c r="Q833" s="1">
        <v>736011</v>
      </c>
      <c r="R833" s="1">
        <v>33209412</v>
      </c>
      <c r="S833" s="1">
        <v>34023</v>
      </c>
      <c r="T833" s="1">
        <v>34023</v>
      </c>
      <c r="U833" s="1">
        <v>41051</v>
      </c>
      <c r="V833" s="1">
        <v>0</v>
      </c>
      <c r="W833" s="1">
        <v>1</v>
      </c>
    </row>
    <row r="834">
      <c r="A834" s="1">
        <v>2020</v>
      </c>
      <c r="B834" s="1">
        <v>35</v>
      </c>
      <c r="C834" t="s">
        <v>30</v>
      </c>
      <c r="D834" s="1">
        <v>1</v>
      </c>
      <c r="E834" t="s">
        <v>114</v>
      </c>
      <c r="F834" s="1">
        <v>41</v>
      </c>
      <c r="G834" t="s">
        <v>3</v>
      </c>
      <c r="H834" s="1">
        <v>51</v>
      </c>
      <c r="I834" t="s">
        <v>6</v>
      </c>
      <c r="J834" s="1">
        <v>70</v>
      </c>
      <c r="K834" s="1">
        <v>96</v>
      </c>
      <c r="L834" s="1">
        <v>3671</v>
      </c>
      <c r="M834" s="1">
        <v>14996</v>
      </c>
      <c r="N834" s="1">
        <v>27462</v>
      </c>
      <c r="O834" s="1">
        <v>913694</v>
      </c>
      <c r="P834" s="1">
        <v>265692</v>
      </c>
      <c r="Q834" s="1">
        <v>519094</v>
      </c>
      <c r="R834" s="1">
        <v>18253554</v>
      </c>
      <c r="S834" s="1">
        <v>35001</v>
      </c>
      <c r="T834" s="1">
        <v>35001</v>
      </c>
      <c r="U834" s="1">
        <v>41051</v>
      </c>
      <c r="V834" s="1">
        <v>0</v>
      </c>
      <c r="W834" s="1">
        <v>1</v>
      </c>
    </row>
    <row r="835">
      <c r="A835" s="1">
        <v>2020</v>
      </c>
      <c r="B835" s="1">
        <v>35</v>
      </c>
      <c r="C835" t="s">
        <v>30</v>
      </c>
      <c r="D835" s="1">
        <v>49</v>
      </c>
      <c r="E835" t="s">
        <v>115</v>
      </c>
      <c r="F835" s="1">
        <v>41</v>
      </c>
      <c r="G835" t="s">
        <v>3</v>
      </c>
      <c r="H835" s="1">
        <v>51</v>
      </c>
      <c r="I835" t="s">
        <v>6</v>
      </c>
      <c r="J835" s="1">
        <v>25</v>
      </c>
      <c r="K835" s="1">
        <v>32</v>
      </c>
      <c r="L835" s="1">
        <v>1243</v>
      </c>
      <c r="M835" s="1">
        <v>4066</v>
      </c>
      <c r="N835" s="1">
        <v>6847</v>
      </c>
      <c r="O835" s="1">
        <v>323318</v>
      </c>
      <c r="P835" s="1">
        <v>66153</v>
      </c>
      <c r="Q835" s="1">
        <v>121060</v>
      </c>
      <c r="R835" s="1">
        <v>5636645</v>
      </c>
      <c r="S835" s="1">
        <v>35049</v>
      </c>
      <c r="T835" s="1">
        <v>35049</v>
      </c>
      <c r="U835" s="1">
        <v>41051</v>
      </c>
      <c r="V835" s="1">
        <v>0</v>
      </c>
      <c r="W835" s="1">
        <v>1</v>
      </c>
    </row>
    <row r="836">
      <c r="A836" s="1">
        <v>2020</v>
      </c>
      <c r="B836" s="1">
        <v>36</v>
      </c>
      <c r="C836" t="s">
        <v>31</v>
      </c>
      <c r="D836" s="1">
        <v>29</v>
      </c>
      <c r="E836" t="s">
        <v>202</v>
      </c>
      <c r="F836" s="1">
        <v>41</v>
      </c>
      <c r="G836" t="s">
        <v>3</v>
      </c>
      <c r="H836" s="1">
        <v>51</v>
      </c>
      <c r="I836" t="s">
        <v>6</v>
      </c>
      <c r="J836" s="1">
        <v>28</v>
      </c>
      <c r="K836" s="1">
        <v>31</v>
      </c>
      <c r="L836" s="1">
        <v>1340</v>
      </c>
      <c r="M836" s="1">
        <v>12829</v>
      </c>
      <c r="N836" s="1">
        <v>21558</v>
      </c>
      <c r="O836" s="1">
        <v>838909</v>
      </c>
      <c r="P836" s="1">
        <v>382001</v>
      </c>
      <c r="Q836" s="1">
        <v>752130</v>
      </c>
      <c r="R836" s="1">
        <v>28695560</v>
      </c>
      <c r="S836" s="1">
        <v>36029</v>
      </c>
      <c r="T836" s="1">
        <v>36029</v>
      </c>
      <c r="U836" s="1">
        <v>41051</v>
      </c>
      <c r="V836" s="1">
        <v>0</v>
      </c>
      <c r="W836" s="1">
        <v>1</v>
      </c>
    </row>
    <row r="837">
      <c r="A837" s="1">
        <v>2020</v>
      </c>
      <c r="B837" s="1">
        <v>36</v>
      </c>
      <c r="C837" t="s">
        <v>31</v>
      </c>
      <c r="D837" s="1">
        <v>47</v>
      </c>
      <c r="E837" t="s">
        <v>116</v>
      </c>
      <c r="F837" s="1">
        <v>41</v>
      </c>
      <c r="G837" t="s">
        <v>3</v>
      </c>
      <c r="H837" s="1">
        <v>51</v>
      </c>
      <c r="I837" t="s">
        <v>6</v>
      </c>
      <c r="J837" s="1">
        <v>309</v>
      </c>
      <c r="K837" s="1">
        <v>416</v>
      </c>
      <c r="L837" s="1">
        <v>31489</v>
      </c>
      <c r="M837" s="1">
        <v>88578</v>
      </c>
      <c r="N837" s="1">
        <v>153011</v>
      </c>
      <c r="O837" s="1">
        <v>7906081</v>
      </c>
      <c r="P837" s="1">
        <v>1065151</v>
      </c>
      <c r="Q837" s="1">
        <v>2146036</v>
      </c>
      <c r="R837" s="1">
        <v>80348424</v>
      </c>
      <c r="S837" s="1">
        <v>36047</v>
      </c>
      <c r="T837" s="1">
        <v>36047</v>
      </c>
      <c r="U837" s="1">
        <v>41051</v>
      </c>
      <c r="V837" s="1">
        <v>0</v>
      </c>
      <c r="W837" s="1">
        <v>1</v>
      </c>
    </row>
    <row r="838">
      <c r="A838" s="1">
        <v>2020</v>
      </c>
      <c r="B838" s="1">
        <v>36</v>
      </c>
      <c r="C838" t="s">
        <v>31</v>
      </c>
      <c r="D838" s="1">
        <v>55</v>
      </c>
      <c r="E838" t="s">
        <v>203</v>
      </c>
      <c r="F838" s="1">
        <v>41</v>
      </c>
      <c r="G838" t="s">
        <v>3</v>
      </c>
      <c r="H838" s="1">
        <v>51</v>
      </c>
      <c r="I838" t="s">
        <v>6</v>
      </c>
      <c r="J838" s="1">
        <v>30</v>
      </c>
      <c r="K838" s="1">
        <v>37</v>
      </c>
      <c r="L838" s="1">
        <v>1224</v>
      </c>
      <c r="M838" s="1">
        <v>12543</v>
      </c>
      <c r="N838" s="1">
        <v>21085</v>
      </c>
      <c r="O838" s="1">
        <v>1032272</v>
      </c>
      <c r="P838" s="1">
        <v>311214</v>
      </c>
      <c r="Q838" s="1">
        <v>611663</v>
      </c>
      <c r="R838" s="1">
        <v>23974640</v>
      </c>
      <c r="S838" s="1">
        <v>36055</v>
      </c>
      <c r="T838" s="1">
        <v>36055</v>
      </c>
      <c r="U838" s="1">
        <v>41051</v>
      </c>
      <c r="V838" s="1">
        <v>0</v>
      </c>
      <c r="W838" s="1">
        <v>1</v>
      </c>
    </row>
    <row r="839">
      <c r="A839" s="1">
        <v>2020</v>
      </c>
      <c r="B839" s="1">
        <v>36</v>
      </c>
      <c r="C839" t="s">
        <v>31</v>
      </c>
      <c r="D839" s="1">
        <v>59</v>
      </c>
      <c r="E839" t="s">
        <v>316</v>
      </c>
      <c r="F839" s="1">
        <v>41</v>
      </c>
      <c r="G839" t="s">
        <v>3</v>
      </c>
      <c r="H839" s="1">
        <v>51</v>
      </c>
      <c r="I839" t="s">
        <v>6</v>
      </c>
      <c r="J839" s="1">
        <v>21</v>
      </c>
      <c r="K839" s="1">
        <v>29</v>
      </c>
      <c r="L839" s="1">
        <v>1345</v>
      </c>
      <c r="M839" s="1">
        <v>31014</v>
      </c>
      <c r="N839" s="1">
        <v>54148</v>
      </c>
      <c r="O839" s="1">
        <v>3417621</v>
      </c>
      <c r="P839" s="1">
        <v>600086</v>
      </c>
      <c r="Q839" s="1">
        <v>1260901</v>
      </c>
      <c r="R839" s="1">
        <v>81995904</v>
      </c>
      <c r="S839" s="1">
        <v>36059</v>
      </c>
      <c r="T839" s="1">
        <v>36059</v>
      </c>
      <c r="U839" s="1">
        <v>41051</v>
      </c>
      <c r="V839" s="1">
        <v>0</v>
      </c>
      <c r="W839" s="1">
        <v>1</v>
      </c>
    </row>
    <row r="840">
      <c r="A840" s="1">
        <v>2020</v>
      </c>
      <c r="B840" s="1">
        <v>36</v>
      </c>
      <c r="C840" t="s">
        <v>31</v>
      </c>
      <c r="D840" s="1">
        <v>61</v>
      </c>
      <c r="E840" t="s">
        <v>117</v>
      </c>
      <c r="F840" s="1">
        <v>41</v>
      </c>
      <c r="G840" t="s">
        <v>3</v>
      </c>
      <c r="H840" s="1">
        <v>51</v>
      </c>
      <c r="I840" t="s">
        <v>6</v>
      </c>
      <c r="J840" s="1">
        <v>160</v>
      </c>
      <c r="K840" s="1">
        <v>214</v>
      </c>
      <c r="L840" s="1">
        <v>19842</v>
      </c>
      <c r="M840" s="1">
        <v>106519</v>
      </c>
      <c r="N840" s="1">
        <v>159613</v>
      </c>
      <c r="O840" s="1">
        <v>21533700</v>
      </c>
      <c r="P840" s="1">
        <v>774107</v>
      </c>
      <c r="Q840" s="1">
        <v>1256177</v>
      </c>
      <c r="R840" s="1">
        <v>182584608</v>
      </c>
      <c r="S840" s="1">
        <v>36061</v>
      </c>
      <c r="T840" s="1">
        <v>36061</v>
      </c>
      <c r="U840" s="1">
        <v>41051</v>
      </c>
      <c r="V840" s="1">
        <v>0</v>
      </c>
      <c r="W840" s="1">
        <v>1</v>
      </c>
    </row>
    <row r="841">
      <c r="A841" s="1">
        <v>2020</v>
      </c>
      <c r="B841" s="1">
        <v>36</v>
      </c>
      <c r="C841" t="s">
        <v>31</v>
      </c>
      <c r="D841" s="1">
        <v>81</v>
      </c>
      <c r="E841" t="s">
        <v>118</v>
      </c>
      <c r="F841" s="1">
        <v>41</v>
      </c>
      <c r="G841" t="s">
        <v>3</v>
      </c>
      <c r="H841" s="1">
        <v>51</v>
      </c>
      <c r="I841" t="s">
        <v>6</v>
      </c>
      <c r="J841" s="1">
        <v>80</v>
      </c>
      <c r="K841" s="1">
        <v>119</v>
      </c>
      <c r="L841" s="1">
        <v>5947</v>
      </c>
      <c r="M841" s="1">
        <v>67690</v>
      </c>
      <c r="N841" s="1">
        <v>122149</v>
      </c>
      <c r="O841" s="1">
        <v>4858919</v>
      </c>
      <c r="P841" s="1">
        <v>1005050</v>
      </c>
      <c r="Q841" s="1">
        <v>1950848</v>
      </c>
      <c r="R841" s="1">
        <v>63272336</v>
      </c>
      <c r="S841" s="1">
        <v>36081</v>
      </c>
      <c r="T841" s="1">
        <v>36081</v>
      </c>
      <c r="U841" s="1">
        <v>41051</v>
      </c>
      <c r="V841" s="1">
        <v>0</v>
      </c>
      <c r="W841" s="1">
        <v>1</v>
      </c>
    </row>
    <row r="842">
      <c r="A842" s="1">
        <v>2020</v>
      </c>
      <c r="B842" s="1">
        <v>36</v>
      </c>
      <c r="C842" t="s">
        <v>31</v>
      </c>
      <c r="D842" s="1">
        <v>103</v>
      </c>
      <c r="E842" t="s">
        <v>105</v>
      </c>
      <c r="F842" s="1">
        <v>41</v>
      </c>
      <c r="G842" t="s">
        <v>3</v>
      </c>
      <c r="H842" s="1">
        <v>51</v>
      </c>
      <c r="I842" t="s">
        <v>6</v>
      </c>
      <c r="J842" s="1">
        <v>32</v>
      </c>
      <c r="K842" s="1">
        <v>39</v>
      </c>
      <c r="L842" s="1">
        <v>1953</v>
      </c>
      <c r="M842" s="1">
        <v>26142</v>
      </c>
      <c r="N842" s="1">
        <v>43874</v>
      </c>
      <c r="O842" s="1">
        <v>2475426</v>
      </c>
      <c r="P842" s="1">
        <v>656261</v>
      </c>
      <c r="Q842" s="1">
        <v>1328884</v>
      </c>
      <c r="R842" s="1">
        <v>70289688</v>
      </c>
      <c r="S842" s="1">
        <v>36103</v>
      </c>
      <c r="T842" s="1">
        <v>36103</v>
      </c>
      <c r="U842" s="1">
        <v>41051</v>
      </c>
      <c r="V842" s="1">
        <v>0</v>
      </c>
      <c r="W842" s="1">
        <v>1</v>
      </c>
    </row>
    <row r="843">
      <c r="A843" s="1">
        <v>2020</v>
      </c>
      <c r="B843" s="1">
        <v>36</v>
      </c>
      <c r="C843" t="s">
        <v>31</v>
      </c>
      <c r="D843" s="1">
        <v>119</v>
      </c>
      <c r="E843" t="s">
        <v>119</v>
      </c>
      <c r="F843" s="1">
        <v>41</v>
      </c>
      <c r="G843" t="s">
        <v>3</v>
      </c>
      <c r="H843" s="1">
        <v>51</v>
      </c>
      <c r="I843" t="s">
        <v>6</v>
      </c>
      <c r="J843" s="1">
        <v>27</v>
      </c>
      <c r="K843" s="1">
        <v>38</v>
      </c>
      <c r="L843" s="1">
        <v>2765</v>
      </c>
      <c r="M843" s="1">
        <v>24311</v>
      </c>
      <c r="N843" s="1">
        <v>43262</v>
      </c>
      <c r="O843" s="1">
        <v>3371348</v>
      </c>
      <c r="P843" s="1">
        <v>406525</v>
      </c>
      <c r="Q843" s="1">
        <v>843750</v>
      </c>
      <c r="R843" s="1">
        <v>72200296</v>
      </c>
      <c r="S843" s="1">
        <v>36119</v>
      </c>
      <c r="T843" s="1">
        <v>36119</v>
      </c>
      <c r="U843" s="1">
        <v>41051</v>
      </c>
      <c r="V843" s="1">
        <v>0</v>
      </c>
      <c r="W843" s="1">
        <v>1</v>
      </c>
    </row>
    <row r="844">
      <c r="A844" s="1">
        <v>2020</v>
      </c>
      <c r="B844" s="1">
        <v>37</v>
      </c>
      <c r="C844" t="s">
        <v>32</v>
      </c>
      <c r="D844" s="1">
        <v>21</v>
      </c>
      <c r="E844" t="s">
        <v>120</v>
      </c>
      <c r="F844" s="1">
        <v>41</v>
      </c>
      <c r="G844" t="s">
        <v>3</v>
      </c>
      <c r="H844" s="1">
        <v>51</v>
      </c>
      <c r="I844" t="s">
        <v>6</v>
      </c>
      <c r="J844" s="1">
        <v>26</v>
      </c>
      <c r="K844" s="1">
        <v>29</v>
      </c>
      <c r="L844" s="1">
        <v>1586</v>
      </c>
      <c r="M844" s="1">
        <v>8519</v>
      </c>
      <c r="N844" s="1">
        <v>13966</v>
      </c>
      <c r="O844" s="1">
        <v>487155</v>
      </c>
      <c r="P844" s="1">
        <v>108482</v>
      </c>
      <c r="Q844" s="1">
        <v>206942</v>
      </c>
      <c r="R844" s="1">
        <v>8232585</v>
      </c>
      <c r="S844" s="1">
        <v>37021</v>
      </c>
      <c r="T844" s="1">
        <v>37021</v>
      </c>
      <c r="U844" s="1">
        <v>41051</v>
      </c>
      <c r="V844" s="1">
        <v>0</v>
      </c>
      <c r="W844" s="1">
        <v>1</v>
      </c>
    </row>
    <row r="845">
      <c r="A845" s="1">
        <v>2020</v>
      </c>
      <c r="B845" s="1">
        <v>37</v>
      </c>
      <c r="C845" t="s">
        <v>32</v>
      </c>
      <c r="D845" s="1">
        <v>119</v>
      </c>
      <c r="E845" t="s">
        <v>121</v>
      </c>
      <c r="F845" s="1">
        <v>41</v>
      </c>
      <c r="G845" t="s">
        <v>3</v>
      </c>
      <c r="H845" s="1">
        <v>51</v>
      </c>
      <c r="I845" t="s">
        <v>6</v>
      </c>
      <c r="J845" s="1">
        <v>31</v>
      </c>
      <c r="K845" s="1">
        <v>47</v>
      </c>
      <c r="L845" s="1">
        <v>2503</v>
      </c>
      <c r="M845" s="1">
        <v>37037</v>
      </c>
      <c r="N845" s="1">
        <v>68770</v>
      </c>
      <c r="O845" s="1">
        <v>3177772</v>
      </c>
      <c r="P845" s="1">
        <v>423286</v>
      </c>
      <c r="Q845" s="1">
        <v>873188</v>
      </c>
      <c r="R845" s="1">
        <v>43408028</v>
      </c>
      <c r="S845" s="1">
        <v>37119</v>
      </c>
      <c r="T845" s="1">
        <v>37119</v>
      </c>
      <c r="U845" s="1">
        <v>41051</v>
      </c>
      <c r="V845" s="1">
        <v>0</v>
      </c>
      <c r="W845" s="1">
        <v>1</v>
      </c>
    </row>
    <row r="846">
      <c r="A846" s="1">
        <v>2020</v>
      </c>
      <c r="B846" s="1">
        <v>37</v>
      </c>
      <c r="C846" t="s">
        <v>32</v>
      </c>
      <c r="D846" s="1">
        <v>183</v>
      </c>
      <c r="E846" t="s">
        <v>206</v>
      </c>
      <c r="F846" s="1">
        <v>41</v>
      </c>
      <c r="G846" t="s">
        <v>3</v>
      </c>
      <c r="H846" s="1">
        <v>51</v>
      </c>
      <c r="I846" t="s">
        <v>6</v>
      </c>
      <c r="J846" s="1">
        <v>39</v>
      </c>
      <c r="K846" s="1">
        <v>56</v>
      </c>
      <c r="L846" s="1">
        <v>2381</v>
      </c>
      <c r="M846" s="1">
        <v>32212</v>
      </c>
      <c r="N846" s="1">
        <v>58735</v>
      </c>
      <c r="O846" s="1">
        <v>2582696</v>
      </c>
      <c r="P846" s="1">
        <v>425340</v>
      </c>
      <c r="Q846" s="1">
        <v>932285</v>
      </c>
      <c r="R846" s="1">
        <v>46267320</v>
      </c>
      <c r="S846" s="1">
        <v>37183</v>
      </c>
      <c r="T846" s="1">
        <v>37183</v>
      </c>
      <c r="U846" s="1">
        <v>41051</v>
      </c>
      <c r="V846" s="1">
        <v>0</v>
      </c>
      <c r="W846" s="1">
        <v>1</v>
      </c>
    </row>
    <row r="847">
      <c r="A847" s="1">
        <v>2020</v>
      </c>
      <c r="B847" s="1">
        <v>39</v>
      </c>
      <c r="C847" t="s">
        <v>33</v>
      </c>
      <c r="D847" s="1">
        <v>35</v>
      </c>
      <c r="E847" t="s">
        <v>207</v>
      </c>
      <c r="F847" s="1">
        <v>41</v>
      </c>
      <c r="G847" t="s">
        <v>3</v>
      </c>
      <c r="H847" s="1">
        <v>51</v>
      </c>
      <c r="I847" t="s">
        <v>6</v>
      </c>
      <c r="J847" s="1">
        <v>51</v>
      </c>
      <c r="K847" s="1">
        <v>65</v>
      </c>
      <c r="L847" s="1">
        <v>3612</v>
      </c>
      <c r="M847" s="1">
        <v>24943</v>
      </c>
      <c r="N847" s="1">
        <v>43055</v>
      </c>
      <c r="O847" s="1">
        <v>1840088</v>
      </c>
      <c r="P847" s="1">
        <v>516984</v>
      </c>
      <c r="Q847" s="1">
        <v>1002092</v>
      </c>
      <c r="R847" s="1">
        <v>39841832</v>
      </c>
      <c r="S847" s="1">
        <v>39035</v>
      </c>
      <c r="T847" s="1">
        <v>39035</v>
      </c>
      <c r="U847" s="1">
        <v>41051</v>
      </c>
      <c r="V847" s="1">
        <v>0</v>
      </c>
      <c r="W847" s="1">
        <v>1</v>
      </c>
    </row>
    <row r="848">
      <c r="A848" s="1">
        <v>2020</v>
      </c>
      <c r="B848" s="1">
        <v>39</v>
      </c>
      <c r="C848" t="s">
        <v>33</v>
      </c>
      <c r="D848" s="1">
        <v>49</v>
      </c>
      <c r="E848" t="s">
        <v>122</v>
      </c>
      <c r="F848" s="1">
        <v>41</v>
      </c>
      <c r="G848" t="s">
        <v>3</v>
      </c>
      <c r="H848" s="1">
        <v>51</v>
      </c>
      <c r="I848" t="s">
        <v>6</v>
      </c>
      <c r="J848" s="1">
        <v>61</v>
      </c>
      <c r="K848" s="1">
        <v>85</v>
      </c>
      <c r="L848" s="1">
        <v>4375</v>
      </c>
      <c r="M848" s="1">
        <v>34397</v>
      </c>
      <c r="N848" s="1">
        <v>62589</v>
      </c>
      <c r="O848" s="1">
        <v>2443862</v>
      </c>
      <c r="P848" s="1">
        <v>532905</v>
      </c>
      <c r="Q848" s="1">
        <v>1073342</v>
      </c>
      <c r="R848" s="1">
        <v>40670600</v>
      </c>
      <c r="S848" s="1">
        <v>39049</v>
      </c>
      <c r="T848" s="1">
        <v>39049</v>
      </c>
      <c r="U848" s="1">
        <v>41051</v>
      </c>
      <c r="V848" s="1">
        <v>0</v>
      </c>
      <c r="W848" s="1">
        <v>1</v>
      </c>
    </row>
    <row r="849">
      <c r="A849" s="1">
        <v>2020</v>
      </c>
      <c r="B849" s="1">
        <v>39</v>
      </c>
      <c r="C849" t="s">
        <v>33</v>
      </c>
      <c r="D849" s="1">
        <v>61</v>
      </c>
      <c r="E849" t="s">
        <v>208</v>
      </c>
      <c r="F849" s="1">
        <v>41</v>
      </c>
      <c r="G849" t="s">
        <v>3</v>
      </c>
      <c r="H849" s="1">
        <v>51</v>
      </c>
      <c r="I849" t="s">
        <v>6</v>
      </c>
      <c r="J849" s="1">
        <v>28</v>
      </c>
      <c r="K849" s="1">
        <v>42</v>
      </c>
      <c r="L849" s="1">
        <v>1851</v>
      </c>
      <c r="M849" s="1">
        <v>20494</v>
      </c>
      <c r="N849" s="1">
        <v>35816</v>
      </c>
      <c r="O849" s="1">
        <v>1660097</v>
      </c>
      <c r="P849" s="1">
        <v>334486</v>
      </c>
      <c r="Q849" s="1">
        <v>674281</v>
      </c>
      <c r="R849" s="1">
        <v>30789540</v>
      </c>
      <c r="S849" s="1">
        <v>39061</v>
      </c>
      <c r="T849" s="1">
        <v>39061</v>
      </c>
      <c r="U849" s="1">
        <v>41051</v>
      </c>
      <c r="V849" s="1">
        <v>0</v>
      </c>
      <c r="W849" s="1">
        <v>1</v>
      </c>
    </row>
    <row r="850">
      <c r="A850" s="1">
        <v>2020</v>
      </c>
      <c r="B850" s="1">
        <v>40</v>
      </c>
      <c r="C850" t="s">
        <v>47</v>
      </c>
      <c r="D850" s="1">
        <v>109</v>
      </c>
      <c r="E850" t="s">
        <v>209</v>
      </c>
      <c r="F850" s="1">
        <v>41</v>
      </c>
      <c r="G850" t="s">
        <v>3</v>
      </c>
      <c r="H850" s="1">
        <v>51</v>
      </c>
      <c r="I850" t="s">
        <v>6</v>
      </c>
      <c r="J850" s="1">
        <v>30</v>
      </c>
      <c r="K850" s="1">
        <v>49</v>
      </c>
      <c r="L850" s="1">
        <v>2337</v>
      </c>
      <c r="M850" s="1">
        <v>20192</v>
      </c>
      <c r="N850" s="1">
        <v>40613</v>
      </c>
      <c r="O850" s="1">
        <v>1282445</v>
      </c>
      <c r="P850" s="1">
        <v>281909</v>
      </c>
      <c r="Q850" s="1">
        <v>608538</v>
      </c>
      <c r="R850" s="1">
        <v>21914860</v>
      </c>
      <c r="S850" s="1">
        <v>40109</v>
      </c>
      <c r="T850" s="1">
        <v>40109</v>
      </c>
      <c r="U850" s="1">
        <v>41051</v>
      </c>
      <c r="V850" s="1">
        <v>0</v>
      </c>
      <c r="W850" s="1">
        <v>1</v>
      </c>
    </row>
    <row r="851">
      <c r="A851" s="1">
        <v>2020</v>
      </c>
      <c r="B851" s="1">
        <v>41</v>
      </c>
      <c r="C851" t="s">
        <v>3</v>
      </c>
      <c r="D851" s="1">
        <v>3</v>
      </c>
      <c r="E851" t="s">
        <v>124</v>
      </c>
      <c r="F851" s="1">
        <v>41</v>
      </c>
      <c r="G851" t="s">
        <v>3</v>
      </c>
      <c r="H851" s="1">
        <v>51</v>
      </c>
      <c r="I851" t="s">
        <v>6</v>
      </c>
      <c r="J851" s="1">
        <v>305</v>
      </c>
      <c r="K851" s="1">
        <v>369</v>
      </c>
      <c r="L851" s="1">
        <v>12100</v>
      </c>
      <c r="M851" s="1">
        <v>3777</v>
      </c>
      <c r="N851" s="1">
        <v>5683</v>
      </c>
      <c r="O851" s="1">
        <v>197323</v>
      </c>
      <c r="P851" s="1">
        <v>34097</v>
      </c>
      <c r="Q851" s="1">
        <v>66536</v>
      </c>
      <c r="R851" s="1">
        <v>2991830</v>
      </c>
      <c r="S851" s="1">
        <v>41003</v>
      </c>
      <c r="T851" s="1">
        <v>41003</v>
      </c>
      <c r="U851" s="1">
        <v>41051</v>
      </c>
      <c r="V851" s="1">
        <v>0</v>
      </c>
      <c r="W851" s="1">
        <v>1</v>
      </c>
    </row>
    <row r="852">
      <c r="A852" s="1">
        <v>2020</v>
      </c>
      <c r="B852" s="1">
        <v>41</v>
      </c>
      <c r="C852" t="s">
        <v>3</v>
      </c>
      <c r="D852" s="1">
        <v>5</v>
      </c>
      <c r="E852" t="s">
        <v>125</v>
      </c>
      <c r="F852" s="1">
        <v>41</v>
      </c>
      <c r="G852" t="s">
        <v>3</v>
      </c>
      <c r="H852" s="1">
        <v>51</v>
      </c>
      <c r="I852" t="s">
        <v>6</v>
      </c>
      <c r="J852" s="1">
        <v>4085</v>
      </c>
      <c r="K852" s="1">
        <v>6233</v>
      </c>
      <c r="L852" s="1">
        <v>231652</v>
      </c>
      <c r="M852" s="1">
        <v>14321</v>
      </c>
      <c r="N852" s="1">
        <v>25007</v>
      </c>
      <c r="O852" s="1">
        <v>1121327</v>
      </c>
      <c r="P852" s="1">
        <v>169878</v>
      </c>
      <c r="Q852" s="1">
        <v>356210</v>
      </c>
      <c r="R852" s="1">
        <v>17281188</v>
      </c>
      <c r="S852" s="1">
        <v>41005</v>
      </c>
      <c r="T852" s="1">
        <v>41005</v>
      </c>
      <c r="U852" s="1">
        <v>41051</v>
      </c>
      <c r="V852" s="1">
        <v>0</v>
      </c>
      <c r="W852" s="1">
        <v>1</v>
      </c>
    </row>
    <row r="853">
      <c r="A853" s="1">
        <v>2020</v>
      </c>
      <c r="B853" s="1">
        <v>41</v>
      </c>
      <c r="C853" t="s">
        <v>3</v>
      </c>
      <c r="D853" s="1">
        <v>7</v>
      </c>
      <c r="E853" t="s">
        <v>126</v>
      </c>
      <c r="F853" s="1">
        <v>41</v>
      </c>
      <c r="G853" t="s">
        <v>3</v>
      </c>
      <c r="H853" s="1">
        <v>51</v>
      </c>
      <c r="I853" t="s">
        <v>6</v>
      </c>
      <c r="J853" s="1">
        <v>90</v>
      </c>
      <c r="K853" s="1">
        <v>126</v>
      </c>
      <c r="L853" s="1">
        <v>4179</v>
      </c>
      <c r="M853" s="1">
        <v>1299</v>
      </c>
      <c r="N853" s="1">
        <v>2338</v>
      </c>
      <c r="O853" s="1">
        <v>65495</v>
      </c>
      <c r="P853" s="1">
        <v>16005</v>
      </c>
      <c r="Q853" s="1">
        <v>31531</v>
      </c>
      <c r="R853" s="1">
        <v>1016005</v>
      </c>
      <c r="S853" s="1">
        <v>41007</v>
      </c>
      <c r="T853" s="1">
        <v>41007</v>
      </c>
      <c r="U853" s="1">
        <v>41051</v>
      </c>
      <c r="V853" s="1">
        <v>0</v>
      </c>
      <c r="W853" s="1">
        <v>1</v>
      </c>
    </row>
    <row r="854">
      <c r="A854" s="1">
        <v>2020</v>
      </c>
      <c r="B854" s="1">
        <v>41</v>
      </c>
      <c r="C854" t="s">
        <v>3</v>
      </c>
      <c r="D854" s="1">
        <v>9</v>
      </c>
      <c r="E854" t="s">
        <v>127</v>
      </c>
      <c r="F854" s="1">
        <v>41</v>
      </c>
      <c r="G854" t="s">
        <v>3</v>
      </c>
      <c r="H854" s="1">
        <v>51</v>
      </c>
      <c r="I854" t="s">
        <v>6</v>
      </c>
      <c r="J854" s="1">
        <v>171</v>
      </c>
      <c r="K854" s="1">
        <v>273</v>
      </c>
      <c r="L854" s="1">
        <v>8772</v>
      </c>
      <c r="M854" s="1">
        <v>1381</v>
      </c>
      <c r="N854" s="1">
        <v>2548</v>
      </c>
      <c r="O854" s="1">
        <v>79414</v>
      </c>
      <c r="P854" s="1">
        <v>20333</v>
      </c>
      <c r="Q854" s="1">
        <v>42568</v>
      </c>
      <c r="R854" s="1">
        <v>1435992</v>
      </c>
      <c r="S854" s="1">
        <v>41009</v>
      </c>
      <c r="T854" s="1">
        <v>41009</v>
      </c>
      <c r="U854" s="1">
        <v>41051</v>
      </c>
      <c r="V854" s="1">
        <v>0</v>
      </c>
      <c r="W854" s="1">
        <v>1</v>
      </c>
    </row>
    <row r="855">
      <c r="A855" s="1">
        <v>2020</v>
      </c>
      <c r="B855" s="1">
        <v>41</v>
      </c>
      <c r="C855" t="s">
        <v>3</v>
      </c>
      <c r="D855" s="1">
        <v>11</v>
      </c>
      <c r="E855" t="s">
        <v>128</v>
      </c>
      <c r="F855" s="1">
        <v>41</v>
      </c>
      <c r="G855" t="s">
        <v>3</v>
      </c>
      <c r="H855" s="1">
        <v>51</v>
      </c>
      <c r="I855" t="s">
        <v>6</v>
      </c>
      <c r="J855" s="1">
        <v>36</v>
      </c>
      <c r="K855" s="1">
        <v>53</v>
      </c>
      <c r="L855" s="1">
        <v>1822</v>
      </c>
      <c r="M855" s="1">
        <v>1441</v>
      </c>
      <c r="N855" s="1">
        <v>2717</v>
      </c>
      <c r="O855" s="1">
        <v>67868</v>
      </c>
      <c r="P855" s="1">
        <v>23836</v>
      </c>
      <c r="Q855" s="1">
        <v>47508</v>
      </c>
      <c r="R855" s="1">
        <v>1348397</v>
      </c>
      <c r="S855" s="1">
        <v>41011</v>
      </c>
      <c r="T855" s="1">
        <v>41011</v>
      </c>
      <c r="U855" s="1">
        <v>41051</v>
      </c>
      <c r="V855" s="1">
        <v>0</v>
      </c>
      <c r="W855" s="1">
        <v>1</v>
      </c>
    </row>
    <row r="856">
      <c r="A856" s="1">
        <v>2020</v>
      </c>
      <c r="B856" s="1">
        <v>41</v>
      </c>
      <c r="C856" t="s">
        <v>3</v>
      </c>
      <c r="D856" s="1">
        <v>17</v>
      </c>
      <c r="E856" t="s">
        <v>130</v>
      </c>
      <c r="F856" s="1">
        <v>41</v>
      </c>
      <c r="G856" t="s">
        <v>3</v>
      </c>
      <c r="H856" s="1">
        <v>51</v>
      </c>
      <c r="I856" t="s">
        <v>6</v>
      </c>
      <c r="J856" s="1">
        <v>317</v>
      </c>
      <c r="K856" s="1">
        <v>421</v>
      </c>
      <c r="L856" s="1">
        <v>16497</v>
      </c>
      <c r="M856" s="1">
        <v>5872</v>
      </c>
      <c r="N856" s="1">
        <v>10145</v>
      </c>
      <c r="O856" s="1">
        <v>571794</v>
      </c>
      <c r="P856" s="1">
        <v>82205</v>
      </c>
      <c r="Q856" s="1">
        <v>164302</v>
      </c>
      <c r="R856" s="1">
        <v>7486221</v>
      </c>
      <c r="S856" s="1">
        <v>41017</v>
      </c>
      <c r="T856" s="1">
        <v>41017</v>
      </c>
      <c r="U856" s="1">
        <v>41051</v>
      </c>
      <c r="V856" s="1">
        <v>0</v>
      </c>
      <c r="W856" s="1">
        <v>1</v>
      </c>
    </row>
    <row r="857">
      <c r="A857" s="1">
        <v>2020</v>
      </c>
      <c r="B857" s="1">
        <v>41</v>
      </c>
      <c r="C857" t="s">
        <v>3</v>
      </c>
      <c r="D857" s="1">
        <v>19</v>
      </c>
      <c r="E857" t="s">
        <v>131</v>
      </c>
      <c r="F857" s="1">
        <v>41</v>
      </c>
      <c r="G857" t="s">
        <v>3</v>
      </c>
      <c r="H857" s="1">
        <v>51</v>
      </c>
      <c r="I857" t="s">
        <v>6</v>
      </c>
      <c r="J857" s="1">
        <v>43</v>
      </c>
      <c r="K857" s="1">
        <v>65</v>
      </c>
      <c r="L857" s="1">
        <v>1511</v>
      </c>
      <c r="M857" s="1">
        <v>2002</v>
      </c>
      <c r="N857" s="1">
        <v>3583</v>
      </c>
      <c r="O857" s="1">
        <v>90939</v>
      </c>
      <c r="P857" s="1">
        <v>39776</v>
      </c>
      <c r="Q857" s="1">
        <v>82680</v>
      </c>
      <c r="R857" s="1">
        <v>2292342</v>
      </c>
      <c r="S857" s="1">
        <v>41019</v>
      </c>
      <c r="T857" s="1">
        <v>41019</v>
      </c>
      <c r="U857" s="1">
        <v>41051</v>
      </c>
      <c r="V857" s="1">
        <v>0</v>
      </c>
      <c r="W857" s="1">
        <v>1</v>
      </c>
    </row>
    <row r="858">
      <c r="A858" s="1">
        <v>2020</v>
      </c>
      <c r="B858" s="1">
        <v>41</v>
      </c>
      <c r="C858" t="s">
        <v>3</v>
      </c>
      <c r="D858" s="1">
        <v>27</v>
      </c>
      <c r="E858" t="s">
        <v>132</v>
      </c>
      <c r="F858" s="1">
        <v>41</v>
      </c>
      <c r="G858" t="s">
        <v>3</v>
      </c>
      <c r="H858" s="1">
        <v>51</v>
      </c>
      <c r="I858" t="s">
        <v>6</v>
      </c>
      <c r="J858" s="1">
        <v>97</v>
      </c>
      <c r="K858" s="1">
        <v>138</v>
      </c>
      <c r="L858" s="1">
        <v>4735</v>
      </c>
      <c r="M858" s="1">
        <v>732</v>
      </c>
      <c r="N858" s="1">
        <v>1260</v>
      </c>
      <c r="O858" s="1">
        <v>44633</v>
      </c>
      <c r="P858" s="1">
        <v>9996</v>
      </c>
      <c r="Q858" s="1">
        <v>21683</v>
      </c>
      <c r="R858" s="1">
        <v>793586</v>
      </c>
      <c r="S858" s="1">
        <v>41027</v>
      </c>
      <c r="T858" s="1">
        <v>41027</v>
      </c>
      <c r="U858" s="1">
        <v>41051</v>
      </c>
      <c r="V858" s="1">
        <v>0</v>
      </c>
      <c r="W858" s="1">
        <v>1</v>
      </c>
    </row>
    <row r="859">
      <c r="A859" s="1">
        <v>2020</v>
      </c>
      <c r="B859" s="1">
        <v>41</v>
      </c>
      <c r="C859" t="s">
        <v>3</v>
      </c>
      <c r="D859" s="1">
        <v>29</v>
      </c>
      <c r="E859" t="s">
        <v>133</v>
      </c>
      <c r="F859" s="1">
        <v>41</v>
      </c>
      <c r="G859" t="s">
        <v>3</v>
      </c>
      <c r="H859" s="1">
        <v>51</v>
      </c>
      <c r="I859" t="s">
        <v>6</v>
      </c>
      <c r="J859" s="1">
        <v>210</v>
      </c>
      <c r="K859" s="1">
        <v>275</v>
      </c>
      <c r="L859" s="1">
        <v>12014</v>
      </c>
      <c r="M859" s="1">
        <v>4945</v>
      </c>
      <c r="N859" s="1">
        <v>8510</v>
      </c>
      <c r="O859" s="1">
        <v>259752</v>
      </c>
      <c r="P859" s="1">
        <v>87372</v>
      </c>
      <c r="Q859" s="1">
        <v>176135</v>
      </c>
      <c r="R859" s="1">
        <v>5905231</v>
      </c>
      <c r="S859" s="1">
        <v>41029</v>
      </c>
      <c r="T859" s="1">
        <v>41029</v>
      </c>
      <c r="U859" s="1">
        <v>41051</v>
      </c>
      <c r="V859" s="1">
        <v>0</v>
      </c>
      <c r="W859" s="1">
        <v>1</v>
      </c>
    </row>
    <row r="860">
      <c r="A860" s="1">
        <v>2020</v>
      </c>
      <c r="B860" s="1">
        <v>41</v>
      </c>
      <c r="C860" t="s">
        <v>3</v>
      </c>
      <c r="D860" s="1">
        <v>31</v>
      </c>
      <c r="E860" t="s">
        <v>83</v>
      </c>
      <c r="F860" s="1">
        <v>41</v>
      </c>
      <c r="G860" t="s">
        <v>3</v>
      </c>
      <c r="H860" s="1">
        <v>51</v>
      </c>
      <c r="I860" t="s">
        <v>6</v>
      </c>
      <c r="J860" s="1">
        <v>20</v>
      </c>
      <c r="K860" s="1">
        <v>32</v>
      </c>
      <c r="L860" s="1">
        <v>973</v>
      </c>
      <c r="M860" s="1">
        <v>652</v>
      </c>
      <c r="N860" s="1">
        <v>1284</v>
      </c>
      <c r="O860" s="1">
        <v>30817</v>
      </c>
      <c r="P860" s="1">
        <v>8396</v>
      </c>
      <c r="Q860" s="1">
        <v>19096</v>
      </c>
      <c r="R860" s="1">
        <v>443480</v>
      </c>
      <c r="S860" s="1">
        <v>41031</v>
      </c>
      <c r="T860" s="1">
        <v>41031</v>
      </c>
      <c r="U860" s="1">
        <v>41051</v>
      </c>
      <c r="V860" s="1">
        <v>0</v>
      </c>
      <c r="W860" s="1">
        <v>1</v>
      </c>
    </row>
    <row r="861">
      <c r="A861" s="1">
        <v>2020</v>
      </c>
      <c r="B861" s="1">
        <v>41</v>
      </c>
      <c r="C861" t="s">
        <v>3</v>
      </c>
      <c r="D861" s="1">
        <v>33</v>
      </c>
      <c r="E861" t="s">
        <v>134</v>
      </c>
      <c r="F861" s="1">
        <v>41</v>
      </c>
      <c r="G861" t="s">
        <v>3</v>
      </c>
      <c r="H861" s="1">
        <v>51</v>
      </c>
      <c r="I861" t="s">
        <v>6</v>
      </c>
      <c r="J861" s="1">
        <v>40</v>
      </c>
      <c r="K861" s="1">
        <v>52</v>
      </c>
      <c r="L861" s="1">
        <v>1747</v>
      </c>
      <c r="M861" s="1">
        <v>2075</v>
      </c>
      <c r="N861" s="1">
        <v>3594</v>
      </c>
      <c r="O861" s="1">
        <v>88755</v>
      </c>
      <c r="P861" s="1">
        <v>32089</v>
      </c>
      <c r="Q861" s="1">
        <v>64736</v>
      </c>
      <c r="R861" s="1">
        <v>1841843</v>
      </c>
      <c r="S861" s="1">
        <v>41033</v>
      </c>
      <c r="T861" s="1">
        <v>41033</v>
      </c>
      <c r="U861" s="1">
        <v>41051</v>
      </c>
      <c r="V861" s="1">
        <v>0</v>
      </c>
      <c r="W861" s="1">
        <v>1</v>
      </c>
    </row>
    <row r="862">
      <c r="A862" s="1">
        <v>2020</v>
      </c>
      <c r="B862" s="1">
        <v>41</v>
      </c>
      <c r="C862" t="s">
        <v>3</v>
      </c>
      <c r="D862" s="1">
        <v>35</v>
      </c>
      <c r="E862" t="s">
        <v>135</v>
      </c>
      <c r="F862" s="1">
        <v>41</v>
      </c>
      <c r="G862" t="s">
        <v>3</v>
      </c>
      <c r="H862" s="1">
        <v>51</v>
      </c>
      <c r="I862" t="s">
        <v>6</v>
      </c>
      <c r="J862" s="1">
        <v>50</v>
      </c>
      <c r="K862" s="1">
        <v>79</v>
      </c>
      <c r="L862" s="1">
        <v>1663</v>
      </c>
      <c r="M862" s="1">
        <v>1593</v>
      </c>
      <c r="N862" s="1">
        <v>3019</v>
      </c>
      <c r="O862" s="1">
        <v>74036</v>
      </c>
      <c r="P862" s="1">
        <v>24345</v>
      </c>
      <c r="Q862" s="1">
        <v>52093</v>
      </c>
      <c r="R862" s="1">
        <v>1336481</v>
      </c>
      <c r="S862" s="1">
        <v>41035</v>
      </c>
      <c r="T862" s="1">
        <v>41035</v>
      </c>
      <c r="U862" s="1">
        <v>41051</v>
      </c>
      <c r="V862" s="1">
        <v>0</v>
      </c>
      <c r="W862" s="1">
        <v>1</v>
      </c>
    </row>
    <row r="863">
      <c r="A863" s="1">
        <v>2020</v>
      </c>
      <c r="B863" s="1">
        <v>41</v>
      </c>
      <c r="C863" t="s">
        <v>3</v>
      </c>
      <c r="D863" s="1">
        <v>39</v>
      </c>
      <c r="E863" t="s">
        <v>136</v>
      </c>
      <c r="F863" s="1">
        <v>41</v>
      </c>
      <c r="G863" t="s">
        <v>3</v>
      </c>
      <c r="H863" s="1">
        <v>51</v>
      </c>
      <c r="I863" t="s">
        <v>6</v>
      </c>
      <c r="J863" s="1">
        <v>639</v>
      </c>
      <c r="K863" s="1">
        <v>772</v>
      </c>
      <c r="L863" s="1">
        <v>34482</v>
      </c>
      <c r="M863" s="1">
        <v>8737</v>
      </c>
      <c r="N863" s="1">
        <v>14212</v>
      </c>
      <c r="O863" s="1">
        <v>418253</v>
      </c>
      <c r="P863" s="1">
        <v>146925</v>
      </c>
      <c r="Q863" s="1">
        <v>283258</v>
      </c>
      <c r="R863" s="1">
        <v>10292121</v>
      </c>
      <c r="S863" s="1">
        <v>41039</v>
      </c>
      <c r="T863" s="1">
        <v>41039</v>
      </c>
      <c r="U863" s="1">
        <v>41051</v>
      </c>
      <c r="V863" s="1">
        <v>0</v>
      </c>
      <c r="W863" s="1">
        <v>1</v>
      </c>
    </row>
    <row r="864">
      <c r="A864" s="1">
        <v>2020</v>
      </c>
      <c r="B864" s="1">
        <v>41</v>
      </c>
      <c r="C864" t="s">
        <v>3</v>
      </c>
      <c r="D864" s="1">
        <v>41</v>
      </c>
      <c r="E864" t="s">
        <v>137</v>
      </c>
      <c r="F864" s="1">
        <v>41</v>
      </c>
      <c r="G864" t="s">
        <v>3</v>
      </c>
      <c r="H864" s="1">
        <v>51</v>
      </c>
      <c r="I864" t="s">
        <v>6</v>
      </c>
      <c r="J864" s="1">
        <v>82</v>
      </c>
      <c r="K864" s="1">
        <v>116</v>
      </c>
      <c r="L864" s="1">
        <v>6148</v>
      </c>
      <c r="M864" s="1">
        <v>1608</v>
      </c>
      <c r="N864" s="1">
        <v>2815</v>
      </c>
      <c r="O864" s="1">
        <v>89683</v>
      </c>
      <c r="P864" s="1">
        <v>19428</v>
      </c>
      <c r="Q864" s="1">
        <v>37079</v>
      </c>
      <c r="R864" s="1">
        <v>1181984</v>
      </c>
      <c r="S864" s="1">
        <v>41041</v>
      </c>
      <c r="T864" s="1">
        <v>41041</v>
      </c>
      <c r="U864" s="1">
        <v>41051</v>
      </c>
      <c r="V864" s="1">
        <v>0</v>
      </c>
      <c r="W864" s="1">
        <v>1</v>
      </c>
    </row>
    <row r="865">
      <c r="A865" s="1">
        <v>2020</v>
      </c>
      <c r="B865" s="1">
        <v>41</v>
      </c>
      <c r="C865" t="s">
        <v>3</v>
      </c>
      <c r="D865" s="1">
        <v>43</v>
      </c>
      <c r="E865" t="s">
        <v>138</v>
      </c>
      <c r="F865" s="1">
        <v>41</v>
      </c>
      <c r="G865" t="s">
        <v>3</v>
      </c>
      <c r="H865" s="1">
        <v>51</v>
      </c>
      <c r="I865" t="s">
        <v>6</v>
      </c>
      <c r="J865" s="1">
        <v>98</v>
      </c>
      <c r="K865" s="1">
        <v>129</v>
      </c>
      <c r="L865" s="1">
        <v>3123</v>
      </c>
      <c r="M865" s="1">
        <v>3616</v>
      </c>
      <c r="N865" s="1">
        <v>6865</v>
      </c>
      <c r="O865" s="1">
        <v>175033</v>
      </c>
      <c r="P865" s="1">
        <v>47946</v>
      </c>
      <c r="Q865" s="1">
        <v>103225</v>
      </c>
      <c r="R865" s="1">
        <v>2980546</v>
      </c>
      <c r="S865" s="1">
        <v>41043</v>
      </c>
      <c r="T865" s="1">
        <v>41043</v>
      </c>
      <c r="U865" s="1">
        <v>41051</v>
      </c>
      <c r="V865" s="1">
        <v>0</v>
      </c>
      <c r="W865" s="1">
        <v>1</v>
      </c>
    </row>
    <row r="866">
      <c r="A866" s="1">
        <v>2020</v>
      </c>
      <c r="B866" s="1">
        <v>41</v>
      </c>
      <c r="C866" t="s">
        <v>3</v>
      </c>
      <c r="D866" s="1">
        <v>47</v>
      </c>
      <c r="E866" t="s">
        <v>99</v>
      </c>
      <c r="F866" s="1">
        <v>41</v>
      </c>
      <c r="G866" t="s">
        <v>3</v>
      </c>
      <c r="H866" s="1">
        <v>51</v>
      </c>
      <c r="I866" t="s">
        <v>6</v>
      </c>
      <c r="J866" s="1">
        <v>519</v>
      </c>
      <c r="K866" s="1">
        <v>799</v>
      </c>
      <c r="L866" s="1">
        <v>26174</v>
      </c>
      <c r="M866" s="1">
        <v>8495</v>
      </c>
      <c r="N866" s="1">
        <v>16020</v>
      </c>
      <c r="O866" s="1">
        <v>468494</v>
      </c>
      <c r="P866" s="1">
        <v>127847</v>
      </c>
      <c r="Q866" s="1">
        <v>283486</v>
      </c>
      <c r="R866" s="1">
        <v>8695000</v>
      </c>
      <c r="S866" s="1">
        <v>41047</v>
      </c>
      <c r="T866" s="1">
        <v>41047</v>
      </c>
      <c r="U866" s="1">
        <v>41051</v>
      </c>
      <c r="V866" s="1">
        <v>0</v>
      </c>
      <c r="W866" s="1">
        <v>1</v>
      </c>
    </row>
    <row r="867">
      <c r="A867" s="1">
        <v>2020</v>
      </c>
      <c r="B867" s="1">
        <v>41</v>
      </c>
      <c r="C867" t="s">
        <v>3</v>
      </c>
      <c r="D867" s="1">
        <v>53</v>
      </c>
      <c r="E867" t="s">
        <v>100</v>
      </c>
      <c r="F867" s="1">
        <v>41</v>
      </c>
      <c r="G867" t="s">
        <v>3</v>
      </c>
      <c r="H867" s="1">
        <v>51</v>
      </c>
      <c r="I867" t="s">
        <v>6</v>
      </c>
      <c r="J867" s="1">
        <v>99</v>
      </c>
      <c r="K867" s="1">
        <v>117</v>
      </c>
      <c r="L867" s="1">
        <v>4293</v>
      </c>
      <c r="M867" s="1">
        <v>3057</v>
      </c>
      <c r="N867" s="1">
        <v>5760</v>
      </c>
      <c r="O867" s="1">
        <v>162252</v>
      </c>
      <c r="P867" s="1">
        <v>31195</v>
      </c>
      <c r="Q867" s="1">
        <v>69415</v>
      </c>
      <c r="R867" s="1">
        <v>2246444</v>
      </c>
      <c r="S867" s="1">
        <v>41053</v>
      </c>
      <c r="T867" s="1">
        <v>41053</v>
      </c>
      <c r="U867" s="1">
        <v>41051</v>
      </c>
      <c r="V867" s="1">
        <v>0</v>
      </c>
      <c r="W867" s="1">
        <v>1</v>
      </c>
    </row>
    <row r="868">
      <c r="A868" s="1">
        <v>2020</v>
      </c>
      <c r="B868" s="1">
        <v>41</v>
      </c>
      <c r="C868" t="s">
        <v>3</v>
      </c>
      <c r="D868" s="1">
        <v>57</v>
      </c>
      <c r="E868" t="s">
        <v>139</v>
      </c>
      <c r="F868" s="1">
        <v>41</v>
      </c>
      <c r="G868" t="s">
        <v>3</v>
      </c>
      <c r="H868" s="1">
        <v>51</v>
      </c>
      <c r="I868" t="s">
        <v>6</v>
      </c>
      <c r="J868" s="1">
        <v>44</v>
      </c>
      <c r="K868" s="1">
        <v>74</v>
      </c>
      <c r="L868" s="1">
        <v>2001</v>
      </c>
      <c r="M868" s="1">
        <v>685</v>
      </c>
      <c r="N868" s="1">
        <v>1184</v>
      </c>
      <c r="O868" s="1">
        <v>37465</v>
      </c>
      <c r="P868" s="1">
        <v>10561</v>
      </c>
      <c r="Q868" s="1">
        <v>21386</v>
      </c>
      <c r="R868" s="1">
        <v>654276</v>
      </c>
      <c r="S868" s="1">
        <v>41057</v>
      </c>
      <c r="T868" s="1">
        <v>41057</v>
      </c>
      <c r="U868" s="1">
        <v>41051</v>
      </c>
      <c r="V868" s="1">
        <v>0</v>
      </c>
      <c r="W868" s="1">
        <v>1</v>
      </c>
    </row>
    <row r="869">
      <c r="A869" s="1">
        <v>2020</v>
      </c>
      <c r="B869" s="1">
        <v>41</v>
      </c>
      <c r="C869" t="s">
        <v>3</v>
      </c>
      <c r="D869" s="1">
        <v>59</v>
      </c>
      <c r="E869" t="s">
        <v>140</v>
      </c>
      <c r="F869" s="1">
        <v>41</v>
      </c>
      <c r="G869" t="s">
        <v>3</v>
      </c>
      <c r="H869" s="1">
        <v>51</v>
      </c>
      <c r="I869" t="s">
        <v>6</v>
      </c>
      <c r="J869" s="1">
        <v>40</v>
      </c>
      <c r="K869" s="1">
        <v>67</v>
      </c>
      <c r="L869" s="1">
        <v>1770</v>
      </c>
      <c r="M869" s="1">
        <v>1571</v>
      </c>
      <c r="N869" s="1">
        <v>3055</v>
      </c>
      <c r="O869" s="1">
        <v>76792</v>
      </c>
      <c r="P869" s="1">
        <v>27058</v>
      </c>
      <c r="Q869" s="1">
        <v>61457</v>
      </c>
      <c r="R869" s="1">
        <v>1638010</v>
      </c>
      <c r="S869" s="1">
        <v>41059</v>
      </c>
      <c r="T869" s="1">
        <v>41059</v>
      </c>
      <c r="U869" s="1">
        <v>41051</v>
      </c>
      <c r="V869" s="1">
        <v>0</v>
      </c>
      <c r="W869" s="1">
        <v>1</v>
      </c>
    </row>
    <row r="870">
      <c r="A870" s="1">
        <v>2020</v>
      </c>
      <c r="B870" s="1">
        <v>41</v>
      </c>
      <c r="C870" t="s">
        <v>3</v>
      </c>
      <c r="D870" s="1">
        <v>65</v>
      </c>
      <c r="E870" t="s">
        <v>142</v>
      </c>
      <c r="F870" s="1">
        <v>41</v>
      </c>
      <c r="G870" t="s">
        <v>3</v>
      </c>
      <c r="H870" s="1">
        <v>51</v>
      </c>
      <c r="I870" t="s">
        <v>6</v>
      </c>
      <c r="J870" s="1">
        <v>56</v>
      </c>
      <c r="K870" s="1">
        <v>89</v>
      </c>
      <c r="L870" s="1">
        <v>2267</v>
      </c>
      <c r="M870" s="1">
        <v>747</v>
      </c>
      <c r="N870" s="1">
        <v>1395</v>
      </c>
      <c r="O870" s="1">
        <v>39791</v>
      </c>
      <c r="P870" s="1">
        <v>9889</v>
      </c>
      <c r="Q870" s="1">
        <v>20869</v>
      </c>
      <c r="R870" s="1">
        <v>610553</v>
      </c>
      <c r="S870" s="1">
        <v>41065</v>
      </c>
      <c r="T870" s="1">
        <v>41065</v>
      </c>
      <c r="U870" s="1">
        <v>41051</v>
      </c>
      <c r="V870" s="1">
        <v>0</v>
      </c>
      <c r="W870" s="1">
        <v>1</v>
      </c>
    </row>
    <row r="871">
      <c r="A871" s="1">
        <v>2020</v>
      </c>
      <c r="B871" s="1">
        <v>41</v>
      </c>
      <c r="C871" t="s">
        <v>3</v>
      </c>
      <c r="D871" s="1">
        <v>67</v>
      </c>
      <c r="E871" t="s">
        <v>143</v>
      </c>
      <c r="F871" s="1">
        <v>41</v>
      </c>
      <c r="G871" t="s">
        <v>3</v>
      </c>
      <c r="H871" s="1">
        <v>51</v>
      </c>
      <c r="I871" t="s">
        <v>6</v>
      </c>
      <c r="J871" s="1">
        <v>4491</v>
      </c>
      <c r="K871" s="1">
        <v>6445</v>
      </c>
      <c r="L871" s="1">
        <v>329865</v>
      </c>
      <c r="M871" s="1">
        <v>20256</v>
      </c>
      <c r="N871" s="1">
        <v>35449</v>
      </c>
      <c r="O871" s="1">
        <v>1675213</v>
      </c>
      <c r="P871" s="1">
        <v>242314</v>
      </c>
      <c r="Q871" s="1">
        <v>511939</v>
      </c>
      <c r="R871" s="1">
        <v>23790586</v>
      </c>
      <c r="S871" s="1">
        <v>41067</v>
      </c>
      <c r="T871" s="1">
        <v>41067</v>
      </c>
      <c r="U871" s="1">
        <v>41051</v>
      </c>
      <c r="V871" s="1">
        <v>0</v>
      </c>
      <c r="W871" s="1">
        <v>1</v>
      </c>
    </row>
    <row r="872">
      <c r="A872" s="1">
        <v>2020</v>
      </c>
      <c r="B872" s="1">
        <v>41</v>
      </c>
      <c r="C872" t="s">
        <v>3</v>
      </c>
      <c r="D872" s="1">
        <v>71</v>
      </c>
      <c r="E872" t="s">
        <v>144</v>
      </c>
      <c r="F872" s="1">
        <v>41</v>
      </c>
      <c r="G872" t="s">
        <v>3</v>
      </c>
      <c r="H872" s="1">
        <v>51</v>
      </c>
      <c r="I872" t="s">
        <v>6</v>
      </c>
      <c r="J872" s="1">
        <v>192</v>
      </c>
      <c r="K872" s="1">
        <v>289</v>
      </c>
      <c r="L872" s="1">
        <v>8325</v>
      </c>
      <c r="M872" s="1">
        <v>2959</v>
      </c>
      <c r="N872" s="1">
        <v>5492</v>
      </c>
      <c r="O872" s="1">
        <v>174998</v>
      </c>
      <c r="P872" s="1">
        <v>39557</v>
      </c>
      <c r="Q872" s="1">
        <v>86791</v>
      </c>
      <c r="R872" s="1">
        <v>3039838</v>
      </c>
      <c r="S872" s="1">
        <v>41071</v>
      </c>
      <c r="T872" s="1">
        <v>41071</v>
      </c>
      <c r="U872" s="1">
        <v>41051</v>
      </c>
      <c r="V872" s="1">
        <v>0</v>
      </c>
      <c r="W872" s="1">
        <v>1</v>
      </c>
    </row>
    <row r="873">
      <c r="A873" s="1">
        <v>2020</v>
      </c>
      <c r="B873" s="1">
        <v>42</v>
      </c>
      <c r="C873" t="s">
        <v>34</v>
      </c>
      <c r="D873" s="1">
        <v>3</v>
      </c>
      <c r="E873" t="s">
        <v>145</v>
      </c>
      <c r="F873" s="1">
        <v>41</v>
      </c>
      <c r="G873" t="s">
        <v>3</v>
      </c>
      <c r="H873" s="1">
        <v>51</v>
      </c>
      <c r="I873" t="s">
        <v>6</v>
      </c>
      <c r="J873" s="1">
        <v>64</v>
      </c>
      <c r="K873" s="1">
        <v>94</v>
      </c>
      <c r="L873" s="1">
        <v>3476</v>
      </c>
      <c r="M873" s="1">
        <v>24371</v>
      </c>
      <c r="N873" s="1">
        <v>40081</v>
      </c>
      <c r="O873" s="1">
        <v>2018493</v>
      </c>
      <c r="P873" s="1">
        <v>529606</v>
      </c>
      <c r="Q873" s="1">
        <v>1013091</v>
      </c>
      <c r="R873" s="1">
        <v>47966964</v>
      </c>
      <c r="S873" s="1">
        <v>42003</v>
      </c>
      <c r="T873" s="1">
        <v>42003</v>
      </c>
      <c r="U873" s="1">
        <v>41051</v>
      </c>
      <c r="V873" s="1">
        <v>0</v>
      </c>
      <c r="W873" s="1">
        <v>1</v>
      </c>
    </row>
    <row r="874">
      <c r="A874" s="1">
        <v>2020</v>
      </c>
      <c r="B874" s="1">
        <v>42</v>
      </c>
      <c r="C874" t="s">
        <v>34</v>
      </c>
      <c r="D874" s="1">
        <v>101</v>
      </c>
      <c r="E874" t="s">
        <v>146</v>
      </c>
      <c r="F874" s="1">
        <v>41</v>
      </c>
      <c r="G874" t="s">
        <v>3</v>
      </c>
      <c r="H874" s="1">
        <v>51</v>
      </c>
      <c r="I874" t="s">
        <v>6</v>
      </c>
      <c r="J874" s="1">
        <v>96</v>
      </c>
      <c r="K874" s="1">
        <v>121</v>
      </c>
      <c r="L874" s="1">
        <v>7148</v>
      </c>
      <c r="M874" s="1">
        <v>40445</v>
      </c>
      <c r="N874" s="1">
        <v>69399</v>
      </c>
      <c r="O874" s="1">
        <v>3183704</v>
      </c>
      <c r="P874" s="1">
        <v>575991</v>
      </c>
      <c r="Q874" s="1">
        <v>1092597</v>
      </c>
      <c r="R874" s="1">
        <v>37099360</v>
      </c>
      <c r="S874" s="1">
        <v>42101</v>
      </c>
      <c r="T874" s="1">
        <v>42101</v>
      </c>
      <c r="U874" s="1">
        <v>41051</v>
      </c>
      <c r="V874" s="1">
        <v>0</v>
      </c>
      <c r="W874" s="1">
        <v>1</v>
      </c>
    </row>
    <row r="875">
      <c r="A875" s="1">
        <v>2020</v>
      </c>
      <c r="B875" s="1">
        <v>45</v>
      </c>
      <c r="C875" t="s">
        <v>49</v>
      </c>
      <c r="D875" s="1">
        <v>19</v>
      </c>
      <c r="E875" t="s">
        <v>213</v>
      </c>
      <c r="F875" s="1">
        <v>41</v>
      </c>
      <c r="G875" t="s">
        <v>3</v>
      </c>
      <c r="H875" s="1">
        <v>51</v>
      </c>
      <c r="I875" t="s">
        <v>6</v>
      </c>
      <c r="J875" s="1">
        <v>21</v>
      </c>
      <c r="K875" s="1">
        <v>28</v>
      </c>
      <c r="L875" s="1">
        <v>1784</v>
      </c>
      <c r="M875" s="1">
        <v>14758</v>
      </c>
      <c r="N875" s="1">
        <v>25997</v>
      </c>
      <c r="O875" s="1">
        <v>1008376</v>
      </c>
      <c r="P875" s="1">
        <v>159420</v>
      </c>
      <c r="Q875" s="1">
        <v>311923</v>
      </c>
      <c r="R875" s="1">
        <v>16971076</v>
      </c>
      <c r="S875" s="1">
        <v>45019</v>
      </c>
      <c r="T875" s="1">
        <v>45019</v>
      </c>
      <c r="U875" s="1">
        <v>41051</v>
      </c>
      <c r="V875" s="1">
        <v>0</v>
      </c>
      <c r="W875" s="1">
        <v>1</v>
      </c>
    </row>
    <row r="876">
      <c r="A876" s="1">
        <v>2020</v>
      </c>
      <c r="B876" s="1">
        <v>47</v>
      </c>
      <c r="C876" t="s">
        <v>35</v>
      </c>
      <c r="D876" s="1">
        <v>37</v>
      </c>
      <c r="E876" t="s">
        <v>147</v>
      </c>
      <c r="F876" s="1">
        <v>41</v>
      </c>
      <c r="G876" t="s">
        <v>3</v>
      </c>
      <c r="H876" s="1">
        <v>51</v>
      </c>
      <c r="I876" t="s">
        <v>6</v>
      </c>
      <c r="J876" s="1">
        <v>51</v>
      </c>
      <c r="K876" s="1">
        <v>68</v>
      </c>
      <c r="L876" s="1">
        <v>4086</v>
      </c>
      <c r="M876" s="1">
        <v>30651</v>
      </c>
      <c r="N876" s="1">
        <v>54016</v>
      </c>
      <c r="O876" s="1">
        <v>2120222</v>
      </c>
      <c r="P876" s="1">
        <v>289378</v>
      </c>
      <c r="Q876" s="1">
        <v>542976</v>
      </c>
      <c r="R876" s="1">
        <v>27177172</v>
      </c>
      <c r="S876" s="1">
        <v>47037</v>
      </c>
      <c r="T876" s="1">
        <v>47037</v>
      </c>
      <c r="U876" s="1">
        <v>41051</v>
      </c>
      <c r="V876" s="1">
        <v>0</v>
      </c>
      <c r="W876" s="1">
        <v>1</v>
      </c>
    </row>
    <row r="877">
      <c r="A877" s="1">
        <v>2020</v>
      </c>
      <c r="B877" s="1">
        <v>47</v>
      </c>
      <c r="C877" t="s">
        <v>35</v>
      </c>
      <c r="D877" s="1">
        <v>157</v>
      </c>
      <c r="E877" t="s">
        <v>215</v>
      </c>
      <c r="F877" s="1">
        <v>41</v>
      </c>
      <c r="G877" t="s">
        <v>3</v>
      </c>
      <c r="H877" s="1">
        <v>51</v>
      </c>
      <c r="I877" t="s">
        <v>6</v>
      </c>
      <c r="J877" s="1">
        <v>31</v>
      </c>
      <c r="K877" s="1">
        <v>47</v>
      </c>
      <c r="L877" s="1">
        <v>1866</v>
      </c>
      <c r="M877" s="1">
        <v>17917</v>
      </c>
      <c r="N877" s="1">
        <v>34765</v>
      </c>
      <c r="O877" s="1">
        <v>1200999</v>
      </c>
      <c r="P877" s="1">
        <v>349565</v>
      </c>
      <c r="Q877" s="1">
        <v>735926</v>
      </c>
      <c r="R877" s="1">
        <v>26018468</v>
      </c>
      <c r="S877" s="1">
        <v>47157</v>
      </c>
      <c r="T877" s="1">
        <v>47157</v>
      </c>
      <c r="U877" s="1">
        <v>41051</v>
      </c>
      <c r="V877" s="1">
        <v>0</v>
      </c>
      <c r="W877" s="1">
        <v>1</v>
      </c>
    </row>
    <row r="878">
      <c r="A878" s="1">
        <v>2020</v>
      </c>
      <c r="B878" s="1">
        <v>48</v>
      </c>
      <c r="C878" t="s">
        <v>36</v>
      </c>
      <c r="D878" s="1">
        <v>29</v>
      </c>
      <c r="E878" t="s">
        <v>149</v>
      </c>
      <c r="F878" s="1">
        <v>41</v>
      </c>
      <c r="G878" t="s">
        <v>3</v>
      </c>
      <c r="H878" s="1">
        <v>51</v>
      </c>
      <c r="I878" t="s">
        <v>6</v>
      </c>
      <c r="J878" s="1">
        <v>37</v>
      </c>
      <c r="K878" s="1">
        <v>62</v>
      </c>
      <c r="L878" s="1">
        <v>2744</v>
      </c>
      <c r="M878" s="1">
        <v>39755</v>
      </c>
      <c r="N878" s="1">
        <v>80992</v>
      </c>
      <c r="O878" s="1">
        <v>2672595</v>
      </c>
      <c r="P878" s="1">
        <v>742367</v>
      </c>
      <c r="Q878" s="1">
        <v>1607358</v>
      </c>
      <c r="R878" s="1">
        <v>53758492</v>
      </c>
      <c r="S878" s="1">
        <v>48029</v>
      </c>
      <c r="T878" s="1">
        <v>48029</v>
      </c>
      <c r="U878" s="1">
        <v>41051</v>
      </c>
      <c r="V878" s="1">
        <v>0</v>
      </c>
      <c r="W878" s="1">
        <v>1</v>
      </c>
    </row>
    <row r="879">
      <c r="A879" s="1">
        <v>2020</v>
      </c>
      <c r="B879" s="1">
        <v>48</v>
      </c>
      <c r="C879" t="s">
        <v>36</v>
      </c>
      <c r="D879" s="1">
        <v>85</v>
      </c>
      <c r="E879" t="s">
        <v>216</v>
      </c>
      <c r="F879" s="1">
        <v>41</v>
      </c>
      <c r="G879" t="s">
        <v>3</v>
      </c>
      <c r="H879" s="1">
        <v>51</v>
      </c>
      <c r="I879" t="s">
        <v>6</v>
      </c>
      <c r="J879" s="1">
        <v>37</v>
      </c>
      <c r="K879" s="1">
        <v>62</v>
      </c>
      <c r="L879" s="1">
        <v>2656</v>
      </c>
      <c r="M879" s="1">
        <v>36009</v>
      </c>
      <c r="N879" s="1">
        <v>68066</v>
      </c>
      <c r="O879" s="1">
        <v>3003968</v>
      </c>
      <c r="P879" s="1">
        <v>384304</v>
      </c>
      <c r="Q879" s="1">
        <v>910487</v>
      </c>
      <c r="R879" s="1">
        <v>46585752</v>
      </c>
      <c r="S879" s="1">
        <v>48085</v>
      </c>
      <c r="T879" s="1">
        <v>48085</v>
      </c>
      <c r="U879" s="1">
        <v>41051</v>
      </c>
      <c r="V879" s="1">
        <v>0</v>
      </c>
      <c r="W879" s="1">
        <v>1</v>
      </c>
    </row>
    <row r="880">
      <c r="A880" s="1">
        <v>2020</v>
      </c>
      <c r="B880" s="1">
        <v>48</v>
      </c>
      <c r="C880" t="s">
        <v>36</v>
      </c>
      <c r="D880" s="1">
        <v>113</v>
      </c>
      <c r="E880" t="s">
        <v>150</v>
      </c>
      <c r="F880" s="1">
        <v>41</v>
      </c>
      <c r="G880" t="s">
        <v>3</v>
      </c>
      <c r="H880" s="1">
        <v>51</v>
      </c>
      <c r="I880" t="s">
        <v>6</v>
      </c>
      <c r="J880" s="1">
        <v>88</v>
      </c>
      <c r="K880" s="1">
        <v>118</v>
      </c>
      <c r="L880" s="1">
        <v>8528</v>
      </c>
      <c r="M880" s="1">
        <v>82078</v>
      </c>
      <c r="N880" s="1">
        <v>154960</v>
      </c>
      <c r="O880" s="1">
        <v>6198838</v>
      </c>
      <c r="P880" s="1">
        <v>979446</v>
      </c>
      <c r="Q880" s="1">
        <v>2096007</v>
      </c>
      <c r="R880" s="1">
        <v>89057472</v>
      </c>
      <c r="S880" s="1">
        <v>48113</v>
      </c>
      <c r="T880" s="1">
        <v>48113</v>
      </c>
      <c r="U880" s="1">
        <v>41051</v>
      </c>
      <c r="V880" s="1">
        <v>0</v>
      </c>
      <c r="W880" s="1">
        <v>1</v>
      </c>
    </row>
    <row r="881">
      <c r="A881" s="1">
        <v>2020</v>
      </c>
      <c r="B881" s="1">
        <v>48</v>
      </c>
      <c r="C881" t="s">
        <v>36</v>
      </c>
      <c r="D881" s="1">
        <v>121</v>
      </c>
      <c r="E881" t="s">
        <v>234</v>
      </c>
      <c r="F881" s="1">
        <v>41</v>
      </c>
      <c r="G881" t="s">
        <v>3</v>
      </c>
      <c r="H881" s="1">
        <v>51</v>
      </c>
      <c r="I881" t="s">
        <v>6</v>
      </c>
      <c r="J881" s="1">
        <v>27</v>
      </c>
      <c r="K881" s="1">
        <v>35</v>
      </c>
      <c r="L881" s="1">
        <v>1369</v>
      </c>
      <c r="M881" s="1">
        <v>33161</v>
      </c>
      <c r="N881" s="1">
        <v>62335</v>
      </c>
      <c r="O881" s="1">
        <v>2590970</v>
      </c>
      <c r="P881" s="1">
        <v>331527</v>
      </c>
      <c r="Q881" s="1">
        <v>758509</v>
      </c>
      <c r="R881" s="1">
        <v>35193136</v>
      </c>
      <c r="S881" s="1">
        <v>48121</v>
      </c>
      <c r="T881" s="1">
        <v>48121</v>
      </c>
      <c r="U881" s="1">
        <v>41051</v>
      </c>
      <c r="V881" s="1">
        <v>0</v>
      </c>
      <c r="W881" s="1">
        <v>1</v>
      </c>
    </row>
    <row r="882">
      <c r="A882" s="1">
        <v>2020</v>
      </c>
      <c r="B882" s="1">
        <v>48</v>
      </c>
      <c r="C882" t="s">
        <v>36</v>
      </c>
      <c r="D882" s="1">
        <v>141</v>
      </c>
      <c r="E882" t="s">
        <v>82</v>
      </c>
      <c r="F882" s="1">
        <v>41</v>
      </c>
      <c r="G882" t="s">
        <v>3</v>
      </c>
      <c r="H882" s="1">
        <v>51</v>
      </c>
      <c r="I882" t="s">
        <v>6</v>
      </c>
      <c r="J882" s="1">
        <v>21</v>
      </c>
      <c r="K882" s="1">
        <v>24</v>
      </c>
      <c r="L882" s="1">
        <v>767</v>
      </c>
      <c r="M882" s="1">
        <v>15602</v>
      </c>
      <c r="N882" s="1">
        <v>35014</v>
      </c>
      <c r="O882" s="1">
        <v>769338</v>
      </c>
      <c r="P882" s="1">
        <v>314498</v>
      </c>
      <c r="Q882" s="1">
        <v>723206</v>
      </c>
      <c r="R882" s="1">
        <v>16262963</v>
      </c>
      <c r="S882" s="1">
        <v>48141</v>
      </c>
      <c r="T882" s="1">
        <v>48141</v>
      </c>
      <c r="U882" s="1">
        <v>41051</v>
      </c>
      <c r="V882" s="1">
        <v>0</v>
      </c>
      <c r="W882" s="1">
        <v>1</v>
      </c>
    </row>
    <row r="883">
      <c r="A883" s="1">
        <v>2020</v>
      </c>
      <c r="B883" s="1">
        <v>48</v>
      </c>
      <c r="C883" t="s">
        <v>36</v>
      </c>
      <c r="D883" s="1">
        <v>201</v>
      </c>
      <c r="E883" t="s">
        <v>151</v>
      </c>
      <c r="F883" s="1">
        <v>41</v>
      </c>
      <c r="G883" t="s">
        <v>3</v>
      </c>
      <c r="H883" s="1">
        <v>51</v>
      </c>
      <c r="I883" t="s">
        <v>6</v>
      </c>
      <c r="J883" s="1">
        <v>110</v>
      </c>
      <c r="K883" s="1">
        <v>153</v>
      </c>
      <c r="L883" s="1">
        <v>8200</v>
      </c>
      <c r="M883" s="1">
        <v>95771</v>
      </c>
      <c r="N883" s="1">
        <v>193192</v>
      </c>
      <c r="O883" s="1">
        <v>7622502</v>
      </c>
      <c r="P883" s="1">
        <v>1669427</v>
      </c>
      <c r="Q883" s="1">
        <v>3706576</v>
      </c>
      <c r="R883" s="1">
        <v>146376160</v>
      </c>
      <c r="S883" s="1">
        <v>48201</v>
      </c>
      <c r="T883" s="1">
        <v>48201</v>
      </c>
      <c r="U883" s="1">
        <v>41051</v>
      </c>
      <c r="V883" s="1">
        <v>0</v>
      </c>
      <c r="W883" s="1">
        <v>1</v>
      </c>
    </row>
    <row r="884">
      <c r="A884" s="1">
        <v>2020</v>
      </c>
      <c r="B884" s="1">
        <v>48</v>
      </c>
      <c r="C884" t="s">
        <v>36</v>
      </c>
      <c r="D884" s="1">
        <v>439</v>
      </c>
      <c r="E884" t="s">
        <v>152</v>
      </c>
      <c r="F884" s="1">
        <v>41</v>
      </c>
      <c r="G884" t="s">
        <v>3</v>
      </c>
      <c r="H884" s="1">
        <v>51</v>
      </c>
      <c r="I884" t="s">
        <v>6</v>
      </c>
      <c r="J884" s="1">
        <v>53</v>
      </c>
      <c r="K884" s="1">
        <v>73</v>
      </c>
      <c r="L884" s="1">
        <v>2593</v>
      </c>
      <c r="M884" s="1">
        <v>56190</v>
      </c>
      <c r="N884" s="1">
        <v>110094</v>
      </c>
      <c r="O884" s="1">
        <v>3921885</v>
      </c>
      <c r="P884" s="1">
        <v>783491</v>
      </c>
      <c r="Q884" s="1">
        <v>1744261</v>
      </c>
      <c r="R884" s="1">
        <v>66818072</v>
      </c>
      <c r="S884" s="1">
        <v>48439</v>
      </c>
      <c r="T884" s="1">
        <v>48439</v>
      </c>
      <c r="U884" s="1">
        <v>41051</v>
      </c>
      <c r="V884" s="1">
        <v>0</v>
      </c>
      <c r="W884" s="1">
        <v>1</v>
      </c>
    </row>
    <row r="885">
      <c r="A885" s="1">
        <v>2020</v>
      </c>
      <c r="B885" s="1">
        <v>48</v>
      </c>
      <c r="C885" t="s">
        <v>36</v>
      </c>
      <c r="D885" s="1">
        <v>453</v>
      </c>
      <c r="E885" t="s">
        <v>153</v>
      </c>
      <c r="F885" s="1">
        <v>41</v>
      </c>
      <c r="G885" t="s">
        <v>3</v>
      </c>
      <c r="H885" s="1">
        <v>51</v>
      </c>
      <c r="I885" t="s">
        <v>6</v>
      </c>
      <c r="J885" s="1">
        <v>139</v>
      </c>
      <c r="K885" s="1">
        <v>190</v>
      </c>
      <c r="L885" s="1">
        <v>14527</v>
      </c>
      <c r="M885" s="1">
        <v>49437</v>
      </c>
      <c r="N885" s="1">
        <v>85361</v>
      </c>
      <c r="O885" s="1">
        <v>4252732</v>
      </c>
      <c r="P885" s="1">
        <v>506535</v>
      </c>
      <c r="Q885" s="1">
        <v>993251</v>
      </c>
      <c r="R885" s="1">
        <v>63056796</v>
      </c>
      <c r="S885" s="1">
        <v>48453</v>
      </c>
      <c r="T885" s="1">
        <v>48453</v>
      </c>
      <c r="U885" s="1">
        <v>41051</v>
      </c>
      <c r="V885" s="1">
        <v>0</v>
      </c>
      <c r="W885" s="1">
        <v>1</v>
      </c>
    </row>
    <row r="886">
      <c r="A886" s="1">
        <v>2020</v>
      </c>
      <c r="B886" s="1">
        <v>49</v>
      </c>
      <c r="C886" t="s">
        <v>37</v>
      </c>
      <c r="D886" s="1">
        <v>35</v>
      </c>
      <c r="E886" t="s">
        <v>154</v>
      </c>
      <c r="F886" s="1">
        <v>41</v>
      </c>
      <c r="G886" t="s">
        <v>3</v>
      </c>
      <c r="H886" s="1">
        <v>51</v>
      </c>
      <c r="I886" t="s">
        <v>6</v>
      </c>
      <c r="J886" s="1">
        <v>147</v>
      </c>
      <c r="K886" s="1">
        <v>205</v>
      </c>
      <c r="L886" s="1">
        <v>7877</v>
      </c>
      <c r="M886" s="1">
        <v>27987</v>
      </c>
      <c r="N886" s="1">
        <v>57351</v>
      </c>
      <c r="O886" s="1">
        <v>2050689</v>
      </c>
      <c r="P886" s="1">
        <v>437729</v>
      </c>
      <c r="Q886" s="1">
        <v>1000665</v>
      </c>
      <c r="R886" s="1">
        <v>38120164</v>
      </c>
      <c r="S886" s="1">
        <v>49035</v>
      </c>
      <c r="T886" s="1">
        <v>49035</v>
      </c>
      <c r="U886" s="1">
        <v>41051</v>
      </c>
      <c r="V886" s="1">
        <v>0</v>
      </c>
      <c r="W886" s="1">
        <v>1</v>
      </c>
    </row>
    <row r="887">
      <c r="A887" s="1">
        <v>2020</v>
      </c>
      <c r="B887" s="1">
        <v>49</v>
      </c>
      <c r="C887" t="s">
        <v>37</v>
      </c>
      <c r="D887" s="1">
        <v>49</v>
      </c>
      <c r="E887" t="s">
        <v>219</v>
      </c>
      <c r="F887" s="1">
        <v>41</v>
      </c>
      <c r="G887" t="s">
        <v>3</v>
      </c>
      <c r="H887" s="1">
        <v>51</v>
      </c>
      <c r="I887" t="s">
        <v>6</v>
      </c>
      <c r="J887" s="1">
        <v>28</v>
      </c>
      <c r="K887" s="1">
        <v>45</v>
      </c>
      <c r="L887" s="1">
        <v>1456</v>
      </c>
      <c r="M887" s="1">
        <v>14311</v>
      </c>
      <c r="N887" s="1">
        <v>33290</v>
      </c>
      <c r="O887" s="1">
        <v>862328</v>
      </c>
      <c r="P887" s="1">
        <v>195183</v>
      </c>
      <c r="Q887" s="1">
        <v>586908</v>
      </c>
      <c r="R887" s="1">
        <v>18656736</v>
      </c>
      <c r="S887" s="1">
        <v>49049</v>
      </c>
      <c r="T887" s="1">
        <v>49049</v>
      </c>
      <c r="U887" s="1">
        <v>41051</v>
      </c>
      <c r="V887" s="1">
        <v>0</v>
      </c>
      <c r="W887" s="1">
        <v>1</v>
      </c>
    </row>
    <row r="888">
      <c r="A888" s="1">
        <v>2020</v>
      </c>
      <c r="B888" s="1">
        <v>50</v>
      </c>
      <c r="C888" t="s">
        <v>38</v>
      </c>
      <c r="D888" s="1">
        <v>7</v>
      </c>
      <c r="E888" t="s">
        <v>155</v>
      </c>
      <c r="F888" s="1">
        <v>41</v>
      </c>
      <c r="G888" t="s">
        <v>3</v>
      </c>
      <c r="H888" s="1">
        <v>51</v>
      </c>
      <c r="I888" t="s">
        <v>6</v>
      </c>
      <c r="J888" s="1">
        <v>28</v>
      </c>
      <c r="K888" s="1">
        <v>31</v>
      </c>
      <c r="L888" s="1">
        <v>1372</v>
      </c>
      <c r="M888" s="1">
        <v>5042</v>
      </c>
      <c r="N888" s="1">
        <v>7556</v>
      </c>
      <c r="O888" s="1">
        <v>329329</v>
      </c>
      <c r="P888" s="1">
        <v>72771</v>
      </c>
      <c r="Q888" s="1">
        <v>136362</v>
      </c>
      <c r="R888" s="1">
        <v>6839406</v>
      </c>
      <c r="S888" s="1">
        <v>50007</v>
      </c>
      <c r="T888" s="1">
        <v>50007</v>
      </c>
      <c r="U888" s="1">
        <v>41051</v>
      </c>
      <c r="V888" s="1">
        <v>0</v>
      </c>
      <c r="W888" s="1">
        <v>1</v>
      </c>
    </row>
    <row r="889">
      <c r="A889" s="1">
        <v>2020</v>
      </c>
      <c r="B889" s="1">
        <v>51</v>
      </c>
      <c r="C889" t="s">
        <v>39</v>
      </c>
      <c r="D889" s="1">
        <v>59</v>
      </c>
      <c r="E889" t="s">
        <v>156</v>
      </c>
      <c r="F889" s="1">
        <v>41</v>
      </c>
      <c r="G889" t="s">
        <v>3</v>
      </c>
      <c r="H889" s="1">
        <v>51</v>
      </c>
      <c r="I889" t="s">
        <v>6</v>
      </c>
      <c r="J889" s="1">
        <v>50</v>
      </c>
      <c r="K889" s="1">
        <v>71</v>
      </c>
      <c r="L889" s="1">
        <v>5029</v>
      </c>
      <c r="M889" s="1">
        <v>45594</v>
      </c>
      <c r="N889" s="1">
        <v>86384</v>
      </c>
      <c r="O889" s="1">
        <v>4824771</v>
      </c>
      <c r="P889" s="1">
        <v>464679</v>
      </c>
      <c r="Q889" s="1">
        <v>1009281</v>
      </c>
      <c r="R889" s="1">
        <v>68316480</v>
      </c>
      <c r="S889" s="1">
        <v>51059</v>
      </c>
      <c r="T889" s="1">
        <v>51059</v>
      </c>
      <c r="U889" s="1">
        <v>41051</v>
      </c>
      <c r="V889" s="1">
        <v>0</v>
      </c>
      <c r="W889" s="1">
        <v>1</v>
      </c>
    </row>
    <row r="890">
      <c r="A890" s="1">
        <v>2020</v>
      </c>
      <c r="B890" s="1">
        <v>53</v>
      </c>
      <c r="C890" t="s">
        <v>40</v>
      </c>
      <c r="D890" s="1">
        <v>5</v>
      </c>
      <c r="E890" t="s">
        <v>124</v>
      </c>
      <c r="F890" s="1">
        <v>41</v>
      </c>
      <c r="G890" t="s">
        <v>3</v>
      </c>
      <c r="H890" s="1">
        <v>51</v>
      </c>
      <c r="I890" t="s">
        <v>6</v>
      </c>
      <c r="J890" s="1">
        <v>44</v>
      </c>
      <c r="K890" s="1">
        <v>70</v>
      </c>
      <c r="L890" s="1">
        <v>3026</v>
      </c>
      <c r="M890" s="1">
        <v>5364</v>
      </c>
      <c r="N890" s="1">
        <v>11104</v>
      </c>
      <c r="O890" s="1">
        <v>342205</v>
      </c>
      <c r="P890" s="1">
        <v>76705</v>
      </c>
      <c r="Q890" s="1">
        <v>178120</v>
      </c>
      <c r="R890" s="1">
        <v>6382978</v>
      </c>
      <c r="S890" s="1">
        <v>53005</v>
      </c>
      <c r="T890" s="1">
        <v>53005</v>
      </c>
      <c r="U890" s="1">
        <v>41051</v>
      </c>
      <c r="V890" s="1">
        <v>0</v>
      </c>
      <c r="W890" s="1">
        <v>1</v>
      </c>
    </row>
    <row r="891">
      <c r="A891" s="1">
        <v>2020</v>
      </c>
      <c r="B891" s="1">
        <v>53</v>
      </c>
      <c r="C891" t="s">
        <v>40</v>
      </c>
      <c r="D891" s="1">
        <v>11</v>
      </c>
      <c r="E891" t="s">
        <v>112</v>
      </c>
      <c r="F891" s="1">
        <v>41</v>
      </c>
      <c r="G891" t="s">
        <v>3</v>
      </c>
      <c r="H891" s="1">
        <v>51</v>
      </c>
      <c r="I891" t="s">
        <v>6</v>
      </c>
      <c r="J891" s="1">
        <v>1915</v>
      </c>
      <c r="K891" s="1">
        <v>2966</v>
      </c>
      <c r="L891" s="1">
        <v>118253</v>
      </c>
      <c r="M891" s="1">
        <v>12322</v>
      </c>
      <c r="N891" s="1">
        <v>23306</v>
      </c>
      <c r="O891" s="1">
        <v>963296</v>
      </c>
      <c r="P891" s="1">
        <v>197558</v>
      </c>
      <c r="Q891" s="1">
        <v>431918</v>
      </c>
      <c r="R891" s="1">
        <v>18051754</v>
      </c>
      <c r="S891" s="1">
        <v>53011</v>
      </c>
      <c r="T891" s="1">
        <v>53011</v>
      </c>
      <c r="U891" s="1">
        <v>41051</v>
      </c>
      <c r="V891" s="1">
        <v>0</v>
      </c>
      <c r="W891" s="1">
        <v>1</v>
      </c>
    </row>
    <row r="892">
      <c r="A892" s="1">
        <v>2020</v>
      </c>
      <c r="B892" s="1">
        <v>53</v>
      </c>
      <c r="C892" t="s">
        <v>40</v>
      </c>
      <c r="D892" s="1">
        <v>15</v>
      </c>
      <c r="E892" t="s">
        <v>157</v>
      </c>
      <c r="F892" s="1">
        <v>41</v>
      </c>
      <c r="G892" t="s">
        <v>3</v>
      </c>
      <c r="H892" s="1">
        <v>51</v>
      </c>
      <c r="I892" t="s">
        <v>6</v>
      </c>
      <c r="J892" s="1">
        <v>111</v>
      </c>
      <c r="K892" s="1">
        <v>172</v>
      </c>
      <c r="L892" s="1">
        <v>4969</v>
      </c>
      <c r="M892" s="1">
        <v>2679</v>
      </c>
      <c r="N892" s="1">
        <v>5403</v>
      </c>
      <c r="O892" s="1">
        <v>147404</v>
      </c>
      <c r="P892" s="1">
        <v>41864</v>
      </c>
      <c r="Q892" s="1">
        <v>90924</v>
      </c>
      <c r="R892" s="1">
        <v>2833375</v>
      </c>
      <c r="S892" s="1">
        <v>53015</v>
      </c>
      <c r="T892" s="1">
        <v>53015</v>
      </c>
      <c r="U892" s="1">
        <v>41051</v>
      </c>
      <c r="V892" s="1">
        <v>0</v>
      </c>
      <c r="W892" s="1">
        <v>1</v>
      </c>
    </row>
    <row r="893">
      <c r="A893" s="1">
        <v>2020</v>
      </c>
      <c r="B893" s="1">
        <v>53</v>
      </c>
      <c r="C893" t="s">
        <v>40</v>
      </c>
      <c r="D893" s="1">
        <v>31</v>
      </c>
      <c r="E893" t="s">
        <v>83</v>
      </c>
      <c r="F893" s="1">
        <v>41</v>
      </c>
      <c r="G893" t="s">
        <v>3</v>
      </c>
      <c r="H893" s="1">
        <v>51</v>
      </c>
      <c r="I893" t="s">
        <v>6</v>
      </c>
      <c r="J893" s="1">
        <v>24</v>
      </c>
      <c r="K893" s="1">
        <v>33</v>
      </c>
      <c r="L893" s="1">
        <v>1196</v>
      </c>
      <c r="M893" s="1">
        <v>957</v>
      </c>
      <c r="N893" s="1">
        <v>1551</v>
      </c>
      <c r="O893" s="1">
        <v>62169</v>
      </c>
      <c r="P893" s="1">
        <v>14707</v>
      </c>
      <c r="Q893" s="1">
        <v>26202</v>
      </c>
      <c r="R893" s="1">
        <v>1143733</v>
      </c>
      <c r="S893" s="1">
        <v>53031</v>
      </c>
      <c r="T893" s="1">
        <v>53031</v>
      </c>
      <c r="U893" s="1">
        <v>41051</v>
      </c>
      <c r="V893" s="1">
        <v>0</v>
      </c>
      <c r="W893" s="1">
        <v>1</v>
      </c>
    </row>
    <row r="894">
      <c r="A894" s="1">
        <v>2020</v>
      </c>
      <c r="B894" s="1">
        <v>53</v>
      </c>
      <c r="C894" t="s">
        <v>40</v>
      </c>
      <c r="D894" s="1">
        <v>33</v>
      </c>
      <c r="E894" t="s">
        <v>160</v>
      </c>
      <c r="F894" s="1">
        <v>41</v>
      </c>
      <c r="G894" t="s">
        <v>3</v>
      </c>
      <c r="H894" s="1">
        <v>51</v>
      </c>
      <c r="I894" t="s">
        <v>6</v>
      </c>
      <c r="J894" s="1">
        <v>934</v>
      </c>
      <c r="K894" s="1">
        <v>1283</v>
      </c>
      <c r="L894" s="1">
        <v>81468</v>
      </c>
      <c r="M894" s="1">
        <v>70038</v>
      </c>
      <c r="N894" s="1">
        <v>120715</v>
      </c>
      <c r="O894" s="1">
        <v>7610515</v>
      </c>
      <c r="P894" s="1">
        <v>970156</v>
      </c>
      <c r="Q894" s="1">
        <v>1907580</v>
      </c>
      <c r="R894" s="1">
        <v>145136112</v>
      </c>
      <c r="S894" s="1">
        <v>53033</v>
      </c>
      <c r="T894" s="1">
        <v>53033</v>
      </c>
      <c r="U894" s="1">
        <v>41051</v>
      </c>
      <c r="V894" s="1">
        <v>0</v>
      </c>
      <c r="W894" s="1">
        <v>1</v>
      </c>
    </row>
    <row r="895">
      <c r="A895" s="1">
        <v>2020</v>
      </c>
      <c r="B895" s="1">
        <v>53</v>
      </c>
      <c r="C895" t="s">
        <v>40</v>
      </c>
      <c r="D895" s="1">
        <v>35</v>
      </c>
      <c r="E895" t="s">
        <v>161</v>
      </c>
      <c r="F895" s="1">
        <v>41</v>
      </c>
      <c r="G895" t="s">
        <v>3</v>
      </c>
      <c r="H895" s="1">
        <v>51</v>
      </c>
      <c r="I895" t="s">
        <v>6</v>
      </c>
      <c r="J895" s="1">
        <v>51</v>
      </c>
      <c r="K895" s="1">
        <v>66</v>
      </c>
      <c r="L895" s="1">
        <v>2170</v>
      </c>
      <c r="M895" s="1">
        <v>9337</v>
      </c>
      <c r="N895" s="1">
        <v>18593</v>
      </c>
      <c r="O895" s="1">
        <v>619480</v>
      </c>
      <c r="P895" s="1">
        <v>111854</v>
      </c>
      <c r="Q895" s="1">
        <v>231807</v>
      </c>
      <c r="R895" s="1">
        <v>10381488</v>
      </c>
      <c r="S895" s="1">
        <v>53035</v>
      </c>
      <c r="T895" s="1">
        <v>53035</v>
      </c>
      <c r="U895" s="1">
        <v>41051</v>
      </c>
      <c r="V895" s="1">
        <v>0</v>
      </c>
      <c r="W895" s="1">
        <v>1</v>
      </c>
    </row>
    <row r="896">
      <c r="A896" s="1">
        <v>2020</v>
      </c>
      <c r="B896" s="1">
        <v>53</v>
      </c>
      <c r="C896" t="s">
        <v>40</v>
      </c>
      <c r="D896" s="1">
        <v>39</v>
      </c>
      <c r="E896" t="s">
        <v>162</v>
      </c>
      <c r="F896" s="1">
        <v>41</v>
      </c>
      <c r="G896" t="s">
        <v>3</v>
      </c>
      <c r="H896" s="1">
        <v>51</v>
      </c>
      <c r="I896" t="s">
        <v>6</v>
      </c>
      <c r="J896" s="1">
        <v>31</v>
      </c>
      <c r="K896" s="1">
        <v>41</v>
      </c>
      <c r="L896" s="1">
        <v>1884</v>
      </c>
      <c r="M896" s="1">
        <v>656</v>
      </c>
      <c r="N896" s="1">
        <v>1282</v>
      </c>
      <c r="O896" s="1">
        <v>40085</v>
      </c>
      <c r="P896" s="1">
        <v>8841</v>
      </c>
      <c r="Q896" s="1">
        <v>18880</v>
      </c>
      <c r="R896" s="1">
        <v>660100</v>
      </c>
      <c r="S896" s="1">
        <v>53039</v>
      </c>
      <c r="T896" s="1">
        <v>53039</v>
      </c>
      <c r="U896" s="1">
        <v>41051</v>
      </c>
      <c r="V896" s="1">
        <v>0</v>
      </c>
      <c r="W896" s="1">
        <v>1</v>
      </c>
    </row>
    <row r="897">
      <c r="A897" s="1">
        <v>2020</v>
      </c>
      <c r="B897" s="1">
        <v>53</v>
      </c>
      <c r="C897" t="s">
        <v>40</v>
      </c>
      <c r="D897" s="1">
        <v>41</v>
      </c>
      <c r="E897" t="s">
        <v>163</v>
      </c>
      <c r="F897" s="1">
        <v>41</v>
      </c>
      <c r="G897" t="s">
        <v>3</v>
      </c>
      <c r="H897" s="1">
        <v>51</v>
      </c>
      <c r="I897" t="s">
        <v>6</v>
      </c>
      <c r="J897" s="1">
        <v>27</v>
      </c>
      <c r="K897" s="1">
        <v>35</v>
      </c>
      <c r="L897" s="1">
        <v>1342</v>
      </c>
      <c r="M897" s="1">
        <v>1994</v>
      </c>
      <c r="N897" s="1">
        <v>3823</v>
      </c>
      <c r="O897" s="1">
        <v>99253</v>
      </c>
      <c r="P897" s="1">
        <v>30244</v>
      </c>
      <c r="Q897" s="1">
        <v>65762</v>
      </c>
      <c r="R897" s="1">
        <v>1942524</v>
      </c>
      <c r="S897" s="1">
        <v>53041</v>
      </c>
      <c r="T897" s="1">
        <v>53041</v>
      </c>
      <c r="U897" s="1">
        <v>41051</v>
      </c>
      <c r="V897" s="1">
        <v>0</v>
      </c>
      <c r="W897" s="1">
        <v>1</v>
      </c>
    </row>
    <row r="898">
      <c r="A898" s="1">
        <v>2020</v>
      </c>
      <c r="B898" s="1">
        <v>53</v>
      </c>
      <c r="C898" t="s">
        <v>40</v>
      </c>
      <c r="D898" s="1">
        <v>53</v>
      </c>
      <c r="E898" t="s">
        <v>165</v>
      </c>
      <c r="F898" s="1">
        <v>41</v>
      </c>
      <c r="G898" t="s">
        <v>3</v>
      </c>
      <c r="H898" s="1">
        <v>51</v>
      </c>
      <c r="I898" t="s">
        <v>6</v>
      </c>
      <c r="J898" s="1">
        <v>185</v>
      </c>
      <c r="K898" s="1">
        <v>272</v>
      </c>
      <c r="L898" s="1">
        <v>15441</v>
      </c>
      <c r="M898" s="1">
        <v>27862</v>
      </c>
      <c r="N898" s="1">
        <v>56261</v>
      </c>
      <c r="O898" s="1">
        <v>1782440</v>
      </c>
      <c r="P898" s="1">
        <v>358134</v>
      </c>
      <c r="Q898" s="1">
        <v>761741</v>
      </c>
      <c r="R898" s="1">
        <v>29592218</v>
      </c>
      <c r="S898" s="1">
        <v>53053</v>
      </c>
      <c r="T898" s="1">
        <v>53053</v>
      </c>
      <c r="U898" s="1">
        <v>41051</v>
      </c>
      <c r="V898" s="1">
        <v>0</v>
      </c>
      <c r="W898" s="1">
        <v>1</v>
      </c>
    </row>
    <row r="899">
      <c r="A899" s="1">
        <v>2020</v>
      </c>
      <c r="B899" s="1">
        <v>53</v>
      </c>
      <c r="C899" t="s">
        <v>40</v>
      </c>
      <c r="D899" s="1">
        <v>61</v>
      </c>
      <c r="E899" t="s">
        <v>167</v>
      </c>
      <c r="F899" s="1">
        <v>41</v>
      </c>
      <c r="G899" t="s">
        <v>3</v>
      </c>
      <c r="H899" s="1">
        <v>51</v>
      </c>
      <c r="I899" t="s">
        <v>6</v>
      </c>
      <c r="J899" s="1">
        <v>104</v>
      </c>
      <c r="K899" s="1">
        <v>164</v>
      </c>
      <c r="L899" s="1">
        <v>6220</v>
      </c>
      <c r="M899" s="1">
        <v>22626</v>
      </c>
      <c r="N899" s="1">
        <v>41263</v>
      </c>
      <c r="O899" s="1">
        <v>1815437</v>
      </c>
      <c r="P899" s="1">
        <v>331194</v>
      </c>
      <c r="Q899" s="1">
        <v>701718</v>
      </c>
      <c r="R899" s="1">
        <v>32228904</v>
      </c>
      <c r="S899" s="1">
        <v>53061</v>
      </c>
      <c r="T899" s="1">
        <v>53061</v>
      </c>
      <c r="U899" s="1">
        <v>41051</v>
      </c>
      <c r="V899" s="1">
        <v>0</v>
      </c>
      <c r="W899" s="1">
        <v>1</v>
      </c>
    </row>
    <row r="900">
      <c r="A900" s="1">
        <v>2020</v>
      </c>
      <c r="B900" s="1">
        <v>53</v>
      </c>
      <c r="C900" t="s">
        <v>40</v>
      </c>
      <c r="D900" s="1">
        <v>63</v>
      </c>
      <c r="E900" t="s">
        <v>168</v>
      </c>
      <c r="F900" s="1">
        <v>41</v>
      </c>
      <c r="G900" t="s">
        <v>3</v>
      </c>
      <c r="H900" s="1">
        <v>51</v>
      </c>
      <c r="I900" t="s">
        <v>6</v>
      </c>
      <c r="J900" s="1">
        <v>88</v>
      </c>
      <c r="K900" s="1">
        <v>120</v>
      </c>
      <c r="L900" s="1">
        <v>4284</v>
      </c>
      <c r="M900" s="1">
        <v>10873</v>
      </c>
      <c r="N900" s="1">
        <v>20429</v>
      </c>
      <c r="O900" s="1">
        <v>611048</v>
      </c>
      <c r="P900" s="1">
        <v>206642</v>
      </c>
      <c r="Q900" s="1">
        <v>434093</v>
      </c>
      <c r="R900" s="1">
        <v>15658449</v>
      </c>
      <c r="S900" s="1">
        <v>53063</v>
      </c>
      <c r="T900" s="1">
        <v>53063</v>
      </c>
      <c r="U900" s="1">
        <v>41051</v>
      </c>
      <c r="V900" s="1">
        <v>0</v>
      </c>
      <c r="W900" s="1">
        <v>1</v>
      </c>
    </row>
    <row r="901">
      <c r="A901" s="1">
        <v>2020</v>
      </c>
      <c r="B901" s="1">
        <v>53</v>
      </c>
      <c r="C901" t="s">
        <v>40</v>
      </c>
      <c r="D901" s="1">
        <v>67</v>
      </c>
      <c r="E901" t="s">
        <v>169</v>
      </c>
      <c r="F901" s="1">
        <v>41</v>
      </c>
      <c r="G901" t="s">
        <v>3</v>
      </c>
      <c r="H901" s="1">
        <v>51</v>
      </c>
      <c r="I901" t="s">
        <v>6</v>
      </c>
      <c r="J901" s="1">
        <v>106</v>
      </c>
      <c r="K901" s="1">
        <v>143</v>
      </c>
      <c r="L901" s="1">
        <v>5370</v>
      </c>
      <c r="M901" s="1">
        <v>9935</v>
      </c>
      <c r="N901" s="1">
        <v>19668</v>
      </c>
      <c r="O901" s="1">
        <v>570473</v>
      </c>
      <c r="P901" s="1">
        <v>120206</v>
      </c>
      <c r="Q901" s="1">
        <v>247790</v>
      </c>
      <c r="R901" s="1">
        <v>9452814</v>
      </c>
      <c r="S901" s="1">
        <v>53067</v>
      </c>
      <c r="T901" s="1">
        <v>53067</v>
      </c>
      <c r="U901" s="1">
        <v>41051</v>
      </c>
      <c r="V901" s="1">
        <v>0</v>
      </c>
      <c r="W901" s="1">
        <v>1</v>
      </c>
    </row>
    <row r="902">
      <c r="A902" s="1">
        <v>2020</v>
      </c>
      <c r="B902" s="1">
        <v>53</v>
      </c>
      <c r="C902" t="s">
        <v>40</v>
      </c>
      <c r="D902" s="1">
        <v>71</v>
      </c>
      <c r="E902" t="s">
        <v>170</v>
      </c>
      <c r="F902" s="1">
        <v>41</v>
      </c>
      <c r="G902" t="s">
        <v>3</v>
      </c>
      <c r="H902" s="1">
        <v>51</v>
      </c>
      <c r="I902" t="s">
        <v>6</v>
      </c>
      <c r="J902" s="1">
        <v>20</v>
      </c>
      <c r="K902" s="1">
        <v>24</v>
      </c>
      <c r="L902" s="1">
        <v>1294</v>
      </c>
      <c r="M902" s="1">
        <v>1426</v>
      </c>
      <c r="N902" s="1">
        <v>2742</v>
      </c>
      <c r="O902" s="1">
        <v>73241</v>
      </c>
      <c r="P902" s="1">
        <v>22217</v>
      </c>
      <c r="Q902" s="1">
        <v>48703</v>
      </c>
      <c r="R902" s="1">
        <v>1607343</v>
      </c>
      <c r="S902" s="1">
        <v>53071</v>
      </c>
      <c r="T902" s="1">
        <v>53071</v>
      </c>
      <c r="U902" s="1">
        <v>41051</v>
      </c>
      <c r="V902" s="1">
        <v>0</v>
      </c>
      <c r="W902" s="1">
        <v>1</v>
      </c>
    </row>
    <row r="903">
      <c r="A903" s="1">
        <v>2020</v>
      </c>
      <c r="B903" s="1">
        <v>53</v>
      </c>
      <c r="C903" t="s">
        <v>40</v>
      </c>
      <c r="D903" s="1">
        <v>73</v>
      </c>
      <c r="E903" t="s">
        <v>171</v>
      </c>
      <c r="F903" s="1">
        <v>41</v>
      </c>
      <c r="G903" t="s">
        <v>3</v>
      </c>
      <c r="H903" s="1">
        <v>51</v>
      </c>
      <c r="I903" t="s">
        <v>6</v>
      </c>
      <c r="J903" s="1">
        <v>86</v>
      </c>
      <c r="K903" s="1">
        <v>119</v>
      </c>
      <c r="L903" s="1">
        <v>3908</v>
      </c>
      <c r="M903" s="1">
        <v>5564</v>
      </c>
      <c r="N903" s="1">
        <v>8893</v>
      </c>
      <c r="O903" s="1">
        <v>303752</v>
      </c>
      <c r="P903" s="1">
        <v>90434</v>
      </c>
      <c r="Q903" s="1">
        <v>181759</v>
      </c>
      <c r="R903" s="1">
        <v>7230874</v>
      </c>
      <c r="S903" s="1">
        <v>53073</v>
      </c>
      <c r="T903" s="1">
        <v>53073</v>
      </c>
      <c r="U903" s="1">
        <v>41051</v>
      </c>
      <c r="V903" s="1">
        <v>0</v>
      </c>
      <c r="W903" s="1">
        <v>1</v>
      </c>
    </row>
    <row r="904">
      <c r="A904" s="1">
        <v>2020</v>
      </c>
      <c r="B904" s="1">
        <v>53</v>
      </c>
      <c r="C904" t="s">
        <v>40</v>
      </c>
      <c r="D904" s="1">
        <v>75</v>
      </c>
      <c r="E904" t="s">
        <v>228</v>
      </c>
      <c r="F904" s="1">
        <v>41</v>
      </c>
      <c r="G904" t="s">
        <v>3</v>
      </c>
      <c r="H904" s="1">
        <v>51</v>
      </c>
      <c r="I904" t="s">
        <v>6</v>
      </c>
      <c r="J904" s="1">
        <v>21</v>
      </c>
      <c r="K904" s="1">
        <v>27</v>
      </c>
      <c r="L904" s="1">
        <v>943</v>
      </c>
      <c r="M904" s="1">
        <v>2139</v>
      </c>
      <c r="N904" s="1">
        <v>3297</v>
      </c>
      <c r="O904" s="1">
        <v>94192</v>
      </c>
      <c r="P904" s="1">
        <v>14717</v>
      </c>
      <c r="Q904" s="1">
        <v>29261</v>
      </c>
      <c r="R904" s="1">
        <v>1072473</v>
      </c>
      <c r="S904" s="1">
        <v>53075</v>
      </c>
      <c r="T904" s="1">
        <v>53075</v>
      </c>
      <c r="U904" s="1">
        <v>41051</v>
      </c>
      <c r="V904" s="1">
        <v>0</v>
      </c>
      <c r="W904" s="1">
        <v>1</v>
      </c>
    </row>
    <row r="905">
      <c r="A905" s="1">
        <v>2020</v>
      </c>
      <c r="B905" s="1">
        <v>53</v>
      </c>
      <c r="C905" t="s">
        <v>40</v>
      </c>
      <c r="D905" s="1">
        <v>77</v>
      </c>
      <c r="E905" t="s">
        <v>172</v>
      </c>
      <c r="F905" s="1">
        <v>41</v>
      </c>
      <c r="G905" t="s">
        <v>3</v>
      </c>
      <c r="H905" s="1">
        <v>51</v>
      </c>
      <c r="I905" t="s">
        <v>6</v>
      </c>
      <c r="J905" s="1">
        <v>48</v>
      </c>
      <c r="K905" s="1">
        <v>93</v>
      </c>
      <c r="L905" s="1">
        <v>1994</v>
      </c>
      <c r="M905" s="1">
        <v>3824</v>
      </c>
      <c r="N905" s="1">
        <v>7418</v>
      </c>
      <c r="O905" s="1">
        <v>202551</v>
      </c>
      <c r="P905" s="1">
        <v>93214</v>
      </c>
      <c r="Q905" s="1">
        <v>220887</v>
      </c>
      <c r="R905" s="1">
        <v>5635083</v>
      </c>
      <c r="S905" s="1">
        <v>53077</v>
      </c>
      <c r="T905" s="1">
        <v>53077</v>
      </c>
      <c r="U905" s="1">
        <v>41051</v>
      </c>
      <c r="V905" s="1">
        <v>0</v>
      </c>
      <c r="W905" s="1">
        <v>1</v>
      </c>
    </row>
    <row r="906">
      <c r="A906" s="1">
        <v>2020</v>
      </c>
      <c r="B906" s="1">
        <v>55</v>
      </c>
      <c r="C906" t="s">
        <v>41</v>
      </c>
      <c r="D906" s="1">
        <v>25</v>
      </c>
      <c r="E906" t="s">
        <v>173</v>
      </c>
      <c r="F906" s="1">
        <v>41</v>
      </c>
      <c r="G906" t="s">
        <v>3</v>
      </c>
      <c r="H906" s="1">
        <v>51</v>
      </c>
      <c r="I906" t="s">
        <v>6</v>
      </c>
      <c r="J906" s="1">
        <v>48</v>
      </c>
      <c r="K906" s="1">
        <v>76</v>
      </c>
      <c r="L906" s="1">
        <v>3925</v>
      </c>
      <c r="M906" s="1">
        <v>15031</v>
      </c>
      <c r="N906" s="1">
        <v>23995</v>
      </c>
      <c r="O906" s="1">
        <v>1100129</v>
      </c>
      <c r="P906" s="1">
        <v>236712</v>
      </c>
      <c r="Q906" s="1">
        <v>462454</v>
      </c>
      <c r="R906" s="1">
        <v>23526722</v>
      </c>
      <c r="S906" s="1">
        <v>55025</v>
      </c>
      <c r="T906" s="1">
        <v>55025</v>
      </c>
      <c r="U906" s="1">
        <v>41051</v>
      </c>
      <c r="V906" s="1">
        <v>0</v>
      </c>
      <c r="W906" s="1">
        <v>1</v>
      </c>
    </row>
    <row r="907">
      <c r="A907" s="1">
        <v>2020</v>
      </c>
      <c r="B907" s="1">
        <v>55</v>
      </c>
      <c r="C907" t="s">
        <v>41</v>
      </c>
      <c r="D907" s="1">
        <v>79</v>
      </c>
      <c r="E907" t="s">
        <v>174</v>
      </c>
      <c r="F907" s="1">
        <v>41</v>
      </c>
      <c r="G907" t="s">
        <v>3</v>
      </c>
      <c r="H907" s="1">
        <v>51</v>
      </c>
      <c r="I907" t="s">
        <v>6</v>
      </c>
      <c r="J907" s="1">
        <v>51</v>
      </c>
      <c r="K907" s="1">
        <v>64</v>
      </c>
      <c r="L907" s="1">
        <v>2713</v>
      </c>
      <c r="M907" s="1">
        <v>21678</v>
      </c>
      <c r="N907" s="1">
        <v>38590</v>
      </c>
      <c r="O907" s="1">
        <v>2041843</v>
      </c>
      <c r="P907" s="1">
        <v>368771</v>
      </c>
      <c r="Q907" s="1">
        <v>741755</v>
      </c>
      <c r="R907" s="1">
        <v>25422856</v>
      </c>
      <c r="S907" s="1">
        <v>55079</v>
      </c>
      <c r="T907" s="1">
        <v>55079</v>
      </c>
      <c r="U907" s="1">
        <v>41051</v>
      </c>
      <c r="V907" s="1">
        <v>0</v>
      </c>
      <c r="W907" s="1">
        <v>1</v>
      </c>
    </row>
    <row r="908">
      <c r="A908" s="1">
        <v>2021</v>
      </c>
      <c r="B908" s="1">
        <v>2</v>
      </c>
      <c r="C908" t="s">
        <v>9</v>
      </c>
      <c r="D908" s="1">
        <v>20</v>
      </c>
      <c r="E908" t="s">
        <v>52</v>
      </c>
      <c r="F908" s="1">
        <v>41</v>
      </c>
      <c r="G908" t="s">
        <v>3</v>
      </c>
      <c r="H908" s="1">
        <v>51</v>
      </c>
      <c r="I908" t="s">
        <v>6</v>
      </c>
      <c r="J908" s="1">
        <v>58</v>
      </c>
      <c r="K908" s="1">
        <v>82</v>
      </c>
      <c r="L908" s="1">
        <v>3622</v>
      </c>
      <c r="M908" s="1">
        <v>9616</v>
      </c>
      <c r="N908" s="1">
        <v>18462</v>
      </c>
      <c r="O908" s="1">
        <v>706043</v>
      </c>
      <c r="P908" s="1">
        <v>119386</v>
      </c>
      <c r="Q908" s="1">
        <v>232374</v>
      </c>
      <c r="R908" s="1">
        <v>10946775</v>
      </c>
      <c r="S908" s="1">
        <v>2020</v>
      </c>
      <c r="T908" s="1">
        <v>2020</v>
      </c>
      <c r="U908" s="1">
        <v>41051</v>
      </c>
      <c r="V908" s="1">
        <v>0</v>
      </c>
      <c r="W908" s="1">
        <v>1</v>
      </c>
    </row>
    <row r="909">
      <c r="A909" s="1">
        <v>2021</v>
      </c>
      <c r="B909" s="1">
        <v>4</v>
      </c>
      <c r="C909" t="s">
        <v>10</v>
      </c>
      <c r="D909" s="1">
        <v>5</v>
      </c>
      <c r="E909" t="s">
        <v>175</v>
      </c>
      <c r="F909" s="1">
        <v>41</v>
      </c>
      <c r="G909" t="s">
        <v>3</v>
      </c>
      <c r="H909" s="1">
        <v>51</v>
      </c>
      <c r="I909" t="s">
        <v>6</v>
      </c>
      <c r="J909" s="1">
        <v>25</v>
      </c>
      <c r="K909" s="1">
        <v>36</v>
      </c>
      <c r="L909" s="1">
        <v>867</v>
      </c>
      <c r="M909" s="1">
        <v>5260</v>
      </c>
      <c r="N909" s="1">
        <v>8636</v>
      </c>
      <c r="O909" s="1">
        <v>301613</v>
      </c>
      <c r="P909" s="1">
        <v>51319</v>
      </c>
      <c r="Q909" s="1">
        <v>99313</v>
      </c>
      <c r="R909" s="1">
        <v>3658962</v>
      </c>
      <c r="S909" s="1">
        <v>4005</v>
      </c>
      <c r="T909" s="1">
        <v>4005</v>
      </c>
      <c r="U909" s="1">
        <v>41051</v>
      </c>
      <c r="V909" s="1">
        <v>0</v>
      </c>
      <c r="W909" s="1">
        <v>1</v>
      </c>
    </row>
    <row r="910">
      <c r="A910" s="1">
        <v>2021</v>
      </c>
      <c r="B910" s="1">
        <v>4</v>
      </c>
      <c r="C910" t="s">
        <v>10</v>
      </c>
      <c r="D910" s="1">
        <v>13</v>
      </c>
      <c r="E910" t="s">
        <v>53</v>
      </c>
      <c r="F910" s="1">
        <v>41</v>
      </c>
      <c r="G910" t="s">
        <v>3</v>
      </c>
      <c r="H910" s="1">
        <v>51</v>
      </c>
      <c r="I910" t="s">
        <v>6</v>
      </c>
      <c r="J910" s="1">
        <v>385</v>
      </c>
      <c r="K910" s="1">
        <v>520</v>
      </c>
      <c r="L910" s="1">
        <v>20533</v>
      </c>
      <c r="M910" s="1">
        <v>85167</v>
      </c>
      <c r="N910" s="1">
        <v>151233</v>
      </c>
      <c r="O910" s="1">
        <v>6556302</v>
      </c>
      <c r="P910" s="1">
        <v>1692896</v>
      </c>
      <c r="Q910" s="1">
        <v>3385424</v>
      </c>
      <c r="R910" s="1">
        <v>147923840</v>
      </c>
      <c r="S910" s="1">
        <v>4013</v>
      </c>
      <c r="T910" s="1">
        <v>4013</v>
      </c>
      <c r="U910" s="1">
        <v>41051</v>
      </c>
      <c r="V910" s="1">
        <v>0</v>
      </c>
      <c r="W910" s="1">
        <v>1</v>
      </c>
    </row>
    <row r="911">
      <c r="A911" s="1">
        <v>2021</v>
      </c>
      <c r="B911" s="1">
        <v>4</v>
      </c>
      <c r="C911" t="s">
        <v>10</v>
      </c>
      <c r="D911" s="1">
        <v>19</v>
      </c>
      <c r="E911" t="s">
        <v>54</v>
      </c>
      <c r="F911" s="1">
        <v>41</v>
      </c>
      <c r="G911" t="s">
        <v>3</v>
      </c>
      <c r="H911" s="1">
        <v>51</v>
      </c>
      <c r="I911" t="s">
        <v>6</v>
      </c>
      <c r="J911" s="1">
        <v>98</v>
      </c>
      <c r="K911" s="1">
        <v>140</v>
      </c>
      <c r="L911" s="1">
        <v>4380</v>
      </c>
      <c r="M911" s="1">
        <v>20778</v>
      </c>
      <c r="N911" s="1">
        <v>35761</v>
      </c>
      <c r="O911" s="1">
        <v>1371091</v>
      </c>
      <c r="P911" s="1">
        <v>405424</v>
      </c>
      <c r="Q911" s="1">
        <v>780835</v>
      </c>
      <c r="R911" s="1">
        <v>28441568</v>
      </c>
      <c r="S911" s="1">
        <v>4019</v>
      </c>
      <c r="T911" s="1">
        <v>4019</v>
      </c>
      <c r="U911" s="1">
        <v>41051</v>
      </c>
      <c r="V911" s="1">
        <v>0</v>
      </c>
      <c r="W911" s="1">
        <v>1</v>
      </c>
    </row>
    <row r="912">
      <c r="A912" s="1">
        <v>2021</v>
      </c>
      <c r="B912" s="1">
        <v>4</v>
      </c>
      <c r="C912" t="s">
        <v>10</v>
      </c>
      <c r="D912" s="1">
        <v>21</v>
      </c>
      <c r="E912" t="s">
        <v>55</v>
      </c>
      <c r="F912" s="1">
        <v>41</v>
      </c>
      <c r="G912" t="s">
        <v>3</v>
      </c>
      <c r="H912" s="1">
        <v>51</v>
      </c>
      <c r="I912" t="s">
        <v>6</v>
      </c>
      <c r="J912" s="1">
        <v>20</v>
      </c>
      <c r="K912" s="1">
        <v>31</v>
      </c>
      <c r="L912" s="1">
        <v>973</v>
      </c>
      <c r="M912" s="1">
        <v>14551</v>
      </c>
      <c r="N912" s="1">
        <v>28278</v>
      </c>
      <c r="O912" s="1">
        <v>788618</v>
      </c>
      <c r="P912" s="1">
        <v>148229</v>
      </c>
      <c r="Q912" s="1">
        <v>315972</v>
      </c>
      <c r="R912" s="1">
        <v>8829026</v>
      </c>
      <c r="S912" s="1">
        <v>4021</v>
      </c>
      <c r="T912" s="1">
        <v>4021</v>
      </c>
      <c r="U912" s="1">
        <v>41051</v>
      </c>
      <c r="V912" s="1">
        <v>0</v>
      </c>
      <c r="W912" s="1">
        <v>1</v>
      </c>
    </row>
    <row r="913">
      <c r="A913" s="1">
        <v>2021</v>
      </c>
      <c r="B913" s="1">
        <v>6</v>
      </c>
      <c r="C913" t="s">
        <v>11</v>
      </c>
      <c r="D913" s="1">
        <v>1</v>
      </c>
      <c r="E913" t="s">
        <v>56</v>
      </c>
      <c r="F913" s="1">
        <v>41</v>
      </c>
      <c r="G913" t="s">
        <v>3</v>
      </c>
      <c r="H913" s="1">
        <v>51</v>
      </c>
      <c r="I913" t="s">
        <v>6</v>
      </c>
      <c r="J913" s="1">
        <v>506</v>
      </c>
      <c r="K913" s="1">
        <v>750</v>
      </c>
      <c r="L913" s="1">
        <v>66325</v>
      </c>
      <c r="M913" s="1">
        <v>61286</v>
      </c>
      <c r="N913" s="1">
        <v>105644</v>
      </c>
      <c r="O913" s="1">
        <v>8084909</v>
      </c>
      <c r="P913" s="1">
        <v>682186</v>
      </c>
      <c r="Q913" s="1">
        <v>1328597</v>
      </c>
      <c r="R913" s="1">
        <v>91950448</v>
      </c>
      <c r="S913" s="1">
        <v>6001</v>
      </c>
      <c r="T913" s="1">
        <v>6001</v>
      </c>
      <c r="U913" s="1">
        <v>41051</v>
      </c>
      <c r="V913" s="1">
        <v>0</v>
      </c>
      <c r="W913" s="1">
        <v>1</v>
      </c>
    </row>
    <row r="914">
      <c r="A914" s="1">
        <v>2021</v>
      </c>
      <c r="B914" s="1">
        <v>6</v>
      </c>
      <c r="C914" t="s">
        <v>11</v>
      </c>
      <c r="D914" s="1">
        <v>7</v>
      </c>
      <c r="E914" t="s">
        <v>177</v>
      </c>
      <c r="F914" s="1">
        <v>41</v>
      </c>
      <c r="G914" t="s">
        <v>3</v>
      </c>
      <c r="H914" s="1">
        <v>51</v>
      </c>
      <c r="I914" t="s">
        <v>6</v>
      </c>
      <c r="J914" s="1">
        <v>41</v>
      </c>
      <c r="K914" s="1">
        <v>65</v>
      </c>
      <c r="L914" s="1">
        <v>1699</v>
      </c>
      <c r="M914" s="1">
        <v>5485</v>
      </c>
      <c r="N914" s="1">
        <v>9071</v>
      </c>
      <c r="O914" s="1">
        <v>291556</v>
      </c>
      <c r="P914" s="1">
        <v>76052</v>
      </c>
      <c r="Q914" s="1">
        <v>147191</v>
      </c>
      <c r="R914" s="1">
        <v>5162790</v>
      </c>
      <c r="S914" s="1">
        <v>6007</v>
      </c>
      <c r="T914" s="1">
        <v>6007</v>
      </c>
      <c r="U914" s="1">
        <v>41051</v>
      </c>
      <c r="V914" s="1">
        <v>0</v>
      </c>
      <c r="W914" s="1">
        <v>1</v>
      </c>
    </row>
    <row r="915">
      <c r="A915" s="1">
        <v>2021</v>
      </c>
      <c r="B915" s="1">
        <v>6</v>
      </c>
      <c r="C915" t="s">
        <v>11</v>
      </c>
      <c r="D915" s="1">
        <v>13</v>
      </c>
      <c r="E915" t="s">
        <v>57</v>
      </c>
      <c r="F915" s="1">
        <v>41</v>
      </c>
      <c r="G915" t="s">
        <v>3</v>
      </c>
      <c r="H915" s="1">
        <v>51</v>
      </c>
      <c r="I915" t="s">
        <v>6</v>
      </c>
      <c r="J915" s="1">
        <v>151</v>
      </c>
      <c r="K915" s="1">
        <v>241</v>
      </c>
      <c r="L915" s="1">
        <v>16662</v>
      </c>
      <c r="M915" s="1">
        <v>33278</v>
      </c>
      <c r="N915" s="1">
        <v>60213</v>
      </c>
      <c r="O915" s="1">
        <v>4113547</v>
      </c>
      <c r="P915" s="1">
        <v>468343</v>
      </c>
      <c r="Q915" s="1">
        <v>957465</v>
      </c>
      <c r="R915" s="1">
        <v>64186748</v>
      </c>
      <c r="S915" s="1">
        <v>6013</v>
      </c>
      <c r="T915" s="1">
        <v>6013</v>
      </c>
      <c r="U915" s="1">
        <v>41051</v>
      </c>
      <c r="V915" s="1">
        <v>0</v>
      </c>
      <c r="W915" s="1">
        <v>1</v>
      </c>
    </row>
    <row r="916">
      <c r="A916" s="1">
        <v>2021</v>
      </c>
      <c r="B916" s="1">
        <v>6</v>
      </c>
      <c r="C916" t="s">
        <v>11</v>
      </c>
      <c r="D916" s="1">
        <v>17</v>
      </c>
      <c r="E916" t="s">
        <v>229</v>
      </c>
      <c r="F916" s="1">
        <v>41</v>
      </c>
      <c r="G916" t="s">
        <v>3</v>
      </c>
      <c r="H916" s="1">
        <v>51</v>
      </c>
      <c r="I916" t="s">
        <v>6</v>
      </c>
      <c r="J916" s="1">
        <v>28</v>
      </c>
      <c r="K916" s="1">
        <v>34</v>
      </c>
      <c r="L916" s="1">
        <v>1687</v>
      </c>
      <c r="M916" s="1">
        <v>6418</v>
      </c>
      <c r="N916" s="1">
        <v>11093</v>
      </c>
      <c r="O916" s="1">
        <v>605580</v>
      </c>
      <c r="P916" s="1">
        <v>78314</v>
      </c>
      <c r="Q916" s="1">
        <v>157342</v>
      </c>
      <c r="R916" s="1">
        <v>8870879</v>
      </c>
      <c r="S916" s="1">
        <v>6017</v>
      </c>
      <c r="T916" s="1">
        <v>6017</v>
      </c>
      <c r="U916" s="1">
        <v>41051</v>
      </c>
      <c r="V916" s="1">
        <v>0</v>
      </c>
      <c r="W916" s="1">
        <v>1</v>
      </c>
    </row>
    <row r="917">
      <c r="A917" s="1">
        <v>2021</v>
      </c>
      <c r="B917" s="1">
        <v>6</v>
      </c>
      <c r="C917" t="s">
        <v>11</v>
      </c>
      <c r="D917" s="1">
        <v>19</v>
      </c>
      <c r="E917" t="s">
        <v>58</v>
      </c>
      <c r="F917" s="1">
        <v>41</v>
      </c>
      <c r="G917" t="s">
        <v>3</v>
      </c>
      <c r="H917" s="1">
        <v>51</v>
      </c>
      <c r="I917" t="s">
        <v>6</v>
      </c>
      <c r="J917" s="1">
        <v>63</v>
      </c>
      <c r="K917" s="1">
        <v>102</v>
      </c>
      <c r="L917" s="1">
        <v>5005</v>
      </c>
      <c r="M917" s="1">
        <v>13925</v>
      </c>
      <c r="N917" s="1">
        <v>25750</v>
      </c>
      <c r="O917" s="1">
        <v>860456</v>
      </c>
      <c r="P917" s="1">
        <v>358035</v>
      </c>
      <c r="Q917" s="1">
        <v>775383</v>
      </c>
      <c r="R917" s="1">
        <v>23102454</v>
      </c>
      <c r="S917" s="1">
        <v>6019</v>
      </c>
      <c r="T917" s="1">
        <v>6019</v>
      </c>
      <c r="U917" s="1">
        <v>41051</v>
      </c>
      <c r="V917" s="1">
        <v>0</v>
      </c>
      <c r="W917" s="1">
        <v>1</v>
      </c>
    </row>
    <row r="918">
      <c r="A918" s="1">
        <v>2021</v>
      </c>
      <c r="B918" s="1">
        <v>6</v>
      </c>
      <c r="C918" t="s">
        <v>11</v>
      </c>
      <c r="D918" s="1">
        <v>23</v>
      </c>
      <c r="E918" t="s">
        <v>59</v>
      </c>
      <c r="F918" s="1">
        <v>41</v>
      </c>
      <c r="G918" t="s">
        <v>3</v>
      </c>
      <c r="H918" s="1">
        <v>51</v>
      </c>
      <c r="I918" t="s">
        <v>6</v>
      </c>
      <c r="J918" s="1">
        <v>48</v>
      </c>
      <c r="K918" s="1">
        <v>63</v>
      </c>
      <c r="L918" s="1">
        <v>1816</v>
      </c>
      <c r="M918" s="1">
        <v>3028</v>
      </c>
      <c r="N918" s="1">
        <v>4645</v>
      </c>
      <c r="O918" s="1">
        <v>146222</v>
      </c>
      <c r="P918" s="1">
        <v>50507</v>
      </c>
      <c r="Q918" s="1">
        <v>92316</v>
      </c>
      <c r="R918" s="1">
        <v>3150502</v>
      </c>
      <c r="S918" s="1">
        <v>6023</v>
      </c>
      <c r="T918" s="1">
        <v>6023</v>
      </c>
      <c r="U918" s="1">
        <v>41051</v>
      </c>
      <c r="V918" s="1">
        <v>0</v>
      </c>
      <c r="W918" s="1">
        <v>1</v>
      </c>
    </row>
    <row r="919">
      <c r="A919" s="1">
        <v>2021</v>
      </c>
      <c r="B919" s="1">
        <v>6</v>
      </c>
      <c r="C919" t="s">
        <v>11</v>
      </c>
      <c r="D919" s="1">
        <v>29</v>
      </c>
      <c r="E919" t="s">
        <v>60</v>
      </c>
      <c r="F919" s="1">
        <v>41</v>
      </c>
      <c r="G919" t="s">
        <v>3</v>
      </c>
      <c r="H919" s="1">
        <v>51</v>
      </c>
      <c r="I919" t="s">
        <v>6</v>
      </c>
      <c r="J919" s="1">
        <v>49</v>
      </c>
      <c r="K919" s="1">
        <v>68</v>
      </c>
      <c r="L919" s="1">
        <v>2300</v>
      </c>
      <c r="M919" s="1">
        <v>13996</v>
      </c>
      <c r="N919" s="1">
        <v>26890</v>
      </c>
      <c r="O919" s="1">
        <v>865883</v>
      </c>
      <c r="P919" s="1">
        <v>307526</v>
      </c>
      <c r="Q919" s="1">
        <v>685068</v>
      </c>
      <c r="R919" s="1">
        <v>19559816</v>
      </c>
      <c r="S919" s="1">
        <v>6029</v>
      </c>
      <c r="T919" s="1">
        <v>6029</v>
      </c>
      <c r="U919" s="1">
        <v>41051</v>
      </c>
      <c r="V919" s="1">
        <v>0</v>
      </c>
      <c r="W919" s="1">
        <v>1</v>
      </c>
    </row>
    <row r="920">
      <c r="A920" s="1">
        <v>2021</v>
      </c>
      <c r="B920" s="1">
        <v>6</v>
      </c>
      <c r="C920" t="s">
        <v>11</v>
      </c>
      <c r="D920" s="1">
        <v>37</v>
      </c>
      <c r="E920" t="s">
        <v>61</v>
      </c>
      <c r="F920" s="1">
        <v>41</v>
      </c>
      <c r="G920" t="s">
        <v>3</v>
      </c>
      <c r="H920" s="1">
        <v>51</v>
      </c>
      <c r="I920" t="s">
        <v>6</v>
      </c>
      <c r="J920" s="1">
        <v>1053</v>
      </c>
      <c r="K920" s="1">
        <v>1432</v>
      </c>
      <c r="L920" s="1">
        <v>77845</v>
      </c>
      <c r="M920" s="1">
        <v>188269</v>
      </c>
      <c r="N920" s="1">
        <v>320280</v>
      </c>
      <c r="O920" s="1">
        <v>18347938</v>
      </c>
      <c r="P920" s="1">
        <v>4018250</v>
      </c>
      <c r="Q920" s="1">
        <v>7581525</v>
      </c>
      <c r="R920" s="1">
        <v>364855968</v>
      </c>
      <c r="S920" s="1">
        <v>6037</v>
      </c>
      <c r="T920" s="1">
        <v>6037</v>
      </c>
      <c r="U920" s="1">
        <v>41051</v>
      </c>
      <c r="V920" s="1">
        <v>0</v>
      </c>
      <c r="W920" s="1">
        <v>1</v>
      </c>
    </row>
    <row r="921">
      <c r="A921" s="1">
        <v>2021</v>
      </c>
      <c r="B921" s="1">
        <v>6</v>
      </c>
      <c r="C921" t="s">
        <v>11</v>
      </c>
      <c r="D921" s="1">
        <v>41</v>
      </c>
      <c r="E921" t="s">
        <v>62</v>
      </c>
      <c r="F921" s="1">
        <v>41</v>
      </c>
      <c r="G921" t="s">
        <v>3</v>
      </c>
      <c r="H921" s="1">
        <v>51</v>
      </c>
      <c r="I921" t="s">
        <v>6</v>
      </c>
      <c r="J921" s="1">
        <v>84</v>
      </c>
      <c r="K921" s="1">
        <v>119</v>
      </c>
      <c r="L921" s="1">
        <v>9183</v>
      </c>
      <c r="M921" s="1">
        <v>8332</v>
      </c>
      <c r="N921" s="1">
        <v>13648</v>
      </c>
      <c r="O921" s="1">
        <v>1457992</v>
      </c>
      <c r="P921" s="1">
        <v>109915</v>
      </c>
      <c r="Q921" s="1">
        <v>210922</v>
      </c>
      <c r="R921" s="1">
        <v>25873606</v>
      </c>
      <c r="S921" s="1">
        <v>6041</v>
      </c>
      <c r="T921" s="1">
        <v>6041</v>
      </c>
      <c r="U921" s="1">
        <v>41051</v>
      </c>
      <c r="V921" s="1">
        <v>0</v>
      </c>
      <c r="W921" s="1">
        <v>1</v>
      </c>
    </row>
    <row r="922">
      <c r="A922" s="1">
        <v>2021</v>
      </c>
      <c r="B922" s="1">
        <v>6</v>
      </c>
      <c r="C922" t="s">
        <v>11</v>
      </c>
      <c r="D922" s="1">
        <v>53</v>
      </c>
      <c r="E922" t="s">
        <v>63</v>
      </c>
      <c r="F922" s="1">
        <v>41</v>
      </c>
      <c r="G922" t="s">
        <v>3</v>
      </c>
      <c r="H922" s="1">
        <v>51</v>
      </c>
      <c r="I922" t="s">
        <v>6</v>
      </c>
      <c r="J922" s="1">
        <v>58</v>
      </c>
      <c r="K922" s="1">
        <v>82</v>
      </c>
      <c r="L922" s="1">
        <v>3765</v>
      </c>
      <c r="M922" s="1">
        <v>10195</v>
      </c>
      <c r="N922" s="1">
        <v>18232</v>
      </c>
      <c r="O922" s="1">
        <v>776124</v>
      </c>
      <c r="P922" s="1">
        <v>166947</v>
      </c>
      <c r="Q922" s="1">
        <v>349464</v>
      </c>
      <c r="R922" s="1">
        <v>13201250</v>
      </c>
      <c r="S922" s="1">
        <v>6053</v>
      </c>
      <c r="T922" s="1">
        <v>6053</v>
      </c>
      <c r="U922" s="1">
        <v>41051</v>
      </c>
      <c r="V922" s="1">
        <v>0</v>
      </c>
      <c r="W922" s="1">
        <v>1</v>
      </c>
    </row>
    <row r="923">
      <c r="A923" s="1">
        <v>2021</v>
      </c>
      <c r="B923" s="1">
        <v>6</v>
      </c>
      <c r="C923" t="s">
        <v>11</v>
      </c>
      <c r="D923" s="1">
        <v>57</v>
      </c>
      <c r="E923" t="s">
        <v>230</v>
      </c>
      <c r="F923" s="1">
        <v>41</v>
      </c>
      <c r="G923" t="s">
        <v>3</v>
      </c>
      <c r="H923" s="1">
        <v>51</v>
      </c>
      <c r="I923" t="s">
        <v>6</v>
      </c>
      <c r="J923" s="1">
        <v>22</v>
      </c>
      <c r="K923" s="1">
        <v>28</v>
      </c>
      <c r="L923" s="1">
        <v>956</v>
      </c>
      <c r="M923" s="1">
        <v>3639</v>
      </c>
      <c r="N923" s="1">
        <v>6001</v>
      </c>
      <c r="O923" s="1">
        <v>322068</v>
      </c>
      <c r="P923" s="1">
        <v>43177</v>
      </c>
      <c r="Q923" s="1">
        <v>79916</v>
      </c>
      <c r="R923" s="1">
        <v>3867711</v>
      </c>
      <c r="S923" s="1">
        <v>6057</v>
      </c>
      <c r="T923" s="1">
        <v>6057</v>
      </c>
      <c r="U923" s="1">
        <v>41051</v>
      </c>
      <c r="V923" s="1">
        <v>0</v>
      </c>
      <c r="W923" s="1">
        <v>1</v>
      </c>
    </row>
    <row r="924">
      <c r="A924" s="1">
        <v>2021</v>
      </c>
      <c r="B924" s="1">
        <v>6</v>
      </c>
      <c r="C924" t="s">
        <v>11</v>
      </c>
      <c r="D924" s="1">
        <v>59</v>
      </c>
      <c r="E924" t="s">
        <v>64</v>
      </c>
      <c r="F924" s="1">
        <v>41</v>
      </c>
      <c r="G924" t="s">
        <v>3</v>
      </c>
      <c r="H924" s="1">
        <v>51</v>
      </c>
      <c r="I924" t="s">
        <v>6</v>
      </c>
      <c r="J924" s="1">
        <v>278</v>
      </c>
      <c r="K924" s="1">
        <v>342</v>
      </c>
      <c r="L924" s="1">
        <v>17107</v>
      </c>
      <c r="M924" s="1">
        <v>74456</v>
      </c>
      <c r="N924" s="1">
        <v>129032</v>
      </c>
      <c r="O924" s="1">
        <v>7965049</v>
      </c>
      <c r="P924" s="1">
        <v>1302885</v>
      </c>
      <c r="Q924" s="1">
        <v>2570529</v>
      </c>
      <c r="R924" s="1">
        <v>144885856</v>
      </c>
      <c r="S924" s="1">
        <v>6059</v>
      </c>
      <c r="T924" s="1">
        <v>6059</v>
      </c>
      <c r="U924" s="1">
        <v>41051</v>
      </c>
      <c r="V924" s="1">
        <v>0</v>
      </c>
      <c r="W924" s="1">
        <v>1</v>
      </c>
    </row>
    <row r="925">
      <c r="A925" s="1">
        <v>2021</v>
      </c>
      <c r="B925" s="1">
        <v>6</v>
      </c>
      <c r="C925" t="s">
        <v>11</v>
      </c>
      <c r="D925" s="1">
        <v>61</v>
      </c>
      <c r="E925" t="s">
        <v>65</v>
      </c>
      <c r="F925" s="1">
        <v>41</v>
      </c>
      <c r="G925" t="s">
        <v>3</v>
      </c>
      <c r="H925" s="1">
        <v>51</v>
      </c>
      <c r="I925" t="s">
        <v>6</v>
      </c>
      <c r="J925" s="1">
        <v>40</v>
      </c>
      <c r="K925" s="1">
        <v>50</v>
      </c>
      <c r="L925" s="1">
        <v>2327</v>
      </c>
      <c r="M925" s="1">
        <v>13027</v>
      </c>
      <c r="N925" s="1">
        <v>23012</v>
      </c>
      <c r="O925" s="1">
        <v>1241253</v>
      </c>
      <c r="P925" s="1">
        <v>161852</v>
      </c>
      <c r="Q925" s="1">
        <v>336967</v>
      </c>
      <c r="R925" s="1">
        <v>18627276</v>
      </c>
      <c r="S925" s="1">
        <v>6061</v>
      </c>
      <c r="T925" s="1">
        <v>6061</v>
      </c>
      <c r="U925" s="1">
        <v>41051</v>
      </c>
      <c r="V925" s="1">
        <v>0</v>
      </c>
      <c r="W925" s="1">
        <v>1</v>
      </c>
    </row>
    <row r="926">
      <c r="A926" s="1">
        <v>2021</v>
      </c>
      <c r="B926" s="1">
        <v>6</v>
      </c>
      <c r="C926" t="s">
        <v>11</v>
      </c>
      <c r="D926" s="1">
        <v>65</v>
      </c>
      <c r="E926" t="s">
        <v>66</v>
      </c>
      <c r="F926" s="1">
        <v>41</v>
      </c>
      <c r="G926" t="s">
        <v>3</v>
      </c>
      <c r="H926" s="1">
        <v>51</v>
      </c>
      <c r="I926" t="s">
        <v>6</v>
      </c>
      <c r="J926" s="1">
        <v>163</v>
      </c>
      <c r="K926" s="1">
        <v>219</v>
      </c>
      <c r="L926" s="1">
        <v>9909</v>
      </c>
      <c r="M926" s="1">
        <v>56104</v>
      </c>
      <c r="N926" s="1">
        <v>103944</v>
      </c>
      <c r="O926" s="1">
        <v>3632153</v>
      </c>
      <c r="P926" s="1">
        <v>894444</v>
      </c>
      <c r="Q926" s="1">
        <v>1884463</v>
      </c>
      <c r="R926" s="1">
        <v>60998688</v>
      </c>
      <c r="S926" s="1">
        <v>6065</v>
      </c>
      <c r="T926" s="1">
        <v>6065</v>
      </c>
      <c r="U926" s="1">
        <v>41051</v>
      </c>
      <c r="V926" s="1">
        <v>0</v>
      </c>
      <c r="W926" s="1">
        <v>1</v>
      </c>
    </row>
    <row r="927">
      <c r="A927" s="1">
        <v>2021</v>
      </c>
      <c r="B927" s="1">
        <v>6</v>
      </c>
      <c r="C927" t="s">
        <v>11</v>
      </c>
      <c r="D927" s="1">
        <v>67</v>
      </c>
      <c r="E927" t="s">
        <v>67</v>
      </c>
      <c r="F927" s="1">
        <v>41</v>
      </c>
      <c r="G927" t="s">
        <v>3</v>
      </c>
      <c r="H927" s="1">
        <v>51</v>
      </c>
      <c r="I927" t="s">
        <v>6</v>
      </c>
      <c r="J927" s="1">
        <v>184</v>
      </c>
      <c r="K927" s="1">
        <v>242</v>
      </c>
      <c r="L927" s="1">
        <v>11418</v>
      </c>
      <c r="M927" s="1">
        <v>37911</v>
      </c>
      <c r="N927" s="1">
        <v>66626</v>
      </c>
      <c r="O927" s="1">
        <v>2816149</v>
      </c>
      <c r="P927" s="1">
        <v>620554</v>
      </c>
      <c r="Q927" s="1">
        <v>1236845</v>
      </c>
      <c r="R927" s="1">
        <v>48025424</v>
      </c>
      <c r="S927" s="1">
        <v>6067</v>
      </c>
      <c r="T927" s="1">
        <v>6067</v>
      </c>
      <c r="U927" s="1">
        <v>41051</v>
      </c>
      <c r="V927" s="1">
        <v>0</v>
      </c>
      <c r="W927" s="1">
        <v>1</v>
      </c>
    </row>
    <row r="928">
      <c r="A928" s="1">
        <v>2021</v>
      </c>
      <c r="B928" s="1">
        <v>6</v>
      </c>
      <c r="C928" t="s">
        <v>11</v>
      </c>
      <c r="D928" s="1">
        <v>71</v>
      </c>
      <c r="E928" t="s">
        <v>68</v>
      </c>
      <c r="F928" s="1">
        <v>41</v>
      </c>
      <c r="G928" t="s">
        <v>3</v>
      </c>
      <c r="H928" s="1">
        <v>51</v>
      </c>
      <c r="I928" t="s">
        <v>6</v>
      </c>
      <c r="J928" s="1">
        <v>118</v>
      </c>
      <c r="K928" s="1">
        <v>147</v>
      </c>
      <c r="L928" s="1">
        <v>5703</v>
      </c>
      <c r="M928" s="1">
        <v>52264</v>
      </c>
      <c r="N928" s="1">
        <v>98000</v>
      </c>
      <c r="O928" s="1">
        <v>3126747</v>
      </c>
      <c r="P928" s="1">
        <v>810949</v>
      </c>
      <c r="Q928" s="1">
        <v>1695993</v>
      </c>
      <c r="R928" s="1">
        <v>52220864</v>
      </c>
      <c r="S928" s="1">
        <v>6071</v>
      </c>
      <c r="T928" s="1">
        <v>6071</v>
      </c>
      <c r="U928" s="1">
        <v>41051</v>
      </c>
      <c r="V928" s="1">
        <v>0</v>
      </c>
      <c r="W928" s="1">
        <v>1</v>
      </c>
    </row>
    <row r="929">
      <c r="A929" s="1">
        <v>2021</v>
      </c>
      <c r="B929" s="1">
        <v>6</v>
      </c>
      <c r="C929" t="s">
        <v>11</v>
      </c>
      <c r="D929" s="1">
        <v>73</v>
      </c>
      <c r="E929" t="s">
        <v>69</v>
      </c>
      <c r="F929" s="1">
        <v>41</v>
      </c>
      <c r="G929" t="s">
        <v>3</v>
      </c>
      <c r="H929" s="1">
        <v>51</v>
      </c>
      <c r="I929" t="s">
        <v>6</v>
      </c>
      <c r="J929" s="1">
        <v>441</v>
      </c>
      <c r="K929" s="1">
        <v>596</v>
      </c>
      <c r="L929" s="1">
        <v>30927</v>
      </c>
      <c r="M929" s="1">
        <v>78015</v>
      </c>
      <c r="N929" s="1">
        <v>140175</v>
      </c>
      <c r="O929" s="1">
        <v>6542162</v>
      </c>
      <c r="P929" s="1">
        <v>1385224</v>
      </c>
      <c r="Q929" s="1">
        <v>2719574</v>
      </c>
      <c r="R929" s="1">
        <v>134382512</v>
      </c>
      <c r="S929" s="1">
        <v>6073</v>
      </c>
      <c r="T929" s="1">
        <v>6073</v>
      </c>
      <c r="U929" s="1">
        <v>41051</v>
      </c>
      <c r="V929" s="1">
        <v>0</v>
      </c>
      <c r="W929" s="1">
        <v>1</v>
      </c>
    </row>
    <row r="930">
      <c r="A930" s="1">
        <v>2021</v>
      </c>
      <c r="B930" s="1">
        <v>6</v>
      </c>
      <c r="C930" t="s">
        <v>11</v>
      </c>
      <c r="D930" s="1">
        <v>75</v>
      </c>
      <c r="E930" t="s">
        <v>70</v>
      </c>
      <c r="F930" s="1">
        <v>41</v>
      </c>
      <c r="G930" t="s">
        <v>3</v>
      </c>
      <c r="H930" s="1">
        <v>51</v>
      </c>
      <c r="I930" t="s">
        <v>6</v>
      </c>
      <c r="J930" s="1">
        <v>464</v>
      </c>
      <c r="K930" s="1">
        <v>609</v>
      </c>
      <c r="L930" s="1">
        <v>91131</v>
      </c>
      <c r="M930" s="1">
        <v>50414</v>
      </c>
      <c r="N930" s="1">
        <v>70852</v>
      </c>
      <c r="O930" s="1">
        <v>12101963</v>
      </c>
      <c r="P930" s="1">
        <v>401615</v>
      </c>
      <c r="Q930" s="1">
        <v>643363</v>
      </c>
      <c r="R930" s="1">
        <v>81712912</v>
      </c>
      <c r="S930" s="1">
        <v>6075</v>
      </c>
      <c r="T930" s="1">
        <v>6075</v>
      </c>
      <c r="U930" s="1">
        <v>41051</v>
      </c>
      <c r="V930" s="1">
        <v>0</v>
      </c>
      <c r="W930" s="1">
        <v>1</v>
      </c>
    </row>
    <row r="931">
      <c r="A931" s="1">
        <v>2021</v>
      </c>
      <c r="B931" s="1">
        <v>6</v>
      </c>
      <c r="C931" t="s">
        <v>11</v>
      </c>
      <c r="D931" s="1">
        <v>77</v>
      </c>
      <c r="E931" t="s">
        <v>179</v>
      </c>
      <c r="F931" s="1">
        <v>41</v>
      </c>
      <c r="G931" t="s">
        <v>3</v>
      </c>
      <c r="H931" s="1">
        <v>51</v>
      </c>
      <c r="I931" t="s">
        <v>6</v>
      </c>
      <c r="J931" s="1">
        <v>42</v>
      </c>
      <c r="K931" s="1">
        <v>67</v>
      </c>
      <c r="L931" s="1">
        <v>2539</v>
      </c>
      <c r="M931" s="1">
        <v>15990</v>
      </c>
      <c r="N931" s="1">
        <v>29864</v>
      </c>
      <c r="O931" s="1">
        <v>1071124</v>
      </c>
      <c r="P931" s="1">
        <v>283458</v>
      </c>
      <c r="Q931" s="1">
        <v>613626</v>
      </c>
      <c r="R931" s="1">
        <v>20332240</v>
      </c>
      <c r="S931" s="1">
        <v>6077</v>
      </c>
      <c r="T931" s="1">
        <v>6077</v>
      </c>
      <c r="U931" s="1">
        <v>41051</v>
      </c>
      <c r="V931" s="1">
        <v>0</v>
      </c>
      <c r="W931" s="1">
        <v>1</v>
      </c>
    </row>
    <row r="932">
      <c r="A932" s="1">
        <v>2021</v>
      </c>
      <c r="B932" s="1">
        <v>6</v>
      </c>
      <c r="C932" t="s">
        <v>11</v>
      </c>
      <c r="D932" s="1">
        <v>79</v>
      </c>
      <c r="E932" t="s">
        <v>71</v>
      </c>
      <c r="F932" s="1">
        <v>41</v>
      </c>
      <c r="G932" t="s">
        <v>3</v>
      </c>
      <c r="H932" s="1">
        <v>51</v>
      </c>
      <c r="I932" t="s">
        <v>6</v>
      </c>
      <c r="J932" s="1">
        <v>40</v>
      </c>
      <c r="K932" s="1">
        <v>49</v>
      </c>
      <c r="L932" s="1">
        <v>1955</v>
      </c>
      <c r="M932" s="1">
        <v>7025</v>
      </c>
      <c r="N932" s="1">
        <v>11223</v>
      </c>
      <c r="O932" s="1">
        <v>478007</v>
      </c>
      <c r="P932" s="1">
        <v>113503</v>
      </c>
      <c r="Q932" s="1">
        <v>214744</v>
      </c>
      <c r="R932" s="1">
        <v>10150826</v>
      </c>
      <c r="S932" s="1">
        <v>6079</v>
      </c>
      <c r="T932" s="1">
        <v>6079</v>
      </c>
      <c r="U932" s="1">
        <v>41051</v>
      </c>
      <c r="V932" s="1">
        <v>0</v>
      </c>
      <c r="W932" s="1">
        <v>1</v>
      </c>
    </row>
    <row r="933">
      <c r="A933" s="1">
        <v>2021</v>
      </c>
      <c r="B933" s="1">
        <v>6</v>
      </c>
      <c r="C933" t="s">
        <v>11</v>
      </c>
      <c r="D933" s="1">
        <v>81</v>
      </c>
      <c r="E933" t="s">
        <v>72</v>
      </c>
      <c r="F933" s="1">
        <v>41</v>
      </c>
      <c r="G933" t="s">
        <v>3</v>
      </c>
      <c r="H933" s="1">
        <v>51</v>
      </c>
      <c r="I933" t="s">
        <v>6</v>
      </c>
      <c r="J933" s="1">
        <v>156</v>
      </c>
      <c r="K933" s="1">
        <v>237</v>
      </c>
      <c r="L933" s="1">
        <v>34881</v>
      </c>
      <c r="M933" s="1">
        <v>32543</v>
      </c>
      <c r="N933" s="1">
        <v>54798</v>
      </c>
      <c r="O933" s="1">
        <v>7218201</v>
      </c>
      <c r="P933" s="1">
        <v>327454</v>
      </c>
      <c r="Q933" s="1">
        <v>632437</v>
      </c>
      <c r="R933" s="1">
        <v>77824960</v>
      </c>
      <c r="S933" s="1">
        <v>6081</v>
      </c>
      <c r="T933" s="1">
        <v>6081</v>
      </c>
      <c r="U933" s="1">
        <v>41051</v>
      </c>
      <c r="V933" s="1">
        <v>0</v>
      </c>
      <c r="W933" s="1">
        <v>1</v>
      </c>
    </row>
    <row r="934">
      <c r="A934" s="1">
        <v>2021</v>
      </c>
      <c r="B934" s="1">
        <v>6</v>
      </c>
      <c r="C934" t="s">
        <v>11</v>
      </c>
      <c r="D934" s="1">
        <v>83</v>
      </c>
      <c r="E934" t="s">
        <v>73</v>
      </c>
      <c r="F934" s="1">
        <v>41</v>
      </c>
      <c r="G934" t="s">
        <v>3</v>
      </c>
      <c r="H934" s="1">
        <v>51</v>
      </c>
      <c r="I934" t="s">
        <v>6</v>
      </c>
      <c r="J934" s="1">
        <v>74</v>
      </c>
      <c r="K934" s="1">
        <v>97</v>
      </c>
      <c r="L934" s="1">
        <v>4747</v>
      </c>
      <c r="M934" s="1">
        <v>10559</v>
      </c>
      <c r="N934" s="1">
        <v>17083</v>
      </c>
      <c r="O934" s="1">
        <v>870805</v>
      </c>
      <c r="P934" s="1">
        <v>173609</v>
      </c>
      <c r="Q934" s="1">
        <v>345217</v>
      </c>
      <c r="R934" s="1">
        <v>18721876</v>
      </c>
      <c r="S934" s="1">
        <v>6083</v>
      </c>
      <c r="T934" s="1">
        <v>6083</v>
      </c>
      <c r="U934" s="1">
        <v>41051</v>
      </c>
      <c r="V934" s="1">
        <v>0</v>
      </c>
      <c r="W934" s="1">
        <v>1</v>
      </c>
    </row>
    <row r="935">
      <c r="A935" s="1">
        <v>2021</v>
      </c>
      <c r="B935" s="1">
        <v>6</v>
      </c>
      <c r="C935" t="s">
        <v>11</v>
      </c>
      <c r="D935" s="1">
        <v>85</v>
      </c>
      <c r="E935" t="s">
        <v>74</v>
      </c>
      <c r="F935" s="1">
        <v>41</v>
      </c>
      <c r="G935" t="s">
        <v>3</v>
      </c>
      <c r="H935" s="1">
        <v>51</v>
      </c>
      <c r="I935" t="s">
        <v>6</v>
      </c>
      <c r="J935" s="1">
        <v>272</v>
      </c>
      <c r="K935" s="1">
        <v>389</v>
      </c>
      <c r="L935" s="1">
        <v>41330</v>
      </c>
      <c r="M935" s="1">
        <v>61986</v>
      </c>
      <c r="N935" s="1">
        <v>110695</v>
      </c>
      <c r="O935" s="1">
        <v>12528628</v>
      </c>
      <c r="P935" s="1">
        <v>803476</v>
      </c>
      <c r="Q935" s="1">
        <v>1604491</v>
      </c>
      <c r="R935" s="1">
        <v>171078192</v>
      </c>
      <c r="S935" s="1">
        <v>6085</v>
      </c>
      <c r="T935" s="1">
        <v>6085</v>
      </c>
      <c r="U935" s="1">
        <v>41051</v>
      </c>
      <c r="V935" s="1">
        <v>0</v>
      </c>
      <c r="W935" s="1">
        <v>1</v>
      </c>
    </row>
    <row r="936">
      <c r="A936" s="1">
        <v>2021</v>
      </c>
      <c r="B936" s="1">
        <v>6</v>
      </c>
      <c r="C936" t="s">
        <v>11</v>
      </c>
      <c r="D936" s="1">
        <v>87</v>
      </c>
      <c r="E936" t="s">
        <v>75</v>
      </c>
      <c r="F936" s="1">
        <v>41</v>
      </c>
      <c r="G936" t="s">
        <v>3</v>
      </c>
      <c r="H936" s="1">
        <v>51</v>
      </c>
      <c r="I936" t="s">
        <v>6</v>
      </c>
      <c r="J936" s="1">
        <v>77</v>
      </c>
      <c r="K936" s="1">
        <v>94</v>
      </c>
      <c r="L936" s="1">
        <v>4855</v>
      </c>
      <c r="M936" s="1">
        <v>7603</v>
      </c>
      <c r="N936" s="1">
        <v>12063</v>
      </c>
      <c r="O936" s="1">
        <v>760390</v>
      </c>
      <c r="P936" s="1">
        <v>108880</v>
      </c>
      <c r="Q936" s="1">
        <v>206461</v>
      </c>
      <c r="R936" s="1">
        <v>12520747</v>
      </c>
      <c r="S936" s="1">
        <v>6087</v>
      </c>
      <c r="T936" s="1">
        <v>6087</v>
      </c>
      <c r="U936" s="1">
        <v>41051</v>
      </c>
      <c r="V936" s="1">
        <v>0</v>
      </c>
      <c r="W936" s="1">
        <v>1</v>
      </c>
    </row>
    <row r="937">
      <c r="A937" s="1">
        <v>2021</v>
      </c>
      <c r="B937" s="1">
        <v>6</v>
      </c>
      <c r="C937" t="s">
        <v>11</v>
      </c>
      <c r="D937" s="1">
        <v>89</v>
      </c>
      <c r="E937" t="s">
        <v>76</v>
      </c>
      <c r="F937" s="1">
        <v>41</v>
      </c>
      <c r="G937" t="s">
        <v>3</v>
      </c>
      <c r="H937" s="1">
        <v>51</v>
      </c>
      <c r="I937" t="s">
        <v>6</v>
      </c>
      <c r="J937" s="1">
        <v>28</v>
      </c>
      <c r="K937" s="1">
        <v>33</v>
      </c>
      <c r="L937" s="1">
        <v>1374</v>
      </c>
      <c r="M937" s="1">
        <v>4143</v>
      </c>
      <c r="N937" s="1">
        <v>7291</v>
      </c>
      <c r="O937" s="1">
        <v>274738</v>
      </c>
      <c r="P937" s="1">
        <v>67639</v>
      </c>
      <c r="Q937" s="1">
        <v>134098</v>
      </c>
      <c r="R937" s="1">
        <v>4509435</v>
      </c>
      <c r="S937" s="1">
        <v>6089</v>
      </c>
      <c r="T937" s="1">
        <v>6089</v>
      </c>
      <c r="U937" s="1">
        <v>41051</v>
      </c>
      <c r="V937" s="1">
        <v>0</v>
      </c>
      <c r="W937" s="1">
        <v>1</v>
      </c>
    </row>
    <row r="938">
      <c r="A938" s="1">
        <v>2021</v>
      </c>
      <c r="B938" s="1">
        <v>6</v>
      </c>
      <c r="C938" t="s">
        <v>11</v>
      </c>
      <c r="D938" s="1">
        <v>95</v>
      </c>
      <c r="E938" t="s">
        <v>180</v>
      </c>
      <c r="F938" s="1">
        <v>41</v>
      </c>
      <c r="G938" t="s">
        <v>3</v>
      </c>
      <c r="H938" s="1">
        <v>51</v>
      </c>
      <c r="I938" t="s">
        <v>6</v>
      </c>
      <c r="J938" s="1">
        <v>37</v>
      </c>
      <c r="K938" s="1">
        <v>59</v>
      </c>
      <c r="L938" s="1">
        <v>2881</v>
      </c>
      <c r="M938" s="1">
        <v>13498</v>
      </c>
      <c r="N938" s="1">
        <v>24120</v>
      </c>
      <c r="O938" s="1">
        <v>968672</v>
      </c>
      <c r="P938" s="1">
        <v>182580</v>
      </c>
      <c r="Q938" s="1">
        <v>359994</v>
      </c>
      <c r="R938" s="1">
        <v>14732893</v>
      </c>
      <c r="S938" s="1">
        <v>6095</v>
      </c>
      <c r="T938" s="1">
        <v>6095</v>
      </c>
      <c r="U938" s="1">
        <v>41051</v>
      </c>
      <c r="V938" s="1">
        <v>0</v>
      </c>
      <c r="W938" s="1">
        <v>1</v>
      </c>
    </row>
    <row r="939">
      <c r="A939" s="1">
        <v>2021</v>
      </c>
      <c r="B939" s="1">
        <v>6</v>
      </c>
      <c r="C939" t="s">
        <v>11</v>
      </c>
      <c r="D939" s="1">
        <v>97</v>
      </c>
      <c r="E939" t="s">
        <v>77</v>
      </c>
      <c r="F939" s="1">
        <v>41</v>
      </c>
      <c r="G939" t="s">
        <v>3</v>
      </c>
      <c r="H939" s="1">
        <v>51</v>
      </c>
      <c r="I939" t="s">
        <v>6</v>
      </c>
      <c r="J939" s="1">
        <v>144</v>
      </c>
      <c r="K939" s="1">
        <v>199</v>
      </c>
      <c r="L939" s="1">
        <v>9362</v>
      </c>
      <c r="M939" s="1">
        <v>11463</v>
      </c>
      <c r="N939" s="1">
        <v>18760</v>
      </c>
      <c r="O939" s="1">
        <v>1087260</v>
      </c>
      <c r="P939" s="1">
        <v>206453</v>
      </c>
      <c r="Q939" s="1">
        <v>390286</v>
      </c>
      <c r="R939" s="1">
        <v>19916468</v>
      </c>
      <c r="S939" s="1">
        <v>6097</v>
      </c>
      <c r="T939" s="1">
        <v>6097</v>
      </c>
      <c r="U939" s="1">
        <v>41051</v>
      </c>
      <c r="V939" s="1">
        <v>0</v>
      </c>
      <c r="W939" s="1">
        <v>1</v>
      </c>
    </row>
    <row r="940">
      <c r="A940" s="1">
        <v>2021</v>
      </c>
      <c r="B940" s="1">
        <v>6</v>
      </c>
      <c r="C940" t="s">
        <v>11</v>
      </c>
      <c r="D940" s="1">
        <v>99</v>
      </c>
      <c r="E940" t="s">
        <v>325</v>
      </c>
      <c r="F940" s="1">
        <v>41</v>
      </c>
      <c r="G940" t="s">
        <v>3</v>
      </c>
      <c r="H940" s="1">
        <v>51</v>
      </c>
      <c r="I940" t="s">
        <v>6</v>
      </c>
      <c r="J940" s="1">
        <v>26</v>
      </c>
      <c r="K940" s="1">
        <v>36</v>
      </c>
      <c r="L940" s="1">
        <v>1268</v>
      </c>
      <c r="M940" s="1">
        <v>10797</v>
      </c>
      <c r="N940" s="1">
        <v>20747</v>
      </c>
      <c r="O940" s="1">
        <v>661695</v>
      </c>
      <c r="P940" s="1">
        <v>200292</v>
      </c>
      <c r="Q940" s="1">
        <v>434912</v>
      </c>
      <c r="R940" s="1">
        <v>13285944</v>
      </c>
      <c r="S940" s="1">
        <v>6099</v>
      </c>
      <c r="T940" s="1">
        <v>6099</v>
      </c>
      <c r="U940" s="1">
        <v>41051</v>
      </c>
      <c r="V940" s="1">
        <v>0</v>
      </c>
      <c r="W940" s="1">
        <v>1</v>
      </c>
    </row>
    <row r="941">
      <c r="A941" s="1">
        <v>2021</v>
      </c>
      <c r="B941" s="1">
        <v>6</v>
      </c>
      <c r="C941" t="s">
        <v>11</v>
      </c>
      <c r="D941" s="1">
        <v>111</v>
      </c>
      <c r="E941" t="s">
        <v>78</v>
      </c>
      <c r="F941" s="1">
        <v>41</v>
      </c>
      <c r="G941" t="s">
        <v>3</v>
      </c>
      <c r="H941" s="1">
        <v>51</v>
      </c>
      <c r="I941" t="s">
        <v>6</v>
      </c>
      <c r="J941" s="1">
        <v>77</v>
      </c>
      <c r="K941" s="1">
        <v>102</v>
      </c>
      <c r="L941" s="1">
        <v>3679</v>
      </c>
      <c r="M941" s="1">
        <v>18943</v>
      </c>
      <c r="N941" s="1">
        <v>33225</v>
      </c>
      <c r="O941" s="1">
        <v>1809446</v>
      </c>
      <c r="P941" s="1">
        <v>344052</v>
      </c>
      <c r="Q941" s="1">
        <v>692866</v>
      </c>
      <c r="R941" s="1">
        <v>33961000</v>
      </c>
      <c r="S941" s="1">
        <v>6111</v>
      </c>
      <c r="T941" s="1">
        <v>6111</v>
      </c>
      <c r="U941" s="1">
        <v>41051</v>
      </c>
      <c r="V941" s="1">
        <v>0</v>
      </c>
      <c r="W941" s="1">
        <v>1</v>
      </c>
    </row>
    <row r="942">
      <c r="A942" s="1">
        <v>2021</v>
      </c>
      <c r="B942" s="1">
        <v>6</v>
      </c>
      <c r="C942" t="s">
        <v>11</v>
      </c>
      <c r="D942" s="1">
        <v>113</v>
      </c>
      <c r="E942" t="s">
        <v>181</v>
      </c>
      <c r="F942" s="1">
        <v>41</v>
      </c>
      <c r="G942" t="s">
        <v>3</v>
      </c>
      <c r="H942" s="1">
        <v>51</v>
      </c>
      <c r="I942" t="s">
        <v>6</v>
      </c>
      <c r="J942" s="1">
        <v>29</v>
      </c>
      <c r="K942" s="1">
        <v>32</v>
      </c>
      <c r="L942" s="1">
        <v>1090</v>
      </c>
      <c r="M942" s="1">
        <v>7197</v>
      </c>
      <c r="N942" s="1">
        <v>11605</v>
      </c>
      <c r="O942" s="1">
        <v>473692</v>
      </c>
      <c r="P942" s="1">
        <v>79178</v>
      </c>
      <c r="Q942" s="1">
        <v>158662</v>
      </c>
      <c r="R942" s="1">
        <v>7225175</v>
      </c>
      <c r="S942" s="1">
        <v>6113</v>
      </c>
      <c r="T942" s="1">
        <v>6113</v>
      </c>
      <c r="U942" s="1">
        <v>41051</v>
      </c>
      <c r="V942" s="1">
        <v>0</v>
      </c>
      <c r="W942" s="1">
        <v>1</v>
      </c>
    </row>
    <row r="943">
      <c r="A943" s="1">
        <v>2021</v>
      </c>
      <c r="B943" s="1">
        <v>8</v>
      </c>
      <c r="C943" t="s">
        <v>12</v>
      </c>
      <c r="D943" s="1">
        <v>1</v>
      </c>
      <c r="E943" t="s">
        <v>225</v>
      </c>
      <c r="F943" s="1">
        <v>41</v>
      </c>
      <c r="G943" t="s">
        <v>3</v>
      </c>
      <c r="H943" s="1">
        <v>51</v>
      </c>
      <c r="I943" t="s">
        <v>6</v>
      </c>
      <c r="J943" s="1">
        <v>27</v>
      </c>
      <c r="K943" s="1">
        <v>36</v>
      </c>
      <c r="L943" s="1">
        <v>1943</v>
      </c>
      <c r="M943" s="1">
        <v>23255</v>
      </c>
      <c r="N943" s="1">
        <v>41214</v>
      </c>
      <c r="O943" s="1">
        <v>1375036</v>
      </c>
      <c r="P943" s="1">
        <v>204163</v>
      </c>
      <c r="Q943" s="1">
        <v>409747</v>
      </c>
      <c r="R943" s="1">
        <v>14441405</v>
      </c>
      <c r="S943" s="1">
        <v>8001</v>
      </c>
      <c r="T943" s="1">
        <v>8001</v>
      </c>
      <c r="U943" s="1">
        <v>41051</v>
      </c>
      <c r="V943" s="1">
        <v>0</v>
      </c>
      <c r="W943" s="1">
        <v>1</v>
      </c>
    </row>
    <row r="944">
      <c r="A944" s="1">
        <v>2021</v>
      </c>
      <c r="B944" s="1">
        <v>8</v>
      </c>
      <c r="C944" t="s">
        <v>12</v>
      </c>
      <c r="D944" s="1">
        <v>5</v>
      </c>
      <c r="E944" t="s">
        <v>79</v>
      </c>
      <c r="F944" s="1">
        <v>41</v>
      </c>
      <c r="G944" t="s">
        <v>3</v>
      </c>
      <c r="H944" s="1">
        <v>51</v>
      </c>
      <c r="I944" t="s">
        <v>6</v>
      </c>
      <c r="J944" s="1">
        <v>53</v>
      </c>
      <c r="K944" s="1">
        <v>74</v>
      </c>
      <c r="L944" s="1">
        <v>2385</v>
      </c>
      <c r="M944" s="1">
        <v>34319</v>
      </c>
      <c r="N944" s="1">
        <v>57722</v>
      </c>
      <c r="O944" s="1">
        <v>2586458</v>
      </c>
      <c r="P944" s="1">
        <v>270095</v>
      </c>
      <c r="Q944" s="1">
        <v>528099</v>
      </c>
      <c r="R944" s="1">
        <v>27108146</v>
      </c>
      <c r="S944" s="1">
        <v>8005</v>
      </c>
      <c r="T944" s="1">
        <v>8005</v>
      </c>
      <c r="U944" s="1">
        <v>41051</v>
      </c>
      <c r="V944" s="1">
        <v>0</v>
      </c>
      <c r="W944" s="1">
        <v>1</v>
      </c>
    </row>
    <row r="945">
      <c r="A945" s="1">
        <v>2021</v>
      </c>
      <c r="B945" s="1">
        <v>8</v>
      </c>
      <c r="C945" t="s">
        <v>12</v>
      </c>
      <c r="D945" s="1">
        <v>13</v>
      </c>
      <c r="E945" t="s">
        <v>80</v>
      </c>
      <c r="F945" s="1">
        <v>41</v>
      </c>
      <c r="G945" t="s">
        <v>3</v>
      </c>
      <c r="H945" s="1">
        <v>51</v>
      </c>
      <c r="I945" t="s">
        <v>6</v>
      </c>
      <c r="J945" s="1">
        <v>60</v>
      </c>
      <c r="K945" s="1">
        <v>74</v>
      </c>
      <c r="L945" s="1">
        <v>4091</v>
      </c>
      <c r="M945" s="1">
        <v>14879</v>
      </c>
      <c r="N945" s="1">
        <v>22591</v>
      </c>
      <c r="O945" s="1">
        <v>1282580</v>
      </c>
      <c r="P945" s="1">
        <v>134629</v>
      </c>
      <c r="Q945" s="1">
        <v>251201</v>
      </c>
      <c r="R945" s="1">
        <v>17646116</v>
      </c>
      <c r="S945" s="1">
        <v>8013</v>
      </c>
      <c r="T945" s="1">
        <v>8013</v>
      </c>
      <c r="U945" s="1">
        <v>41051</v>
      </c>
      <c r="V945" s="1">
        <v>0</v>
      </c>
      <c r="W945" s="1">
        <v>1</v>
      </c>
    </row>
    <row r="946">
      <c r="A946" s="1">
        <v>2021</v>
      </c>
      <c r="B946" s="1">
        <v>8</v>
      </c>
      <c r="C946" t="s">
        <v>12</v>
      </c>
      <c r="D946" s="1">
        <v>31</v>
      </c>
      <c r="E946" t="s">
        <v>81</v>
      </c>
      <c r="F946" s="1">
        <v>41</v>
      </c>
      <c r="G946" t="s">
        <v>3</v>
      </c>
      <c r="H946" s="1">
        <v>51</v>
      </c>
      <c r="I946" t="s">
        <v>6</v>
      </c>
      <c r="J946" s="1">
        <v>170</v>
      </c>
      <c r="K946" s="1">
        <v>207</v>
      </c>
      <c r="L946" s="1">
        <v>11957</v>
      </c>
      <c r="M946" s="1">
        <v>49269</v>
      </c>
      <c r="N946" s="1">
        <v>74815</v>
      </c>
      <c r="O946" s="1">
        <v>4188938</v>
      </c>
      <c r="P946" s="1">
        <v>317402</v>
      </c>
      <c r="Q946" s="1">
        <v>536980</v>
      </c>
      <c r="R946" s="1">
        <v>32975110</v>
      </c>
      <c r="S946" s="1">
        <v>8031</v>
      </c>
      <c r="T946" s="1">
        <v>8031</v>
      </c>
      <c r="U946" s="1">
        <v>41051</v>
      </c>
      <c r="V946" s="1">
        <v>0</v>
      </c>
      <c r="W946" s="1">
        <v>1</v>
      </c>
    </row>
    <row r="947">
      <c r="A947" s="1">
        <v>2021</v>
      </c>
      <c r="B947" s="1">
        <v>8</v>
      </c>
      <c r="C947" t="s">
        <v>12</v>
      </c>
      <c r="D947" s="1">
        <v>41</v>
      </c>
      <c r="E947" t="s">
        <v>82</v>
      </c>
      <c r="F947" s="1">
        <v>41</v>
      </c>
      <c r="G947" t="s">
        <v>3</v>
      </c>
      <c r="H947" s="1">
        <v>51</v>
      </c>
      <c r="I947" t="s">
        <v>6</v>
      </c>
      <c r="J947" s="1">
        <v>43</v>
      </c>
      <c r="K947" s="1">
        <v>63</v>
      </c>
      <c r="L947" s="1">
        <v>1683</v>
      </c>
      <c r="M947" s="1">
        <v>27483</v>
      </c>
      <c r="N947" s="1">
        <v>54067</v>
      </c>
      <c r="O947" s="1">
        <v>1701474</v>
      </c>
      <c r="P947" s="1">
        <v>289430</v>
      </c>
      <c r="Q947" s="1">
        <v>591722</v>
      </c>
      <c r="R947" s="1">
        <v>23522792</v>
      </c>
      <c r="S947" s="1">
        <v>8041</v>
      </c>
      <c r="T947" s="1">
        <v>8041</v>
      </c>
      <c r="U947" s="1">
        <v>41051</v>
      </c>
      <c r="V947" s="1">
        <v>0</v>
      </c>
      <c r="W947" s="1">
        <v>1</v>
      </c>
    </row>
    <row r="948">
      <c r="A948" s="1">
        <v>2021</v>
      </c>
      <c r="B948" s="1">
        <v>8</v>
      </c>
      <c r="C948" t="s">
        <v>12</v>
      </c>
      <c r="D948" s="1">
        <v>59</v>
      </c>
      <c r="E948" t="s">
        <v>83</v>
      </c>
      <c r="F948" s="1">
        <v>41</v>
      </c>
      <c r="G948" t="s">
        <v>3</v>
      </c>
      <c r="H948" s="1">
        <v>51</v>
      </c>
      <c r="I948" t="s">
        <v>6</v>
      </c>
      <c r="J948" s="1">
        <v>51</v>
      </c>
      <c r="K948" s="1">
        <v>70</v>
      </c>
      <c r="L948" s="1">
        <v>3413</v>
      </c>
      <c r="M948" s="1">
        <v>29092</v>
      </c>
      <c r="N948" s="1">
        <v>46421</v>
      </c>
      <c r="O948" s="1">
        <v>2131585</v>
      </c>
      <c r="P948" s="1">
        <v>254630</v>
      </c>
      <c r="Q948" s="1">
        <v>473876</v>
      </c>
      <c r="R948" s="1">
        <v>26043336</v>
      </c>
      <c r="S948" s="1">
        <v>8059</v>
      </c>
      <c r="T948" s="1">
        <v>8059</v>
      </c>
      <c r="U948" s="1">
        <v>41051</v>
      </c>
      <c r="V948" s="1">
        <v>0</v>
      </c>
      <c r="W948" s="1">
        <v>1</v>
      </c>
    </row>
    <row r="949">
      <c r="A949" s="1">
        <v>2021</v>
      </c>
      <c r="B949" s="1">
        <v>8</v>
      </c>
      <c r="C949" t="s">
        <v>12</v>
      </c>
      <c r="D949" s="1">
        <v>69</v>
      </c>
      <c r="E949" t="s">
        <v>84</v>
      </c>
      <c r="F949" s="1">
        <v>41</v>
      </c>
      <c r="G949" t="s">
        <v>3</v>
      </c>
      <c r="H949" s="1">
        <v>51</v>
      </c>
      <c r="I949" t="s">
        <v>6</v>
      </c>
      <c r="J949" s="1">
        <v>59</v>
      </c>
      <c r="K949" s="1">
        <v>89</v>
      </c>
      <c r="L949" s="1">
        <v>2815</v>
      </c>
      <c r="M949" s="1">
        <v>14175</v>
      </c>
      <c r="N949" s="1">
        <v>22758</v>
      </c>
      <c r="O949" s="1">
        <v>936075</v>
      </c>
      <c r="P949" s="1">
        <v>147645</v>
      </c>
      <c r="Q949" s="1">
        <v>279638</v>
      </c>
      <c r="R949" s="1">
        <v>13752466</v>
      </c>
      <c r="S949" s="1">
        <v>8069</v>
      </c>
      <c r="T949" s="1">
        <v>8069</v>
      </c>
      <c r="U949" s="1">
        <v>41051</v>
      </c>
      <c r="V949" s="1">
        <v>0</v>
      </c>
      <c r="W949" s="1">
        <v>1</v>
      </c>
    </row>
    <row r="950">
      <c r="A950" s="1">
        <v>2021</v>
      </c>
      <c r="B950" s="1">
        <v>9</v>
      </c>
      <c r="C950" t="s">
        <v>13</v>
      </c>
      <c r="D950" s="1">
        <v>1</v>
      </c>
      <c r="E950" t="s">
        <v>241</v>
      </c>
      <c r="F950" s="1">
        <v>41</v>
      </c>
      <c r="G950" t="s">
        <v>3</v>
      </c>
      <c r="H950" s="1">
        <v>51</v>
      </c>
      <c r="I950" t="s">
        <v>6</v>
      </c>
      <c r="J950" s="1">
        <v>28</v>
      </c>
      <c r="K950" s="1">
        <v>35</v>
      </c>
      <c r="L950" s="1">
        <v>1651</v>
      </c>
      <c r="M950" s="1">
        <v>23150</v>
      </c>
      <c r="N950" s="1">
        <v>38865</v>
      </c>
      <c r="O950" s="1">
        <v>4008844</v>
      </c>
      <c r="P950" s="1">
        <v>377391</v>
      </c>
      <c r="Q950" s="1">
        <v>759392</v>
      </c>
      <c r="R950" s="1">
        <v>71867816</v>
      </c>
      <c r="S950" s="1">
        <v>9001</v>
      </c>
      <c r="T950" s="1">
        <v>9001</v>
      </c>
      <c r="U950" s="1">
        <v>41051</v>
      </c>
      <c r="V950" s="1">
        <v>0</v>
      </c>
      <c r="W950" s="1">
        <v>1</v>
      </c>
    </row>
    <row r="951">
      <c r="A951" s="1">
        <v>2021</v>
      </c>
      <c r="B951" s="1">
        <v>9</v>
      </c>
      <c r="C951" t="s">
        <v>13</v>
      </c>
      <c r="D951" s="1">
        <v>3</v>
      </c>
      <c r="E951" t="s">
        <v>182</v>
      </c>
      <c r="F951" s="1">
        <v>41</v>
      </c>
      <c r="G951" t="s">
        <v>3</v>
      </c>
      <c r="H951" s="1">
        <v>51</v>
      </c>
      <c r="I951" t="s">
        <v>6</v>
      </c>
      <c r="J951" s="1">
        <v>25</v>
      </c>
      <c r="K951" s="1">
        <v>30</v>
      </c>
      <c r="L951" s="1">
        <v>1537</v>
      </c>
      <c r="M951" s="1">
        <v>19454</v>
      </c>
      <c r="N951" s="1">
        <v>31441</v>
      </c>
      <c r="O951" s="1">
        <v>1807164</v>
      </c>
      <c r="P951" s="1">
        <v>379150</v>
      </c>
      <c r="Q951" s="1">
        <v>719405</v>
      </c>
      <c r="R951" s="1">
        <v>34715376</v>
      </c>
      <c r="S951" s="1">
        <v>9003</v>
      </c>
      <c r="T951" s="1">
        <v>9003</v>
      </c>
      <c r="U951" s="1">
        <v>41051</v>
      </c>
      <c r="V951" s="1">
        <v>0</v>
      </c>
      <c r="W951" s="1">
        <v>1</v>
      </c>
    </row>
    <row r="952">
      <c r="A952" s="1">
        <v>2021</v>
      </c>
      <c r="B952" s="1">
        <v>11</v>
      </c>
      <c r="C952" t="s">
        <v>14</v>
      </c>
      <c r="D952" s="1">
        <v>1</v>
      </c>
      <c r="E952" t="s">
        <v>14</v>
      </c>
      <c r="F952" s="1">
        <v>41</v>
      </c>
      <c r="G952" t="s">
        <v>3</v>
      </c>
      <c r="H952" s="1">
        <v>51</v>
      </c>
      <c r="I952" t="s">
        <v>6</v>
      </c>
      <c r="J952" s="1">
        <v>99</v>
      </c>
      <c r="K952" s="1">
        <v>119</v>
      </c>
      <c r="L952" s="1">
        <v>9107</v>
      </c>
      <c r="M952" s="1">
        <v>35843</v>
      </c>
      <c r="N952" s="1">
        <v>51255</v>
      </c>
      <c r="O952" s="1">
        <v>4226743</v>
      </c>
      <c r="P952" s="1">
        <v>294421</v>
      </c>
      <c r="Q952" s="1">
        <v>472725</v>
      </c>
      <c r="R952" s="1">
        <v>35853776</v>
      </c>
      <c r="S952" s="1">
        <v>11001</v>
      </c>
      <c r="T952" s="1">
        <v>11001</v>
      </c>
      <c r="U952" s="1">
        <v>41051</v>
      </c>
      <c r="V952" s="1">
        <v>0</v>
      </c>
      <c r="W952" s="1">
        <v>1</v>
      </c>
    </row>
    <row r="953">
      <c r="A953" s="1">
        <v>2021</v>
      </c>
      <c r="B953" s="1">
        <v>12</v>
      </c>
      <c r="C953" t="s">
        <v>15</v>
      </c>
      <c r="D953" s="1">
        <v>1</v>
      </c>
      <c r="E953" t="s">
        <v>350</v>
      </c>
      <c r="F953" s="1">
        <v>41</v>
      </c>
      <c r="G953" t="s">
        <v>3</v>
      </c>
      <c r="H953" s="1">
        <v>51</v>
      </c>
      <c r="I953" t="s">
        <v>6</v>
      </c>
      <c r="J953" s="1">
        <v>27</v>
      </c>
      <c r="K953" s="1">
        <v>30</v>
      </c>
      <c r="L953" s="1">
        <v>1293</v>
      </c>
      <c r="M953" s="1">
        <v>9351</v>
      </c>
      <c r="N953" s="1">
        <v>14780</v>
      </c>
      <c r="O953" s="1">
        <v>537302</v>
      </c>
      <c r="P953" s="1">
        <v>98581</v>
      </c>
      <c r="Q953" s="1">
        <v>182953</v>
      </c>
      <c r="R953" s="1">
        <v>7682728</v>
      </c>
      <c r="S953" s="1">
        <v>12001</v>
      </c>
      <c r="T953" s="1">
        <v>12001</v>
      </c>
      <c r="U953" s="1">
        <v>41051</v>
      </c>
      <c r="V953" s="1">
        <v>0</v>
      </c>
      <c r="W953" s="1">
        <v>1</v>
      </c>
    </row>
    <row r="954">
      <c r="A954" s="1">
        <v>2021</v>
      </c>
      <c r="B954" s="1">
        <v>12</v>
      </c>
      <c r="C954" t="s">
        <v>15</v>
      </c>
      <c r="D954" s="1">
        <v>11</v>
      </c>
      <c r="E954" t="s">
        <v>183</v>
      </c>
      <c r="F954" s="1">
        <v>41</v>
      </c>
      <c r="G954" t="s">
        <v>3</v>
      </c>
      <c r="H954" s="1">
        <v>51</v>
      </c>
      <c r="I954" t="s">
        <v>6</v>
      </c>
      <c r="J954" s="1">
        <v>37</v>
      </c>
      <c r="K954" s="1">
        <v>51</v>
      </c>
      <c r="L954" s="1">
        <v>4328</v>
      </c>
      <c r="M954" s="1">
        <v>56136</v>
      </c>
      <c r="N954" s="1">
        <v>96404</v>
      </c>
      <c r="O954" s="1">
        <v>4115221</v>
      </c>
      <c r="P954" s="1">
        <v>804740</v>
      </c>
      <c r="Q954" s="1">
        <v>1495282</v>
      </c>
      <c r="R954" s="1">
        <v>66252088</v>
      </c>
      <c r="S954" s="1">
        <v>12011</v>
      </c>
      <c r="T954" s="1">
        <v>12011</v>
      </c>
      <c r="U954" s="1">
        <v>41051</v>
      </c>
      <c r="V954" s="1">
        <v>0</v>
      </c>
      <c r="W954" s="1">
        <v>1</v>
      </c>
    </row>
    <row r="955">
      <c r="A955" s="1">
        <v>2021</v>
      </c>
      <c r="B955" s="1">
        <v>12</v>
      </c>
      <c r="C955" t="s">
        <v>15</v>
      </c>
      <c r="D955" s="1">
        <v>31</v>
      </c>
      <c r="E955" t="s">
        <v>184</v>
      </c>
      <c r="F955" s="1">
        <v>41</v>
      </c>
      <c r="G955" t="s">
        <v>3</v>
      </c>
      <c r="H955" s="1">
        <v>51</v>
      </c>
      <c r="I955" t="s">
        <v>6</v>
      </c>
      <c r="J955" s="1">
        <v>34</v>
      </c>
      <c r="K955" s="1">
        <v>37</v>
      </c>
      <c r="L955" s="1">
        <v>1315</v>
      </c>
      <c r="M955" s="1">
        <v>29162</v>
      </c>
      <c r="N955" s="1">
        <v>52582</v>
      </c>
      <c r="O955" s="1">
        <v>1902764</v>
      </c>
      <c r="P955" s="1">
        <v>395527</v>
      </c>
      <c r="Q955" s="1">
        <v>751021</v>
      </c>
      <c r="R955" s="1">
        <v>28807856</v>
      </c>
      <c r="S955" s="1">
        <v>12031</v>
      </c>
      <c r="T955" s="1">
        <v>12031</v>
      </c>
      <c r="U955" s="1">
        <v>41051</v>
      </c>
      <c r="V955" s="1">
        <v>0</v>
      </c>
      <c r="W955" s="1">
        <v>1</v>
      </c>
    </row>
    <row r="956">
      <c r="A956" s="1">
        <v>2021</v>
      </c>
      <c r="B956" s="1">
        <v>12</v>
      </c>
      <c r="C956" t="s">
        <v>15</v>
      </c>
      <c r="D956" s="1">
        <v>57</v>
      </c>
      <c r="E956" t="s">
        <v>86</v>
      </c>
      <c r="F956" s="1">
        <v>41</v>
      </c>
      <c r="G956" t="s">
        <v>3</v>
      </c>
      <c r="H956" s="1">
        <v>51</v>
      </c>
      <c r="I956" t="s">
        <v>6</v>
      </c>
      <c r="J956" s="1">
        <v>46</v>
      </c>
      <c r="K956" s="1">
        <v>58</v>
      </c>
      <c r="L956" s="1">
        <v>2333</v>
      </c>
      <c r="M956" s="1">
        <v>45264</v>
      </c>
      <c r="N956" s="1">
        <v>78117</v>
      </c>
      <c r="O956" s="1">
        <v>2909752</v>
      </c>
      <c r="P956" s="1">
        <v>585182</v>
      </c>
      <c r="Q956" s="1">
        <v>1135632</v>
      </c>
      <c r="R956" s="1">
        <v>47531368</v>
      </c>
      <c r="S956" s="1">
        <v>12057</v>
      </c>
      <c r="T956" s="1">
        <v>12057</v>
      </c>
      <c r="U956" s="1">
        <v>41051</v>
      </c>
      <c r="V956" s="1">
        <v>0</v>
      </c>
      <c r="W956" s="1">
        <v>1</v>
      </c>
    </row>
    <row r="957">
      <c r="A957" s="1">
        <v>2021</v>
      </c>
      <c r="B957" s="1">
        <v>12</v>
      </c>
      <c r="C957" t="s">
        <v>15</v>
      </c>
      <c r="D957" s="1">
        <v>86</v>
      </c>
      <c r="E957" t="s">
        <v>87</v>
      </c>
      <c r="F957" s="1">
        <v>41</v>
      </c>
      <c r="G957" t="s">
        <v>3</v>
      </c>
      <c r="H957" s="1">
        <v>51</v>
      </c>
      <c r="I957" t="s">
        <v>6</v>
      </c>
      <c r="J957" s="1">
        <v>51</v>
      </c>
      <c r="K957" s="1">
        <v>73</v>
      </c>
      <c r="L957" s="1">
        <v>3332</v>
      </c>
      <c r="M957" s="1">
        <v>59292</v>
      </c>
      <c r="N957" s="1">
        <v>100913</v>
      </c>
      <c r="O957" s="1">
        <v>3934249</v>
      </c>
      <c r="P957" s="1">
        <v>1135907</v>
      </c>
      <c r="Q957" s="1">
        <v>2050146</v>
      </c>
      <c r="R957" s="1">
        <v>87119856</v>
      </c>
      <c r="S957" s="1">
        <v>12086</v>
      </c>
      <c r="T957" s="1">
        <v>12086</v>
      </c>
      <c r="U957" s="1">
        <v>41051</v>
      </c>
      <c r="V957" s="1">
        <v>0</v>
      </c>
      <c r="W957" s="1">
        <v>1</v>
      </c>
    </row>
    <row r="958">
      <c r="A958" s="1">
        <v>2021</v>
      </c>
      <c r="B958" s="1">
        <v>12</v>
      </c>
      <c r="C958" t="s">
        <v>15</v>
      </c>
      <c r="D958" s="1">
        <v>95</v>
      </c>
      <c r="E958" t="s">
        <v>64</v>
      </c>
      <c r="F958" s="1">
        <v>41</v>
      </c>
      <c r="G958" t="s">
        <v>3</v>
      </c>
      <c r="H958" s="1">
        <v>51</v>
      </c>
      <c r="I958" t="s">
        <v>6</v>
      </c>
      <c r="J958" s="1">
        <v>53</v>
      </c>
      <c r="K958" s="1">
        <v>59</v>
      </c>
      <c r="L958" s="1">
        <v>2228</v>
      </c>
      <c r="M958" s="1">
        <v>55725</v>
      </c>
      <c r="N958" s="1">
        <v>97290</v>
      </c>
      <c r="O958" s="1">
        <v>3339620</v>
      </c>
      <c r="P958" s="1">
        <v>569018</v>
      </c>
      <c r="Q958" s="1">
        <v>1092314</v>
      </c>
      <c r="R958" s="1">
        <v>42344312</v>
      </c>
      <c r="S958" s="1">
        <v>12095</v>
      </c>
      <c r="T958" s="1">
        <v>12095</v>
      </c>
      <c r="U958" s="1">
        <v>41051</v>
      </c>
      <c r="V958" s="1">
        <v>0</v>
      </c>
      <c r="W958" s="1">
        <v>1</v>
      </c>
    </row>
    <row r="959">
      <c r="A959" s="1">
        <v>2021</v>
      </c>
      <c r="B959" s="1">
        <v>12</v>
      </c>
      <c r="C959" t="s">
        <v>15</v>
      </c>
      <c r="D959" s="1">
        <v>99</v>
      </c>
      <c r="E959" t="s">
        <v>88</v>
      </c>
      <c r="F959" s="1">
        <v>41</v>
      </c>
      <c r="G959" t="s">
        <v>3</v>
      </c>
      <c r="H959" s="1">
        <v>51</v>
      </c>
      <c r="I959" t="s">
        <v>6</v>
      </c>
      <c r="J959" s="1">
        <v>32</v>
      </c>
      <c r="K959" s="1">
        <v>41</v>
      </c>
      <c r="L959" s="1">
        <v>1355</v>
      </c>
      <c r="M959" s="1">
        <v>38649</v>
      </c>
      <c r="N959" s="1">
        <v>63525</v>
      </c>
      <c r="O959" s="1">
        <v>3725589</v>
      </c>
      <c r="P959" s="1">
        <v>615950</v>
      </c>
      <c r="Q959" s="1">
        <v>1138817</v>
      </c>
      <c r="R959" s="1">
        <v>86638712</v>
      </c>
      <c r="S959" s="1">
        <v>12099</v>
      </c>
      <c r="T959" s="1">
        <v>12099</v>
      </c>
      <c r="U959" s="1">
        <v>41051</v>
      </c>
      <c r="V959" s="1">
        <v>0</v>
      </c>
      <c r="W959" s="1">
        <v>1</v>
      </c>
    </row>
    <row r="960">
      <c r="A960" s="1">
        <v>2021</v>
      </c>
      <c r="B960" s="1">
        <v>12</v>
      </c>
      <c r="C960" t="s">
        <v>15</v>
      </c>
      <c r="D960" s="1">
        <v>103</v>
      </c>
      <c r="E960" t="s">
        <v>89</v>
      </c>
      <c r="F960" s="1">
        <v>41</v>
      </c>
      <c r="G960" t="s">
        <v>3</v>
      </c>
      <c r="H960" s="1">
        <v>51</v>
      </c>
      <c r="I960" t="s">
        <v>6</v>
      </c>
      <c r="J960" s="1">
        <v>45</v>
      </c>
      <c r="K960" s="1">
        <v>62</v>
      </c>
      <c r="L960" s="1">
        <v>3113</v>
      </c>
      <c r="M960" s="1">
        <v>29578</v>
      </c>
      <c r="N960" s="1">
        <v>47638</v>
      </c>
      <c r="O960" s="1">
        <v>1995477</v>
      </c>
      <c r="P960" s="1">
        <v>415170</v>
      </c>
      <c r="Q960" s="1">
        <v>720217</v>
      </c>
      <c r="R960" s="1">
        <v>36037512</v>
      </c>
      <c r="S960" s="1">
        <v>12103</v>
      </c>
      <c r="T960" s="1">
        <v>12103</v>
      </c>
      <c r="U960" s="1">
        <v>41051</v>
      </c>
      <c r="V960" s="1">
        <v>0</v>
      </c>
      <c r="W960" s="1">
        <v>1</v>
      </c>
    </row>
    <row r="961">
      <c r="A961" s="1">
        <v>2021</v>
      </c>
      <c r="B961" s="1">
        <v>13</v>
      </c>
      <c r="C961" t="s">
        <v>16</v>
      </c>
      <c r="D961" s="1">
        <v>89</v>
      </c>
      <c r="E961" t="s">
        <v>90</v>
      </c>
      <c r="F961" s="1">
        <v>41</v>
      </c>
      <c r="G961" t="s">
        <v>3</v>
      </c>
      <c r="H961" s="1">
        <v>51</v>
      </c>
      <c r="I961" t="s">
        <v>6</v>
      </c>
      <c r="J961" s="1">
        <v>45</v>
      </c>
      <c r="K961" s="1">
        <v>82</v>
      </c>
      <c r="L961" s="1">
        <v>3212</v>
      </c>
      <c r="M961" s="1">
        <v>35397</v>
      </c>
      <c r="N961" s="1">
        <v>62451</v>
      </c>
      <c r="O961" s="1">
        <v>2351549</v>
      </c>
      <c r="P961" s="1">
        <v>287515</v>
      </c>
      <c r="Q961" s="1">
        <v>543766</v>
      </c>
      <c r="R961" s="1">
        <v>24223592</v>
      </c>
      <c r="S961" s="1">
        <v>13089</v>
      </c>
      <c r="T961" s="1">
        <v>13089</v>
      </c>
      <c r="U961" s="1">
        <v>41051</v>
      </c>
      <c r="V961" s="1">
        <v>0</v>
      </c>
      <c r="W961" s="1">
        <v>1</v>
      </c>
    </row>
    <row r="962">
      <c r="A962" s="1">
        <v>2021</v>
      </c>
      <c r="B962" s="1">
        <v>13</v>
      </c>
      <c r="C962" t="s">
        <v>16</v>
      </c>
      <c r="D962" s="1">
        <v>121</v>
      </c>
      <c r="E962" t="s">
        <v>91</v>
      </c>
      <c r="F962" s="1">
        <v>41</v>
      </c>
      <c r="G962" t="s">
        <v>3</v>
      </c>
      <c r="H962" s="1">
        <v>51</v>
      </c>
      <c r="I962" t="s">
        <v>6</v>
      </c>
      <c r="J962" s="1">
        <v>52</v>
      </c>
      <c r="K962" s="1">
        <v>67</v>
      </c>
      <c r="L962" s="1">
        <v>5449</v>
      </c>
      <c r="M962" s="1">
        <v>52892</v>
      </c>
      <c r="N962" s="1">
        <v>87692</v>
      </c>
      <c r="O962" s="1">
        <v>4928354</v>
      </c>
      <c r="P962" s="1">
        <v>432704</v>
      </c>
      <c r="Q962" s="1">
        <v>786374</v>
      </c>
      <c r="R962" s="1">
        <v>54781456</v>
      </c>
      <c r="S962" s="1">
        <v>13121</v>
      </c>
      <c r="T962" s="1">
        <v>13121</v>
      </c>
      <c r="U962" s="1">
        <v>41051</v>
      </c>
      <c r="V962" s="1">
        <v>0</v>
      </c>
      <c r="W962" s="1">
        <v>1</v>
      </c>
    </row>
    <row r="963">
      <c r="A963" s="1">
        <v>2021</v>
      </c>
      <c r="B963" s="1">
        <v>15</v>
      </c>
      <c r="C963" t="s">
        <v>17</v>
      </c>
      <c r="D963" s="1">
        <v>1</v>
      </c>
      <c r="E963" t="s">
        <v>92</v>
      </c>
      <c r="F963" s="1">
        <v>41</v>
      </c>
      <c r="G963" t="s">
        <v>3</v>
      </c>
      <c r="H963" s="1">
        <v>51</v>
      </c>
      <c r="I963" t="s">
        <v>6</v>
      </c>
      <c r="J963" s="1">
        <v>27</v>
      </c>
      <c r="K963" s="1">
        <v>38</v>
      </c>
      <c r="L963" s="1">
        <v>1822</v>
      </c>
      <c r="M963" s="1">
        <v>3491</v>
      </c>
      <c r="N963" s="1">
        <v>6035</v>
      </c>
      <c r="O963" s="1">
        <v>206576</v>
      </c>
      <c r="P963" s="1">
        <v>77750</v>
      </c>
      <c r="Q963" s="1">
        <v>149794</v>
      </c>
      <c r="R963" s="1">
        <v>4770277</v>
      </c>
      <c r="S963" s="1">
        <v>15001</v>
      </c>
      <c r="T963" s="1">
        <v>15001</v>
      </c>
      <c r="U963" s="1">
        <v>41051</v>
      </c>
      <c r="V963" s="1">
        <v>0</v>
      </c>
      <c r="W963" s="1">
        <v>1</v>
      </c>
    </row>
    <row r="964">
      <c r="A964" s="1">
        <v>2021</v>
      </c>
      <c r="B964" s="1">
        <v>15</v>
      </c>
      <c r="C964" t="s">
        <v>17</v>
      </c>
      <c r="D964" s="1">
        <v>3</v>
      </c>
      <c r="E964" t="s">
        <v>93</v>
      </c>
      <c r="F964" s="1">
        <v>41</v>
      </c>
      <c r="G964" t="s">
        <v>3</v>
      </c>
      <c r="H964" s="1">
        <v>51</v>
      </c>
      <c r="I964" t="s">
        <v>6</v>
      </c>
      <c r="J964" s="1">
        <v>142</v>
      </c>
      <c r="K964" s="1">
        <v>228</v>
      </c>
      <c r="L964" s="1">
        <v>6895</v>
      </c>
      <c r="M964" s="1">
        <v>23315</v>
      </c>
      <c r="N964" s="1">
        <v>48541</v>
      </c>
      <c r="O964" s="1">
        <v>1665547</v>
      </c>
      <c r="P964" s="1">
        <v>409188</v>
      </c>
      <c r="Q964" s="1">
        <v>785490</v>
      </c>
      <c r="R964" s="1">
        <v>32158036</v>
      </c>
      <c r="S964" s="1">
        <v>15003</v>
      </c>
      <c r="T964" s="1">
        <v>15003</v>
      </c>
      <c r="U964" s="1">
        <v>41051</v>
      </c>
      <c r="V964" s="1">
        <v>0</v>
      </c>
      <c r="W964" s="1">
        <v>1</v>
      </c>
    </row>
    <row r="965">
      <c r="A965" s="1">
        <v>2021</v>
      </c>
      <c r="B965" s="1">
        <v>15</v>
      </c>
      <c r="C965" t="s">
        <v>17</v>
      </c>
      <c r="D965" s="1">
        <v>9</v>
      </c>
      <c r="E965" t="s">
        <v>94</v>
      </c>
      <c r="F965" s="1">
        <v>41</v>
      </c>
      <c r="G965" t="s">
        <v>3</v>
      </c>
      <c r="H965" s="1">
        <v>51</v>
      </c>
      <c r="I965" t="s">
        <v>6</v>
      </c>
      <c r="J965" s="1">
        <v>34</v>
      </c>
      <c r="K965" s="1">
        <v>52</v>
      </c>
      <c r="L965" s="1">
        <v>2144</v>
      </c>
      <c r="M965" s="1">
        <v>3502</v>
      </c>
      <c r="N965" s="1">
        <v>5754</v>
      </c>
      <c r="O965" s="1">
        <v>228270</v>
      </c>
      <c r="P965" s="1">
        <v>70452</v>
      </c>
      <c r="Q965" s="1">
        <v>132063</v>
      </c>
      <c r="R965" s="1">
        <v>4782527</v>
      </c>
      <c r="S965" s="1">
        <v>15009</v>
      </c>
      <c r="T965" s="1">
        <v>15009</v>
      </c>
      <c r="U965" s="1">
        <v>41051</v>
      </c>
      <c r="V965" s="1">
        <v>0</v>
      </c>
      <c r="W965" s="1">
        <v>1</v>
      </c>
    </row>
    <row r="966">
      <c r="A966" s="1">
        <v>2021</v>
      </c>
      <c r="B966" s="1">
        <v>16</v>
      </c>
      <c r="C966" t="s">
        <v>18</v>
      </c>
      <c r="D966" s="1">
        <v>1</v>
      </c>
      <c r="E966" t="s">
        <v>95</v>
      </c>
      <c r="F966" s="1">
        <v>41</v>
      </c>
      <c r="G966" t="s">
        <v>3</v>
      </c>
      <c r="H966" s="1">
        <v>51</v>
      </c>
      <c r="I966" t="s">
        <v>6</v>
      </c>
      <c r="J966" s="1">
        <v>123</v>
      </c>
      <c r="K966" s="1">
        <v>151</v>
      </c>
      <c r="L966" s="1">
        <v>5348</v>
      </c>
      <c r="M966" s="1">
        <v>14188</v>
      </c>
      <c r="N966" s="1">
        <v>26614</v>
      </c>
      <c r="O966" s="1">
        <v>959265</v>
      </c>
      <c r="P966" s="1">
        <v>195979</v>
      </c>
      <c r="Q966" s="1">
        <v>403490</v>
      </c>
      <c r="R966" s="1">
        <v>19901030</v>
      </c>
      <c r="S966" s="1">
        <v>16001</v>
      </c>
      <c r="T966" s="1">
        <v>16001</v>
      </c>
      <c r="U966" s="1">
        <v>41051</v>
      </c>
      <c r="V966" s="1">
        <v>0</v>
      </c>
      <c r="W966" s="1">
        <v>1</v>
      </c>
    </row>
    <row r="967">
      <c r="A967" s="1">
        <v>2021</v>
      </c>
      <c r="B967" s="1">
        <v>16</v>
      </c>
      <c r="C967" t="s">
        <v>18</v>
      </c>
      <c r="D967" s="1">
        <v>27</v>
      </c>
      <c r="E967" t="s">
        <v>96</v>
      </c>
      <c r="F967" s="1">
        <v>41</v>
      </c>
      <c r="G967" t="s">
        <v>3</v>
      </c>
      <c r="H967" s="1">
        <v>51</v>
      </c>
      <c r="I967" t="s">
        <v>6</v>
      </c>
      <c r="J967" s="1">
        <v>27</v>
      </c>
      <c r="K967" s="1">
        <v>37</v>
      </c>
      <c r="L967" s="1">
        <v>659</v>
      </c>
      <c r="M967" s="1">
        <v>6597</v>
      </c>
      <c r="N967" s="1">
        <v>12932</v>
      </c>
      <c r="O967" s="1">
        <v>329448</v>
      </c>
      <c r="P967" s="1">
        <v>83588</v>
      </c>
      <c r="Q967" s="1">
        <v>187878</v>
      </c>
      <c r="R967" s="1">
        <v>5165300</v>
      </c>
      <c r="S967" s="1">
        <v>16027</v>
      </c>
      <c r="T967" s="1">
        <v>16027</v>
      </c>
      <c r="U967" s="1">
        <v>41051</v>
      </c>
      <c r="V967" s="1">
        <v>0</v>
      </c>
      <c r="W967" s="1">
        <v>1</v>
      </c>
    </row>
    <row r="968">
      <c r="A968" s="1">
        <v>2021</v>
      </c>
      <c r="B968" s="1">
        <v>16</v>
      </c>
      <c r="C968" t="s">
        <v>18</v>
      </c>
      <c r="D968" s="1">
        <v>55</v>
      </c>
      <c r="E968" t="s">
        <v>97</v>
      </c>
      <c r="F968" s="1">
        <v>41</v>
      </c>
      <c r="G968" t="s">
        <v>3</v>
      </c>
      <c r="H968" s="1">
        <v>51</v>
      </c>
      <c r="I968" t="s">
        <v>6</v>
      </c>
      <c r="J968" s="1">
        <v>20</v>
      </c>
      <c r="K968" s="1">
        <v>35</v>
      </c>
      <c r="L968" s="1">
        <v>931</v>
      </c>
      <c r="M968" s="1">
        <v>4809</v>
      </c>
      <c r="N968" s="1">
        <v>9141</v>
      </c>
      <c r="O968" s="1">
        <v>265379</v>
      </c>
      <c r="P968" s="1">
        <v>68959</v>
      </c>
      <c r="Q968" s="1">
        <v>142437</v>
      </c>
      <c r="R968" s="1">
        <v>5332579</v>
      </c>
      <c r="S968" s="1">
        <v>16055</v>
      </c>
      <c r="T968" s="1">
        <v>16055</v>
      </c>
      <c r="U968" s="1">
        <v>41051</v>
      </c>
      <c r="V968" s="1">
        <v>0</v>
      </c>
      <c r="W968" s="1">
        <v>1</v>
      </c>
    </row>
    <row r="969">
      <c r="A969" s="1">
        <v>2021</v>
      </c>
      <c r="B969" s="1">
        <v>17</v>
      </c>
      <c r="C969" t="s">
        <v>19</v>
      </c>
      <c r="D969" s="1">
        <v>31</v>
      </c>
      <c r="E969" t="s">
        <v>98</v>
      </c>
      <c r="F969" s="1">
        <v>41</v>
      </c>
      <c r="G969" t="s">
        <v>3</v>
      </c>
      <c r="H969" s="1">
        <v>51</v>
      </c>
      <c r="I969" t="s">
        <v>6</v>
      </c>
      <c r="J969" s="1">
        <v>326</v>
      </c>
      <c r="K969" s="1">
        <v>415</v>
      </c>
      <c r="L969" s="1">
        <v>26548</v>
      </c>
      <c r="M969" s="1">
        <v>113733</v>
      </c>
      <c r="N969" s="1">
        <v>193426</v>
      </c>
      <c r="O969" s="1">
        <v>13588670</v>
      </c>
      <c r="P969" s="1">
        <v>2085894</v>
      </c>
      <c r="Q969" s="1">
        <v>3959796</v>
      </c>
      <c r="R969" s="1">
        <v>200828000</v>
      </c>
      <c r="S969" s="1">
        <v>17031</v>
      </c>
      <c r="T969" s="1">
        <v>17031</v>
      </c>
      <c r="U969" s="1">
        <v>41051</v>
      </c>
      <c r="V969" s="1">
        <v>0</v>
      </c>
      <c r="W969" s="1">
        <v>1</v>
      </c>
    </row>
    <row r="970">
      <c r="A970" s="1">
        <v>2021</v>
      </c>
      <c r="B970" s="1">
        <v>17</v>
      </c>
      <c r="C970" t="s">
        <v>19</v>
      </c>
      <c r="D970" s="1">
        <v>43</v>
      </c>
      <c r="E970" t="s">
        <v>187</v>
      </c>
      <c r="F970" s="1">
        <v>41</v>
      </c>
      <c r="G970" t="s">
        <v>3</v>
      </c>
      <c r="H970" s="1">
        <v>51</v>
      </c>
      <c r="I970" t="s">
        <v>6</v>
      </c>
      <c r="J970" s="1">
        <v>22</v>
      </c>
      <c r="K970" s="1">
        <v>32</v>
      </c>
      <c r="L970" s="1">
        <v>1562</v>
      </c>
      <c r="M970" s="1">
        <v>30572</v>
      </c>
      <c r="N970" s="1">
        <v>54346</v>
      </c>
      <c r="O970" s="1">
        <v>3134312</v>
      </c>
      <c r="P970" s="1">
        <v>380539</v>
      </c>
      <c r="Q970" s="1">
        <v>793488</v>
      </c>
      <c r="R970" s="1">
        <v>46738360</v>
      </c>
      <c r="S970" s="1">
        <v>17043</v>
      </c>
      <c r="T970" s="1">
        <v>17043</v>
      </c>
      <c r="U970" s="1">
        <v>41051</v>
      </c>
      <c r="V970" s="1">
        <v>0</v>
      </c>
      <c r="W970" s="1">
        <v>1</v>
      </c>
    </row>
    <row r="971">
      <c r="A971" s="1">
        <v>2021</v>
      </c>
      <c r="B971" s="1">
        <v>17</v>
      </c>
      <c r="C971" t="s">
        <v>19</v>
      </c>
      <c r="D971" s="1">
        <v>97</v>
      </c>
      <c r="E971" t="s">
        <v>232</v>
      </c>
      <c r="F971" s="1">
        <v>41</v>
      </c>
      <c r="G971" t="s">
        <v>3</v>
      </c>
      <c r="H971" s="1">
        <v>51</v>
      </c>
      <c r="I971" t="s">
        <v>6</v>
      </c>
      <c r="J971" s="1">
        <v>20</v>
      </c>
      <c r="K971" s="1">
        <v>23</v>
      </c>
      <c r="L971" s="1">
        <v>887</v>
      </c>
      <c r="M971" s="1">
        <v>18596</v>
      </c>
      <c r="N971" s="1">
        <v>33515</v>
      </c>
      <c r="O971" s="1">
        <v>3046413</v>
      </c>
      <c r="P971" s="1">
        <v>277882</v>
      </c>
      <c r="Q971" s="1">
        <v>593672</v>
      </c>
      <c r="R971" s="1">
        <v>37977384</v>
      </c>
      <c r="S971" s="1">
        <v>17097</v>
      </c>
      <c r="T971" s="1">
        <v>17097</v>
      </c>
      <c r="U971" s="1">
        <v>41051</v>
      </c>
      <c r="V971" s="1">
        <v>0</v>
      </c>
      <c r="W971" s="1">
        <v>1</v>
      </c>
    </row>
    <row r="972">
      <c r="A972" s="1">
        <v>2021</v>
      </c>
      <c r="B972" s="1">
        <v>18</v>
      </c>
      <c r="C972" t="s">
        <v>20</v>
      </c>
      <c r="D972" s="1">
        <v>97</v>
      </c>
      <c r="E972" t="s">
        <v>99</v>
      </c>
      <c r="F972" s="1">
        <v>41</v>
      </c>
      <c r="G972" t="s">
        <v>3</v>
      </c>
      <c r="H972" s="1">
        <v>51</v>
      </c>
      <c r="I972" t="s">
        <v>6</v>
      </c>
      <c r="J972" s="1">
        <v>42</v>
      </c>
      <c r="K972" s="1">
        <v>53</v>
      </c>
      <c r="L972" s="1">
        <v>2783</v>
      </c>
      <c r="M972" s="1">
        <v>30045</v>
      </c>
      <c r="N972" s="1">
        <v>52511</v>
      </c>
      <c r="O972" s="1">
        <v>1947473</v>
      </c>
      <c r="P972" s="1">
        <v>384841</v>
      </c>
      <c r="Q972" s="1">
        <v>735476</v>
      </c>
      <c r="R972" s="1">
        <v>24812298</v>
      </c>
      <c r="S972" s="1">
        <v>18097</v>
      </c>
      <c r="T972" s="1">
        <v>18097</v>
      </c>
      <c r="U972" s="1">
        <v>41051</v>
      </c>
      <c r="V972" s="1">
        <v>0</v>
      </c>
      <c r="W972" s="1">
        <v>1</v>
      </c>
    </row>
    <row r="973">
      <c r="A973" s="1">
        <v>2021</v>
      </c>
      <c r="B973" s="1">
        <v>19</v>
      </c>
      <c r="C973" t="s">
        <v>21</v>
      </c>
      <c r="D973" s="1">
        <v>103</v>
      </c>
      <c r="E973" t="s">
        <v>188</v>
      </c>
      <c r="F973" s="1">
        <v>41</v>
      </c>
      <c r="G973" t="s">
        <v>3</v>
      </c>
      <c r="H973" s="1">
        <v>51</v>
      </c>
      <c r="I973" t="s">
        <v>6</v>
      </c>
      <c r="J973" s="1">
        <v>26</v>
      </c>
      <c r="K973" s="1">
        <v>27</v>
      </c>
      <c r="L973" s="1">
        <v>1029</v>
      </c>
      <c r="M973" s="1">
        <v>5206</v>
      </c>
      <c r="N973" s="1">
        <v>8225</v>
      </c>
      <c r="O973" s="1">
        <v>309541</v>
      </c>
      <c r="P973" s="1">
        <v>57217</v>
      </c>
      <c r="Q973" s="1">
        <v>112275</v>
      </c>
      <c r="R973" s="1">
        <v>5257448</v>
      </c>
      <c r="S973" s="1">
        <v>19103</v>
      </c>
      <c r="T973" s="1">
        <v>19103</v>
      </c>
      <c r="U973" s="1">
        <v>41051</v>
      </c>
      <c r="V973" s="1">
        <v>0</v>
      </c>
      <c r="W973" s="1">
        <v>1</v>
      </c>
    </row>
    <row r="974">
      <c r="A974" s="1">
        <v>2021</v>
      </c>
      <c r="B974" s="1">
        <v>19</v>
      </c>
      <c r="C974" t="s">
        <v>21</v>
      </c>
      <c r="D974" s="1">
        <v>153</v>
      </c>
      <c r="E974" t="s">
        <v>100</v>
      </c>
      <c r="F974" s="1">
        <v>41</v>
      </c>
      <c r="G974" t="s">
        <v>3</v>
      </c>
      <c r="H974" s="1">
        <v>51</v>
      </c>
      <c r="I974" t="s">
        <v>6</v>
      </c>
      <c r="J974" s="1">
        <v>35</v>
      </c>
      <c r="K974" s="1">
        <v>42</v>
      </c>
      <c r="L974" s="1">
        <v>1517</v>
      </c>
      <c r="M974" s="1">
        <v>13704</v>
      </c>
      <c r="N974" s="1">
        <v>23147</v>
      </c>
      <c r="O974" s="1">
        <v>859695</v>
      </c>
      <c r="P974" s="1">
        <v>201110</v>
      </c>
      <c r="Q974" s="1">
        <v>407107</v>
      </c>
      <c r="R974" s="1">
        <v>17424684</v>
      </c>
      <c r="S974" s="1">
        <v>19153</v>
      </c>
      <c r="T974" s="1">
        <v>19153</v>
      </c>
      <c r="U974" s="1">
        <v>41051</v>
      </c>
      <c r="V974" s="1">
        <v>0</v>
      </c>
      <c r="W974" s="1">
        <v>1</v>
      </c>
    </row>
    <row r="975">
      <c r="A975" s="1">
        <v>2021</v>
      </c>
      <c r="B975" s="1">
        <v>20</v>
      </c>
      <c r="C975" t="s">
        <v>42</v>
      </c>
      <c r="D975" s="1">
        <v>91</v>
      </c>
      <c r="E975" t="s">
        <v>188</v>
      </c>
      <c r="F975" s="1">
        <v>41</v>
      </c>
      <c r="G975" t="s">
        <v>3</v>
      </c>
      <c r="H975" s="1">
        <v>51</v>
      </c>
      <c r="I975" t="s">
        <v>6</v>
      </c>
      <c r="J975" s="1">
        <v>23</v>
      </c>
      <c r="K975" s="1">
        <v>29</v>
      </c>
      <c r="L975" s="1">
        <v>1486</v>
      </c>
      <c r="M975" s="1">
        <v>16576</v>
      </c>
      <c r="N975" s="1">
        <v>28463</v>
      </c>
      <c r="O975" s="1">
        <v>1495241</v>
      </c>
      <c r="P975" s="1">
        <v>244462</v>
      </c>
      <c r="Q975" s="1">
        <v>517083</v>
      </c>
      <c r="R975" s="1">
        <v>31313388</v>
      </c>
      <c r="S975" s="1">
        <v>20091</v>
      </c>
      <c r="T975" s="1">
        <v>20091</v>
      </c>
      <c r="U975" s="1">
        <v>41051</v>
      </c>
      <c r="V975" s="1">
        <v>0</v>
      </c>
      <c r="W975" s="1">
        <v>1</v>
      </c>
    </row>
    <row r="976">
      <c r="A976" s="1">
        <v>2021</v>
      </c>
      <c r="B976" s="1">
        <v>22</v>
      </c>
      <c r="C976" t="s">
        <v>22</v>
      </c>
      <c r="D976" s="1">
        <v>33</v>
      </c>
      <c r="E976" t="s">
        <v>364</v>
      </c>
      <c r="F976" s="1">
        <v>41</v>
      </c>
      <c r="G976" t="s">
        <v>3</v>
      </c>
      <c r="H976" s="1">
        <v>51</v>
      </c>
      <c r="I976" t="s">
        <v>6</v>
      </c>
      <c r="J976" s="1">
        <v>20</v>
      </c>
      <c r="K976" s="1">
        <v>28</v>
      </c>
      <c r="L976" s="1">
        <v>1190</v>
      </c>
      <c r="M976" s="1">
        <v>11452</v>
      </c>
      <c r="N976" s="1">
        <v>20304</v>
      </c>
      <c r="O976" s="1">
        <v>663058</v>
      </c>
      <c r="P976" s="1">
        <v>158118</v>
      </c>
      <c r="Q976" s="1">
        <v>310826</v>
      </c>
      <c r="R976" s="1">
        <v>11941430</v>
      </c>
      <c r="S976" s="1">
        <v>22033</v>
      </c>
      <c r="T976" s="1">
        <v>22033</v>
      </c>
      <c r="U976" s="1">
        <v>41051</v>
      </c>
      <c r="V976" s="1">
        <v>0</v>
      </c>
      <c r="W976" s="1">
        <v>1</v>
      </c>
    </row>
    <row r="977">
      <c r="A977" s="1">
        <v>2021</v>
      </c>
      <c r="B977" s="1">
        <v>22</v>
      </c>
      <c r="C977" t="s">
        <v>22</v>
      </c>
      <c r="D977" s="1">
        <v>71</v>
      </c>
      <c r="E977" t="s">
        <v>101</v>
      </c>
      <c r="F977" s="1">
        <v>41</v>
      </c>
      <c r="G977" t="s">
        <v>3</v>
      </c>
      <c r="H977" s="1">
        <v>51</v>
      </c>
      <c r="I977" t="s">
        <v>6</v>
      </c>
      <c r="J977" s="1">
        <v>54</v>
      </c>
      <c r="K977" s="1">
        <v>68</v>
      </c>
      <c r="L977" s="1">
        <v>2237</v>
      </c>
      <c r="M977" s="1">
        <v>13297</v>
      </c>
      <c r="N977" s="1">
        <v>22498</v>
      </c>
      <c r="O977" s="1">
        <v>830464</v>
      </c>
      <c r="P977" s="1">
        <v>131736</v>
      </c>
      <c r="Q977" s="1">
        <v>236423</v>
      </c>
      <c r="R977" s="1">
        <v>9176230</v>
      </c>
      <c r="S977" s="1">
        <v>22071</v>
      </c>
      <c r="T977" s="1">
        <v>22071</v>
      </c>
      <c r="U977" s="1">
        <v>41051</v>
      </c>
      <c r="V977" s="1">
        <v>0</v>
      </c>
      <c r="W977" s="1">
        <v>1</v>
      </c>
    </row>
    <row r="978">
      <c r="A978" s="1">
        <v>2021</v>
      </c>
      <c r="B978" s="1">
        <v>23</v>
      </c>
      <c r="C978" t="s">
        <v>23</v>
      </c>
      <c r="D978" s="1">
        <v>5</v>
      </c>
      <c r="E978" t="s">
        <v>102</v>
      </c>
      <c r="F978" s="1">
        <v>41</v>
      </c>
      <c r="G978" t="s">
        <v>3</v>
      </c>
      <c r="H978" s="1">
        <v>51</v>
      </c>
      <c r="I978" t="s">
        <v>6</v>
      </c>
      <c r="J978" s="1">
        <v>26</v>
      </c>
      <c r="K978" s="1">
        <v>31</v>
      </c>
      <c r="L978" s="1">
        <v>1581</v>
      </c>
      <c r="M978" s="1">
        <v>8928</v>
      </c>
      <c r="N978" s="1">
        <v>13720</v>
      </c>
      <c r="O978" s="1">
        <v>727232</v>
      </c>
      <c r="P978" s="1">
        <v>132264</v>
      </c>
      <c r="Q978" s="1">
        <v>243716</v>
      </c>
      <c r="R978" s="1">
        <v>13192194</v>
      </c>
      <c r="S978" s="1">
        <v>23005</v>
      </c>
      <c r="T978" s="1">
        <v>23005</v>
      </c>
      <c r="U978" s="1">
        <v>41051</v>
      </c>
      <c r="V978" s="1">
        <v>0</v>
      </c>
      <c r="W978" s="1">
        <v>1</v>
      </c>
    </row>
    <row r="979">
      <c r="A979" s="1">
        <v>2021</v>
      </c>
      <c r="B979" s="1">
        <v>24</v>
      </c>
      <c r="C979" t="s">
        <v>24</v>
      </c>
      <c r="D979" s="1">
        <v>31</v>
      </c>
      <c r="E979" t="s">
        <v>103</v>
      </c>
      <c r="F979" s="1">
        <v>41</v>
      </c>
      <c r="G979" t="s">
        <v>3</v>
      </c>
      <c r="H979" s="1">
        <v>51</v>
      </c>
      <c r="I979" t="s">
        <v>6</v>
      </c>
      <c r="J979" s="1">
        <v>34</v>
      </c>
      <c r="K979" s="1">
        <v>50</v>
      </c>
      <c r="L979" s="1">
        <v>4270</v>
      </c>
      <c r="M979" s="1">
        <v>32832</v>
      </c>
      <c r="N979" s="1">
        <v>55399</v>
      </c>
      <c r="O979" s="1">
        <v>3338519</v>
      </c>
      <c r="P979" s="1">
        <v>427823</v>
      </c>
      <c r="Q979" s="1">
        <v>857692</v>
      </c>
      <c r="R979" s="1">
        <v>58226840</v>
      </c>
      <c r="S979" s="1">
        <v>24031</v>
      </c>
      <c r="T979" s="1">
        <v>24031</v>
      </c>
      <c r="U979" s="1">
        <v>41051</v>
      </c>
      <c r="V979" s="1">
        <v>0</v>
      </c>
      <c r="W979" s="1">
        <v>1</v>
      </c>
    </row>
    <row r="980">
      <c r="A980" s="1">
        <v>2021</v>
      </c>
      <c r="B980" s="1">
        <v>24</v>
      </c>
      <c r="C980" t="s">
        <v>24</v>
      </c>
      <c r="D980" s="1">
        <v>510</v>
      </c>
      <c r="E980" t="s">
        <v>190</v>
      </c>
      <c r="F980" s="1">
        <v>41</v>
      </c>
      <c r="G980" t="s">
        <v>3</v>
      </c>
      <c r="H980" s="1">
        <v>51</v>
      </c>
      <c r="I980" t="s">
        <v>6</v>
      </c>
      <c r="J980" s="1">
        <v>36</v>
      </c>
      <c r="K980" s="1">
        <v>45</v>
      </c>
      <c r="L980" s="1">
        <v>2732</v>
      </c>
      <c r="M980" s="1">
        <v>22450</v>
      </c>
      <c r="N980" s="1">
        <v>36636</v>
      </c>
      <c r="O980" s="1">
        <v>1633590</v>
      </c>
      <c r="P980" s="1">
        <v>209421</v>
      </c>
      <c r="Q980" s="1">
        <v>367016</v>
      </c>
      <c r="R980" s="1">
        <v>13553577</v>
      </c>
      <c r="S980" s="1">
        <v>24510</v>
      </c>
      <c r="T980" s="1">
        <v>24510</v>
      </c>
      <c r="U980" s="1">
        <v>41051</v>
      </c>
      <c r="V980" s="1">
        <v>0</v>
      </c>
      <c r="W980" s="1">
        <v>1</v>
      </c>
    </row>
    <row r="981">
      <c r="A981" s="1">
        <v>2021</v>
      </c>
      <c r="B981" s="1">
        <v>25</v>
      </c>
      <c r="C981" t="s">
        <v>25</v>
      </c>
      <c r="D981" s="1">
        <v>17</v>
      </c>
      <c r="E981" t="s">
        <v>104</v>
      </c>
      <c r="F981" s="1">
        <v>41</v>
      </c>
      <c r="G981" t="s">
        <v>3</v>
      </c>
      <c r="H981" s="1">
        <v>51</v>
      </c>
      <c r="I981" t="s">
        <v>6</v>
      </c>
      <c r="J981" s="1">
        <v>89</v>
      </c>
      <c r="K981" s="1">
        <v>119</v>
      </c>
      <c r="L981" s="1">
        <v>11201</v>
      </c>
      <c r="M981" s="1">
        <v>54823</v>
      </c>
      <c r="N981" s="1">
        <v>84099</v>
      </c>
      <c r="O981" s="1">
        <v>6769123</v>
      </c>
      <c r="P981" s="1">
        <v>666117</v>
      </c>
      <c r="Q981" s="1">
        <v>1274571</v>
      </c>
      <c r="R981" s="1">
        <v>101082688</v>
      </c>
      <c r="S981" s="1">
        <v>25017</v>
      </c>
      <c r="T981" s="1">
        <v>25017</v>
      </c>
      <c r="U981" s="1">
        <v>41051</v>
      </c>
      <c r="V981" s="1">
        <v>0</v>
      </c>
      <c r="W981" s="1">
        <v>1</v>
      </c>
    </row>
    <row r="982">
      <c r="A982" s="1">
        <v>2021</v>
      </c>
      <c r="B982" s="1">
        <v>25</v>
      </c>
      <c r="C982" t="s">
        <v>25</v>
      </c>
      <c r="D982" s="1">
        <v>21</v>
      </c>
      <c r="E982" t="s">
        <v>192</v>
      </c>
      <c r="F982" s="1">
        <v>41</v>
      </c>
      <c r="G982" t="s">
        <v>3</v>
      </c>
      <c r="H982" s="1">
        <v>51</v>
      </c>
      <c r="I982" t="s">
        <v>6</v>
      </c>
      <c r="J982" s="1">
        <v>31</v>
      </c>
      <c r="K982" s="1">
        <v>44</v>
      </c>
      <c r="L982" s="1">
        <v>2753</v>
      </c>
      <c r="M982" s="1">
        <v>25239</v>
      </c>
      <c r="N982" s="1">
        <v>39784</v>
      </c>
      <c r="O982" s="1">
        <v>3235241</v>
      </c>
      <c r="P982" s="1">
        <v>294539</v>
      </c>
      <c r="Q982" s="1">
        <v>583754</v>
      </c>
      <c r="R982" s="1">
        <v>49003056</v>
      </c>
      <c r="S982" s="1">
        <v>25021</v>
      </c>
      <c r="T982" s="1">
        <v>25021</v>
      </c>
      <c r="U982" s="1">
        <v>41051</v>
      </c>
      <c r="V982" s="1">
        <v>0</v>
      </c>
      <c r="W982" s="1">
        <v>1</v>
      </c>
    </row>
    <row r="983">
      <c r="A983" s="1">
        <v>2021</v>
      </c>
      <c r="B983" s="1">
        <v>25</v>
      </c>
      <c r="C983" t="s">
        <v>25</v>
      </c>
      <c r="D983" s="1">
        <v>25</v>
      </c>
      <c r="E983" t="s">
        <v>105</v>
      </c>
      <c r="F983" s="1">
        <v>41</v>
      </c>
      <c r="G983" t="s">
        <v>3</v>
      </c>
      <c r="H983" s="1">
        <v>51</v>
      </c>
      <c r="I983" t="s">
        <v>6</v>
      </c>
      <c r="J983" s="1">
        <v>60</v>
      </c>
      <c r="K983" s="1">
        <v>71</v>
      </c>
      <c r="L983" s="1">
        <v>5734</v>
      </c>
      <c r="M983" s="1">
        <v>45033</v>
      </c>
      <c r="N983" s="1">
        <v>64230</v>
      </c>
      <c r="O983" s="1">
        <v>5567730</v>
      </c>
      <c r="P983" s="1">
        <v>327558</v>
      </c>
      <c r="Q983" s="1">
        <v>528681</v>
      </c>
      <c r="R983" s="1">
        <v>39815112</v>
      </c>
      <c r="S983" s="1">
        <v>25025</v>
      </c>
      <c r="T983" s="1">
        <v>25025</v>
      </c>
      <c r="U983" s="1">
        <v>41051</v>
      </c>
      <c r="V983" s="1">
        <v>0</v>
      </c>
      <c r="W983" s="1">
        <v>1</v>
      </c>
    </row>
    <row r="984">
      <c r="A984" s="1">
        <v>2021</v>
      </c>
      <c r="B984" s="1">
        <v>25</v>
      </c>
      <c r="C984" t="s">
        <v>25</v>
      </c>
      <c r="D984" s="1">
        <v>27</v>
      </c>
      <c r="E984" t="s">
        <v>354</v>
      </c>
      <c r="F984" s="1">
        <v>41</v>
      </c>
      <c r="G984" t="s">
        <v>3</v>
      </c>
      <c r="H984" s="1">
        <v>51</v>
      </c>
      <c r="I984" t="s">
        <v>6</v>
      </c>
      <c r="J984" s="1">
        <v>32</v>
      </c>
      <c r="K984" s="1">
        <v>49</v>
      </c>
      <c r="L984" s="1">
        <v>2124</v>
      </c>
      <c r="M984" s="1">
        <v>16390</v>
      </c>
      <c r="N984" s="1">
        <v>27214</v>
      </c>
      <c r="O984" s="1">
        <v>1435188</v>
      </c>
      <c r="P984" s="1">
        <v>339456</v>
      </c>
      <c r="Q984" s="1">
        <v>662386</v>
      </c>
      <c r="R984" s="1">
        <v>31026972</v>
      </c>
      <c r="S984" s="1">
        <v>25027</v>
      </c>
      <c r="T984" s="1">
        <v>25027</v>
      </c>
      <c r="U984" s="1">
        <v>41051</v>
      </c>
      <c r="V984" s="1">
        <v>0</v>
      </c>
      <c r="W984" s="1">
        <v>1</v>
      </c>
    </row>
    <row r="985">
      <c r="A985" s="1">
        <v>2021</v>
      </c>
      <c r="B985" s="1">
        <v>26</v>
      </c>
      <c r="C985" t="s">
        <v>26</v>
      </c>
      <c r="D985" s="1">
        <v>81</v>
      </c>
      <c r="E985" t="s">
        <v>193</v>
      </c>
      <c r="F985" s="1">
        <v>41</v>
      </c>
      <c r="G985" t="s">
        <v>3</v>
      </c>
      <c r="H985" s="1">
        <v>51</v>
      </c>
      <c r="I985" t="s">
        <v>6</v>
      </c>
      <c r="J985" s="1">
        <v>22</v>
      </c>
      <c r="K985" s="1">
        <v>33</v>
      </c>
      <c r="L985" s="1">
        <v>1520</v>
      </c>
      <c r="M985" s="1">
        <v>15382</v>
      </c>
      <c r="N985" s="1">
        <v>26318</v>
      </c>
      <c r="O985" s="1">
        <v>1064606</v>
      </c>
      <c r="P985" s="1">
        <v>264849</v>
      </c>
      <c r="Q985" s="1">
        <v>536363</v>
      </c>
      <c r="R985" s="1">
        <v>22337116</v>
      </c>
      <c r="S985" s="1">
        <v>26081</v>
      </c>
      <c r="T985" s="1">
        <v>26081</v>
      </c>
      <c r="U985" s="1">
        <v>41051</v>
      </c>
      <c r="V985" s="1">
        <v>0</v>
      </c>
      <c r="W985" s="1">
        <v>1</v>
      </c>
    </row>
    <row r="986">
      <c r="A986" s="1">
        <v>2021</v>
      </c>
      <c r="B986" s="1">
        <v>26</v>
      </c>
      <c r="C986" t="s">
        <v>26</v>
      </c>
      <c r="D986" s="1">
        <v>125</v>
      </c>
      <c r="E986" t="s">
        <v>194</v>
      </c>
      <c r="F986" s="1">
        <v>41</v>
      </c>
      <c r="G986" t="s">
        <v>3</v>
      </c>
      <c r="H986" s="1">
        <v>51</v>
      </c>
      <c r="I986" t="s">
        <v>6</v>
      </c>
      <c r="J986" s="1">
        <v>40</v>
      </c>
      <c r="K986" s="1">
        <v>55</v>
      </c>
      <c r="L986" s="1">
        <v>3701</v>
      </c>
      <c r="M986" s="1">
        <v>32777</v>
      </c>
      <c r="N986" s="1">
        <v>54694</v>
      </c>
      <c r="O986" s="1">
        <v>2948111</v>
      </c>
      <c r="P986" s="1">
        <v>526709</v>
      </c>
      <c r="Q986" s="1">
        <v>1028867</v>
      </c>
      <c r="R986" s="1">
        <v>61121256</v>
      </c>
      <c r="S986" s="1">
        <v>26125</v>
      </c>
      <c r="T986" s="1">
        <v>26125</v>
      </c>
      <c r="U986" s="1">
        <v>41051</v>
      </c>
      <c r="V986" s="1">
        <v>0</v>
      </c>
      <c r="W986" s="1">
        <v>1</v>
      </c>
    </row>
    <row r="987">
      <c r="A987" s="1">
        <v>2021</v>
      </c>
      <c r="B987" s="1">
        <v>26</v>
      </c>
      <c r="C987" t="s">
        <v>26</v>
      </c>
      <c r="D987" s="1">
        <v>161</v>
      </c>
      <c r="E987" t="s">
        <v>106</v>
      </c>
      <c r="F987" s="1">
        <v>41</v>
      </c>
      <c r="G987" t="s">
        <v>3</v>
      </c>
      <c r="H987" s="1">
        <v>51</v>
      </c>
      <c r="I987" t="s">
        <v>6</v>
      </c>
      <c r="J987" s="1">
        <v>31</v>
      </c>
      <c r="K987" s="1">
        <v>41</v>
      </c>
      <c r="L987" s="1">
        <v>1591</v>
      </c>
      <c r="M987" s="1">
        <v>12980</v>
      </c>
      <c r="N987" s="1">
        <v>19837</v>
      </c>
      <c r="O987" s="1">
        <v>995235</v>
      </c>
      <c r="P987" s="1">
        <v>141173</v>
      </c>
      <c r="Q987" s="1">
        <v>268918</v>
      </c>
      <c r="R987" s="1">
        <v>14839928</v>
      </c>
      <c r="S987" s="1">
        <v>26161</v>
      </c>
      <c r="T987" s="1">
        <v>26161</v>
      </c>
      <c r="U987" s="1">
        <v>41051</v>
      </c>
      <c r="V987" s="1">
        <v>0</v>
      </c>
      <c r="W987" s="1">
        <v>1</v>
      </c>
    </row>
    <row r="988">
      <c r="A988" s="1">
        <v>2021</v>
      </c>
      <c r="B988" s="1">
        <v>26</v>
      </c>
      <c r="C988" t="s">
        <v>26</v>
      </c>
      <c r="D988" s="1">
        <v>163</v>
      </c>
      <c r="E988" t="s">
        <v>195</v>
      </c>
      <c r="F988" s="1">
        <v>41</v>
      </c>
      <c r="G988" t="s">
        <v>3</v>
      </c>
      <c r="H988" s="1">
        <v>51</v>
      </c>
      <c r="I988" t="s">
        <v>6</v>
      </c>
      <c r="J988" s="1">
        <v>33</v>
      </c>
      <c r="K988" s="1">
        <v>36</v>
      </c>
      <c r="L988" s="1">
        <v>1609</v>
      </c>
      <c r="M988" s="1">
        <v>33745</v>
      </c>
      <c r="N988" s="1">
        <v>57854</v>
      </c>
      <c r="O988" s="1">
        <v>2392725</v>
      </c>
      <c r="P988" s="1">
        <v>655821</v>
      </c>
      <c r="Q988" s="1">
        <v>1277219</v>
      </c>
      <c r="R988" s="1">
        <v>41340652</v>
      </c>
      <c r="S988" s="1">
        <v>26163</v>
      </c>
      <c r="T988" s="1">
        <v>26163</v>
      </c>
      <c r="U988" s="1">
        <v>41051</v>
      </c>
      <c r="V988" s="1">
        <v>0</v>
      </c>
      <c r="W988" s="1">
        <v>1</v>
      </c>
    </row>
    <row r="989">
      <c r="A989" s="1">
        <v>2021</v>
      </c>
      <c r="B989" s="1">
        <v>27</v>
      </c>
      <c r="C989" t="s">
        <v>27</v>
      </c>
      <c r="D989" s="1">
        <v>53</v>
      </c>
      <c r="E989" t="s">
        <v>107</v>
      </c>
      <c r="F989" s="1">
        <v>41</v>
      </c>
      <c r="G989" t="s">
        <v>3</v>
      </c>
      <c r="H989" s="1">
        <v>51</v>
      </c>
      <c r="I989" t="s">
        <v>6</v>
      </c>
      <c r="J989" s="1">
        <v>166</v>
      </c>
      <c r="K989" s="1">
        <v>193</v>
      </c>
      <c r="L989" s="1">
        <v>10203</v>
      </c>
      <c r="M989" s="1">
        <v>46212</v>
      </c>
      <c r="N989" s="1">
        <v>75856</v>
      </c>
      <c r="O989" s="1">
        <v>3963518</v>
      </c>
      <c r="P989" s="1">
        <v>546211</v>
      </c>
      <c r="Q989" s="1">
        <v>1032533</v>
      </c>
      <c r="R989" s="1">
        <v>61680372</v>
      </c>
      <c r="S989" s="1">
        <v>27053</v>
      </c>
      <c r="T989" s="1">
        <v>27053</v>
      </c>
      <c r="U989" s="1">
        <v>41051</v>
      </c>
      <c r="V989" s="1">
        <v>0</v>
      </c>
      <c r="W989" s="1">
        <v>1</v>
      </c>
    </row>
    <row r="990">
      <c r="A990" s="1">
        <v>2021</v>
      </c>
      <c r="B990" s="1">
        <v>27</v>
      </c>
      <c r="C990" t="s">
        <v>27</v>
      </c>
      <c r="D990" s="1">
        <v>123</v>
      </c>
      <c r="E990" t="s">
        <v>108</v>
      </c>
      <c r="F990" s="1">
        <v>41</v>
      </c>
      <c r="G990" t="s">
        <v>3</v>
      </c>
      <c r="H990" s="1">
        <v>51</v>
      </c>
      <c r="I990" t="s">
        <v>6</v>
      </c>
      <c r="J990" s="1">
        <v>45</v>
      </c>
      <c r="K990" s="1">
        <v>56</v>
      </c>
      <c r="L990" s="1">
        <v>2396</v>
      </c>
      <c r="M990" s="1">
        <v>24008</v>
      </c>
      <c r="N990" s="1">
        <v>40053</v>
      </c>
      <c r="O990" s="1">
        <v>1527863</v>
      </c>
      <c r="P990" s="1">
        <v>227855</v>
      </c>
      <c r="Q990" s="1">
        <v>434585</v>
      </c>
      <c r="R990" s="1">
        <v>18876028</v>
      </c>
      <c r="S990" s="1">
        <v>27123</v>
      </c>
      <c r="T990" s="1">
        <v>27123</v>
      </c>
      <c r="U990" s="1">
        <v>41051</v>
      </c>
      <c r="V990" s="1">
        <v>0</v>
      </c>
      <c r="W990" s="1">
        <v>1</v>
      </c>
    </row>
    <row r="991">
      <c r="A991" s="1">
        <v>2021</v>
      </c>
      <c r="B991" s="1">
        <v>29</v>
      </c>
      <c r="C991" t="s">
        <v>44</v>
      </c>
      <c r="D991" s="1">
        <v>95</v>
      </c>
      <c r="E991" t="s">
        <v>133</v>
      </c>
      <c r="F991" s="1">
        <v>41</v>
      </c>
      <c r="G991" t="s">
        <v>3</v>
      </c>
      <c r="H991" s="1">
        <v>51</v>
      </c>
      <c r="I991" t="s">
        <v>6</v>
      </c>
      <c r="J991" s="1">
        <v>43</v>
      </c>
      <c r="K991" s="1">
        <v>61</v>
      </c>
      <c r="L991" s="1">
        <v>2580</v>
      </c>
      <c r="M991" s="1">
        <v>20778</v>
      </c>
      <c r="N991" s="1">
        <v>35166</v>
      </c>
      <c r="O991" s="1">
        <v>1373961</v>
      </c>
      <c r="P991" s="1">
        <v>277912</v>
      </c>
      <c r="Q991" s="1">
        <v>533168</v>
      </c>
      <c r="R991" s="1">
        <v>19230232</v>
      </c>
      <c r="S991" s="1">
        <v>29095</v>
      </c>
      <c r="T991" s="1">
        <v>29095</v>
      </c>
      <c r="U991" s="1">
        <v>41051</v>
      </c>
      <c r="V991" s="1">
        <v>0</v>
      </c>
      <c r="W991" s="1">
        <v>1</v>
      </c>
    </row>
    <row r="992">
      <c r="A992" s="1">
        <v>2021</v>
      </c>
      <c r="B992" s="1">
        <v>29</v>
      </c>
      <c r="C992" t="s">
        <v>44</v>
      </c>
      <c r="D992" s="1">
        <v>189</v>
      </c>
      <c r="E992" t="s">
        <v>197</v>
      </c>
      <c r="F992" s="1">
        <v>41</v>
      </c>
      <c r="G992" t="s">
        <v>3</v>
      </c>
      <c r="H992" s="1">
        <v>51</v>
      </c>
      <c r="I992" t="s">
        <v>6</v>
      </c>
      <c r="J992" s="1">
        <v>28</v>
      </c>
      <c r="K992" s="1">
        <v>40</v>
      </c>
      <c r="L992" s="1">
        <v>2123</v>
      </c>
      <c r="M992" s="1">
        <v>26630</v>
      </c>
      <c r="N992" s="1">
        <v>46204</v>
      </c>
      <c r="O992" s="1">
        <v>2068437</v>
      </c>
      <c r="P992" s="1">
        <v>403269</v>
      </c>
      <c r="Q992" s="1">
        <v>795015</v>
      </c>
      <c r="R992" s="1">
        <v>43552944</v>
      </c>
      <c r="S992" s="1">
        <v>29189</v>
      </c>
      <c r="T992" s="1">
        <v>29189</v>
      </c>
      <c r="U992" s="1">
        <v>41051</v>
      </c>
      <c r="V992" s="1">
        <v>0</v>
      </c>
      <c r="W992" s="1">
        <v>1</v>
      </c>
    </row>
    <row r="993">
      <c r="A993" s="1">
        <v>2021</v>
      </c>
      <c r="B993" s="1">
        <v>29</v>
      </c>
      <c r="C993" t="s">
        <v>44</v>
      </c>
      <c r="D993" s="1">
        <v>510</v>
      </c>
      <c r="E993" t="s">
        <v>198</v>
      </c>
      <c r="F993" s="1">
        <v>41</v>
      </c>
      <c r="G993" t="s">
        <v>3</v>
      </c>
      <c r="H993" s="1">
        <v>51</v>
      </c>
      <c r="I993" t="s">
        <v>6</v>
      </c>
      <c r="J993" s="1">
        <v>35</v>
      </c>
      <c r="K993" s="1">
        <v>40</v>
      </c>
      <c r="L993" s="1">
        <v>2774</v>
      </c>
      <c r="M993" s="1">
        <v>15503</v>
      </c>
      <c r="N993" s="1">
        <v>25619</v>
      </c>
      <c r="O993" s="1">
        <v>898773</v>
      </c>
      <c r="P993" s="1">
        <v>116164</v>
      </c>
      <c r="Q993" s="1">
        <v>195179</v>
      </c>
      <c r="R993" s="1">
        <v>6869218</v>
      </c>
      <c r="S993" s="1">
        <v>29510</v>
      </c>
      <c r="T993" s="1">
        <v>29510</v>
      </c>
      <c r="U993" s="1">
        <v>41051</v>
      </c>
      <c r="V993" s="1">
        <v>0</v>
      </c>
      <c r="W993" s="1">
        <v>1</v>
      </c>
    </row>
    <row r="994">
      <c r="A994" s="1">
        <v>2021</v>
      </c>
      <c r="B994" s="1">
        <v>30</v>
      </c>
      <c r="C994" t="s">
        <v>28</v>
      </c>
      <c r="D994" s="1">
        <v>31</v>
      </c>
      <c r="E994" t="s">
        <v>109</v>
      </c>
      <c r="F994" s="1">
        <v>41</v>
      </c>
      <c r="G994" t="s">
        <v>3</v>
      </c>
      <c r="H994" s="1">
        <v>51</v>
      </c>
      <c r="I994" t="s">
        <v>6</v>
      </c>
      <c r="J994" s="1">
        <v>36</v>
      </c>
      <c r="K994" s="1">
        <v>46</v>
      </c>
      <c r="L994" s="1">
        <v>1590</v>
      </c>
      <c r="M994" s="1">
        <v>4576</v>
      </c>
      <c r="N994" s="1">
        <v>7128</v>
      </c>
      <c r="O994" s="1">
        <v>338090</v>
      </c>
      <c r="P994" s="1">
        <v>49960</v>
      </c>
      <c r="Q994" s="1">
        <v>92421</v>
      </c>
      <c r="R994" s="1">
        <v>5326381</v>
      </c>
      <c r="S994" s="1">
        <v>30031</v>
      </c>
      <c r="T994" s="1">
        <v>30031</v>
      </c>
      <c r="U994" s="1">
        <v>41051</v>
      </c>
      <c r="V994" s="1">
        <v>0</v>
      </c>
      <c r="W994" s="1">
        <v>1</v>
      </c>
    </row>
    <row r="995">
      <c r="A995" s="1">
        <v>2021</v>
      </c>
      <c r="B995" s="1">
        <v>30</v>
      </c>
      <c r="C995" t="s">
        <v>28</v>
      </c>
      <c r="D995" s="1">
        <v>63</v>
      </c>
      <c r="E995" t="s">
        <v>110</v>
      </c>
      <c r="F995" s="1">
        <v>41</v>
      </c>
      <c r="G995" t="s">
        <v>3</v>
      </c>
      <c r="H995" s="1">
        <v>51</v>
      </c>
      <c r="I995" t="s">
        <v>6</v>
      </c>
      <c r="J995" s="1">
        <v>56</v>
      </c>
      <c r="K995" s="1">
        <v>65</v>
      </c>
      <c r="L995" s="1">
        <v>1815</v>
      </c>
      <c r="M995" s="1">
        <v>3896</v>
      </c>
      <c r="N995" s="1">
        <v>6250</v>
      </c>
      <c r="O995" s="1">
        <v>195925</v>
      </c>
      <c r="P995" s="1">
        <v>50801</v>
      </c>
      <c r="Q995" s="1">
        <v>92185</v>
      </c>
      <c r="R995" s="1">
        <v>4035123</v>
      </c>
      <c r="S995" s="1">
        <v>30063</v>
      </c>
      <c r="T995" s="1">
        <v>30063</v>
      </c>
      <c r="U995" s="1">
        <v>41051</v>
      </c>
      <c r="V995" s="1">
        <v>0</v>
      </c>
      <c r="W995" s="1">
        <v>1</v>
      </c>
    </row>
    <row r="996">
      <c r="A996" s="1">
        <v>2021</v>
      </c>
      <c r="B996" s="1">
        <v>30</v>
      </c>
      <c r="C996" t="s">
        <v>28</v>
      </c>
      <c r="D996" s="1">
        <v>111</v>
      </c>
      <c r="E996" t="s">
        <v>111</v>
      </c>
      <c r="F996" s="1">
        <v>41</v>
      </c>
      <c r="G996" t="s">
        <v>3</v>
      </c>
      <c r="H996" s="1">
        <v>51</v>
      </c>
      <c r="I996" t="s">
        <v>6</v>
      </c>
      <c r="J996" s="1">
        <v>20</v>
      </c>
      <c r="K996" s="1">
        <v>26</v>
      </c>
      <c r="L996" s="1">
        <v>839</v>
      </c>
      <c r="M996" s="1">
        <v>3668</v>
      </c>
      <c r="N996" s="1">
        <v>6415</v>
      </c>
      <c r="O996" s="1">
        <v>235771</v>
      </c>
      <c r="P996" s="1">
        <v>67554</v>
      </c>
      <c r="Q996" s="1">
        <v>133054</v>
      </c>
      <c r="R996" s="1">
        <v>5266860</v>
      </c>
      <c r="S996" s="1">
        <v>30111</v>
      </c>
      <c r="T996" s="1">
        <v>30111</v>
      </c>
      <c r="U996" s="1">
        <v>41051</v>
      </c>
      <c r="V996" s="1">
        <v>0</v>
      </c>
      <c r="W996" s="1">
        <v>1</v>
      </c>
    </row>
    <row r="997">
      <c r="A997" s="1">
        <v>2021</v>
      </c>
      <c r="B997" s="1">
        <v>31</v>
      </c>
      <c r="C997" t="s">
        <v>45</v>
      </c>
      <c r="D997" s="1">
        <v>55</v>
      </c>
      <c r="E997" t="s">
        <v>131</v>
      </c>
      <c r="F997" s="1">
        <v>41</v>
      </c>
      <c r="G997" t="s">
        <v>3</v>
      </c>
      <c r="H997" s="1">
        <v>51</v>
      </c>
      <c r="I997" t="s">
        <v>6</v>
      </c>
      <c r="J997" s="1">
        <v>37</v>
      </c>
      <c r="K997" s="1">
        <v>58</v>
      </c>
      <c r="L997" s="1">
        <v>2665</v>
      </c>
      <c r="M997" s="1">
        <v>14907</v>
      </c>
      <c r="N997" s="1">
        <v>26759</v>
      </c>
      <c r="O997" s="1">
        <v>1040353</v>
      </c>
      <c r="P997" s="1">
        <v>230826</v>
      </c>
      <c r="Q997" s="1">
        <v>474239</v>
      </c>
      <c r="R997" s="1">
        <v>22181954</v>
      </c>
      <c r="S997" s="1">
        <v>31055</v>
      </c>
      <c r="T997" s="1">
        <v>31055</v>
      </c>
      <c r="U997" s="1">
        <v>41051</v>
      </c>
      <c r="V997" s="1">
        <v>0</v>
      </c>
      <c r="W997" s="1">
        <v>1</v>
      </c>
    </row>
    <row r="998">
      <c r="A998" s="1">
        <v>2021</v>
      </c>
      <c r="B998" s="1">
        <v>32</v>
      </c>
      <c r="C998" t="s">
        <v>29</v>
      </c>
      <c r="D998" s="1">
        <v>3</v>
      </c>
      <c r="E998" t="s">
        <v>112</v>
      </c>
      <c r="F998" s="1">
        <v>41</v>
      </c>
      <c r="G998" t="s">
        <v>3</v>
      </c>
      <c r="H998" s="1">
        <v>51</v>
      </c>
      <c r="I998" t="s">
        <v>6</v>
      </c>
      <c r="J998" s="1">
        <v>222</v>
      </c>
      <c r="K998" s="1">
        <v>326</v>
      </c>
      <c r="L998" s="1">
        <v>9125</v>
      </c>
      <c r="M998" s="1">
        <v>48164</v>
      </c>
      <c r="N998" s="1">
        <v>85592</v>
      </c>
      <c r="O998" s="1">
        <v>3120599</v>
      </c>
      <c r="P998" s="1">
        <v>915756</v>
      </c>
      <c r="Q998" s="1">
        <v>1753633</v>
      </c>
      <c r="R998" s="1">
        <v>67815288</v>
      </c>
      <c r="S998" s="1">
        <v>32003</v>
      </c>
      <c r="T998" s="1">
        <v>32003</v>
      </c>
      <c r="U998" s="1">
        <v>41051</v>
      </c>
      <c r="V998" s="1">
        <v>0</v>
      </c>
      <c r="W998" s="1">
        <v>1</v>
      </c>
    </row>
    <row r="999">
      <c r="A999" s="1">
        <v>2021</v>
      </c>
      <c r="B999" s="1">
        <v>32</v>
      </c>
      <c r="C999" t="s">
        <v>29</v>
      </c>
      <c r="D999" s="1">
        <v>31</v>
      </c>
      <c r="E999" t="s">
        <v>113</v>
      </c>
      <c r="F999" s="1">
        <v>41</v>
      </c>
      <c r="G999" t="s">
        <v>3</v>
      </c>
      <c r="H999" s="1">
        <v>51</v>
      </c>
      <c r="I999" t="s">
        <v>6</v>
      </c>
      <c r="J999" s="1">
        <v>74</v>
      </c>
      <c r="K999" s="1">
        <v>96</v>
      </c>
      <c r="L999" s="1">
        <v>3390</v>
      </c>
      <c r="M999" s="1">
        <v>12506</v>
      </c>
      <c r="N999" s="1">
        <v>20754</v>
      </c>
      <c r="O999" s="1">
        <v>1105791</v>
      </c>
      <c r="P999" s="1">
        <v>206081</v>
      </c>
      <c r="Q999" s="1">
        <v>385351</v>
      </c>
      <c r="R999" s="1">
        <v>20870260</v>
      </c>
      <c r="S999" s="1">
        <v>32031</v>
      </c>
      <c r="T999" s="1">
        <v>32031</v>
      </c>
      <c r="U999" s="1">
        <v>41051</v>
      </c>
      <c r="V999" s="1">
        <v>0</v>
      </c>
      <c r="W999" s="1">
        <v>1</v>
      </c>
    </row>
    <row r="1000">
      <c r="A1000" s="1">
        <v>2021</v>
      </c>
      <c r="B1000" s="1">
        <v>35</v>
      </c>
      <c r="C1000" t="s">
        <v>30</v>
      </c>
      <c r="D1000" s="1">
        <v>1</v>
      </c>
      <c r="E1000" t="s">
        <v>114</v>
      </c>
      <c r="F1000" s="1">
        <v>41</v>
      </c>
      <c r="G1000" t="s">
        <v>3</v>
      </c>
      <c r="H1000" s="1">
        <v>51</v>
      </c>
      <c r="I1000" t="s">
        <v>6</v>
      </c>
      <c r="J1000" s="1">
        <v>56</v>
      </c>
      <c r="K1000" s="1">
        <v>75</v>
      </c>
      <c r="L1000" s="1">
        <v>3277</v>
      </c>
      <c r="M1000" s="1">
        <v>15881</v>
      </c>
      <c r="N1000" s="1">
        <v>27821</v>
      </c>
      <c r="O1000" s="1">
        <v>962097</v>
      </c>
      <c r="P1000" s="1">
        <v>269738</v>
      </c>
      <c r="Q1000" s="1">
        <v>500385</v>
      </c>
      <c r="R1000" s="1">
        <v>18443720</v>
      </c>
      <c r="S1000" s="1">
        <v>35001</v>
      </c>
      <c r="T1000" s="1">
        <v>35001</v>
      </c>
      <c r="U1000" s="1">
        <v>41051</v>
      </c>
      <c r="V1000" s="1">
        <v>0</v>
      </c>
      <c r="W1000" s="1">
        <v>1</v>
      </c>
    </row>
    <row r="1001">
      <c r="A1001" s="1">
        <v>2021</v>
      </c>
      <c r="B1001" s="1">
        <v>35</v>
      </c>
      <c r="C1001" t="s">
        <v>30</v>
      </c>
      <c r="D1001" s="1">
        <v>49</v>
      </c>
      <c r="E1001" t="s">
        <v>115</v>
      </c>
      <c r="F1001" s="1">
        <v>41</v>
      </c>
      <c r="G1001" t="s">
        <v>3</v>
      </c>
      <c r="H1001" s="1">
        <v>51</v>
      </c>
      <c r="I1001" t="s">
        <v>6</v>
      </c>
      <c r="J1001" s="1">
        <v>20</v>
      </c>
      <c r="K1001" s="1">
        <v>22</v>
      </c>
      <c r="L1001" s="1">
        <v>827</v>
      </c>
      <c r="M1001" s="1">
        <v>4377</v>
      </c>
      <c r="N1001" s="1">
        <v>7019</v>
      </c>
      <c r="O1001" s="1">
        <v>321850</v>
      </c>
      <c r="P1001" s="1">
        <v>65995</v>
      </c>
      <c r="Q1001" s="1">
        <v>115534</v>
      </c>
      <c r="R1001" s="1">
        <v>5698358</v>
      </c>
      <c r="S1001" s="1">
        <v>35049</v>
      </c>
      <c r="T1001" s="1">
        <v>35049</v>
      </c>
      <c r="U1001" s="1">
        <v>41051</v>
      </c>
      <c r="V1001" s="1">
        <v>0</v>
      </c>
      <c r="W1001" s="1">
        <v>1</v>
      </c>
    </row>
    <row r="1002">
      <c r="A1002" s="1">
        <v>2021</v>
      </c>
      <c r="B1002" s="1">
        <v>36</v>
      </c>
      <c r="C1002" t="s">
        <v>31</v>
      </c>
      <c r="D1002" s="1">
        <v>47</v>
      </c>
      <c r="E1002" t="s">
        <v>116</v>
      </c>
      <c r="F1002" s="1">
        <v>41</v>
      </c>
      <c r="G1002" t="s">
        <v>3</v>
      </c>
      <c r="H1002" s="1">
        <v>51</v>
      </c>
      <c r="I1002" t="s">
        <v>6</v>
      </c>
      <c r="J1002" s="1">
        <v>300</v>
      </c>
      <c r="K1002" s="1">
        <v>389</v>
      </c>
      <c r="L1002" s="1">
        <v>27061</v>
      </c>
      <c r="M1002" s="1">
        <v>93012</v>
      </c>
      <c r="N1002" s="1">
        <v>152330</v>
      </c>
      <c r="O1002" s="1">
        <v>8486859</v>
      </c>
      <c r="P1002" s="1">
        <v>1067984</v>
      </c>
      <c r="Q1002" s="1">
        <v>1955124</v>
      </c>
      <c r="R1002" s="1">
        <v>80656288</v>
      </c>
      <c r="S1002" s="1">
        <v>36047</v>
      </c>
      <c r="T1002" s="1">
        <v>36047</v>
      </c>
      <c r="U1002" s="1">
        <v>41051</v>
      </c>
      <c r="V1002" s="1">
        <v>0</v>
      </c>
      <c r="W1002" s="1">
        <v>1</v>
      </c>
    </row>
    <row r="1003">
      <c r="A1003" s="1">
        <v>2021</v>
      </c>
      <c r="B1003" s="1">
        <v>36</v>
      </c>
      <c r="C1003" t="s">
        <v>31</v>
      </c>
      <c r="D1003" s="1">
        <v>55</v>
      </c>
      <c r="E1003" t="s">
        <v>203</v>
      </c>
      <c r="F1003" s="1">
        <v>41</v>
      </c>
      <c r="G1003" t="s">
        <v>3</v>
      </c>
      <c r="H1003" s="1">
        <v>51</v>
      </c>
      <c r="I1003" t="s">
        <v>6</v>
      </c>
      <c r="J1003" s="1">
        <v>29</v>
      </c>
      <c r="K1003" s="1">
        <v>47</v>
      </c>
      <c r="L1003" s="1">
        <v>2276</v>
      </c>
      <c r="M1003" s="1">
        <v>12916</v>
      </c>
      <c r="N1003" s="1">
        <v>21044</v>
      </c>
      <c r="O1003" s="1">
        <v>869533</v>
      </c>
      <c r="P1003" s="1">
        <v>314527</v>
      </c>
      <c r="Q1003" s="1">
        <v>590324</v>
      </c>
      <c r="R1003" s="1">
        <v>23670610</v>
      </c>
      <c r="S1003" s="1">
        <v>36055</v>
      </c>
      <c r="T1003" s="1">
        <v>36055</v>
      </c>
      <c r="U1003" s="1">
        <v>41051</v>
      </c>
      <c r="V1003" s="1">
        <v>0</v>
      </c>
      <c r="W1003" s="1">
        <v>1</v>
      </c>
    </row>
    <row r="1004">
      <c r="A1004" s="1">
        <v>2021</v>
      </c>
      <c r="B1004" s="1">
        <v>36</v>
      </c>
      <c r="C1004" t="s">
        <v>31</v>
      </c>
      <c r="D1004" s="1">
        <v>61</v>
      </c>
      <c r="E1004" t="s">
        <v>117</v>
      </c>
      <c r="F1004" s="1">
        <v>41</v>
      </c>
      <c r="G1004" t="s">
        <v>3</v>
      </c>
      <c r="H1004" s="1">
        <v>51</v>
      </c>
      <c r="I1004" t="s">
        <v>6</v>
      </c>
      <c r="J1004" s="1">
        <v>130</v>
      </c>
      <c r="K1004" s="1">
        <v>161</v>
      </c>
      <c r="L1004" s="1">
        <v>14296</v>
      </c>
      <c r="M1004" s="1">
        <v>102592</v>
      </c>
      <c r="N1004" s="1">
        <v>147971</v>
      </c>
      <c r="O1004" s="1">
        <v>24510353</v>
      </c>
      <c r="P1004" s="1">
        <v>736790</v>
      </c>
      <c r="Q1004" s="1">
        <v>1146537</v>
      </c>
      <c r="R1004" s="1">
        <v>172055184</v>
      </c>
      <c r="S1004" s="1">
        <v>36061</v>
      </c>
      <c r="T1004" s="1">
        <v>36061</v>
      </c>
      <c r="U1004" s="1">
        <v>41051</v>
      </c>
      <c r="V1004" s="1">
        <v>0</v>
      </c>
      <c r="W1004" s="1">
        <v>1</v>
      </c>
    </row>
    <row r="1005">
      <c r="A1005" s="1">
        <v>2021</v>
      </c>
      <c r="B1005" s="1">
        <v>36</v>
      </c>
      <c r="C1005" t="s">
        <v>31</v>
      </c>
      <c r="D1005" s="1">
        <v>67</v>
      </c>
      <c r="E1005" t="s">
        <v>204</v>
      </c>
      <c r="F1005" s="1">
        <v>41</v>
      </c>
      <c r="G1005" t="s">
        <v>3</v>
      </c>
      <c r="H1005" s="1">
        <v>51</v>
      </c>
      <c r="I1005" t="s">
        <v>6</v>
      </c>
      <c r="J1005" s="1">
        <v>21</v>
      </c>
      <c r="K1005" s="1">
        <v>22</v>
      </c>
      <c r="L1005" s="1">
        <v>887</v>
      </c>
      <c r="M1005" s="1">
        <v>9512</v>
      </c>
      <c r="N1005" s="1">
        <v>15515</v>
      </c>
      <c r="O1005" s="1">
        <v>637957</v>
      </c>
      <c r="P1005" s="1">
        <v>193083</v>
      </c>
      <c r="Q1005" s="1">
        <v>367436</v>
      </c>
      <c r="R1005" s="1">
        <v>14972144</v>
      </c>
      <c r="S1005" s="1">
        <v>36067</v>
      </c>
      <c r="T1005" s="1">
        <v>36067</v>
      </c>
      <c r="U1005" s="1">
        <v>41051</v>
      </c>
      <c r="V1005" s="1">
        <v>0</v>
      </c>
      <c r="W1005" s="1">
        <v>1</v>
      </c>
    </row>
    <row r="1006">
      <c r="A1006" s="1">
        <v>2021</v>
      </c>
      <c r="B1006" s="1">
        <v>36</v>
      </c>
      <c r="C1006" t="s">
        <v>31</v>
      </c>
      <c r="D1006" s="1">
        <v>81</v>
      </c>
      <c r="E1006" t="s">
        <v>118</v>
      </c>
      <c r="F1006" s="1">
        <v>41</v>
      </c>
      <c r="G1006" t="s">
        <v>3</v>
      </c>
      <c r="H1006" s="1">
        <v>51</v>
      </c>
      <c r="I1006" t="s">
        <v>6</v>
      </c>
      <c r="J1006" s="1">
        <v>48</v>
      </c>
      <c r="K1006" s="1">
        <v>67</v>
      </c>
      <c r="L1006" s="1">
        <v>4125</v>
      </c>
      <c r="M1006" s="1">
        <v>73433</v>
      </c>
      <c r="N1006" s="1">
        <v>126511</v>
      </c>
      <c r="O1006" s="1">
        <v>5544389</v>
      </c>
      <c r="P1006" s="1">
        <v>1016109</v>
      </c>
      <c r="Q1006" s="1">
        <v>1845481</v>
      </c>
      <c r="R1006" s="1">
        <v>61861296</v>
      </c>
      <c r="S1006" s="1">
        <v>36081</v>
      </c>
      <c r="T1006" s="1">
        <v>36081</v>
      </c>
      <c r="U1006" s="1">
        <v>41051</v>
      </c>
      <c r="V1006" s="1">
        <v>0</v>
      </c>
      <c r="W1006" s="1">
        <v>1</v>
      </c>
    </row>
    <row r="1007">
      <c r="A1007" s="1">
        <v>2021</v>
      </c>
      <c r="B1007" s="1">
        <v>36</v>
      </c>
      <c r="C1007" t="s">
        <v>31</v>
      </c>
      <c r="D1007" s="1">
        <v>103</v>
      </c>
      <c r="E1007" t="s">
        <v>105</v>
      </c>
      <c r="F1007" s="1">
        <v>41</v>
      </c>
      <c r="G1007" t="s">
        <v>3</v>
      </c>
      <c r="H1007" s="1">
        <v>51</v>
      </c>
      <c r="I1007" t="s">
        <v>6</v>
      </c>
      <c r="J1007" s="1">
        <v>26</v>
      </c>
      <c r="K1007" s="1">
        <v>33</v>
      </c>
      <c r="L1007" s="1">
        <v>1562</v>
      </c>
      <c r="M1007" s="1">
        <v>28388</v>
      </c>
      <c r="N1007" s="1">
        <v>46626</v>
      </c>
      <c r="O1007" s="1">
        <v>4025063</v>
      </c>
      <c r="P1007" s="1">
        <v>663020</v>
      </c>
      <c r="Q1007" s="1">
        <v>1273134</v>
      </c>
      <c r="R1007" s="1">
        <v>74060176</v>
      </c>
      <c r="S1007" s="1">
        <v>36103</v>
      </c>
      <c r="T1007" s="1">
        <v>36103</v>
      </c>
      <c r="U1007" s="1">
        <v>41051</v>
      </c>
      <c r="V1007" s="1">
        <v>0</v>
      </c>
      <c r="W1007" s="1">
        <v>1</v>
      </c>
    </row>
    <row r="1008">
      <c r="A1008" s="1">
        <v>2021</v>
      </c>
      <c r="B1008" s="1">
        <v>37</v>
      </c>
      <c r="C1008" t="s">
        <v>32</v>
      </c>
      <c r="D1008" s="1">
        <v>21</v>
      </c>
      <c r="E1008" t="s">
        <v>120</v>
      </c>
      <c r="F1008" s="1">
        <v>41</v>
      </c>
      <c r="G1008" t="s">
        <v>3</v>
      </c>
      <c r="H1008" s="1">
        <v>51</v>
      </c>
      <c r="I1008" t="s">
        <v>6</v>
      </c>
      <c r="J1008" s="1">
        <v>21</v>
      </c>
      <c r="K1008" s="1">
        <v>22</v>
      </c>
      <c r="L1008" s="1">
        <v>560</v>
      </c>
      <c r="M1008" s="1">
        <v>9010</v>
      </c>
      <c r="N1008" s="1">
        <v>14352</v>
      </c>
      <c r="O1008" s="1">
        <v>620729</v>
      </c>
      <c r="P1008" s="1">
        <v>110183</v>
      </c>
      <c r="Q1008" s="1">
        <v>201828</v>
      </c>
      <c r="R1008" s="1">
        <v>8416763</v>
      </c>
      <c r="S1008" s="1">
        <v>37021</v>
      </c>
      <c r="T1008" s="1">
        <v>37021</v>
      </c>
      <c r="U1008" s="1">
        <v>41051</v>
      </c>
      <c r="V1008" s="1">
        <v>0</v>
      </c>
      <c r="W1008" s="1">
        <v>1</v>
      </c>
    </row>
    <row r="1009">
      <c r="A1009" s="1">
        <v>2021</v>
      </c>
      <c r="B1009" s="1">
        <v>37</v>
      </c>
      <c r="C1009" t="s">
        <v>32</v>
      </c>
      <c r="D1009" s="1">
        <v>63</v>
      </c>
      <c r="E1009" t="s">
        <v>205</v>
      </c>
      <c r="F1009" s="1">
        <v>41</v>
      </c>
      <c r="G1009" t="s">
        <v>3</v>
      </c>
      <c r="H1009" s="1">
        <v>51</v>
      </c>
      <c r="I1009" t="s">
        <v>6</v>
      </c>
      <c r="J1009" s="1">
        <v>32</v>
      </c>
      <c r="K1009" s="1">
        <v>42</v>
      </c>
      <c r="L1009" s="1">
        <v>2243</v>
      </c>
      <c r="M1009" s="1">
        <v>14865</v>
      </c>
      <c r="N1009" s="1">
        <v>24246</v>
      </c>
      <c r="O1009" s="1">
        <v>1065368</v>
      </c>
      <c r="P1009" s="1">
        <v>127113</v>
      </c>
      <c r="Q1009" s="1">
        <v>233908</v>
      </c>
      <c r="R1009" s="1">
        <v>10526505</v>
      </c>
      <c r="S1009" s="1">
        <v>37063</v>
      </c>
      <c r="T1009" s="1">
        <v>37063</v>
      </c>
      <c r="U1009" s="1">
        <v>41051</v>
      </c>
      <c r="V1009" s="1">
        <v>0</v>
      </c>
      <c r="W1009" s="1">
        <v>1</v>
      </c>
    </row>
    <row r="1010">
      <c r="A1010" s="1">
        <v>2021</v>
      </c>
      <c r="B1010" s="1">
        <v>37</v>
      </c>
      <c r="C1010" t="s">
        <v>32</v>
      </c>
      <c r="D1010" s="1">
        <v>119</v>
      </c>
      <c r="E1010" t="s">
        <v>121</v>
      </c>
      <c r="F1010" s="1">
        <v>41</v>
      </c>
      <c r="G1010" t="s">
        <v>3</v>
      </c>
      <c r="H1010" s="1">
        <v>51</v>
      </c>
      <c r="I1010" t="s">
        <v>6</v>
      </c>
      <c r="J1010" s="1">
        <v>37</v>
      </c>
      <c r="K1010" s="1">
        <v>59</v>
      </c>
      <c r="L1010" s="1">
        <v>2810</v>
      </c>
      <c r="M1010" s="1">
        <v>39125</v>
      </c>
      <c r="N1010" s="1">
        <v>69619</v>
      </c>
      <c r="O1010" s="1">
        <v>3202555</v>
      </c>
      <c r="P1010" s="1">
        <v>433561</v>
      </c>
      <c r="Q1010" s="1">
        <v>849434</v>
      </c>
      <c r="R1010" s="1">
        <v>45641396</v>
      </c>
      <c r="S1010" s="1">
        <v>37119</v>
      </c>
      <c r="T1010" s="1">
        <v>37119</v>
      </c>
      <c r="U1010" s="1">
        <v>41051</v>
      </c>
      <c r="V1010" s="1">
        <v>0</v>
      </c>
      <c r="W1010" s="1">
        <v>1</v>
      </c>
    </row>
    <row r="1011">
      <c r="A1011" s="1">
        <v>2021</v>
      </c>
      <c r="B1011" s="1">
        <v>37</v>
      </c>
      <c r="C1011" t="s">
        <v>32</v>
      </c>
      <c r="D1011" s="1">
        <v>183</v>
      </c>
      <c r="E1011" t="s">
        <v>206</v>
      </c>
      <c r="F1011" s="1">
        <v>41</v>
      </c>
      <c r="G1011" t="s">
        <v>3</v>
      </c>
      <c r="H1011" s="1">
        <v>51</v>
      </c>
      <c r="I1011" t="s">
        <v>6</v>
      </c>
      <c r="J1011" s="1">
        <v>38</v>
      </c>
      <c r="K1011" s="1">
        <v>54</v>
      </c>
      <c r="L1011" s="1">
        <v>1434</v>
      </c>
      <c r="M1011" s="1">
        <v>34545</v>
      </c>
      <c r="N1011" s="1">
        <v>60819</v>
      </c>
      <c r="O1011" s="1">
        <v>2672873</v>
      </c>
      <c r="P1011" s="1">
        <v>436337</v>
      </c>
      <c r="Q1011" s="1">
        <v>913747</v>
      </c>
      <c r="R1011" s="1">
        <v>47474392</v>
      </c>
      <c r="S1011" s="1">
        <v>37183</v>
      </c>
      <c r="T1011" s="1">
        <v>37183</v>
      </c>
      <c r="U1011" s="1">
        <v>41051</v>
      </c>
      <c r="V1011" s="1">
        <v>0</v>
      </c>
      <c r="W1011" s="1">
        <v>1</v>
      </c>
    </row>
    <row r="1012">
      <c r="A1012" s="1">
        <v>2021</v>
      </c>
      <c r="B1012" s="1">
        <v>39</v>
      </c>
      <c r="C1012" t="s">
        <v>33</v>
      </c>
      <c r="D1012" s="1">
        <v>35</v>
      </c>
      <c r="E1012" t="s">
        <v>207</v>
      </c>
      <c r="F1012" s="1">
        <v>41</v>
      </c>
      <c r="G1012" t="s">
        <v>3</v>
      </c>
      <c r="H1012" s="1">
        <v>51</v>
      </c>
      <c r="I1012" t="s">
        <v>6</v>
      </c>
      <c r="J1012" s="1">
        <v>44</v>
      </c>
      <c r="K1012" s="1">
        <v>60</v>
      </c>
      <c r="L1012" s="1">
        <v>2908</v>
      </c>
      <c r="M1012" s="1">
        <v>25985</v>
      </c>
      <c r="N1012" s="1">
        <v>42148</v>
      </c>
      <c r="O1012" s="1">
        <v>2320679</v>
      </c>
      <c r="P1012" s="1">
        <v>517380</v>
      </c>
      <c r="Q1012" s="1">
        <v>937539</v>
      </c>
      <c r="R1012" s="1">
        <v>39999412</v>
      </c>
      <c r="S1012" s="1">
        <v>39035</v>
      </c>
      <c r="T1012" s="1">
        <v>39035</v>
      </c>
      <c r="U1012" s="1">
        <v>41051</v>
      </c>
      <c r="V1012" s="1">
        <v>0</v>
      </c>
      <c r="W1012" s="1">
        <v>1</v>
      </c>
    </row>
    <row r="1013">
      <c r="A1013" s="1">
        <v>2021</v>
      </c>
      <c r="B1013" s="1">
        <v>39</v>
      </c>
      <c r="C1013" t="s">
        <v>33</v>
      </c>
      <c r="D1013" s="1">
        <v>49</v>
      </c>
      <c r="E1013" t="s">
        <v>122</v>
      </c>
      <c r="F1013" s="1">
        <v>41</v>
      </c>
      <c r="G1013" t="s">
        <v>3</v>
      </c>
      <c r="H1013" s="1">
        <v>51</v>
      </c>
      <c r="I1013" t="s">
        <v>6</v>
      </c>
      <c r="J1013" s="1">
        <v>54</v>
      </c>
      <c r="K1013" s="1">
        <v>74</v>
      </c>
      <c r="L1013" s="1">
        <v>3645</v>
      </c>
      <c r="M1013" s="1">
        <v>35696</v>
      </c>
      <c r="N1013" s="1">
        <v>61592</v>
      </c>
      <c r="O1013" s="1">
        <v>2494289</v>
      </c>
      <c r="P1013" s="1">
        <v>540046</v>
      </c>
      <c r="Q1013" s="1">
        <v>1017284</v>
      </c>
      <c r="R1013" s="1">
        <v>41964520</v>
      </c>
      <c r="S1013" s="1">
        <v>39049</v>
      </c>
      <c r="T1013" s="1">
        <v>39049</v>
      </c>
      <c r="U1013" s="1">
        <v>41051</v>
      </c>
      <c r="V1013" s="1">
        <v>0</v>
      </c>
      <c r="W1013" s="1">
        <v>1</v>
      </c>
    </row>
    <row r="1014">
      <c r="A1014" s="1">
        <v>2021</v>
      </c>
      <c r="B1014" s="1">
        <v>39</v>
      </c>
      <c r="C1014" t="s">
        <v>33</v>
      </c>
      <c r="D1014" s="1">
        <v>61</v>
      </c>
      <c r="E1014" t="s">
        <v>208</v>
      </c>
      <c r="F1014" s="1">
        <v>41</v>
      </c>
      <c r="G1014" t="s">
        <v>3</v>
      </c>
      <c r="H1014" s="1">
        <v>51</v>
      </c>
      <c r="I1014" t="s">
        <v>6</v>
      </c>
      <c r="J1014" s="1">
        <v>30</v>
      </c>
      <c r="K1014" s="1">
        <v>35</v>
      </c>
      <c r="L1014" s="1">
        <v>1860</v>
      </c>
      <c r="M1014" s="1">
        <v>21042</v>
      </c>
      <c r="N1014" s="1">
        <v>34811</v>
      </c>
      <c r="O1014" s="1">
        <v>1752920</v>
      </c>
      <c r="P1014" s="1">
        <v>335768</v>
      </c>
      <c r="Q1014" s="1">
        <v>637371</v>
      </c>
      <c r="R1014" s="1">
        <v>30701716</v>
      </c>
      <c r="S1014" s="1">
        <v>39061</v>
      </c>
      <c r="T1014" s="1">
        <v>39061</v>
      </c>
      <c r="U1014" s="1">
        <v>41051</v>
      </c>
      <c r="V1014" s="1">
        <v>0</v>
      </c>
      <c r="W1014" s="1">
        <v>1</v>
      </c>
    </row>
    <row r="1015">
      <c r="A1015" s="1">
        <v>2021</v>
      </c>
      <c r="B1015" s="1">
        <v>40</v>
      </c>
      <c r="C1015" t="s">
        <v>47</v>
      </c>
      <c r="D1015" s="1">
        <v>109</v>
      </c>
      <c r="E1015" t="s">
        <v>209</v>
      </c>
      <c r="F1015" s="1">
        <v>41</v>
      </c>
      <c r="G1015" t="s">
        <v>3</v>
      </c>
      <c r="H1015" s="1">
        <v>51</v>
      </c>
      <c r="I1015" t="s">
        <v>6</v>
      </c>
      <c r="J1015" s="1">
        <v>24</v>
      </c>
      <c r="K1015" s="1">
        <v>30</v>
      </c>
      <c r="L1015" s="1">
        <v>1285</v>
      </c>
      <c r="M1015" s="1">
        <v>21647</v>
      </c>
      <c r="N1015" s="1">
        <v>40417</v>
      </c>
      <c r="O1015" s="1">
        <v>1210240</v>
      </c>
      <c r="P1015" s="1">
        <v>288236</v>
      </c>
      <c r="Q1015" s="1">
        <v>585865</v>
      </c>
      <c r="R1015" s="1">
        <v>22056930</v>
      </c>
      <c r="S1015" s="1">
        <v>40109</v>
      </c>
      <c r="T1015" s="1">
        <v>40109</v>
      </c>
      <c r="U1015" s="1">
        <v>41051</v>
      </c>
      <c r="V1015" s="1">
        <v>0</v>
      </c>
      <c r="W1015" s="1">
        <v>1</v>
      </c>
    </row>
    <row r="1016">
      <c r="A1016" s="1">
        <v>2021</v>
      </c>
      <c r="B1016" s="1">
        <v>41</v>
      </c>
      <c r="C1016" t="s">
        <v>3</v>
      </c>
      <c r="D1016" s="1">
        <v>3</v>
      </c>
      <c r="E1016" t="s">
        <v>124</v>
      </c>
      <c r="F1016" s="1">
        <v>41</v>
      </c>
      <c r="G1016" t="s">
        <v>3</v>
      </c>
      <c r="H1016" s="1">
        <v>51</v>
      </c>
      <c r="I1016" t="s">
        <v>6</v>
      </c>
      <c r="J1016" s="1">
        <v>272</v>
      </c>
      <c r="K1016" s="1">
        <v>314</v>
      </c>
      <c r="L1016" s="1">
        <v>10150</v>
      </c>
      <c r="M1016" s="1">
        <v>3941</v>
      </c>
      <c r="N1016" s="1">
        <v>6044</v>
      </c>
      <c r="O1016" s="1">
        <v>203880</v>
      </c>
      <c r="P1016" s="1">
        <v>34470</v>
      </c>
      <c r="Q1016" s="1">
        <v>64712</v>
      </c>
      <c r="R1016" s="1">
        <v>2940117</v>
      </c>
      <c r="S1016" s="1">
        <v>41003</v>
      </c>
      <c r="T1016" s="1">
        <v>41003</v>
      </c>
      <c r="U1016" s="1">
        <v>41051</v>
      </c>
      <c r="V1016" s="1">
        <v>0</v>
      </c>
      <c r="W1016" s="1">
        <v>1</v>
      </c>
    </row>
    <row r="1017">
      <c r="A1017" s="1">
        <v>2021</v>
      </c>
      <c r="B1017" s="1">
        <v>41</v>
      </c>
      <c r="C1017" t="s">
        <v>3</v>
      </c>
      <c r="D1017" s="1">
        <v>5</v>
      </c>
      <c r="E1017" t="s">
        <v>125</v>
      </c>
      <c r="F1017" s="1">
        <v>41</v>
      </c>
      <c r="G1017" t="s">
        <v>3</v>
      </c>
      <c r="H1017" s="1">
        <v>51</v>
      </c>
      <c r="I1017" t="s">
        <v>6</v>
      </c>
      <c r="J1017" s="1">
        <v>4022</v>
      </c>
      <c r="K1017" s="1">
        <v>6068</v>
      </c>
      <c r="L1017" s="1">
        <v>222634</v>
      </c>
      <c r="M1017" s="1">
        <v>15588</v>
      </c>
      <c r="N1017" s="1">
        <v>27042</v>
      </c>
      <c r="O1017" s="1">
        <v>1230005</v>
      </c>
      <c r="P1017" s="1">
        <v>171145</v>
      </c>
      <c r="Q1017" s="1">
        <v>343029</v>
      </c>
      <c r="R1017" s="1">
        <v>17594912</v>
      </c>
      <c r="S1017" s="1">
        <v>41005</v>
      </c>
      <c r="T1017" s="1">
        <v>41005</v>
      </c>
      <c r="U1017" s="1">
        <v>41051</v>
      </c>
      <c r="V1017" s="1">
        <v>0</v>
      </c>
      <c r="W1017" s="1">
        <v>1</v>
      </c>
    </row>
    <row r="1018">
      <c r="A1018" s="1">
        <v>2021</v>
      </c>
      <c r="B1018" s="1">
        <v>41</v>
      </c>
      <c r="C1018" t="s">
        <v>3</v>
      </c>
      <c r="D1018" s="1">
        <v>7</v>
      </c>
      <c r="E1018" t="s">
        <v>126</v>
      </c>
      <c r="F1018" s="1">
        <v>41</v>
      </c>
      <c r="G1018" t="s">
        <v>3</v>
      </c>
      <c r="H1018" s="1">
        <v>51</v>
      </c>
      <c r="I1018" t="s">
        <v>6</v>
      </c>
      <c r="J1018" s="1">
        <v>120</v>
      </c>
      <c r="K1018" s="1">
        <v>165</v>
      </c>
      <c r="L1018" s="1">
        <v>9453</v>
      </c>
      <c r="M1018" s="1">
        <v>1402</v>
      </c>
      <c r="N1018" s="1">
        <v>2404</v>
      </c>
      <c r="O1018" s="1">
        <v>98087</v>
      </c>
      <c r="P1018" s="1">
        <v>16525</v>
      </c>
      <c r="Q1018" s="1">
        <v>30783</v>
      </c>
      <c r="R1018" s="1">
        <v>1088741</v>
      </c>
      <c r="S1018" s="1">
        <v>41007</v>
      </c>
      <c r="T1018" s="1">
        <v>41007</v>
      </c>
      <c r="U1018" s="1">
        <v>41051</v>
      </c>
      <c r="V1018" s="1">
        <v>0</v>
      </c>
      <c r="W1018" s="1">
        <v>1</v>
      </c>
    </row>
    <row r="1019">
      <c r="A1019" s="1">
        <v>2021</v>
      </c>
      <c r="B1019" s="1">
        <v>41</v>
      </c>
      <c r="C1019" t="s">
        <v>3</v>
      </c>
      <c r="D1019" s="1">
        <v>9</v>
      </c>
      <c r="E1019" t="s">
        <v>127</v>
      </c>
      <c r="F1019" s="1">
        <v>41</v>
      </c>
      <c r="G1019" t="s">
        <v>3</v>
      </c>
      <c r="H1019" s="1">
        <v>51</v>
      </c>
      <c r="I1019" t="s">
        <v>6</v>
      </c>
      <c r="J1019" s="1">
        <v>196</v>
      </c>
      <c r="K1019" s="1">
        <v>289</v>
      </c>
      <c r="L1019" s="1">
        <v>9082</v>
      </c>
      <c r="M1019" s="1">
        <v>1604</v>
      </c>
      <c r="N1019" s="1">
        <v>2787</v>
      </c>
      <c r="O1019" s="1">
        <v>98317</v>
      </c>
      <c r="P1019" s="1">
        <v>20858</v>
      </c>
      <c r="Q1019" s="1">
        <v>41284</v>
      </c>
      <c r="R1019" s="1">
        <v>1494792</v>
      </c>
      <c r="S1019" s="1">
        <v>41009</v>
      </c>
      <c r="T1019" s="1">
        <v>41009</v>
      </c>
      <c r="U1019" s="1">
        <v>41051</v>
      </c>
      <c r="V1019" s="1">
        <v>0</v>
      </c>
      <c r="W1019" s="1">
        <v>1</v>
      </c>
    </row>
    <row r="1020">
      <c r="A1020" s="1">
        <v>2021</v>
      </c>
      <c r="B1020" s="1">
        <v>41</v>
      </c>
      <c r="C1020" t="s">
        <v>3</v>
      </c>
      <c r="D1020" s="1">
        <v>11</v>
      </c>
      <c r="E1020" t="s">
        <v>128</v>
      </c>
      <c r="F1020" s="1">
        <v>41</v>
      </c>
      <c r="G1020" t="s">
        <v>3</v>
      </c>
      <c r="H1020" s="1">
        <v>51</v>
      </c>
      <c r="I1020" t="s">
        <v>6</v>
      </c>
      <c r="J1020" s="1">
        <v>45</v>
      </c>
      <c r="K1020" s="1">
        <v>55</v>
      </c>
      <c r="L1020" s="1">
        <v>1397</v>
      </c>
      <c r="M1020" s="1">
        <v>1649</v>
      </c>
      <c r="N1020" s="1">
        <v>2935</v>
      </c>
      <c r="O1020" s="1">
        <v>73586</v>
      </c>
      <c r="P1020" s="1">
        <v>24527</v>
      </c>
      <c r="Q1020" s="1">
        <v>46208</v>
      </c>
      <c r="R1020" s="1">
        <v>1486739</v>
      </c>
      <c r="S1020" s="1">
        <v>41011</v>
      </c>
      <c r="T1020" s="1">
        <v>41011</v>
      </c>
      <c r="U1020" s="1">
        <v>41051</v>
      </c>
      <c r="V1020" s="1">
        <v>0</v>
      </c>
      <c r="W1020" s="1">
        <v>1</v>
      </c>
    </row>
    <row r="1021">
      <c r="A1021" s="1">
        <v>2021</v>
      </c>
      <c r="B1021" s="1">
        <v>41</v>
      </c>
      <c r="C1021" t="s">
        <v>3</v>
      </c>
      <c r="D1021" s="1">
        <v>17</v>
      </c>
      <c r="E1021" t="s">
        <v>130</v>
      </c>
      <c r="F1021" s="1">
        <v>41</v>
      </c>
      <c r="G1021" t="s">
        <v>3</v>
      </c>
      <c r="H1021" s="1">
        <v>51</v>
      </c>
      <c r="I1021" t="s">
        <v>6</v>
      </c>
      <c r="J1021" s="1">
        <v>313</v>
      </c>
      <c r="K1021" s="1">
        <v>394</v>
      </c>
      <c r="L1021" s="1">
        <v>18368</v>
      </c>
      <c r="M1021" s="1">
        <v>6817</v>
      </c>
      <c r="N1021" s="1">
        <v>11776</v>
      </c>
      <c r="O1021" s="1">
        <v>535527</v>
      </c>
      <c r="P1021" s="1">
        <v>85276</v>
      </c>
      <c r="Q1021" s="1">
        <v>164073</v>
      </c>
      <c r="R1021" s="1">
        <v>8072821</v>
      </c>
      <c r="S1021" s="1">
        <v>41017</v>
      </c>
      <c r="T1021" s="1">
        <v>41017</v>
      </c>
      <c r="U1021" s="1">
        <v>41051</v>
      </c>
      <c r="V1021" s="1">
        <v>0</v>
      </c>
      <c r="W1021" s="1">
        <v>1</v>
      </c>
    </row>
    <row r="1022">
      <c r="A1022" s="1">
        <v>2021</v>
      </c>
      <c r="B1022" s="1">
        <v>41</v>
      </c>
      <c r="C1022" t="s">
        <v>3</v>
      </c>
      <c r="D1022" s="1">
        <v>19</v>
      </c>
      <c r="E1022" t="s">
        <v>131</v>
      </c>
      <c r="F1022" s="1">
        <v>41</v>
      </c>
      <c r="G1022" t="s">
        <v>3</v>
      </c>
      <c r="H1022" s="1">
        <v>51</v>
      </c>
      <c r="I1022" t="s">
        <v>6</v>
      </c>
      <c r="J1022" s="1">
        <v>63</v>
      </c>
      <c r="K1022" s="1">
        <v>84</v>
      </c>
      <c r="L1022" s="1">
        <v>2409</v>
      </c>
      <c r="M1022" s="1">
        <v>2262</v>
      </c>
      <c r="N1022" s="1">
        <v>3827</v>
      </c>
      <c r="O1022" s="1">
        <v>112108</v>
      </c>
      <c r="P1022" s="1">
        <v>41025</v>
      </c>
      <c r="Q1022" s="1">
        <v>80571</v>
      </c>
      <c r="R1022" s="1">
        <v>2414381</v>
      </c>
      <c r="S1022" s="1">
        <v>41019</v>
      </c>
      <c r="T1022" s="1">
        <v>41019</v>
      </c>
      <c r="U1022" s="1">
        <v>41051</v>
      </c>
      <c r="V1022" s="1">
        <v>0</v>
      </c>
      <c r="W1022" s="1">
        <v>1</v>
      </c>
    </row>
    <row r="1023">
      <c r="A1023" s="1">
        <v>2021</v>
      </c>
      <c r="B1023" s="1">
        <v>41</v>
      </c>
      <c r="C1023" t="s">
        <v>3</v>
      </c>
      <c r="D1023" s="1">
        <v>27</v>
      </c>
      <c r="E1023" t="s">
        <v>132</v>
      </c>
      <c r="F1023" s="1">
        <v>41</v>
      </c>
      <c r="G1023" t="s">
        <v>3</v>
      </c>
      <c r="H1023" s="1">
        <v>51</v>
      </c>
      <c r="I1023" t="s">
        <v>6</v>
      </c>
      <c r="J1023" s="1">
        <v>94</v>
      </c>
      <c r="K1023" s="1">
        <v>129</v>
      </c>
      <c r="L1023" s="1">
        <v>5754</v>
      </c>
      <c r="M1023" s="1">
        <v>800</v>
      </c>
      <c r="N1023" s="1">
        <v>1321</v>
      </c>
      <c r="O1023" s="1">
        <v>59240</v>
      </c>
      <c r="P1023" s="1">
        <v>10035</v>
      </c>
      <c r="Q1023" s="1">
        <v>20487</v>
      </c>
      <c r="R1023" s="1">
        <v>834721</v>
      </c>
      <c r="S1023" s="1">
        <v>41027</v>
      </c>
      <c r="T1023" s="1">
        <v>41027</v>
      </c>
      <c r="U1023" s="1">
        <v>41051</v>
      </c>
      <c r="V1023" s="1">
        <v>0</v>
      </c>
      <c r="W1023" s="1">
        <v>1</v>
      </c>
    </row>
    <row r="1024">
      <c r="A1024" s="1">
        <v>2021</v>
      </c>
      <c r="B1024" s="1">
        <v>41</v>
      </c>
      <c r="C1024" t="s">
        <v>3</v>
      </c>
      <c r="D1024" s="1">
        <v>29</v>
      </c>
      <c r="E1024" t="s">
        <v>133</v>
      </c>
      <c r="F1024" s="1">
        <v>41</v>
      </c>
      <c r="G1024" t="s">
        <v>3</v>
      </c>
      <c r="H1024" s="1">
        <v>51</v>
      </c>
      <c r="I1024" t="s">
        <v>6</v>
      </c>
      <c r="J1024" s="1">
        <v>238</v>
      </c>
      <c r="K1024" s="1">
        <v>301</v>
      </c>
      <c r="L1024" s="1">
        <v>9399</v>
      </c>
      <c r="M1024" s="1">
        <v>5621</v>
      </c>
      <c r="N1024" s="1">
        <v>9446</v>
      </c>
      <c r="O1024" s="1">
        <v>300369</v>
      </c>
      <c r="P1024" s="1">
        <v>88978</v>
      </c>
      <c r="Q1024" s="1">
        <v>170461</v>
      </c>
      <c r="R1024" s="1">
        <v>6084506</v>
      </c>
      <c r="S1024" s="1">
        <v>41029</v>
      </c>
      <c r="T1024" s="1">
        <v>41029</v>
      </c>
      <c r="U1024" s="1">
        <v>41051</v>
      </c>
      <c r="V1024" s="1">
        <v>0</v>
      </c>
      <c r="W1024" s="1">
        <v>1</v>
      </c>
    </row>
    <row r="1025">
      <c r="A1025" s="1">
        <v>2021</v>
      </c>
      <c r="B1025" s="1">
        <v>41</v>
      </c>
      <c r="C1025" t="s">
        <v>3</v>
      </c>
      <c r="D1025" s="1">
        <v>31</v>
      </c>
      <c r="E1025" t="s">
        <v>83</v>
      </c>
      <c r="F1025" s="1">
        <v>41</v>
      </c>
      <c r="G1025" t="s">
        <v>3</v>
      </c>
      <c r="H1025" s="1">
        <v>51</v>
      </c>
      <c r="I1025" t="s">
        <v>6</v>
      </c>
      <c r="J1025" s="1">
        <v>26</v>
      </c>
      <c r="K1025" s="1">
        <v>41</v>
      </c>
      <c r="L1025" s="1">
        <v>783</v>
      </c>
      <c r="M1025" s="1">
        <v>882</v>
      </c>
      <c r="N1025" s="1">
        <v>1480</v>
      </c>
      <c r="O1025" s="1">
        <v>33925</v>
      </c>
      <c r="P1025" s="1">
        <v>8831</v>
      </c>
      <c r="Q1025" s="1">
        <v>18380</v>
      </c>
      <c r="R1025" s="1">
        <v>469734</v>
      </c>
      <c r="S1025" s="1">
        <v>41031</v>
      </c>
      <c r="T1025" s="1">
        <v>41031</v>
      </c>
      <c r="U1025" s="1">
        <v>41051</v>
      </c>
      <c r="V1025" s="1">
        <v>0</v>
      </c>
      <c r="W1025" s="1">
        <v>1</v>
      </c>
    </row>
    <row r="1026">
      <c r="A1026" s="1">
        <v>2021</v>
      </c>
      <c r="B1026" s="1">
        <v>41</v>
      </c>
      <c r="C1026" t="s">
        <v>3</v>
      </c>
      <c r="D1026" s="1">
        <v>33</v>
      </c>
      <c r="E1026" t="s">
        <v>134</v>
      </c>
      <c r="F1026" s="1">
        <v>41</v>
      </c>
      <c r="G1026" t="s">
        <v>3</v>
      </c>
      <c r="H1026" s="1">
        <v>51</v>
      </c>
      <c r="I1026" t="s">
        <v>6</v>
      </c>
      <c r="J1026" s="1">
        <v>49</v>
      </c>
      <c r="K1026" s="1">
        <v>64</v>
      </c>
      <c r="L1026" s="1">
        <v>1389</v>
      </c>
      <c r="M1026" s="1">
        <v>2235</v>
      </c>
      <c r="N1026" s="1">
        <v>3830</v>
      </c>
      <c r="O1026" s="1">
        <v>102995</v>
      </c>
      <c r="P1026" s="1">
        <v>33105</v>
      </c>
      <c r="Q1026" s="1">
        <v>63653</v>
      </c>
      <c r="R1026" s="1">
        <v>1867408</v>
      </c>
      <c r="S1026" s="1">
        <v>41033</v>
      </c>
      <c r="T1026" s="1">
        <v>41033</v>
      </c>
      <c r="U1026" s="1">
        <v>41051</v>
      </c>
      <c r="V1026" s="1">
        <v>0</v>
      </c>
      <c r="W1026" s="1">
        <v>1</v>
      </c>
    </row>
    <row r="1027">
      <c r="A1027" s="1">
        <v>2021</v>
      </c>
      <c r="B1027" s="1">
        <v>41</v>
      </c>
      <c r="C1027" t="s">
        <v>3</v>
      </c>
      <c r="D1027" s="1">
        <v>35</v>
      </c>
      <c r="E1027" t="s">
        <v>135</v>
      </c>
      <c r="F1027" s="1">
        <v>41</v>
      </c>
      <c r="G1027" t="s">
        <v>3</v>
      </c>
      <c r="H1027" s="1">
        <v>51</v>
      </c>
      <c r="I1027" t="s">
        <v>6</v>
      </c>
      <c r="J1027" s="1">
        <v>37</v>
      </c>
      <c r="K1027" s="1">
        <v>44</v>
      </c>
      <c r="L1027" s="1">
        <v>2250</v>
      </c>
      <c r="M1027" s="1">
        <v>1695</v>
      </c>
      <c r="N1027" s="1">
        <v>2957</v>
      </c>
      <c r="O1027" s="1">
        <v>78916</v>
      </c>
      <c r="P1027" s="1">
        <v>25065</v>
      </c>
      <c r="Q1027" s="1">
        <v>50747</v>
      </c>
      <c r="R1027" s="1">
        <v>1406906</v>
      </c>
      <c r="S1027" s="1">
        <v>41035</v>
      </c>
      <c r="T1027" s="1">
        <v>41035</v>
      </c>
      <c r="U1027" s="1">
        <v>41051</v>
      </c>
      <c r="V1027" s="1">
        <v>0</v>
      </c>
      <c r="W1027" s="1">
        <v>1</v>
      </c>
    </row>
    <row r="1028">
      <c r="A1028" s="1">
        <v>2021</v>
      </c>
      <c r="B1028" s="1">
        <v>41</v>
      </c>
      <c r="C1028" t="s">
        <v>3</v>
      </c>
      <c r="D1028" s="1">
        <v>39</v>
      </c>
      <c r="E1028" t="s">
        <v>136</v>
      </c>
      <c r="F1028" s="1">
        <v>41</v>
      </c>
      <c r="G1028" t="s">
        <v>3</v>
      </c>
      <c r="H1028" s="1">
        <v>51</v>
      </c>
      <c r="I1028" t="s">
        <v>6</v>
      </c>
      <c r="J1028" s="1">
        <v>650</v>
      </c>
      <c r="K1028" s="1">
        <v>779</v>
      </c>
      <c r="L1028" s="1">
        <v>28001</v>
      </c>
      <c r="M1028" s="1">
        <v>9331</v>
      </c>
      <c r="N1028" s="1">
        <v>14904</v>
      </c>
      <c r="O1028" s="1">
        <v>493932</v>
      </c>
      <c r="P1028" s="1">
        <v>149588</v>
      </c>
      <c r="Q1028" s="1">
        <v>274886</v>
      </c>
      <c r="R1028" s="1">
        <v>10424591</v>
      </c>
      <c r="S1028" s="1">
        <v>41039</v>
      </c>
      <c r="T1028" s="1">
        <v>41039</v>
      </c>
      <c r="U1028" s="1">
        <v>41051</v>
      </c>
      <c r="V1028" s="1">
        <v>0</v>
      </c>
      <c r="W1028" s="1">
        <v>1</v>
      </c>
    </row>
    <row r="1029">
      <c r="A1029" s="1">
        <v>2021</v>
      </c>
      <c r="B1029" s="1">
        <v>41</v>
      </c>
      <c r="C1029" t="s">
        <v>3</v>
      </c>
      <c r="D1029" s="1">
        <v>41</v>
      </c>
      <c r="E1029" t="s">
        <v>137</v>
      </c>
      <c r="F1029" s="1">
        <v>41</v>
      </c>
      <c r="G1029" t="s">
        <v>3</v>
      </c>
      <c r="H1029" s="1">
        <v>51</v>
      </c>
      <c r="I1029" t="s">
        <v>6</v>
      </c>
      <c r="J1029" s="1">
        <v>77</v>
      </c>
      <c r="K1029" s="1">
        <v>107</v>
      </c>
      <c r="L1029" s="1">
        <v>4153</v>
      </c>
      <c r="M1029" s="1">
        <v>1708</v>
      </c>
      <c r="N1029" s="1">
        <v>2837</v>
      </c>
      <c r="O1029" s="1">
        <v>88796</v>
      </c>
      <c r="P1029" s="1">
        <v>19860</v>
      </c>
      <c r="Q1029" s="1">
        <v>36139</v>
      </c>
      <c r="R1029" s="1">
        <v>1189130</v>
      </c>
      <c r="S1029" s="1">
        <v>41041</v>
      </c>
      <c r="T1029" s="1">
        <v>41041</v>
      </c>
      <c r="U1029" s="1">
        <v>41051</v>
      </c>
      <c r="V1029" s="1">
        <v>0</v>
      </c>
      <c r="W1029" s="1">
        <v>1</v>
      </c>
    </row>
    <row r="1030">
      <c r="A1030" s="1">
        <v>2021</v>
      </c>
      <c r="B1030" s="1">
        <v>41</v>
      </c>
      <c r="C1030" t="s">
        <v>3</v>
      </c>
      <c r="D1030" s="1">
        <v>43</v>
      </c>
      <c r="E1030" t="s">
        <v>138</v>
      </c>
      <c r="F1030" s="1">
        <v>41</v>
      </c>
      <c r="G1030" t="s">
        <v>3</v>
      </c>
      <c r="H1030" s="1">
        <v>51</v>
      </c>
      <c r="I1030" t="s">
        <v>6</v>
      </c>
      <c r="J1030" s="1">
        <v>97</v>
      </c>
      <c r="K1030" s="1">
        <v>125</v>
      </c>
      <c r="L1030" s="1">
        <v>3754</v>
      </c>
      <c r="M1030" s="1">
        <v>3873</v>
      </c>
      <c r="N1030" s="1">
        <v>6999</v>
      </c>
      <c r="O1030" s="1">
        <v>201347</v>
      </c>
      <c r="P1030" s="1">
        <v>49298</v>
      </c>
      <c r="Q1030" s="1">
        <v>99824</v>
      </c>
      <c r="R1030" s="1">
        <v>3068417</v>
      </c>
      <c r="S1030" s="1">
        <v>41043</v>
      </c>
      <c r="T1030" s="1">
        <v>41043</v>
      </c>
      <c r="U1030" s="1">
        <v>41051</v>
      </c>
      <c r="V1030" s="1">
        <v>0</v>
      </c>
      <c r="W1030" s="1">
        <v>1</v>
      </c>
    </row>
    <row r="1031">
      <c r="A1031" s="1">
        <v>2021</v>
      </c>
      <c r="B1031" s="1">
        <v>41</v>
      </c>
      <c r="C1031" t="s">
        <v>3</v>
      </c>
      <c r="D1031" s="1">
        <v>47</v>
      </c>
      <c r="E1031" t="s">
        <v>99</v>
      </c>
      <c r="F1031" s="1">
        <v>41</v>
      </c>
      <c r="G1031" t="s">
        <v>3</v>
      </c>
      <c r="H1031" s="1">
        <v>51</v>
      </c>
      <c r="I1031" t="s">
        <v>6</v>
      </c>
      <c r="J1031" s="1">
        <v>601</v>
      </c>
      <c r="K1031" s="1">
        <v>841</v>
      </c>
      <c r="L1031" s="1">
        <v>25825</v>
      </c>
      <c r="M1031" s="1">
        <v>9069</v>
      </c>
      <c r="N1031" s="1">
        <v>16150</v>
      </c>
      <c r="O1031" s="1">
        <v>484053</v>
      </c>
      <c r="P1031" s="1">
        <v>130269</v>
      </c>
      <c r="Q1031" s="1">
        <v>268294</v>
      </c>
      <c r="R1031" s="1">
        <v>8790628</v>
      </c>
      <c r="S1031" s="1">
        <v>41047</v>
      </c>
      <c r="T1031" s="1">
        <v>41047</v>
      </c>
      <c r="U1031" s="1">
        <v>41051</v>
      </c>
      <c r="V1031" s="1">
        <v>0</v>
      </c>
      <c r="W1031" s="1">
        <v>1</v>
      </c>
    </row>
    <row r="1032">
      <c r="A1032" s="1">
        <v>2021</v>
      </c>
      <c r="B1032" s="1">
        <v>41</v>
      </c>
      <c r="C1032" t="s">
        <v>3</v>
      </c>
      <c r="D1032" s="1">
        <v>53</v>
      </c>
      <c r="E1032" t="s">
        <v>100</v>
      </c>
      <c r="F1032" s="1">
        <v>41</v>
      </c>
      <c r="G1032" t="s">
        <v>3</v>
      </c>
      <c r="H1032" s="1">
        <v>51</v>
      </c>
      <c r="I1032" t="s">
        <v>6</v>
      </c>
      <c r="J1032" s="1">
        <v>102</v>
      </c>
      <c r="K1032" s="1">
        <v>127</v>
      </c>
      <c r="L1032" s="1">
        <v>4491</v>
      </c>
      <c r="M1032" s="1">
        <v>3425</v>
      </c>
      <c r="N1032" s="1">
        <v>6181</v>
      </c>
      <c r="O1032" s="1">
        <v>180455</v>
      </c>
      <c r="P1032" s="1">
        <v>32369</v>
      </c>
      <c r="Q1032" s="1">
        <v>67325</v>
      </c>
      <c r="R1032" s="1">
        <v>2305410</v>
      </c>
      <c r="S1032" s="1">
        <v>41053</v>
      </c>
      <c r="T1032" s="1">
        <v>41053</v>
      </c>
      <c r="U1032" s="1">
        <v>41051</v>
      </c>
      <c r="V1032" s="1">
        <v>0</v>
      </c>
      <c r="W1032" s="1">
        <v>1</v>
      </c>
    </row>
    <row r="1033">
      <c r="A1033" s="1">
        <v>2021</v>
      </c>
      <c r="B1033" s="1">
        <v>41</v>
      </c>
      <c r="C1033" t="s">
        <v>3</v>
      </c>
      <c r="D1033" s="1">
        <v>57</v>
      </c>
      <c r="E1033" t="s">
        <v>139</v>
      </c>
      <c r="F1033" s="1">
        <v>41</v>
      </c>
      <c r="G1033" t="s">
        <v>3</v>
      </c>
      <c r="H1033" s="1">
        <v>51</v>
      </c>
      <c r="I1033" t="s">
        <v>6</v>
      </c>
      <c r="J1033" s="1">
        <v>54</v>
      </c>
      <c r="K1033" s="1">
        <v>77</v>
      </c>
      <c r="L1033" s="1">
        <v>3212</v>
      </c>
      <c r="M1033" s="1">
        <v>868</v>
      </c>
      <c r="N1033" s="1">
        <v>1512</v>
      </c>
      <c r="O1033" s="1">
        <v>49586</v>
      </c>
      <c r="P1033" s="1">
        <v>10938</v>
      </c>
      <c r="Q1033" s="1">
        <v>20907</v>
      </c>
      <c r="R1033" s="1">
        <v>690430</v>
      </c>
      <c r="S1033" s="1">
        <v>41057</v>
      </c>
      <c r="T1033" s="1">
        <v>41057</v>
      </c>
      <c r="U1033" s="1">
        <v>41051</v>
      </c>
      <c r="V1033" s="1">
        <v>0</v>
      </c>
      <c r="W1033" s="1">
        <v>1</v>
      </c>
    </row>
    <row r="1034">
      <c r="A1034" s="1">
        <v>2021</v>
      </c>
      <c r="B1034" s="1">
        <v>41</v>
      </c>
      <c r="C1034" t="s">
        <v>3</v>
      </c>
      <c r="D1034" s="1">
        <v>59</v>
      </c>
      <c r="E1034" t="s">
        <v>140</v>
      </c>
      <c r="F1034" s="1">
        <v>41</v>
      </c>
      <c r="G1034" t="s">
        <v>3</v>
      </c>
      <c r="H1034" s="1">
        <v>51</v>
      </c>
      <c r="I1034" t="s">
        <v>6</v>
      </c>
      <c r="J1034" s="1">
        <v>58</v>
      </c>
      <c r="K1034" s="1">
        <v>79</v>
      </c>
      <c r="L1034" s="1">
        <v>3615</v>
      </c>
      <c r="M1034" s="1">
        <v>1954</v>
      </c>
      <c r="N1034" s="1">
        <v>3283</v>
      </c>
      <c r="O1034" s="1">
        <v>85885</v>
      </c>
      <c r="P1034" s="1">
        <v>28378</v>
      </c>
      <c r="Q1034" s="1">
        <v>59084</v>
      </c>
      <c r="R1034" s="1">
        <v>1702186</v>
      </c>
      <c r="S1034" s="1">
        <v>41059</v>
      </c>
      <c r="T1034" s="1">
        <v>41059</v>
      </c>
      <c r="U1034" s="1">
        <v>41051</v>
      </c>
      <c r="V1034" s="1">
        <v>0</v>
      </c>
      <c r="W1034" s="1">
        <v>1</v>
      </c>
    </row>
    <row r="1035">
      <c r="A1035" s="1">
        <v>2021</v>
      </c>
      <c r="B1035" s="1">
        <v>41</v>
      </c>
      <c r="C1035" t="s">
        <v>3</v>
      </c>
      <c r="D1035" s="1">
        <v>61</v>
      </c>
      <c r="E1035" t="s">
        <v>141</v>
      </c>
      <c r="F1035" s="1">
        <v>41</v>
      </c>
      <c r="G1035" t="s">
        <v>3</v>
      </c>
      <c r="H1035" s="1">
        <v>51</v>
      </c>
      <c r="I1035" t="s">
        <v>6</v>
      </c>
      <c r="J1035" s="1">
        <v>25</v>
      </c>
      <c r="K1035" s="1">
        <v>44</v>
      </c>
      <c r="L1035" s="1">
        <v>1267</v>
      </c>
      <c r="M1035" s="1">
        <v>635</v>
      </c>
      <c r="N1035" s="1">
        <v>1111</v>
      </c>
      <c r="O1035" s="1">
        <v>32680</v>
      </c>
      <c r="P1035" s="1">
        <v>9957</v>
      </c>
      <c r="Q1035" s="1">
        <v>20379</v>
      </c>
      <c r="R1035" s="1">
        <v>625861</v>
      </c>
      <c r="S1035" s="1">
        <v>41061</v>
      </c>
      <c r="T1035" s="1">
        <v>41061</v>
      </c>
      <c r="U1035" s="1">
        <v>41051</v>
      </c>
      <c r="V1035" s="1">
        <v>0</v>
      </c>
      <c r="W1035" s="1">
        <v>1</v>
      </c>
    </row>
    <row r="1036">
      <c r="A1036" s="1">
        <v>2021</v>
      </c>
      <c r="B1036" s="1">
        <v>41</v>
      </c>
      <c r="C1036" t="s">
        <v>3</v>
      </c>
      <c r="D1036" s="1">
        <v>65</v>
      </c>
      <c r="E1036" t="s">
        <v>142</v>
      </c>
      <c r="F1036" s="1">
        <v>41</v>
      </c>
      <c r="G1036" t="s">
        <v>3</v>
      </c>
      <c r="H1036" s="1">
        <v>51</v>
      </c>
      <c r="I1036" t="s">
        <v>6</v>
      </c>
      <c r="J1036" s="1">
        <v>53</v>
      </c>
      <c r="K1036" s="1">
        <v>84</v>
      </c>
      <c r="L1036" s="1">
        <v>2287</v>
      </c>
      <c r="M1036" s="1">
        <v>765</v>
      </c>
      <c r="N1036" s="1">
        <v>1353</v>
      </c>
      <c r="O1036" s="1">
        <v>41102</v>
      </c>
      <c r="P1036" s="1">
        <v>10058</v>
      </c>
      <c r="Q1036" s="1">
        <v>19974</v>
      </c>
      <c r="R1036" s="1">
        <v>621307</v>
      </c>
      <c r="S1036" s="1">
        <v>41065</v>
      </c>
      <c r="T1036" s="1">
        <v>41065</v>
      </c>
      <c r="U1036" s="1">
        <v>41051</v>
      </c>
      <c r="V1036" s="1">
        <v>0</v>
      </c>
      <c r="W1036" s="1">
        <v>1</v>
      </c>
    </row>
    <row r="1037">
      <c r="A1037" s="1">
        <v>2021</v>
      </c>
      <c r="B1037" s="1">
        <v>41</v>
      </c>
      <c r="C1037" t="s">
        <v>3</v>
      </c>
      <c r="D1037" s="1">
        <v>67</v>
      </c>
      <c r="E1037" t="s">
        <v>143</v>
      </c>
      <c r="F1037" s="1">
        <v>41</v>
      </c>
      <c r="G1037" t="s">
        <v>3</v>
      </c>
      <c r="H1037" s="1">
        <v>51</v>
      </c>
      <c r="I1037" t="s">
        <v>6</v>
      </c>
      <c r="J1037" s="1">
        <v>4324</v>
      </c>
      <c r="K1037" s="1">
        <v>5956</v>
      </c>
      <c r="L1037" s="1">
        <v>349406</v>
      </c>
      <c r="M1037" s="1">
        <v>21144</v>
      </c>
      <c r="N1037" s="1">
        <v>36132</v>
      </c>
      <c r="O1037" s="1">
        <v>1954475</v>
      </c>
      <c r="P1037" s="1">
        <v>244148</v>
      </c>
      <c r="Q1037" s="1">
        <v>488483</v>
      </c>
      <c r="R1037" s="1">
        <v>24500828</v>
      </c>
      <c r="S1037" s="1">
        <v>41067</v>
      </c>
      <c r="T1037" s="1">
        <v>41067</v>
      </c>
      <c r="U1037" s="1">
        <v>41051</v>
      </c>
      <c r="V1037" s="1">
        <v>0</v>
      </c>
      <c r="W1037" s="1">
        <v>1</v>
      </c>
    </row>
    <row r="1038">
      <c r="A1038" s="1">
        <v>2021</v>
      </c>
      <c r="B1038" s="1">
        <v>41</v>
      </c>
      <c r="C1038" t="s">
        <v>3</v>
      </c>
      <c r="D1038" s="1">
        <v>71</v>
      </c>
      <c r="E1038" t="s">
        <v>144</v>
      </c>
      <c r="F1038" s="1">
        <v>41</v>
      </c>
      <c r="G1038" t="s">
        <v>3</v>
      </c>
      <c r="H1038" s="1">
        <v>51</v>
      </c>
      <c r="I1038" t="s">
        <v>6</v>
      </c>
      <c r="J1038" s="1">
        <v>205</v>
      </c>
      <c r="K1038" s="1">
        <v>294</v>
      </c>
      <c r="L1038" s="1">
        <v>7757</v>
      </c>
      <c r="M1038" s="1">
        <v>3117</v>
      </c>
      <c r="N1038" s="1">
        <v>5670</v>
      </c>
      <c r="O1038" s="1">
        <v>250552</v>
      </c>
      <c r="P1038" s="1">
        <v>40230</v>
      </c>
      <c r="Q1038" s="1">
        <v>83253</v>
      </c>
      <c r="R1038" s="1">
        <v>3110449</v>
      </c>
      <c r="S1038" s="1">
        <v>41071</v>
      </c>
      <c r="T1038" s="1">
        <v>41071</v>
      </c>
      <c r="U1038" s="1">
        <v>41051</v>
      </c>
      <c r="V1038" s="1">
        <v>0</v>
      </c>
      <c r="W1038" s="1">
        <v>1</v>
      </c>
    </row>
    <row r="1039">
      <c r="A1039" s="1">
        <v>2021</v>
      </c>
      <c r="B1039" s="1">
        <v>42</v>
      </c>
      <c r="C1039" t="s">
        <v>34</v>
      </c>
      <c r="D1039" s="1">
        <v>3</v>
      </c>
      <c r="E1039" t="s">
        <v>145</v>
      </c>
      <c r="F1039" s="1">
        <v>41</v>
      </c>
      <c r="G1039" t="s">
        <v>3</v>
      </c>
      <c r="H1039" s="1">
        <v>51</v>
      </c>
      <c r="I1039" t="s">
        <v>6</v>
      </c>
      <c r="J1039" s="1">
        <v>52</v>
      </c>
      <c r="K1039" s="1">
        <v>67</v>
      </c>
      <c r="L1039" s="1">
        <v>4723</v>
      </c>
      <c r="M1039" s="1">
        <v>25787</v>
      </c>
      <c r="N1039" s="1">
        <v>41378</v>
      </c>
      <c r="O1039" s="1">
        <v>2267471</v>
      </c>
      <c r="P1039" s="1">
        <v>524929</v>
      </c>
      <c r="Q1039" s="1">
        <v>964620</v>
      </c>
      <c r="R1039" s="1">
        <v>46737048</v>
      </c>
      <c r="S1039" s="1">
        <v>42003</v>
      </c>
      <c r="T1039" s="1">
        <v>42003</v>
      </c>
      <c r="U1039" s="1">
        <v>41051</v>
      </c>
      <c r="V1039" s="1">
        <v>0</v>
      </c>
      <c r="W1039" s="1">
        <v>1</v>
      </c>
    </row>
    <row r="1040">
      <c r="A1040" s="1">
        <v>2021</v>
      </c>
      <c r="B1040" s="1">
        <v>42</v>
      </c>
      <c r="C1040" t="s">
        <v>34</v>
      </c>
      <c r="D1040" s="1">
        <v>101</v>
      </c>
      <c r="E1040" t="s">
        <v>146</v>
      </c>
      <c r="F1040" s="1">
        <v>41</v>
      </c>
      <c r="G1040" t="s">
        <v>3</v>
      </c>
      <c r="H1040" s="1">
        <v>51</v>
      </c>
      <c r="I1040" t="s">
        <v>6</v>
      </c>
      <c r="J1040" s="1">
        <v>84</v>
      </c>
      <c r="K1040" s="1">
        <v>95</v>
      </c>
      <c r="L1040" s="1">
        <v>5680</v>
      </c>
      <c r="M1040" s="1">
        <v>45091</v>
      </c>
      <c r="N1040" s="1">
        <v>74349</v>
      </c>
      <c r="O1040" s="1">
        <v>3832078</v>
      </c>
      <c r="P1040" s="1">
        <v>586830</v>
      </c>
      <c r="Q1040" s="1">
        <v>1044394</v>
      </c>
      <c r="R1040" s="1">
        <v>37878708</v>
      </c>
      <c r="S1040" s="1">
        <v>42101</v>
      </c>
      <c r="T1040" s="1">
        <v>42101</v>
      </c>
      <c r="U1040" s="1">
        <v>41051</v>
      </c>
      <c r="V1040" s="1">
        <v>0</v>
      </c>
      <c r="W1040" s="1">
        <v>1</v>
      </c>
    </row>
    <row r="1041">
      <c r="A1041" s="1">
        <v>2021</v>
      </c>
      <c r="B1041" s="1">
        <v>45</v>
      </c>
      <c r="C1041" t="s">
        <v>49</v>
      </c>
      <c r="D1041" s="1">
        <v>19</v>
      </c>
      <c r="E1041" t="s">
        <v>213</v>
      </c>
      <c r="F1041" s="1">
        <v>41</v>
      </c>
      <c r="G1041" t="s">
        <v>3</v>
      </c>
      <c r="H1041" s="1">
        <v>51</v>
      </c>
      <c r="I1041" t="s">
        <v>6</v>
      </c>
      <c r="J1041" s="1">
        <v>21</v>
      </c>
      <c r="K1041" s="1">
        <v>28</v>
      </c>
      <c r="L1041" s="1">
        <v>1266</v>
      </c>
      <c r="M1041" s="1">
        <v>15869</v>
      </c>
      <c r="N1041" s="1">
        <v>26746</v>
      </c>
      <c r="O1041" s="1">
        <v>1088852</v>
      </c>
      <c r="P1041" s="1">
        <v>162431</v>
      </c>
      <c r="Q1041" s="1">
        <v>305000</v>
      </c>
      <c r="R1041" s="1">
        <v>18274108</v>
      </c>
      <c r="S1041" s="1">
        <v>45019</v>
      </c>
      <c r="T1041" s="1">
        <v>45019</v>
      </c>
      <c r="U1041" s="1">
        <v>41051</v>
      </c>
      <c r="V1041" s="1">
        <v>0</v>
      </c>
      <c r="W1041" s="1">
        <v>1</v>
      </c>
    </row>
    <row r="1042">
      <c r="A1042" s="1">
        <v>2021</v>
      </c>
      <c r="B1042" s="1">
        <v>47</v>
      </c>
      <c r="C1042" t="s">
        <v>35</v>
      </c>
      <c r="D1042" s="1">
        <v>37</v>
      </c>
      <c r="E1042" t="s">
        <v>147</v>
      </c>
      <c r="F1042" s="1">
        <v>41</v>
      </c>
      <c r="G1042" t="s">
        <v>3</v>
      </c>
      <c r="H1042" s="1">
        <v>51</v>
      </c>
      <c r="I1042" t="s">
        <v>6</v>
      </c>
      <c r="J1042" s="1">
        <v>55</v>
      </c>
      <c r="K1042" s="1">
        <v>69</v>
      </c>
      <c r="L1042" s="1">
        <v>5314</v>
      </c>
      <c r="M1042" s="1">
        <v>31412</v>
      </c>
      <c r="N1042" s="1">
        <v>52176</v>
      </c>
      <c r="O1042" s="1">
        <v>2206094</v>
      </c>
      <c r="P1042" s="1">
        <v>291518</v>
      </c>
      <c r="Q1042" s="1">
        <v>518117</v>
      </c>
      <c r="R1042" s="1">
        <v>26799694</v>
      </c>
      <c r="S1042" s="1">
        <v>47037</v>
      </c>
      <c r="T1042" s="1">
        <v>47037</v>
      </c>
      <c r="U1042" s="1">
        <v>41051</v>
      </c>
      <c r="V1042" s="1">
        <v>0</v>
      </c>
      <c r="W1042" s="1">
        <v>1</v>
      </c>
    </row>
    <row r="1043">
      <c r="A1043" s="1">
        <v>2021</v>
      </c>
      <c r="B1043" s="1">
        <v>47</v>
      </c>
      <c r="C1043" t="s">
        <v>35</v>
      </c>
      <c r="D1043" s="1">
        <v>157</v>
      </c>
      <c r="E1043" t="s">
        <v>215</v>
      </c>
      <c r="F1043" s="1">
        <v>41</v>
      </c>
      <c r="G1043" t="s">
        <v>3</v>
      </c>
      <c r="H1043" s="1">
        <v>51</v>
      </c>
      <c r="I1043" t="s">
        <v>6</v>
      </c>
      <c r="J1043" s="1">
        <v>27</v>
      </c>
      <c r="K1043" s="1">
        <v>36</v>
      </c>
      <c r="L1043" s="1">
        <v>2022</v>
      </c>
      <c r="M1043" s="1">
        <v>18458</v>
      </c>
      <c r="N1043" s="1">
        <v>34427</v>
      </c>
      <c r="O1043" s="1">
        <v>1273205</v>
      </c>
      <c r="P1043" s="1">
        <v>350581</v>
      </c>
      <c r="Q1043" s="1">
        <v>698457</v>
      </c>
      <c r="R1043" s="1">
        <v>26320756</v>
      </c>
      <c r="S1043" s="1">
        <v>47157</v>
      </c>
      <c r="T1043" s="1">
        <v>47157</v>
      </c>
      <c r="U1043" s="1">
        <v>41051</v>
      </c>
      <c r="V1043" s="1">
        <v>0</v>
      </c>
      <c r="W1043" s="1">
        <v>1</v>
      </c>
    </row>
    <row r="1044">
      <c r="A1044" s="1">
        <v>2021</v>
      </c>
      <c r="B1044" s="1">
        <v>48</v>
      </c>
      <c r="C1044" t="s">
        <v>36</v>
      </c>
      <c r="D1044" s="1">
        <v>29</v>
      </c>
      <c r="E1044" t="s">
        <v>149</v>
      </c>
      <c r="F1044" s="1">
        <v>41</v>
      </c>
      <c r="G1044" t="s">
        <v>3</v>
      </c>
      <c r="H1044" s="1">
        <v>51</v>
      </c>
      <c r="I1044" t="s">
        <v>6</v>
      </c>
      <c r="J1044" s="1">
        <v>46</v>
      </c>
      <c r="K1044" s="1">
        <v>67</v>
      </c>
      <c r="L1044" s="1">
        <v>3614</v>
      </c>
      <c r="M1044" s="1">
        <v>41336</v>
      </c>
      <c r="N1044" s="1">
        <v>78900</v>
      </c>
      <c r="O1044" s="1">
        <v>2698129</v>
      </c>
      <c r="P1044" s="1">
        <v>765227</v>
      </c>
      <c r="Q1044" s="1">
        <v>1564962</v>
      </c>
      <c r="R1044" s="1">
        <v>53347032</v>
      </c>
      <c r="S1044" s="1">
        <v>48029</v>
      </c>
      <c r="T1044" s="1">
        <v>48029</v>
      </c>
      <c r="U1044" s="1">
        <v>41051</v>
      </c>
      <c r="V1044" s="1">
        <v>0</v>
      </c>
      <c r="W1044" s="1">
        <v>1</v>
      </c>
    </row>
    <row r="1045">
      <c r="A1045" s="1">
        <v>2021</v>
      </c>
      <c r="B1045" s="1">
        <v>48</v>
      </c>
      <c r="C1045" t="s">
        <v>36</v>
      </c>
      <c r="D1045" s="1">
        <v>85</v>
      </c>
      <c r="E1045" t="s">
        <v>216</v>
      </c>
      <c r="F1045" s="1">
        <v>41</v>
      </c>
      <c r="G1045" t="s">
        <v>3</v>
      </c>
      <c r="H1045" s="1">
        <v>51</v>
      </c>
      <c r="I1045" t="s">
        <v>6</v>
      </c>
      <c r="J1045" s="1">
        <v>28</v>
      </c>
      <c r="K1045" s="1">
        <v>35</v>
      </c>
      <c r="L1045" s="1">
        <v>1324</v>
      </c>
      <c r="M1045" s="1">
        <v>37761</v>
      </c>
      <c r="N1045" s="1">
        <v>68361</v>
      </c>
      <c r="O1045" s="1">
        <v>3424748</v>
      </c>
      <c r="P1045" s="1">
        <v>400720</v>
      </c>
      <c r="Q1045" s="1">
        <v>901814</v>
      </c>
      <c r="R1045" s="1">
        <v>49147368</v>
      </c>
      <c r="S1045" s="1">
        <v>48085</v>
      </c>
      <c r="T1045" s="1">
        <v>48085</v>
      </c>
      <c r="U1045" s="1">
        <v>41051</v>
      </c>
      <c r="V1045" s="1">
        <v>0</v>
      </c>
      <c r="W1045" s="1">
        <v>1</v>
      </c>
    </row>
    <row r="1046">
      <c r="A1046" s="1">
        <v>2021</v>
      </c>
      <c r="B1046" s="1">
        <v>48</v>
      </c>
      <c r="C1046" t="s">
        <v>36</v>
      </c>
      <c r="D1046" s="1">
        <v>113</v>
      </c>
      <c r="E1046" t="s">
        <v>150</v>
      </c>
      <c r="F1046" s="1">
        <v>41</v>
      </c>
      <c r="G1046" t="s">
        <v>3</v>
      </c>
      <c r="H1046" s="1">
        <v>51</v>
      </c>
      <c r="I1046" t="s">
        <v>6</v>
      </c>
      <c r="J1046" s="1">
        <v>84</v>
      </c>
      <c r="K1046" s="1">
        <v>114</v>
      </c>
      <c r="L1046" s="1">
        <v>5211</v>
      </c>
      <c r="M1046" s="1">
        <v>85067</v>
      </c>
      <c r="N1046" s="1">
        <v>152010</v>
      </c>
      <c r="O1046" s="1">
        <v>6353152</v>
      </c>
      <c r="P1046" s="1">
        <v>993530</v>
      </c>
      <c r="Q1046" s="1">
        <v>1990560</v>
      </c>
      <c r="R1046" s="1">
        <v>90758992</v>
      </c>
      <c r="S1046" s="1">
        <v>48113</v>
      </c>
      <c r="T1046" s="1">
        <v>48113</v>
      </c>
      <c r="U1046" s="1">
        <v>41051</v>
      </c>
      <c r="V1046" s="1">
        <v>0</v>
      </c>
      <c r="W1046" s="1">
        <v>1</v>
      </c>
    </row>
    <row r="1047">
      <c r="A1047" s="1">
        <v>2021</v>
      </c>
      <c r="B1047" s="1">
        <v>48</v>
      </c>
      <c r="C1047" t="s">
        <v>36</v>
      </c>
      <c r="D1047" s="1">
        <v>121</v>
      </c>
      <c r="E1047" t="s">
        <v>234</v>
      </c>
      <c r="F1047" s="1">
        <v>41</v>
      </c>
      <c r="G1047" t="s">
        <v>3</v>
      </c>
      <c r="H1047" s="1">
        <v>51</v>
      </c>
      <c r="I1047" t="s">
        <v>6</v>
      </c>
      <c r="J1047" s="1">
        <v>28</v>
      </c>
      <c r="K1047" s="1">
        <v>41</v>
      </c>
      <c r="L1047" s="1">
        <v>2096</v>
      </c>
      <c r="M1047" s="1">
        <v>34902</v>
      </c>
      <c r="N1047" s="1">
        <v>63357</v>
      </c>
      <c r="O1047" s="1">
        <v>2776044</v>
      </c>
      <c r="P1047" s="1">
        <v>346451</v>
      </c>
      <c r="Q1047" s="1">
        <v>753305</v>
      </c>
      <c r="R1047" s="1">
        <v>36968428</v>
      </c>
      <c r="S1047" s="1">
        <v>48121</v>
      </c>
      <c r="T1047" s="1">
        <v>48121</v>
      </c>
      <c r="U1047" s="1">
        <v>41051</v>
      </c>
      <c r="V1047" s="1">
        <v>0</v>
      </c>
      <c r="W1047" s="1">
        <v>1</v>
      </c>
    </row>
    <row r="1048">
      <c r="A1048" s="1">
        <v>2021</v>
      </c>
      <c r="B1048" s="1">
        <v>48</v>
      </c>
      <c r="C1048" t="s">
        <v>36</v>
      </c>
      <c r="D1048" s="1">
        <v>201</v>
      </c>
      <c r="E1048" t="s">
        <v>151</v>
      </c>
      <c r="F1048" s="1">
        <v>41</v>
      </c>
      <c r="G1048" t="s">
        <v>3</v>
      </c>
      <c r="H1048" s="1">
        <v>51</v>
      </c>
      <c r="I1048" t="s">
        <v>6</v>
      </c>
      <c r="J1048" s="1">
        <v>96</v>
      </c>
      <c r="K1048" s="1">
        <v>136</v>
      </c>
      <c r="L1048" s="1">
        <v>6828</v>
      </c>
      <c r="M1048" s="1">
        <v>100883</v>
      </c>
      <c r="N1048" s="1">
        <v>192481</v>
      </c>
      <c r="O1048" s="1">
        <v>7747410</v>
      </c>
      <c r="P1048" s="1">
        <v>1708006</v>
      </c>
      <c r="Q1048" s="1">
        <v>3567387</v>
      </c>
      <c r="R1048" s="1">
        <v>145020960</v>
      </c>
      <c r="S1048" s="1">
        <v>48201</v>
      </c>
      <c r="T1048" s="1">
        <v>48201</v>
      </c>
      <c r="U1048" s="1">
        <v>41051</v>
      </c>
      <c r="V1048" s="1">
        <v>0</v>
      </c>
      <c r="W1048" s="1">
        <v>1</v>
      </c>
    </row>
    <row r="1049">
      <c r="A1049" s="1">
        <v>2021</v>
      </c>
      <c r="B1049" s="1">
        <v>48</v>
      </c>
      <c r="C1049" t="s">
        <v>36</v>
      </c>
      <c r="D1049" s="1">
        <v>439</v>
      </c>
      <c r="E1049" t="s">
        <v>152</v>
      </c>
      <c r="F1049" s="1">
        <v>41</v>
      </c>
      <c r="G1049" t="s">
        <v>3</v>
      </c>
      <c r="H1049" s="1">
        <v>51</v>
      </c>
      <c r="I1049" t="s">
        <v>6</v>
      </c>
      <c r="J1049" s="1">
        <v>52</v>
      </c>
      <c r="K1049" s="1">
        <v>78</v>
      </c>
      <c r="L1049" s="1">
        <v>2568</v>
      </c>
      <c r="M1049" s="1">
        <v>57710</v>
      </c>
      <c r="N1049" s="1">
        <v>107687</v>
      </c>
      <c r="O1049" s="1">
        <v>4101015</v>
      </c>
      <c r="P1049" s="1">
        <v>803056</v>
      </c>
      <c r="Q1049" s="1">
        <v>1683469</v>
      </c>
      <c r="R1049" s="1">
        <v>67712080</v>
      </c>
      <c r="S1049" s="1">
        <v>48439</v>
      </c>
      <c r="T1049" s="1">
        <v>48439</v>
      </c>
      <c r="U1049" s="1">
        <v>41051</v>
      </c>
      <c r="V1049" s="1">
        <v>0</v>
      </c>
      <c r="W1049" s="1">
        <v>1</v>
      </c>
    </row>
    <row r="1050">
      <c r="A1050" s="1">
        <v>2021</v>
      </c>
      <c r="B1050" s="1">
        <v>48</v>
      </c>
      <c r="C1050" t="s">
        <v>36</v>
      </c>
      <c r="D1050" s="1">
        <v>453</v>
      </c>
      <c r="E1050" t="s">
        <v>153</v>
      </c>
      <c r="F1050" s="1">
        <v>41</v>
      </c>
      <c r="G1050" t="s">
        <v>3</v>
      </c>
      <c r="H1050" s="1">
        <v>51</v>
      </c>
      <c r="I1050" t="s">
        <v>6</v>
      </c>
      <c r="J1050" s="1">
        <v>174</v>
      </c>
      <c r="K1050" s="1">
        <v>229</v>
      </c>
      <c r="L1050" s="1">
        <v>14605</v>
      </c>
      <c r="M1050" s="1">
        <v>54753</v>
      </c>
      <c r="N1050" s="1">
        <v>91376</v>
      </c>
      <c r="O1050" s="1">
        <v>4674809</v>
      </c>
      <c r="P1050" s="1">
        <v>520072</v>
      </c>
      <c r="Q1050" s="1">
        <v>973950</v>
      </c>
      <c r="R1050" s="1">
        <v>69774336</v>
      </c>
      <c r="S1050" s="1">
        <v>48453</v>
      </c>
      <c r="T1050" s="1">
        <v>48453</v>
      </c>
      <c r="U1050" s="1">
        <v>41051</v>
      </c>
      <c r="V1050" s="1">
        <v>0</v>
      </c>
      <c r="W1050" s="1">
        <v>1</v>
      </c>
    </row>
    <row r="1051">
      <c r="A1051" s="1">
        <v>2021</v>
      </c>
      <c r="B1051" s="1">
        <v>48</v>
      </c>
      <c r="C1051" t="s">
        <v>36</v>
      </c>
      <c r="D1051" s="1">
        <v>491</v>
      </c>
      <c r="E1051" t="s">
        <v>217</v>
      </c>
      <c r="F1051" s="1">
        <v>41</v>
      </c>
      <c r="G1051" t="s">
        <v>3</v>
      </c>
      <c r="H1051" s="1">
        <v>51</v>
      </c>
      <c r="I1051" t="s">
        <v>6</v>
      </c>
      <c r="J1051" s="1">
        <v>25</v>
      </c>
      <c r="K1051" s="1">
        <v>42</v>
      </c>
      <c r="L1051" s="1">
        <v>1825</v>
      </c>
      <c r="M1051" s="1">
        <v>22838</v>
      </c>
      <c r="N1051" s="1">
        <v>42084</v>
      </c>
      <c r="O1051" s="1">
        <v>1713017</v>
      </c>
      <c r="P1051" s="1">
        <v>239023</v>
      </c>
      <c r="Q1051" s="1">
        <v>517198</v>
      </c>
      <c r="R1051" s="1">
        <v>23616896</v>
      </c>
      <c r="S1051" s="1">
        <v>48491</v>
      </c>
      <c r="T1051" s="1">
        <v>48491</v>
      </c>
      <c r="U1051" s="1">
        <v>41051</v>
      </c>
      <c r="V1051" s="1">
        <v>0</v>
      </c>
      <c r="W1051" s="1">
        <v>1</v>
      </c>
    </row>
    <row r="1052">
      <c r="A1052" s="1">
        <v>2021</v>
      </c>
      <c r="B1052" s="1">
        <v>49</v>
      </c>
      <c r="C1052" t="s">
        <v>37</v>
      </c>
      <c r="D1052" s="1">
        <v>35</v>
      </c>
      <c r="E1052" t="s">
        <v>154</v>
      </c>
      <c r="F1052" s="1">
        <v>41</v>
      </c>
      <c r="G1052" t="s">
        <v>3</v>
      </c>
      <c r="H1052" s="1">
        <v>51</v>
      </c>
      <c r="I1052" t="s">
        <v>6</v>
      </c>
      <c r="J1052" s="1">
        <v>145</v>
      </c>
      <c r="K1052" s="1">
        <v>199</v>
      </c>
      <c r="L1052" s="1">
        <v>9388</v>
      </c>
      <c r="M1052" s="1">
        <v>29757</v>
      </c>
      <c r="N1052" s="1">
        <v>56869</v>
      </c>
      <c r="O1052" s="1">
        <v>2114826</v>
      </c>
      <c r="P1052" s="1">
        <v>448452</v>
      </c>
      <c r="Q1052" s="1">
        <v>940253</v>
      </c>
      <c r="R1052" s="1">
        <v>42126468</v>
      </c>
      <c r="S1052" s="1">
        <v>49035</v>
      </c>
      <c r="T1052" s="1">
        <v>49035</v>
      </c>
      <c r="U1052" s="1">
        <v>41051</v>
      </c>
      <c r="V1052" s="1">
        <v>0</v>
      </c>
      <c r="W1052" s="1">
        <v>1</v>
      </c>
    </row>
    <row r="1053">
      <c r="A1053" s="1">
        <v>2021</v>
      </c>
      <c r="B1053" s="1">
        <v>49</v>
      </c>
      <c r="C1053" t="s">
        <v>37</v>
      </c>
      <c r="D1053" s="1">
        <v>49</v>
      </c>
      <c r="E1053" t="s">
        <v>219</v>
      </c>
      <c r="F1053" s="1">
        <v>41</v>
      </c>
      <c r="G1053" t="s">
        <v>3</v>
      </c>
      <c r="H1053" s="1">
        <v>51</v>
      </c>
      <c r="I1053" t="s">
        <v>6</v>
      </c>
      <c r="J1053" s="1">
        <v>24</v>
      </c>
      <c r="K1053" s="1">
        <v>40</v>
      </c>
      <c r="L1053" s="1">
        <v>932</v>
      </c>
      <c r="M1053" s="1">
        <v>14880</v>
      </c>
      <c r="N1053" s="1">
        <v>31990</v>
      </c>
      <c r="O1053" s="1">
        <v>1107086</v>
      </c>
      <c r="P1053" s="1">
        <v>204610</v>
      </c>
      <c r="Q1053" s="1">
        <v>537804</v>
      </c>
      <c r="R1053" s="1">
        <v>19389480</v>
      </c>
      <c r="S1053" s="1">
        <v>49049</v>
      </c>
      <c r="T1053" s="1">
        <v>49049</v>
      </c>
      <c r="U1053" s="1">
        <v>41051</v>
      </c>
      <c r="V1053" s="1">
        <v>0</v>
      </c>
      <c r="W1053" s="1">
        <v>1</v>
      </c>
    </row>
    <row r="1054">
      <c r="A1054" s="1">
        <v>2021</v>
      </c>
      <c r="B1054" s="1">
        <v>49</v>
      </c>
      <c r="C1054" t="s">
        <v>37</v>
      </c>
      <c r="D1054" s="1">
        <v>57</v>
      </c>
      <c r="E1054" t="s">
        <v>220</v>
      </c>
      <c r="F1054" s="1">
        <v>41</v>
      </c>
      <c r="G1054" t="s">
        <v>3</v>
      </c>
      <c r="H1054" s="1">
        <v>51</v>
      </c>
      <c r="I1054" t="s">
        <v>6</v>
      </c>
      <c r="J1054" s="1">
        <v>20</v>
      </c>
      <c r="K1054" s="1">
        <v>30</v>
      </c>
      <c r="L1054" s="1">
        <v>723</v>
      </c>
      <c r="M1054" s="1">
        <v>7562</v>
      </c>
      <c r="N1054" s="1">
        <v>15039</v>
      </c>
      <c r="O1054" s="1">
        <v>417859</v>
      </c>
      <c r="P1054" s="1">
        <v>98180</v>
      </c>
      <c r="Q1054" s="1">
        <v>215387</v>
      </c>
      <c r="R1054" s="1">
        <v>7271975</v>
      </c>
      <c r="S1054" s="1">
        <v>49057</v>
      </c>
      <c r="T1054" s="1">
        <v>49057</v>
      </c>
      <c r="U1054" s="1">
        <v>41051</v>
      </c>
      <c r="V1054" s="1">
        <v>0</v>
      </c>
      <c r="W1054" s="1">
        <v>1</v>
      </c>
    </row>
    <row r="1055">
      <c r="A1055" s="1">
        <v>2021</v>
      </c>
      <c r="B1055" s="1">
        <v>50</v>
      </c>
      <c r="C1055" t="s">
        <v>38</v>
      </c>
      <c r="D1055" s="1">
        <v>7</v>
      </c>
      <c r="E1055" t="s">
        <v>155</v>
      </c>
      <c r="F1055" s="1">
        <v>41</v>
      </c>
      <c r="G1055" t="s">
        <v>3</v>
      </c>
      <c r="H1055" s="1">
        <v>51</v>
      </c>
      <c r="I1055" t="s">
        <v>6</v>
      </c>
      <c r="J1055" s="1">
        <v>20</v>
      </c>
      <c r="K1055" s="1">
        <v>22</v>
      </c>
      <c r="L1055" s="1">
        <v>1106</v>
      </c>
      <c r="M1055" s="1">
        <v>5099</v>
      </c>
      <c r="N1055" s="1">
        <v>7484</v>
      </c>
      <c r="O1055" s="1">
        <v>352513</v>
      </c>
      <c r="P1055" s="1">
        <v>72505</v>
      </c>
      <c r="Q1055" s="1">
        <v>131748</v>
      </c>
      <c r="R1055" s="1">
        <v>6539677</v>
      </c>
      <c r="S1055" s="1">
        <v>50007</v>
      </c>
      <c r="T1055" s="1">
        <v>50007</v>
      </c>
      <c r="U1055" s="1">
        <v>41051</v>
      </c>
      <c r="V1055" s="1">
        <v>0</v>
      </c>
      <c r="W1055" s="1">
        <v>1</v>
      </c>
    </row>
    <row r="1056">
      <c r="A1056" s="1">
        <v>2021</v>
      </c>
      <c r="B1056" s="1">
        <v>51</v>
      </c>
      <c r="C1056" t="s">
        <v>39</v>
      </c>
      <c r="D1056" s="1">
        <v>59</v>
      </c>
      <c r="E1056" t="s">
        <v>156</v>
      </c>
      <c r="F1056" s="1">
        <v>41</v>
      </c>
      <c r="G1056" t="s">
        <v>3</v>
      </c>
      <c r="H1056" s="1">
        <v>51</v>
      </c>
      <c r="I1056" t="s">
        <v>6</v>
      </c>
      <c r="J1056" s="1">
        <v>33</v>
      </c>
      <c r="K1056" s="1">
        <v>39</v>
      </c>
      <c r="L1056" s="1">
        <v>3059</v>
      </c>
      <c r="M1056" s="1">
        <v>45728</v>
      </c>
      <c r="N1056" s="1">
        <v>83491</v>
      </c>
      <c r="O1056" s="1">
        <v>5406808</v>
      </c>
      <c r="P1056" s="1">
        <v>457177</v>
      </c>
      <c r="Q1056" s="1">
        <v>947007</v>
      </c>
      <c r="R1056" s="1">
        <v>68784592</v>
      </c>
      <c r="S1056" s="1">
        <v>51059</v>
      </c>
      <c r="T1056" s="1">
        <v>51059</v>
      </c>
      <c r="U1056" s="1">
        <v>41051</v>
      </c>
      <c r="V1056" s="1">
        <v>0</v>
      </c>
      <c r="W1056" s="1">
        <v>1</v>
      </c>
    </row>
    <row r="1057">
      <c r="A1057" s="1">
        <v>2021</v>
      </c>
      <c r="B1057" s="1">
        <v>53</v>
      </c>
      <c r="C1057" t="s">
        <v>40</v>
      </c>
      <c r="D1057" s="1">
        <v>5</v>
      </c>
      <c r="E1057" t="s">
        <v>124</v>
      </c>
      <c r="F1057" s="1">
        <v>41</v>
      </c>
      <c r="G1057" t="s">
        <v>3</v>
      </c>
      <c r="H1057" s="1">
        <v>51</v>
      </c>
      <c r="I1057" t="s">
        <v>6</v>
      </c>
      <c r="J1057" s="1">
        <v>42</v>
      </c>
      <c r="K1057" s="1">
        <v>59</v>
      </c>
      <c r="L1057" s="1">
        <v>2166</v>
      </c>
      <c r="M1057" s="1">
        <v>5783</v>
      </c>
      <c r="N1057" s="1">
        <v>11153</v>
      </c>
      <c r="O1057" s="1">
        <v>370080</v>
      </c>
      <c r="P1057" s="1">
        <v>79096</v>
      </c>
      <c r="Q1057" s="1">
        <v>169999</v>
      </c>
      <c r="R1057" s="1">
        <v>6637192</v>
      </c>
      <c r="S1057" s="1">
        <v>53005</v>
      </c>
      <c r="T1057" s="1">
        <v>53005</v>
      </c>
      <c r="U1057" s="1">
        <v>41051</v>
      </c>
      <c r="V1057" s="1">
        <v>0</v>
      </c>
      <c r="W1057" s="1">
        <v>1</v>
      </c>
    </row>
    <row r="1058">
      <c r="A1058" s="1">
        <v>2021</v>
      </c>
      <c r="B1058" s="1">
        <v>53</v>
      </c>
      <c r="C1058" t="s">
        <v>40</v>
      </c>
      <c r="D1058" s="1">
        <v>11</v>
      </c>
      <c r="E1058" t="s">
        <v>112</v>
      </c>
      <c r="F1058" s="1">
        <v>41</v>
      </c>
      <c r="G1058" t="s">
        <v>3</v>
      </c>
      <c r="H1058" s="1">
        <v>51</v>
      </c>
      <c r="I1058" t="s">
        <v>6</v>
      </c>
      <c r="J1058" s="1">
        <v>1737</v>
      </c>
      <c r="K1058" s="1">
        <v>2597</v>
      </c>
      <c r="L1058" s="1">
        <v>85766</v>
      </c>
      <c r="M1058" s="1">
        <v>13614</v>
      </c>
      <c r="N1058" s="1">
        <v>25073</v>
      </c>
      <c r="O1058" s="1">
        <v>1110982</v>
      </c>
      <c r="P1058" s="1">
        <v>203559</v>
      </c>
      <c r="Q1058" s="1">
        <v>414169</v>
      </c>
      <c r="R1058" s="1">
        <v>18523348</v>
      </c>
      <c r="S1058" s="1">
        <v>53011</v>
      </c>
      <c r="T1058" s="1">
        <v>53011</v>
      </c>
      <c r="U1058" s="1">
        <v>41051</v>
      </c>
      <c r="V1058" s="1">
        <v>0</v>
      </c>
      <c r="W1058" s="1">
        <v>1</v>
      </c>
    </row>
    <row r="1059">
      <c r="A1059" s="1">
        <v>2021</v>
      </c>
      <c r="B1059" s="1">
        <v>53</v>
      </c>
      <c r="C1059" t="s">
        <v>40</v>
      </c>
      <c r="D1059" s="1">
        <v>15</v>
      </c>
      <c r="E1059" t="s">
        <v>157</v>
      </c>
      <c r="F1059" s="1">
        <v>41</v>
      </c>
      <c r="G1059" t="s">
        <v>3</v>
      </c>
      <c r="H1059" s="1">
        <v>51</v>
      </c>
      <c r="I1059" t="s">
        <v>6</v>
      </c>
      <c r="J1059" s="1">
        <v>97</v>
      </c>
      <c r="K1059" s="1">
        <v>144</v>
      </c>
      <c r="L1059" s="1">
        <v>3676</v>
      </c>
      <c r="M1059" s="1">
        <v>2939</v>
      </c>
      <c r="N1059" s="1">
        <v>5628</v>
      </c>
      <c r="O1059" s="1">
        <v>157907</v>
      </c>
      <c r="P1059" s="1">
        <v>43165</v>
      </c>
      <c r="Q1059" s="1">
        <v>87861</v>
      </c>
      <c r="R1059" s="1">
        <v>3100529</v>
      </c>
      <c r="S1059" s="1">
        <v>53015</v>
      </c>
      <c r="T1059" s="1">
        <v>53015</v>
      </c>
      <c r="U1059" s="1">
        <v>41051</v>
      </c>
      <c r="V1059" s="1">
        <v>0</v>
      </c>
      <c r="W1059" s="1">
        <v>1</v>
      </c>
    </row>
    <row r="1060">
      <c r="A1060" s="1">
        <v>2021</v>
      </c>
      <c r="B1060" s="1">
        <v>53</v>
      </c>
      <c r="C1060" t="s">
        <v>40</v>
      </c>
      <c r="D1060" s="1">
        <v>31</v>
      </c>
      <c r="E1060" t="s">
        <v>83</v>
      </c>
      <c r="F1060" s="1">
        <v>41</v>
      </c>
      <c r="G1060" t="s">
        <v>3</v>
      </c>
      <c r="H1060" s="1">
        <v>51</v>
      </c>
      <c r="I1060" t="s">
        <v>6</v>
      </c>
      <c r="J1060" s="1">
        <v>20</v>
      </c>
      <c r="K1060" s="1">
        <v>29</v>
      </c>
      <c r="L1060" s="1">
        <v>1032</v>
      </c>
      <c r="M1060" s="1">
        <v>1007</v>
      </c>
      <c r="N1060" s="1">
        <v>1634</v>
      </c>
      <c r="O1060" s="1">
        <v>68594</v>
      </c>
      <c r="P1060" s="1">
        <v>14954</v>
      </c>
      <c r="Q1060" s="1">
        <v>25772</v>
      </c>
      <c r="R1060" s="1">
        <v>1191803</v>
      </c>
      <c r="S1060" s="1">
        <v>53031</v>
      </c>
      <c r="T1060" s="1">
        <v>53031</v>
      </c>
      <c r="U1060" s="1">
        <v>41051</v>
      </c>
      <c r="V1060" s="1">
        <v>0</v>
      </c>
      <c r="W1060" s="1">
        <v>1</v>
      </c>
    </row>
    <row r="1061">
      <c r="A1061" s="1">
        <v>2021</v>
      </c>
      <c r="B1061" s="1">
        <v>53</v>
      </c>
      <c r="C1061" t="s">
        <v>40</v>
      </c>
      <c r="D1061" s="1">
        <v>33</v>
      </c>
      <c r="E1061" t="s">
        <v>160</v>
      </c>
      <c r="F1061" s="1">
        <v>41</v>
      </c>
      <c r="G1061" t="s">
        <v>3</v>
      </c>
      <c r="H1061" s="1">
        <v>51</v>
      </c>
      <c r="I1061" t="s">
        <v>6</v>
      </c>
      <c r="J1061" s="1">
        <v>962</v>
      </c>
      <c r="K1061" s="1">
        <v>1274</v>
      </c>
      <c r="L1061" s="1">
        <v>90430</v>
      </c>
      <c r="M1061" s="1">
        <v>75380</v>
      </c>
      <c r="N1061" s="1">
        <v>127129</v>
      </c>
      <c r="O1061" s="1">
        <v>9284698</v>
      </c>
      <c r="P1061" s="1">
        <v>975815</v>
      </c>
      <c r="Q1061" s="1">
        <v>1833387</v>
      </c>
      <c r="R1061" s="1">
        <v>150975792</v>
      </c>
      <c r="S1061" s="1">
        <v>53033</v>
      </c>
      <c r="T1061" s="1">
        <v>53033</v>
      </c>
      <c r="U1061" s="1">
        <v>41051</v>
      </c>
      <c r="V1061" s="1">
        <v>0</v>
      </c>
      <c r="W1061" s="1">
        <v>1</v>
      </c>
    </row>
    <row r="1062">
      <c r="A1062" s="1">
        <v>2021</v>
      </c>
      <c r="B1062" s="1">
        <v>53</v>
      </c>
      <c r="C1062" t="s">
        <v>40</v>
      </c>
      <c r="D1062" s="1">
        <v>35</v>
      </c>
      <c r="E1062" t="s">
        <v>161</v>
      </c>
      <c r="F1062" s="1">
        <v>41</v>
      </c>
      <c r="G1062" t="s">
        <v>3</v>
      </c>
      <c r="H1062" s="1">
        <v>51</v>
      </c>
      <c r="I1062" t="s">
        <v>6</v>
      </c>
      <c r="J1062" s="1">
        <v>59</v>
      </c>
      <c r="K1062" s="1">
        <v>76</v>
      </c>
      <c r="L1062" s="1">
        <v>3283</v>
      </c>
      <c r="M1062" s="1">
        <v>9260</v>
      </c>
      <c r="N1062" s="1">
        <v>17437</v>
      </c>
      <c r="O1062" s="1">
        <v>823355</v>
      </c>
      <c r="P1062" s="1">
        <v>112867</v>
      </c>
      <c r="Q1062" s="1">
        <v>222300</v>
      </c>
      <c r="R1062" s="1">
        <v>12075231</v>
      </c>
      <c r="S1062" s="1">
        <v>53035</v>
      </c>
      <c r="T1062" s="1">
        <v>53035</v>
      </c>
      <c r="U1062" s="1">
        <v>41051</v>
      </c>
      <c r="V1062" s="1">
        <v>0</v>
      </c>
      <c r="W1062" s="1">
        <v>1</v>
      </c>
    </row>
    <row r="1063">
      <c r="A1063" s="1">
        <v>2021</v>
      </c>
      <c r="B1063" s="1">
        <v>53</v>
      </c>
      <c r="C1063" t="s">
        <v>40</v>
      </c>
      <c r="D1063" s="1">
        <v>39</v>
      </c>
      <c r="E1063" t="s">
        <v>162</v>
      </c>
      <c r="F1063" s="1">
        <v>41</v>
      </c>
      <c r="G1063" t="s">
        <v>3</v>
      </c>
      <c r="H1063" s="1">
        <v>51</v>
      </c>
      <c r="I1063" t="s">
        <v>6</v>
      </c>
      <c r="J1063" s="1">
        <v>26</v>
      </c>
      <c r="K1063" s="1">
        <v>34</v>
      </c>
      <c r="L1063" s="1">
        <v>979</v>
      </c>
      <c r="M1063" s="1">
        <v>649</v>
      </c>
      <c r="N1063" s="1">
        <v>1197</v>
      </c>
      <c r="O1063" s="1">
        <v>45416</v>
      </c>
      <c r="P1063" s="1">
        <v>9093</v>
      </c>
      <c r="Q1063" s="1">
        <v>18228</v>
      </c>
      <c r="R1063" s="1">
        <v>717865</v>
      </c>
      <c r="S1063" s="1">
        <v>53039</v>
      </c>
      <c r="T1063" s="1">
        <v>53039</v>
      </c>
      <c r="U1063" s="1">
        <v>41051</v>
      </c>
      <c r="V1063" s="1">
        <v>0</v>
      </c>
      <c r="W1063" s="1">
        <v>1</v>
      </c>
    </row>
    <row r="1064">
      <c r="A1064" s="1">
        <v>2021</v>
      </c>
      <c r="B1064" s="1">
        <v>53</v>
      </c>
      <c r="C1064" t="s">
        <v>40</v>
      </c>
      <c r="D1064" s="1">
        <v>53</v>
      </c>
      <c r="E1064" t="s">
        <v>165</v>
      </c>
      <c r="F1064" s="1">
        <v>41</v>
      </c>
      <c r="G1064" t="s">
        <v>3</v>
      </c>
      <c r="H1064" s="1">
        <v>51</v>
      </c>
      <c r="I1064" t="s">
        <v>6</v>
      </c>
      <c r="J1064" s="1">
        <v>197</v>
      </c>
      <c r="K1064" s="1">
        <v>291</v>
      </c>
      <c r="L1064" s="1">
        <v>12074</v>
      </c>
      <c r="M1064" s="1">
        <v>30401</v>
      </c>
      <c r="N1064" s="1">
        <v>58311</v>
      </c>
      <c r="O1064" s="1">
        <v>2017018</v>
      </c>
      <c r="P1064" s="1">
        <v>367783</v>
      </c>
      <c r="Q1064" s="1">
        <v>736467</v>
      </c>
      <c r="R1064" s="1">
        <v>30743296</v>
      </c>
      <c r="S1064" s="1">
        <v>53053</v>
      </c>
      <c r="T1064" s="1">
        <v>53053</v>
      </c>
      <c r="U1064" s="1">
        <v>41051</v>
      </c>
      <c r="V1064" s="1">
        <v>0</v>
      </c>
      <c r="W1064" s="1">
        <v>1</v>
      </c>
    </row>
    <row r="1065">
      <c r="A1065" s="1">
        <v>2021</v>
      </c>
      <c r="B1065" s="1">
        <v>53</v>
      </c>
      <c r="C1065" t="s">
        <v>40</v>
      </c>
      <c r="D1065" s="1">
        <v>59</v>
      </c>
      <c r="E1065" t="s">
        <v>166</v>
      </c>
      <c r="F1065" s="1">
        <v>41</v>
      </c>
      <c r="G1065" t="s">
        <v>3</v>
      </c>
      <c r="H1065" s="1">
        <v>51</v>
      </c>
      <c r="I1065" t="s">
        <v>6</v>
      </c>
      <c r="J1065" s="1">
        <v>20</v>
      </c>
      <c r="K1065" s="1">
        <v>27</v>
      </c>
      <c r="L1065" s="1">
        <v>1543</v>
      </c>
      <c r="M1065" s="1">
        <v>337</v>
      </c>
      <c r="N1065" s="1">
        <v>603</v>
      </c>
      <c r="O1065" s="1">
        <v>27504</v>
      </c>
      <c r="P1065" s="1">
        <v>4477</v>
      </c>
      <c r="Q1065" s="1">
        <v>8836</v>
      </c>
      <c r="R1065" s="1">
        <v>457645</v>
      </c>
      <c r="S1065" s="1">
        <v>53059</v>
      </c>
      <c r="T1065" s="1">
        <v>53059</v>
      </c>
      <c r="U1065" s="1">
        <v>41051</v>
      </c>
      <c r="V1065" s="1">
        <v>0</v>
      </c>
      <c r="W1065" s="1">
        <v>1</v>
      </c>
    </row>
    <row r="1066">
      <c r="A1066" s="1">
        <v>2021</v>
      </c>
      <c r="B1066" s="1">
        <v>53</v>
      </c>
      <c r="C1066" t="s">
        <v>40</v>
      </c>
      <c r="D1066" s="1">
        <v>61</v>
      </c>
      <c r="E1066" t="s">
        <v>167</v>
      </c>
      <c r="F1066" s="1">
        <v>41</v>
      </c>
      <c r="G1066" t="s">
        <v>3</v>
      </c>
      <c r="H1066" s="1">
        <v>51</v>
      </c>
      <c r="I1066" t="s">
        <v>6</v>
      </c>
      <c r="J1066" s="1">
        <v>135</v>
      </c>
      <c r="K1066" s="1">
        <v>179</v>
      </c>
      <c r="L1066" s="1">
        <v>7971</v>
      </c>
      <c r="M1066" s="1">
        <v>24312</v>
      </c>
      <c r="N1066" s="1">
        <v>43487</v>
      </c>
      <c r="O1066" s="1">
        <v>2088950</v>
      </c>
      <c r="P1066" s="1">
        <v>337521</v>
      </c>
      <c r="Q1066" s="1">
        <v>679226</v>
      </c>
      <c r="R1066" s="1">
        <v>33406570</v>
      </c>
      <c r="S1066" s="1">
        <v>53061</v>
      </c>
      <c r="T1066" s="1">
        <v>53061</v>
      </c>
      <c r="U1066" s="1">
        <v>41051</v>
      </c>
      <c r="V1066" s="1">
        <v>0</v>
      </c>
      <c r="W1066" s="1">
        <v>1</v>
      </c>
    </row>
    <row r="1067">
      <c r="A1067" s="1">
        <v>2021</v>
      </c>
      <c r="B1067" s="1">
        <v>53</v>
      </c>
      <c r="C1067" t="s">
        <v>40</v>
      </c>
      <c r="D1067" s="1">
        <v>63</v>
      </c>
      <c r="E1067" t="s">
        <v>168</v>
      </c>
      <c r="F1067" s="1">
        <v>41</v>
      </c>
      <c r="G1067" t="s">
        <v>3</v>
      </c>
      <c r="H1067" s="1">
        <v>51</v>
      </c>
      <c r="I1067" t="s">
        <v>6</v>
      </c>
      <c r="J1067" s="1">
        <v>144</v>
      </c>
      <c r="K1067" s="1">
        <v>203</v>
      </c>
      <c r="L1067" s="1">
        <v>7603</v>
      </c>
      <c r="M1067" s="1">
        <v>11908</v>
      </c>
      <c r="N1067" s="1">
        <v>21214</v>
      </c>
      <c r="O1067" s="1">
        <v>696658</v>
      </c>
      <c r="P1067" s="1">
        <v>213597</v>
      </c>
      <c r="Q1067" s="1">
        <v>423069</v>
      </c>
      <c r="R1067" s="1">
        <v>16265265</v>
      </c>
      <c r="S1067" s="1">
        <v>53063</v>
      </c>
      <c r="T1067" s="1">
        <v>53063</v>
      </c>
      <c r="U1067" s="1">
        <v>41051</v>
      </c>
      <c r="V1067" s="1">
        <v>0</v>
      </c>
      <c r="W1067" s="1">
        <v>1</v>
      </c>
    </row>
    <row r="1068">
      <c r="A1068" s="1">
        <v>2021</v>
      </c>
      <c r="B1068" s="1">
        <v>53</v>
      </c>
      <c r="C1068" t="s">
        <v>40</v>
      </c>
      <c r="D1068" s="1">
        <v>67</v>
      </c>
      <c r="E1068" t="s">
        <v>169</v>
      </c>
      <c r="F1068" s="1">
        <v>41</v>
      </c>
      <c r="G1068" t="s">
        <v>3</v>
      </c>
      <c r="H1068" s="1">
        <v>51</v>
      </c>
      <c r="I1068" t="s">
        <v>6</v>
      </c>
      <c r="J1068" s="1">
        <v>117</v>
      </c>
      <c r="K1068" s="1">
        <v>165</v>
      </c>
      <c r="L1068" s="1">
        <v>6734</v>
      </c>
      <c r="M1068" s="1">
        <v>10539</v>
      </c>
      <c r="N1068" s="1">
        <v>20262</v>
      </c>
      <c r="O1068" s="1">
        <v>663838</v>
      </c>
      <c r="P1068" s="1">
        <v>123051</v>
      </c>
      <c r="Q1068" s="1">
        <v>241383</v>
      </c>
      <c r="R1068" s="1">
        <v>9830290</v>
      </c>
      <c r="S1068" s="1">
        <v>53067</v>
      </c>
      <c r="T1068" s="1">
        <v>53067</v>
      </c>
      <c r="U1068" s="1">
        <v>41051</v>
      </c>
      <c r="V1068" s="1">
        <v>0</v>
      </c>
      <c r="W1068" s="1">
        <v>1</v>
      </c>
    </row>
    <row r="1069">
      <c r="A1069" s="1">
        <v>2021</v>
      </c>
      <c r="B1069" s="1">
        <v>53</v>
      </c>
      <c r="C1069" t="s">
        <v>40</v>
      </c>
      <c r="D1069" s="1">
        <v>71</v>
      </c>
      <c r="E1069" t="s">
        <v>170</v>
      </c>
      <c r="F1069" s="1">
        <v>41</v>
      </c>
      <c r="G1069" t="s">
        <v>3</v>
      </c>
      <c r="H1069" s="1">
        <v>51</v>
      </c>
      <c r="I1069" t="s">
        <v>6</v>
      </c>
      <c r="J1069" s="1">
        <v>29</v>
      </c>
      <c r="K1069" s="1">
        <v>39</v>
      </c>
      <c r="L1069" s="1">
        <v>1213</v>
      </c>
      <c r="M1069" s="1">
        <v>1639</v>
      </c>
      <c r="N1069" s="1">
        <v>2845</v>
      </c>
      <c r="O1069" s="1">
        <v>89345</v>
      </c>
      <c r="P1069" s="1">
        <v>23175</v>
      </c>
      <c r="Q1069" s="1">
        <v>46605</v>
      </c>
      <c r="R1069" s="1">
        <v>1657397</v>
      </c>
      <c r="S1069" s="1">
        <v>53071</v>
      </c>
      <c r="T1069" s="1">
        <v>53071</v>
      </c>
      <c r="U1069" s="1">
        <v>41051</v>
      </c>
      <c r="V1069" s="1">
        <v>0</v>
      </c>
      <c r="W1069" s="1">
        <v>1</v>
      </c>
    </row>
    <row r="1070">
      <c r="A1070" s="1">
        <v>2021</v>
      </c>
      <c r="B1070" s="1">
        <v>53</v>
      </c>
      <c r="C1070" t="s">
        <v>40</v>
      </c>
      <c r="D1070" s="1">
        <v>73</v>
      </c>
      <c r="E1070" t="s">
        <v>171</v>
      </c>
      <c r="F1070" s="1">
        <v>41</v>
      </c>
      <c r="G1070" t="s">
        <v>3</v>
      </c>
      <c r="H1070" s="1">
        <v>51</v>
      </c>
      <c r="I1070" t="s">
        <v>6</v>
      </c>
      <c r="J1070" s="1">
        <v>96</v>
      </c>
      <c r="K1070" s="1">
        <v>110</v>
      </c>
      <c r="L1070" s="1">
        <v>3492</v>
      </c>
      <c r="M1070" s="1">
        <v>5818</v>
      </c>
      <c r="N1070" s="1">
        <v>9326</v>
      </c>
      <c r="O1070" s="1">
        <v>340213</v>
      </c>
      <c r="P1070" s="1">
        <v>92040</v>
      </c>
      <c r="Q1070" s="1">
        <v>176188</v>
      </c>
      <c r="R1070" s="1">
        <v>7552084</v>
      </c>
      <c r="S1070" s="1">
        <v>53073</v>
      </c>
      <c r="T1070" s="1">
        <v>53073</v>
      </c>
      <c r="U1070" s="1">
        <v>41051</v>
      </c>
      <c r="V1070" s="1">
        <v>0</v>
      </c>
      <c r="W1070" s="1">
        <v>1</v>
      </c>
    </row>
    <row r="1071">
      <c r="A1071" s="1">
        <v>2021</v>
      </c>
      <c r="B1071" s="1">
        <v>53</v>
      </c>
      <c r="C1071" t="s">
        <v>40</v>
      </c>
      <c r="D1071" s="1">
        <v>77</v>
      </c>
      <c r="E1071" t="s">
        <v>172</v>
      </c>
      <c r="F1071" s="1">
        <v>41</v>
      </c>
      <c r="G1071" t="s">
        <v>3</v>
      </c>
      <c r="H1071" s="1">
        <v>51</v>
      </c>
      <c r="I1071" t="s">
        <v>6</v>
      </c>
      <c r="J1071" s="1">
        <v>31</v>
      </c>
      <c r="K1071" s="1">
        <v>45</v>
      </c>
      <c r="L1071" s="1">
        <v>1195</v>
      </c>
      <c r="M1071" s="1">
        <v>4061</v>
      </c>
      <c r="N1071" s="1">
        <v>7185</v>
      </c>
      <c r="O1071" s="1">
        <v>199888</v>
      </c>
      <c r="P1071" s="1">
        <v>95792</v>
      </c>
      <c r="Q1071" s="1">
        <v>208140</v>
      </c>
      <c r="R1071" s="1">
        <v>5801375</v>
      </c>
      <c r="S1071" s="1">
        <v>53077</v>
      </c>
      <c r="T1071" s="1">
        <v>53077</v>
      </c>
      <c r="U1071" s="1">
        <v>41051</v>
      </c>
      <c r="V1071" s="1">
        <v>0</v>
      </c>
      <c r="W1071" s="1">
        <v>1</v>
      </c>
    </row>
    <row r="1072">
      <c r="A1072" s="1">
        <v>2021</v>
      </c>
      <c r="B1072" s="1">
        <v>55</v>
      </c>
      <c r="C1072" t="s">
        <v>41</v>
      </c>
      <c r="D1072" s="1">
        <v>25</v>
      </c>
      <c r="E1072" t="s">
        <v>173</v>
      </c>
      <c r="F1072" s="1">
        <v>41</v>
      </c>
      <c r="G1072" t="s">
        <v>3</v>
      </c>
      <c r="H1072" s="1">
        <v>51</v>
      </c>
      <c r="I1072" t="s">
        <v>6</v>
      </c>
      <c r="J1072" s="1">
        <v>61</v>
      </c>
      <c r="K1072" s="1">
        <v>80</v>
      </c>
      <c r="L1072" s="1">
        <v>3950</v>
      </c>
      <c r="M1072" s="1">
        <v>15652</v>
      </c>
      <c r="N1072" s="1">
        <v>24164</v>
      </c>
      <c r="O1072" s="1">
        <v>1185054</v>
      </c>
      <c r="P1072" s="1">
        <v>238687</v>
      </c>
      <c r="Q1072" s="1">
        <v>451072</v>
      </c>
      <c r="R1072" s="1">
        <v>24212124</v>
      </c>
      <c r="S1072" s="1">
        <v>55025</v>
      </c>
      <c r="T1072" s="1">
        <v>55025</v>
      </c>
      <c r="U1072" s="1">
        <v>41051</v>
      </c>
      <c r="V1072" s="1">
        <v>0</v>
      </c>
      <c r="W1072" s="1">
        <v>1</v>
      </c>
    </row>
    <row r="1073">
      <c r="A1073" s="1">
        <v>2021</v>
      </c>
      <c r="B1073" s="1">
        <v>55</v>
      </c>
      <c r="C1073" t="s">
        <v>41</v>
      </c>
      <c r="D1073" s="1">
        <v>79</v>
      </c>
      <c r="E1073" t="s">
        <v>174</v>
      </c>
      <c r="F1073" s="1">
        <v>41</v>
      </c>
      <c r="G1073" t="s">
        <v>3</v>
      </c>
      <c r="H1073" s="1">
        <v>51</v>
      </c>
      <c r="I1073" t="s">
        <v>6</v>
      </c>
      <c r="J1073" s="1">
        <v>55</v>
      </c>
      <c r="K1073" s="1">
        <v>68</v>
      </c>
      <c r="L1073" s="1">
        <v>5371</v>
      </c>
      <c r="M1073" s="1">
        <v>22989</v>
      </c>
      <c r="N1073" s="1">
        <v>38488</v>
      </c>
      <c r="O1073" s="1">
        <v>1603602</v>
      </c>
      <c r="P1073" s="1">
        <v>373260</v>
      </c>
      <c r="Q1073" s="1">
        <v>711039</v>
      </c>
      <c r="R1073" s="1">
        <v>24148276</v>
      </c>
      <c r="S1073" s="1">
        <v>55079</v>
      </c>
      <c r="T1073" s="1">
        <v>55079</v>
      </c>
      <c r="U1073" s="1">
        <v>41051</v>
      </c>
      <c r="V1073" s="1">
        <v>0</v>
      </c>
      <c r="W1073" s="1">
        <v>1</v>
      </c>
    </row>
    <row r="1074">
      <c r="A1074" s="1">
        <v>2022</v>
      </c>
      <c r="B1074" s="1">
        <v>2</v>
      </c>
      <c r="C1074" t="s">
        <v>9</v>
      </c>
      <c r="D1074" s="1">
        <v>20</v>
      </c>
      <c r="E1074" t="s">
        <v>52</v>
      </c>
      <c r="F1074" s="1">
        <v>41</v>
      </c>
      <c r="G1074" t="s">
        <v>3</v>
      </c>
      <c r="H1074" s="1">
        <v>51</v>
      </c>
      <c r="I1074" t="s">
        <v>6</v>
      </c>
      <c r="J1074" s="1">
        <v>42</v>
      </c>
      <c r="K1074" s="1">
        <v>61</v>
      </c>
      <c r="L1074" s="1">
        <v>2583</v>
      </c>
      <c r="M1074" s="1">
        <v>9216</v>
      </c>
      <c r="N1074" s="1">
        <v>17542</v>
      </c>
      <c r="O1074" s="1">
        <v>750851</v>
      </c>
      <c r="P1074" s="1">
        <v>120756</v>
      </c>
      <c r="Q1074" s="1">
        <v>234256</v>
      </c>
      <c r="R1074" s="1">
        <v>12707941</v>
      </c>
      <c r="S1074" s="1">
        <v>2020</v>
      </c>
      <c r="T1074" s="1">
        <v>2020</v>
      </c>
      <c r="U1074" s="1">
        <v>41051</v>
      </c>
      <c r="V1074" s="1">
        <v>0</v>
      </c>
      <c r="W1074" s="1">
        <v>1</v>
      </c>
    </row>
    <row r="1075">
      <c r="A1075" s="1">
        <v>2022</v>
      </c>
      <c r="B1075" s="1">
        <v>2</v>
      </c>
      <c r="C1075" t="s">
        <v>9</v>
      </c>
      <c r="D1075" s="1">
        <v>90</v>
      </c>
      <c r="E1075" t="s">
        <v>344</v>
      </c>
      <c r="F1075" s="1">
        <v>41</v>
      </c>
      <c r="G1075" t="s">
        <v>3</v>
      </c>
      <c r="H1075" s="1">
        <v>51</v>
      </c>
      <c r="I1075" t="s">
        <v>6</v>
      </c>
      <c r="J1075" s="1">
        <v>20</v>
      </c>
      <c r="K1075" s="1">
        <v>33</v>
      </c>
      <c r="L1075" s="1">
        <v>709</v>
      </c>
      <c r="M1075" s="1">
        <v>4186</v>
      </c>
      <c r="N1075" s="1">
        <v>8315</v>
      </c>
      <c r="O1075" s="1">
        <v>292701</v>
      </c>
      <c r="P1075" s="1">
        <v>38854</v>
      </c>
      <c r="Q1075" s="1">
        <v>77244</v>
      </c>
      <c r="R1075" s="1">
        <v>3487037</v>
      </c>
      <c r="S1075" s="1">
        <v>2090</v>
      </c>
      <c r="T1075" s="1">
        <v>2090</v>
      </c>
      <c r="U1075" s="1">
        <v>41051</v>
      </c>
      <c r="V1075" s="1">
        <v>0</v>
      </c>
      <c r="W1075" s="1">
        <v>1</v>
      </c>
    </row>
    <row r="1076">
      <c r="A1076" s="1">
        <v>2022</v>
      </c>
      <c r="B1076" s="1">
        <v>4</v>
      </c>
      <c r="C1076" t="s">
        <v>10</v>
      </c>
      <c r="D1076" s="1">
        <v>5</v>
      </c>
      <c r="E1076" t="s">
        <v>175</v>
      </c>
      <c r="F1076" s="1">
        <v>41</v>
      </c>
      <c r="G1076" t="s">
        <v>3</v>
      </c>
      <c r="H1076" s="1">
        <v>51</v>
      </c>
      <c r="I1076" t="s">
        <v>6</v>
      </c>
      <c r="J1076" s="1">
        <v>39</v>
      </c>
      <c r="K1076" s="1">
        <v>45</v>
      </c>
      <c r="L1076" s="1">
        <v>1375</v>
      </c>
      <c r="M1076" s="1">
        <v>5468</v>
      </c>
      <c r="N1076" s="1">
        <v>8391</v>
      </c>
      <c r="O1076" s="1">
        <v>382057</v>
      </c>
      <c r="P1076" s="1">
        <v>52898</v>
      </c>
      <c r="Q1076" s="1">
        <v>100837</v>
      </c>
      <c r="R1076" s="1">
        <v>4356097</v>
      </c>
      <c r="S1076" s="1">
        <v>4005</v>
      </c>
      <c r="T1076" s="1">
        <v>4005</v>
      </c>
      <c r="U1076" s="1">
        <v>41051</v>
      </c>
      <c r="V1076" s="1">
        <v>0</v>
      </c>
      <c r="W1076" s="1">
        <v>1</v>
      </c>
    </row>
    <row r="1077">
      <c r="A1077" s="1">
        <v>2022</v>
      </c>
      <c r="B1077" s="1">
        <v>4</v>
      </c>
      <c r="C1077" t="s">
        <v>10</v>
      </c>
      <c r="D1077" s="1">
        <v>13</v>
      </c>
      <c r="E1077" t="s">
        <v>53</v>
      </c>
      <c r="F1077" s="1">
        <v>41</v>
      </c>
      <c r="G1077" t="s">
        <v>3</v>
      </c>
      <c r="H1077" s="1">
        <v>51</v>
      </c>
      <c r="I1077" t="s">
        <v>6</v>
      </c>
      <c r="J1077" s="1">
        <v>426</v>
      </c>
      <c r="K1077" s="1">
        <v>553</v>
      </c>
      <c r="L1077" s="1">
        <v>27831</v>
      </c>
      <c r="M1077" s="1">
        <v>88845</v>
      </c>
      <c r="N1077" s="1">
        <v>154875</v>
      </c>
      <c r="O1077" s="1">
        <v>7644642</v>
      </c>
      <c r="P1077" s="1">
        <v>1764064</v>
      </c>
      <c r="Q1077" s="1">
        <v>3489539</v>
      </c>
      <c r="R1077" s="1">
        <v>181540640</v>
      </c>
      <c r="S1077" s="1">
        <v>4013</v>
      </c>
      <c r="T1077" s="1">
        <v>4013</v>
      </c>
      <c r="U1077" s="1">
        <v>41051</v>
      </c>
      <c r="V1077" s="1">
        <v>0</v>
      </c>
      <c r="W1077" s="1">
        <v>1</v>
      </c>
    </row>
    <row r="1078">
      <c r="A1078" s="1">
        <v>2022</v>
      </c>
      <c r="B1078" s="1">
        <v>4</v>
      </c>
      <c r="C1078" t="s">
        <v>10</v>
      </c>
      <c r="D1078" s="1">
        <v>19</v>
      </c>
      <c r="E1078" t="s">
        <v>54</v>
      </c>
      <c r="F1078" s="1">
        <v>41</v>
      </c>
      <c r="G1078" t="s">
        <v>3</v>
      </c>
      <c r="H1078" s="1">
        <v>51</v>
      </c>
      <c r="I1078" t="s">
        <v>6</v>
      </c>
      <c r="J1078" s="1">
        <v>124</v>
      </c>
      <c r="K1078" s="1">
        <v>163</v>
      </c>
      <c r="L1078" s="1">
        <v>9605</v>
      </c>
      <c r="M1078" s="1">
        <v>21230</v>
      </c>
      <c r="N1078" s="1">
        <v>35873</v>
      </c>
      <c r="O1078" s="1">
        <v>1496005</v>
      </c>
      <c r="P1078" s="1">
        <v>418634</v>
      </c>
      <c r="Q1078" s="1">
        <v>798311</v>
      </c>
      <c r="R1078" s="1">
        <v>33520120</v>
      </c>
      <c r="S1078" s="1">
        <v>4019</v>
      </c>
      <c r="T1078" s="1">
        <v>4019</v>
      </c>
      <c r="U1078" s="1">
        <v>41051</v>
      </c>
      <c r="V1078" s="1">
        <v>0</v>
      </c>
      <c r="W1078" s="1">
        <v>1</v>
      </c>
    </row>
    <row r="1079">
      <c r="A1079" s="1">
        <v>2022</v>
      </c>
      <c r="B1079" s="1">
        <v>4</v>
      </c>
      <c r="C1079" t="s">
        <v>10</v>
      </c>
      <c r="D1079" s="1">
        <v>21</v>
      </c>
      <c r="E1079" t="s">
        <v>55</v>
      </c>
      <c r="F1079" s="1">
        <v>41</v>
      </c>
      <c r="G1079" t="s">
        <v>3</v>
      </c>
      <c r="H1079" s="1">
        <v>51</v>
      </c>
      <c r="I1079" t="s">
        <v>6</v>
      </c>
      <c r="J1079" s="1">
        <v>20</v>
      </c>
      <c r="K1079" s="1">
        <v>31</v>
      </c>
      <c r="L1079" s="1">
        <v>1028</v>
      </c>
      <c r="M1079" s="1">
        <v>14679</v>
      </c>
      <c r="N1079" s="1">
        <v>27573</v>
      </c>
      <c r="O1079" s="1">
        <v>904142</v>
      </c>
      <c r="P1079" s="1">
        <v>158299</v>
      </c>
      <c r="Q1079" s="1">
        <v>333545</v>
      </c>
      <c r="R1079" s="1">
        <v>10513052</v>
      </c>
      <c r="S1079" s="1">
        <v>4021</v>
      </c>
      <c r="T1079" s="1">
        <v>4021</v>
      </c>
      <c r="U1079" s="1">
        <v>41051</v>
      </c>
      <c r="V1079" s="1">
        <v>0</v>
      </c>
      <c r="W1079" s="1">
        <v>1</v>
      </c>
    </row>
    <row r="1080">
      <c r="A1080" s="1">
        <v>2022</v>
      </c>
      <c r="B1080" s="1">
        <v>4</v>
      </c>
      <c r="C1080" t="s">
        <v>10</v>
      </c>
      <c r="D1080" s="1">
        <v>25</v>
      </c>
      <c r="E1080" t="s">
        <v>176</v>
      </c>
      <c r="F1080" s="1">
        <v>41</v>
      </c>
      <c r="G1080" t="s">
        <v>3</v>
      </c>
      <c r="H1080" s="1">
        <v>51</v>
      </c>
      <c r="I1080" t="s">
        <v>6</v>
      </c>
      <c r="J1080" s="1">
        <v>24</v>
      </c>
      <c r="K1080" s="1">
        <v>31</v>
      </c>
      <c r="L1080" s="1">
        <v>1602</v>
      </c>
      <c r="M1080" s="1">
        <v>7059</v>
      </c>
      <c r="N1080" s="1">
        <v>11707</v>
      </c>
      <c r="O1080" s="1">
        <v>485755</v>
      </c>
      <c r="P1080" s="1">
        <v>102979</v>
      </c>
      <c r="Q1080" s="1">
        <v>188315</v>
      </c>
      <c r="R1080" s="1">
        <v>8171876</v>
      </c>
      <c r="S1080" s="1">
        <v>4025</v>
      </c>
      <c r="T1080" s="1">
        <v>4025</v>
      </c>
      <c r="U1080" s="1">
        <v>41051</v>
      </c>
      <c r="V1080" s="1">
        <v>0</v>
      </c>
      <c r="W1080" s="1">
        <v>1</v>
      </c>
    </row>
    <row r="1081">
      <c r="A1081" s="1">
        <v>2022</v>
      </c>
      <c r="B1081" s="1">
        <v>6</v>
      </c>
      <c r="C1081" t="s">
        <v>11</v>
      </c>
      <c r="D1081" s="1">
        <v>1</v>
      </c>
      <c r="E1081" t="s">
        <v>56</v>
      </c>
      <c r="F1081" s="1">
        <v>41</v>
      </c>
      <c r="G1081" t="s">
        <v>3</v>
      </c>
      <c r="H1081" s="1">
        <v>51</v>
      </c>
      <c r="I1081" t="s">
        <v>6</v>
      </c>
      <c r="J1081" s="1">
        <v>440</v>
      </c>
      <c r="K1081" s="1">
        <v>612</v>
      </c>
      <c r="L1081" s="1">
        <v>54791</v>
      </c>
      <c r="M1081" s="1">
        <v>55628</v>
      </c>
      <c r="N1081" s="1">
        <v>94850</v>
      </c>
      <c r="O1081" s="1">
        <v>8691620</v>
      </c>
      <c r="P1081" s="1">
        <v>690384</v>
      </c>
      <c r="Q1081" s="1">
        <v>1335986</v>
      </c>
      <c r="R1081" s="1">
        <v>110911784</v>
      </c>
      <c r="S1081" s="1">
        <v>6001</v>
      </c>
      <c r="T1081" s="1">
        <v>6001</v>
      </c>
      <c r="U1081" s="1">
        <v>41051</v>
      </c>
      <c r="V1081" s="1">
        <v>0</v>
      </c>
      <c r="W1081" s="1">
        <v>1</v>
      </c>
    </row>
    <row r="1082">
      <c r="A1082" s="1">
        <v>2022</v>
      </c>
      <c r="B1082" s="1">
        <v>6</v>
      </c>
      <c r="C1082" t="s">
        <v>11</v>
      </c>
      <c r="D1082" s="1">
        <v>7</v>
      </c>
      <c r="E1082" t="s">
        <v>177</v>
      </c>
      <c r="F1082" s="1">
        <v>41</v>
      </c>
      <c r="G1082" t="s">
        <v>3</v>
      </c>
      <c r="H1082" s="1">
        <v>51</v>
      </c>
      <c r="I1082" t="s">
        <v>6</v>
      </c>
      <c r="J1082" s="1">
        <v>42</v>
      </c>
      <c r="K1082" s="1">
        <v>64</v>
      </c>
      <c r="L1082" s="1">
        <v>1717</v>
      </c>
      <c r="M1082" s="1">
        <v>4984</v>
      </c>
      <c r="N1082" s="1">
        <v>8011</v>
      </c>
      <c r="O1082" s="1">
        <v>300533</v>
      </c>
      <c r="P1082" s="1">
        <v>77359</v>
      </c>
      <c r="Q1082" s="1">
        <v>149120</v>
      </c>
      <c r="R1082" s="1">
        <v>6110390</v>
      </c>
      <c r="S1082" s="1">
        <v>6007</v>
      </c>
      <c r="T1082" s="1">
        <v>6007</v>
      </c>
      <c r="U1082" s="1">
        <v>41051</v>
      </c>
      <c r="V1082" s="1">
        <v>0</v>
      </c>
      <c r="W1082" s="1">
        <v>1</v>
      </c>
    </row>
    <row r="1083">
      <c r="A1083" s="1">
        <v>2022</v>
      </c>
      <c r="B1083" s="1">
        <v>6</v>
      </c>
      <c r="C1083" t="s">
        <v>11</v>
      </c>
      <c r="D1083" s="1">
        <v>13</v>
      </c>
      <c r="E1083" t="s">
        <v>57</v>
      </c>
      <c r="F1083" s="1">
        <v>41</v>
      </c>
      <c r="G1083" t="s">
        <v>3</v>
      </c>
      <c r="H1083" s="1">
        <v>51</v>
      </c>
      <c r="I1083" t="s">
        <v>6</v>
      </c>
      <c r="J1083" s="1">
        <v>173</v>
      </c>
      <c r="K1083" s="1">
        <v>241</v>
      </c>
      <c r="L1083" s="1">
        <v>20496</v>
      </c>
      <c r="M1083" s="1">
        <v>32035</v>
      </c>
      <c r="N1083" s="1">
        <v>55614</v>
      </c>
      <c r="O1083" s="1">
        <v>4933552</v>
      </c>
      <c r="P1083" s="1">
        <v>482618</v>
      </c>
      <c r="Q1083" s="1">
        <v>978333</v>
      </c>
      <c r="R1083" s="1">
        <v>77303680</v>
      </c>
      <c r="S1083" s="1">
        <v>6013</v>
      </c>
      <c r="T1083" s="1">
        <v>6013</v>
      </c>
      <c r="U1083" s="1">
        <v>41051</v>
      </c>
      <c r="V1083" s="1">
        <v>0</v>
      </c>
      <c r="W1083" s="1">
        <v>1</v>
      </c>
    </row>
    <row r="1084">
      <c r="A1084" s="1">
        <v>2022</v>
      </c>
      <c r="B1084" s="1">
        <v>6</v>
      </c>
      <c r="C1084" t="s">
        <v>11</v>
      </c>
      <c r="D1084" s="1">
        <v>17</v>
      </c>
      <c r="E1084" t="s">
        <v>229</v>
      </c>
      <c r="F1084" s="1">
        <v>41</v>
      </c>
      <c r="G1084" t="s">
        <v>3</v>
      </c>
      <c r="H1084" s="1">
        <v>51</v>
      </c>
      <c r="I1084" t="s">
        <v>6</v>
      </c>
      <c r="J1084" s="1">
        <v>34</v>
      </c>
      <c r="K1084" s="1">
        <v>43</v>
      </c>
      <c r="L1084" s="1">
        <v>1182</v>
      </c>
      <c r="M1084" s="1">
        <v>6637</v>
      </c>
      <c r="N1084" s="1">
        <v>11076</v>
      </c>
      <c r="O1084" s="1">
        <v>687613</v>
      </c>
      <c r="P1084" s="1">
        <v>80955</v>
      </c>
      <c r="Q1084" s="1">
        <v>161604</v>
      </c>
      <c r="R1084" s="1">
        <v>10437443</v>
      </c>
      <c r="S1084" s="1">
        <v>6017</v>
      </c>
      <c r="T1084" s="1">
        <v>6017</v>
      </c>
      <c r="U1084" s="1">
        <v>41051</v>
      </c>
      <c r="V1084" s="1">
        <v>0</v>
      </c>
      <c r="W1084" s="1">
        <v>1</v>
      </c>
    </row>
    <row r="1085">
      <c r="A1085" s="1">
        <v>2022</v>
      </c>
      <c r="B1085" s="1">
        <v>6</v>
      </c>
      <c r="C1085" t="s">
        <v>11</v>
      </c>
      <c r="D1085" s="1">
        <v>19</v>
      </c>
      <c r="E1085" t="s">
        <v>58</v>
      </c>
      <c r="F1085" s="1">
        <v>41</v>
      </c>
      <c r="G1085" t="s">
        <v>3</v>
      </c>
      <c r="H1085" s="1">
        <v>51</v>
      </c>
      <c r="I1085" t="s">
        <v>6</v>
      </c>
      <c r="J1085" s="1">
        <v>54</v>
      </c>
      <c r="K1085" s="1">
        <v>75</v>
      </c>
      <c r="L1085" s="1">
        <v>2765</v>
      </c>
      <c r="M1085" s="1">
        <v>14271</v>
      </c>
      <c r="N1085" s="1">
        <v>25727</v>
      </c>
      <c r="O1085" s="1">
        <v>1030070</v>
      </c>
      <c r="P1085" s="1">
        <v>374120</v>
      </c>
      <c r="Q1085" s="1">
        <v>799438</v>
      </c>
      <c r="R1085" s="1">
        <v>26741298</v>
      </c>
      <c r="S1085" s="1">
        <v>6019</v>
      </c>
      <c r="T1085" s="1">
        <v>6019</v>
      </c>
      <c r="U1085" s="1">
        <v>41051</v>
      </c>
      <c r="V1085" s="1">
        <v>0</v>
      </c>
      <c r="W1085" s="1">
        <v>1</v>
      </c>
    </row>
    <row r="1086">
      <c r="A1086" s="1">
        <v>2022</v>
      </c>
      <c r="B1086" s="1">
        <v>6</v>
      </c>
      <c r="C1086" t="s">
        <v>11</v>
      </c>
      <c r="D1086" s="1">
        <v>23</v>
      </c>
      <c r="E1086" t="s">
        <v>59</v>
      </c>
      <c r="F1086" s="1">
        <v>41</v>
      </c>
      <c r="G1086" t="s">
        <v>3</v>
      </c>
      <c r="H1086" s="1">
        <v>51</v>
      </c>
      <c r="I1086" t="s">
        <v>6</v>
      </c>
      <c r="J1086" s="1">
        <v>43</v>
      </c>
      <c r="K1086" s="1">
        <v>52</v>
      </c>
      <c r="L1086" s="1">
        <v>1709</v>
      </c>
      <c r="M1086" s="1">
        <v>3082</v>
      </c>
      <c r="N1086" s="1">
        <v>4663</v>
      </c>
      <c r="O1086" s="1">
        <v>187742</v>
      </c>
      <c r="P1086" s="1">
        <v>51549</v>
      </c>
      <c r="Q1086" s="1">
        <v>93609</v>
      </c>
      <c r="R1086" s="1">
        <v>3703797</v>
      </c>
      <c r="S1086" s="1">
        <v>6023</v>
      </c>
      <c r="T1086" s="1">
        <v>6023</v>
      </c>
      <c r="U1086" s="1">
        <v>41051</v>
      </c>
      <c r="V1086" s="1">
        <v>0</v>
      </c>
      <c r="W1086" s="1">
        <v>1</v>
      </c>
    </row>
    <row r="1087">
      <c r="A1087" s="1">
        <v>2022</v>
      </c>
      <c r="B1087" s="1">
        <v>6</v>
      </c>
      <c r="C1087" t="s">
        <v>11</v>
      </c>
      <c r="D1087" s="1">
        <v>29</v>
      </c>
      <c r="E1087" t="s">
        <v>60</v>
      </c>
      <c r="F1087" s="1">
        <v>41</v>
      </c>
      <c r="G1087" t="s">
        <v>3</v>
      </c>
      <c r="H1087" s="1">
        <v>51</v>
      </c>
      <c r="I1087" t="s">
        <v>6</v>
      </c>
      <c r="J1087" s="1">
        <v>50</v>
      </c>
      <c r="K1087" s="1">
        <v>71</v>
      </c>
      <c r="L1087" s="1">
        <v>2434</v>
      </c>
      <c r="M1087" s="1">
        <v>14733</v>
      </c>
      <c r="N1087" s="1">
        <v>28166</v>
      </c>
      <c r="O1087" s="1">
        <v>988600</v>
      </c>
      <c r="P1087" s="1">
        <v>322306</v>
      </c>
      <c r="Q1087" s="1">
        <v>708397</v>
      </c>
      <c r="R1087" s="1">
        <v>21106892</v>
      </c>
      <c r="S1087" s="1">
        <v>6029</v>
      </c>
      <c r="T1087" s="1">
        <v>6029</v>
      </c>
      <c r="U1087" s="1">
        <v>41051</v>
      </c>
      <c r="V1087" s="1">
        <v>0</v>
      </c>
      <c r="W1087" s="1">
        <v>1</v>
      </c>
    </row>
    <row r="1088">
      <c r="A1088" s="1">
        <v>2022</v>
      </c>
      <c r="B1088" s="1">
        <v>6</v>
      </c>
      <c r="C1088" t="s">
        <v>11</v>
      </c>
      <c r="D1088" s="1">
        <v>37</v>
      </c>
      <c r="E1088" t="s">
        <v>61</v>
      </c>
      <c r="F1088" s="1">
        <v>41</v>
      </c>
      <c r="G1088" t="s">
        <v>3</v>
      </c>
      <c r="H1088" s="1">
        <v>51</v>
      </c>
      <c r="I1088" t="s">
        <v>6</v>
      </c>
      <c r="J1088" s="1">
        <v>1121</v>
      </c>
      <c r="K1088" s="1">
        <v>1499</v>
      </c>
      <c r="L1088" s="1">
        <v>92074</v>
      </c>
      <c r="M1088" s="1">
        <v>176895</v>
      </c>
      <c r="N1088" s="1">
        <v>297551</v>
      </c>
      <c r="O1088" s="1">
        <v>19049356</v>
      </c>
      <c r="P1088" s="1">
        <v>4122148</v>
      </c>
      <c r="Q1088" s="1">
        <v>7685574</v>
      </c>
      <c r="R1088" s="1">
        <v>449229664</v>
      </c>
      <c r="S1088" s="1">
        <v>6037</v>
      </c>
      <c r="T1088" s="1">
        <v>6037</v>
      </c>
      <c r="U1088" s="1">
        <v>41051</v>
      </c>
      <c r="V1088" s="1">
        <v>0</v>
      </c>
      <c r="W1088" s="1">
        <v>1</v>
      </c>
    </row>
    <row r="1089">
      <c r="A1089" s="1">
        <v>2022</v>
      </c>
      <c r="B1089" s="1">
        <v>6</v>
      </c>
      <c r="C1089" t="s">
        <v>11</v>
      </c>
      <c r="D1089" s="1">
        <v>41</v>
      </c>
      <c r="E1089" t="s">
        <v>62</v>
      </c>
      <c r="F1089" s="1">
        <v>41</v>
      </c>
      <c r="G1089" t="s">
        <v>3</v>
      </c>
      <c r="H1089" s="1">
        <v>51</v>
      </c>
      <c r="I1089" t="s">
        <v>6</v>
      </c>
      <c r="J1089" s="1">
        <v>57</v>
      </c>
      <c r="K1089" s="1">
        <v>78</v>
      </c>
      <c r="L1089" s="1">
        <v>13747</v>
      </c>
      <c r="M1089" s="1">
        <v>7796</v>
      </c>
      <c r="N1089" s="1">
        <v>12358</v>
      </c>
      <c r="O1089" s="1">
        <v>1738319</v>
      </c>
      <c r="P1089" s="1">
        <v>111335</v>
      </c>
      <c r="Q1089" s="1">
        <v>213243</v>
      </c>
      <c r="R1089" s="1">
        <v>34621712</v>
      </c>
      <c r="S1089" s="1">
        <v>6041</v>
      </c>
      <c r="T1089" s="1">
        <v>6041</v>
      </c>
      <c r="U1089" s="1">
        <v>41051</v>
      </c>
      <c r="V1089" s="1">
        <v>0</v>
      </c>
      <c r="W1089" s="1">
        <v>1</v>
      </c>
    </row>
    <row r="1090">
      <c r="A1090" s="1">
        <v>2022</v>
      </c>
      <c r="B1090" s="1">
        <v>6</v>
      </c>
      <c r="C1090" t="s">
        <v>11</v>
      </c>
      <c r="D1090" s="1">
        <v>53</v>
      </c>
      <c r="E1090" t="s">
        <v>63</v>
      </c>
      <c r="F1090" s="1">
        <v>41</v>
      </c>
      <c r="G1090" t="s">
        <v>3</v>
      </c>
      <c r="H1090" s="1">
        <v>51</v>
      </c>
      <c r="I1090" t="s">
        <v>6</v>
      </c>
      <c r="J1090" s="1">
        <v>52</v>
      </c>
      <c r="K1090" s="1">
        <v>68</v>
      </c>
      <c r="L1090" s="1">
        <v>3649</v>
      </c>
      <c r="M1090" s="1">
        <v>9997</v>
      </c>
      <c r="N1090" s="1">
        <v>17509</v>
      </c>
      <c r="O1090" s="1">
        <v>836478</v>
      </c>
      <c r="P1090" s="1">
        <v>174184</v>
      </c>
      <c r="Q1090" s="1">
        <v>360060</v>
      </c>
      <c r="R1090" s="1">
        <v>16048976</v>
      </c>
      <c r="S1090" s="1">
        <v>6053</v>
      </c>
      <c r="T1090" s="1">
        <v>6053</v>
      </c>
      <c r="U1090" s="1">
        <v>41051</v>
      </c>
      <c r="V1090" s="1">
        <v>0</v>
      </c>
      <c r="W1090" s="1">
        <v>1</v>
      </c>
    </row>
    <row r="1091">
      <c r="A1091" s="1">
        <v>2022</v>
      </c>
      <c r="B1091" s="1">
        <v>6</v>
      </c>
      <c r="C1091" t="s">
        <v>11</v>
      </c>
      <c r="D1091" s="1">
        <v>55</v>
      </c>
      <c r="E1091" t="s">
        <v>299</v>
      </c>
      <c r="F1091" s="1">
        <v>41</v>
      </c>
      <c r="G1091" t="s">
        <v>3</v>
      </c>
      <c r="H1091" s="1">
        <v>51</v>
      </c>
      <c r="I1091" t="s">
        <v>6</v>
      </c>
      <c r="J1091" s="1">
        <v>22</v>
      </c>
      <c r="K1091" s="1">
        <v>27</v>
      </c>
      <c r="L1091" s="1">
        <v>1290</v>
      </c>
      <c r="M1091" s="1">
        <v>3874</v>
      </c>
      <c r="N1091" s="1">
        <v>6403</v>
      </c>
      <c r="O1091" s="1">
        <v>449514</v>
      </c>
      <c r="P1091" s="1">
        <v>58111</v>
      </c>
      <c r="Q1091" s="1">
        <v>113455</v>
      </c>
      <c r="R1091" s="1">
        <v>8053670</v>
      </c>
      <c r="S1091" s="1">
        <v>6055</v>
      </c>
      <c r="T1091" s="1">
        <v>6055</v>
      </c>
      <c r="U1091" s="1">
        <v>41051</v>
      </c>
      <c r="V1091" s="1">
        <v>0</v>
      </c>
      <c r="W1091" s="1">
        <v>1</v>
      </c>
    </row>
    <row r="1092">
      <c r="A1092" s="1">
        <v>2022</v>
      </c>
      <c r="B1092" s="1">
        <v>6</v>
      </c>
      <c r="C1092" t="s">
        <v>11</v>
      </c>
      <c r="D1092" s="1">
        <v>59</v>
      </c>
      <c r="E1092" t="s">
        <v>64</v>
      </c>
      <c r="F1092" s="1">
        <v>41</v>
      </c>
      <c r="G1092" t="s">
        <v>3</v>
      </c>
      <c r="H1092" s="1">
        <v>51</v>
      </c>
      <c r="I1092" t="s">
        <v>6</v>
      </c>
      <c r="J1092" s="1">
        <v>295</v>
      </c>
      <c r="K1092" s="1">
        <v>400</v>
      </c>
      <c r="L1092" s="1">
        <v>21907</v>
      </c>
      <c r="M1092" s="1">
        <v>74430</v>
      </c>
      <c r="N1092" s="1">
        <v>126144</v>
      </c>
      <c r="O1092" s="1">
        <v>8421575</v>
      </c>
      <c r="P1092" s="1">
        <v>1353693</v>
      </c>
      <c r="Q1092" s="1">
        <v>2635880</v>
      </c>
      <c r="R1092" s="1">
        <v>177130272</v>
      </c>
      <c r="S1092" s="1">
        <v>6059</v>
      </c>
      <c r="T1092" s="1">
        <v>6059</v>
      </c>
      <c r="U1092" s="1">
        <v>41051</v>
      </c>
      <c r="V1092" s="1">
        <v>0</v>
      </c>
      <c r="W1092" s="1">
        <v>1</v>
      </c>
    </row>
    <row r="1093">
      <c r="A1093" s="1">
        <v>2022</v>
      </c>
      <c r="B1093" s="1">
        <v>6</v>
      </c>
      <c r="C1093" t="s">
        <v>11</v>
      </c>
      <c r="D1093" s="1">
        <v>61</v>
      </c>
      <c r="E1093" t="s">
        <v>65</v>
      </c>
      <c r="F1093" s="1">
        <v>41</v>
      </c>
      <c r="G1093" t="s">
        <v>3</v>
      </c>
      <c r="H1093" s="1">
        <v>51</v>
      </c>
      <c r="I1093" t="s">
        <v>6</v>
      </c>
      <c r="J1093" s="1">
        <v>55</v>
      </c>
      <c r="K1093" s="1">
        <v>69</v>
      </c>
      <c r="L1093" s="1">
        <v>2886</v>
      </c>
      <c r="M1093" s="1">
        <v>12958</v>
      </c>
      <c r="N1093" s="1">
        <v>22614</v>
      </c>
      <c r="O1093" s="1">
        <v>1357206</v>
      </c>
      <c r="P1093" s="1">
        <v>169523</v>
      </c>
      <c r="Q1093" s="1">
        <v>350455</v>
      </c>
      <c r="R1093" s="1">
        <v>22284444</v>
      </c>
      <c r="S1093" s="1">
        <v>6061</v>
      </c>
      <c r="T1093" s="1">
        <v>6061</v>
      </c>
      <c r="U1093" s="1">
        <v>41051</v>
      </c>
      <c r="V1093" s="1">
        <v>0</v>
      </c>
      <c r="W1093" s="1">
        <v>1</v>
      </c>
    </row>
    <row r="1094">
      <c r="A1094" s="1">
        <v>2022</v>
      </c>
      <c r="B1094" s="1">
        <v>6</v>
      </c>
      <c r="C1094" t="s">
        <v>11</v>
      </c>
      <c r="D1094" s="1">
        <v>65</v>
      </c>
      <c r="E1094" t="s">
        <v>66</v>
      </c>
      <c r="F1094" s="1">
        <v>41</v>
      </c>
      <c r="G1094" t="s">
        <v>3</v>
      </c>
      <c r="H1094" s="1">
        <v>51</v>
      </c>
      <c r="I1094" t="s">
        <v>6</v>
      </c>
      <c r="J1094" s="1">
        <v>180</v>
      </c>
      <c r="K1094" s="1">
        <v>241</v>
      </c>
      <c r="L1094" s="1">
        <v>10793</v>
      </c>
      <c r="M1094" s="1">
        <v>57191</v>
      </c>
      <c r="N1094" s="1">
        <v>103760</v>
      </c>
      <c r="O1094" s="1">
        <v>4226847</v>
      </c>
      <c r="P1094" s="1">
        <v>945820</v>
      </c>
      <c r="Q1094" s="1">
        <v>1959861</v>
      </c>
      <c r="R1094" s="1">
        <v>71955600</v>
      </c>
      <c r="S1094" s="1">
        <v>6065</v>
      </c>
      <c r="T1094" s="1">
        <v>6065</v>
      </c>
      <c r="U1094" s="1">
        <v>41051</v>
      </c>
      <c r="V1094" s="1">
        <v>0</v>
      </c>
      <c r="W1094" s="1">
        <v>1</v>
      </c>
    </row>
    <row r="1095">
      <c r="A1095" s="1">
        <v>2022</v>
      </c>
      <c r="B1095" s="1">
        <v>6</v>
      </c>
      <c r="C1095" t="s">
        <v>11</v>
      </c>
      <c r="D1095" s="1">
        <v>67</v>
      </c>
      <c r="E1095" t="s">
        <v>67</v>
      </c>
      <c r="F1095" s="1">
        <v>41</v>
      </c>
      <c r="G1095" t="s">
        <v>3</v>
      </c>
      <c r="H1095" s="1">
        <v>51</v>
      </c>
      <c r="I1095" t="s">
        <v>6</v>
      </c>
      <c r="J1095" s="1">
        <v>198</v>
      </c>
      <c r="K1095" s="1">
        <v>261</v>
      </c>
      <c r="L1095" s="1">
        <v>13114</v>
      </c>
      <c r="M1095" s="1">
        <v>37894</v>
      </c>
      <c r="N1095" s="1">
        <v>65560</v>
      </c>
      <c r="O1095" s="1">
        <v>2992992</v>
      </c>
      <c r="P1095" s="1">
        <v>640361</v>
      </c>
      <c r="Q1095" s="1">
        <v>1267386</v>
      </c>
      <c r="R1095" s="1">
        <v>55357812</v>
      </c>
      <c r="S1095" s="1">
        <v>6067</v>
      </c>
      <c r="T1095" s="1">
        <v>6067</v>
      </c>
      <c r="U1095" s="1">
        <v>41051</v>
      </c>
      <c r="V1095" s="1">
        <v>0</v>
      </c>
      <c r="W1095" s="1">
        <v>1</v>
      </c>
    </row>
    <row r="1096">
      <c r="A1096" s="1">
        <v>2022</v>
      </c>
      <c r="B1096" s="1">
        <v>6</v>
      </c>
      <c r="C1096" t="s">
        <v>11</v>
      </c>
      <c r="D1096" s="1">
        <v>71</v>
      </c>
      <c r="E1096" t="s">
        <v>68</v>
      </c>
      <c r="F1096" s="1">
        <v>41</v>
      </c>
      <c r="G1096" t="s">
        <v>3</v>
      </c>
      <c r="H1096" s="1">
        <v>51</v>
      </c>
      <c r="I1096" t="s">
        <v>6</v>
      </c>
      <c r="J1096" s="1">
        <v>144</v>
      </c>
      <c r="K1096" s="1">
        <v>185</v>
      </c>
      <c r="L1096" s="1">
        <v>7652</v>
      </c>
      <c r="M1096" s="1">
        <v>52202</v>
      </c>
      <c r="N1096" s="1">
        <v>96410</v>
      </c>
      <c r="O1096" s="1">
        <v>3436202</v>
      </c>
      <c r="P1096" s="1">
        <v>849096</v>
      </c>
      <c r="Q1096" s="1">
        <v>1747699</v>
      </c>
      <c r="R1096" s="1">
        <v>58958532</v>
      </c>
      <c r="S1096" s="1">
        <v>6071</v>
      </c>
      <c r="T1096" s="1">
        <v>6071</v>
      </c>
      <c r="U1096" s="1">
        <v>41051</v>
      </c>
      <c r="V1096" s="1">
        <v>0</v>
      </c>
      <c r="W1096" s="1">
        <v>1</v>
      </c>
    </row>
    <row r="1097">
      <c r="A1097" s="1">
        <v>2022</v>
      </c>
      <c r="B1097" s="1">
        <v>6</v>
      </c>
      <c r="C1097" t="s">
        <v>11</v>
      </c>
      <c r="D1097" s="1">
        <v>73</v>
      </c>
      <c r="E1097" t="s">
        <v>69</v>
      </c>
      <c r="F1097" s="1">
        <v>41</v>
      </c>
      <c r="G1097" t="s">
        <v>3</v>
      </c>
      <c r="H1097" s="1">
        <v>51</v>
      </c>
      <c r="I1097" t="s">
        <v>6</v>
      </c>
      <c r="J1097" s="1">
        <v>408</v>
      </c>
      <c r="K1097" s="1">
        <v>553</v>
      </c>
      <c r="L1097" s="1">
        <v>30978</v>
      </c>
      <c r="M1097" s="1">
        <v>78452</v>
      </c>
      <c r="N1097" s="1">
        <v>137177</v>
      </c>
      <c r="O1097" s="1">
        <v>7607334</v>
      </c>
      <c r="P1097" s="1">
        <v>1423230</v>
      </c>
      <c r="Q1097" s="1">
        <v>2765876</v>
      </c>
      <c r="R1097" s="1">
        <v>163813312</v>
      </c>
      <c r="S1097" s="1">
        <v>6073</v>
      </c>
      <c r="T1097" s="1">
        <v>6073</v>
      </c>
      <c r="U1097" s="1">
        <v>41051</v>
      </c>
      <c r="V1097" s="1">
        <v>0</v>
      </c>
      <c r="W1097" s="1">
        <v>1</v>
      </c>
    </row>
    <row r="1098">
      <c r="A1098" s="1">
        <v>2022</v>
      </c>
      <c r="B1098" s="1">
        <v>6</v>
      </c>
      <c r="C1098" t="s">
        <v>11</v>
      </c>
      <c r="D1098" s="1">
        <v>75</v>
      </c>
      <c r="E1098" t="s">
        <v>70</v>
      </c>
      <c r="F1098" s="1">
        <v>41</v>
      </c>
      <c r="G1098" t="s">
        <v>3</v>
      </c>
      <c r="H1098" s="1">
        <v>51</v>
      </c>
      <c r="I1098" t="s">
        <v>6</v>
      </c>
      <c r="J1098" s="1">
        <v>318</v>
      </c>
      <c r="K1098" s="1">
        <v>433</v>
      </c>
      <c r="L1098" s="1">
        <v>78545</v>
      </c>
      <c r="M1098" s="1">
        <v>38153</v>
      </c>
      <c r="N1098" s="1">
        <v>54889</v>
      </c>
      <c r="O1098" s="1">
        <v>11743774</v>
      </c>
      <c r="P1098" s="1">
        <v>392147</v>
      </c>
      <c r="Q1098" s="1">
        <v>632509</v>
      </c>
      <c r="R1098" s="1">
        <v>107512296</v>
      </c>
      <c r="S1098" s="1">
        <v>6075</v>
      </c>
      <c r="T1098" s="1">
        <v>6075</v>
      </c>
      <c r="U1098" s="1">
        <v>41051</v>
      </c>
      <c r="V1098" s="1">
        <v>0</v>
      </c>
      <c r="W1098" s="1">
        <v>1</v>
      </c>
    </row>
    <row r="1099">
      <c r="A1099" s="1">
        <v>2022</v>
      </c>
      <c r="B1099" s="1">
        <v>6</v>
      </c>
      <c r="C1099" t="s">
        <v>11</v>
      </c>
      <c r="D1099" s="1">
        <v>77</v>
      </c>
      <c r="E1099" t="s">
        <v>179</v>
      </c>
      <c r="F1099" s="1">
        <v>41</v>
      </c>
      <c r="G1099" t="s">
        <v>3</v>
      </c>
      <c r="H1099" s="1">
        <v>51</v>
      </c>
      <c r="I1099" t="s">
        <v>6</v>
      </c>
      <c r="J1099" s="1">
        <v>44</v>
      </c>
      <c r="K1099" s="1">
        <v>61</v>
      </c>
      <c r="L1099" s="1">
        <v>2687</v>
      </c>
      <c r="M1099" s="1">
        <v>16446</v>
      </c>
      <c r="N1099" s="1">
        <v>30194</v>
      </c>
      <c r="O1099" s="1">
        <v>1207423</v>
      </c>
      <c r="P1099" s="1">
        <v>299041</v>
      </c>
      <c r="Q1099" s="1">
        <v>639393</v>
      </c>
      <c r="R1099" s="1">
        <v>23989848</v>
      </c>
      <c r="S1099" s="1">
        <v>6077</v>
      </c>
      <c r="T1099" s="1">
        <v>6077</v>
      </c>
      <c r="U1099" s="1">
        <v>41051</v>
      </c>
      <c r="V1099" s="1">
        <v>0</v>
      </c>
      <c r="W1099" s="1">
        <v>1</v>
      </c>
    </row>
    <row r="1100">
      <c r="A1100" s="1">
        <v>2022</v>
      </c>
      <c r="B1100" s="1">
        <v>6</v>
      </c>
      <c r="C1100" t="s">
        <v>11</v>
      </c>
      <c r="D1100" s="1">
        <v>79</v>
      </c>
      <c r="E1100" t="s">
        <v>71</v>
      </c>
      <c r="F1100" s="1">
        <v>41</v>
      </c>
      <c r="G1100" t="s">
        <v>3</v>
      </c>
      <c r="H1100" s="1">
        <v>51</v>
      </c>
      <c r="I1100" t="s">
        <v>6</v>
      </c>
      <c r="J1100" s="1">
        <v>53</v>
      </c>
      <c r="K1100" s="1">
        <v>77</v>
      </c>
      <c r="L1100" s="1">
        <v>3694</v>
      </c>
      <c r="M1100" s="1">
        <v>7034</v>
      </c>
      <c r="N1100" s="1">
        <v>11105</v>
      </c>
      <c r="O1100" s="1">
        <v>600990</v>
      </c>
      <c r="P1100" s="1">
        <v>116284</v>
      </c>
      <c r="Q1100" s="1">
        <v>219160</v>
      </c>
      <c r="R1100" s="1">
        <v>12930148</v>
      </c>
      <c r="S1100" s="1">
        <v>6079</v>
      </c>
      <c r="T1100" s="1">
        <v>6079</v>
      </c>
      <c r="U1100" s="1">
        <v>41051</v>
      </c>
      <c r="V1100" s="1">
        <v>0</v>
      </c>
      <c r="W1100" s="1">
        <v>1</v>
      </c>
    </row>
    <row r="1101">
      <c r="A1101" s="1">
        <v>2022</v>
      </c>
      <c r="B1101" s="1">
        <v>6</v>
      </c>
      <c r="C1101" t="s">
        <v>11</v>
      </c>
      <c r="D1101" s="1">
        <v>81</v>
      </c>
      <c r="E1101" t="s">
        <v>72</v>
      </c>
      <c r="F1101" s="1">
        <v>41</v>
      </c>
      <c r="G1101" t="s">
        <v>3</v>
      </c>
      <c r="H1101" s="1">
        <v>51</v>
      </c>
      <c r="I1101" t="s">
        <v>6</v>
      </c>
      <c r="J1101" s="1">
        <v>136</v>
      </c>
      <c r="K1101" s="1">
        <v>195</v>
      </c>
      <c r="L1101" s="1">
        <v>29133</v>
      </c>
      <c r="M1101" s="1">
        <v>27158</v>
      </c>
      <c r="N1101" s="1">
        <v>45125</v>
      </c>
      <c r="O1101" s="1">
        <v>7371357</v>
      </c>
      <c r="P1101" s="1">
        <v>328978</v>
      </c>
      <c r="Q1101" s="1">
        <v>631734</v>
      </c>
      <c r="R1101" s="1">
        <v>108056672</v>
      </c>
      <c r="S1101" s="1">
        <v>6081</v>
      </c>
      <c r="T1101" s="1">
        <v>6081</v>
      </c>
      <c r="U1101" s="1">
        <v>41051</v>
      </c>
      <c r="V1101" s="1">
        <v>0</v>
      </c>
      <c r="W1101" s="1">
        <v>1</v>
      </c>
    </row>
    <row r="1102">
      <c r="A1102" s="1">
        <v>2022</v>
      </c>
      <c r="B1102" s="1">
        <v>6</v>
      </c>
      <c r="C1102" t="s">
        <v>11</v>
      </c>
      <c r="D1102" s="1">
        <v>83</v>
      </c>
      <c r="E1102" t="s">
        <v>73</v>
      </c>
      <c r="F1102" s="1">
        <v>41</v>
      </c>
      <c r="G1102" t="s">
        <v>3</v>
      </c>
      <c r="H1102" s="1">
        <v>51</v>
      </c>
      <c r="I1102" t="s">
        <v>6</v>
      </c>
      <c r="J1102" s="1">
        <v>76</v>
      </c>
      <c r="K1102" s="1">
        <v>89</v>
      </c>
      <c r="L1102" s="1">
        <v>5529</v>
      </c>
      <c r="M1102" s="1">
        <v>10724</v>
      </c>
      <c r="N1102" s="1">
        <v>17245</v>
      </c>
      <c r="O1102" s="1">
        <v>1014425</v>
      </c>
      <c r="P1102" s="1">
        <v>179358</v>
      </c>
      <c r="Q1102" s="1">
        <v>353212</v>
      </c>
      <c r="R1102" s="1">
        <v>21210408</v>
      </c>
      <c r="S1102" s="1">
        <v>6083</v>
      </c>
      <c r="T1102" s="1">
        <v>6083</v>
      </c>
      <c r="U1102" s="1">
        <v>41051</v>
      </c>
      <c r="V1102" s="1">
        <v>0</v>
      </c>
      <c r="W1102" s="1">
        <v>1</v>
      </c>
    </row>
    <row r="1103">
      <c r="A1103" s="1">
        <v>2022</v>
      </c>
      <c r="B1103" s="1">
        <v>6</v>
      </c>
      <c r="C1103" t="s">
        <v>11</v>
      </c>
      <c r="D1103" s="1">
        <v>85</v>
      </c>
      <c r="E1103" t="s">
        <v>74</v>
      </c>
      <c r="F1103" s="1">
        <v>41</v>
      </c>
      <c r="G1103" t="s">
        <v>3</v>
      </c>
      <c r="H1103" s="1">
        <v>51</v>
      </c>
      <c r="I1103" t="s">
        <v>6</v>
      </c>
      <c r="J1103" s="1">
        <v>271</v>
      </c>
      <c r="K1103" s="1">
        <v>375</v>
      </c>
      <c r="L1103" s="1">
        <v>37779</v>
      </c>
      <c r="M1103" s="1">
        <v>57531</v>
      </c>
      <c r="N1103" s="1">
        <v>99937</v>
      </c>
      <c r="O1103" s="1">
        <v>14131374</v>
      </c>
      <c r="P1103" s="1">
        <v>818219</v>
      </c>
      <c r="Q1103" s="1">
        <v>1613891</v>
      </c>
      <c r="R1103" s="1">
        <v>217988928</v>
      </c>
      <c r="S1103" s="1">
        <v>6085</v>
      </c>
      <c r="T1103" s="1">
        <v>6085</v>
      </c>
      <c r="U1103" s="1">
        <v>41051</v>
      </c>
      <c r="V1103" s="1">
        <v>0</v>
      </c>
      <c r="W1103" s="1">
        <v>1</v>
      </c>
    </row>
    <row r="1104">
      <c r="A1104" s="1">
        <v>2022</v>
      </c>
      <c r="B1104" s="1">
        <v>6</v>
      </c>
      <c r="C1104" t="s">
        <v>11</v>
      </c>
      <c r="D1104" s="1">
        <v>87</v>
      </c>
      <c r="E1104" t="s">
        <v>75</v>
      </c>
      <c r="F1104" s="1">
        <v>41</v>
      </c>
      <c r="G1104" t="s">
        <v>3</v>
      </c>
      <c r="H1104" s="1">
        <v>51</v>
      </c>
      <c r="I1104" t="s">
        <v>6</v>
      </c>
      <c r="J1104" s="1">
        <v>71</v>
      </c>
      <c r="K1104" s="1">
        <v>90</v>
      </c>
      <c r="L1104" s="1">
        <v>5364</v>
      </c>
      <c r="M1104" s="1">
        <v>7434</v>
      </c>
      <c r="N1104" s="1">
        <v>11761</v>
      </c>
      <c r="O1104" s="1">
        <v>829053</v>
      </c>
      <c r="P1104" s="1">
        <v>112420</v>
      </c>
      <c r="Q1104" s="1">
        <v>211970</v>
      </c>
      <c r="R1104" s="1">
        <v>15416050</v>
      </c>
      <c r="S1104" s="1">
        <v>6087</v>
      </c>
      <c r="T1104" s="1">
        <v>6087</v>
      </c>
      <c r="U1104" s="1">
        <v>41051</v>
      </c>
      <c r="V1104" s="1">
        <v>0</v>
      </c>
      <c r="W1104" s="1">
        <v>1</v>
      </c>
    </row>
    <row r="1105">
      <c r="A1105" s="1">
        <v>2022</v>
      </c>
      <c r="B1105" s="1">
        <v>6</v>
      </c>
      <c r="C1105" t="s">
        <v>11</v>
      </c>
      <c r="D1105" s="1">
        <v>89</v>
      </c>
      <c r="E1105" t="s">
        <v>76</v>
      </c>
      <c r="F1105" s="1">
        <v>41</v>
      </c>
      <c r="G1105" t="s">
        <v>3</v>
      </c>
      <c r="H1105" s="1">
        <v>51</v>
      </c>
      <c r="I1105" t="s">
        <v>6</v>
      </c>
      <c r="J1105" s="1">
        <v>33</v>
      </c>
      <c r="K1105" s="1">
        <v>44</v>
      </c>
      <c r="L1105" s="1">
        <v>1606</v>
      </c>
      <c r="M1105" s="1">
        <v>4155</v>
      </c>
      <c r="N1105" s="1">
        <v>7264</v>
      </c>
      <c r="O1105" s="1">
        <v>261319</v>
      </c>
      <c r="P1105" s="1">
        <v>68809</v>
      </c>
      <c r="Q1105" s="1">
        <v>135728</v>
      </c>
      <c r="R1105" s="1">
        <v>5268946</v>
      </c>
      <c r="S1105" s="1">
        <v>6089</v>
      </c>
      <c r="T1105" s="1">
        <v>6089</v>
      </c>
      <c r="U1105" s="1">
        <v>41051</v>
      </c>
      <c r="V1105" s="1">
        <v>0</v>
      </c>
      <c r="W1105" s="1">
        <v>1</v>
      </c>
    </row>
    <row r="1106">
      <c r="A1106" s="1">
        <v>2022</v>
      </c>
      <c r="B1106" s="1">
        <v>6</v>
      </c>
      <c r="C1106" t="s">
        <v>11</v>
      </c>
      <c r="D1106" s="1">
        <v>95</v>
      </c>
      <c r="E1106" t="s">
        <v>180</v>
      </c>
      <c r="F1106" s="1">
        <v>41</v>
      </c>
      <c r="G1106" t="s">
        <v>3</v>
      </c>
      <c r="H1106" s="1">
        <v>51</v>
      </c>
      <c r="I1106" t="s">
        <v>6</v>
      </c>
      <c r="J1106" s="1">
        <v>30</v>
      </c>
      <c r="K1106" s="1">
        <v>46</v>
      </c>
      <c r="L1106" s="1">
        <v>2578</v>
      </c>
      <c r="M1106" s="1">
        <v>12778</v>
      </c>
      <c r="N1106" s="1">
        <v>22483</v>
      </c>
      <c r="O1106" s="1">
        <v>950648</v>
      </c>
      <c r="P1106" s="1">
        <v>186044</v>
      </c>
      <c r="Q1106" s="1">
        <v>364224</v>
      </c>
      <c r="R1106" s="1">
        <v>16310610</v>
      </c>
      <c r="S1106" s="1">
        <v>6095</v>
      </c>
      <c r="T1106" s="1">
        <v>6095</v>
      </c>
      <c r="U1106" s="1">
        <v>41051</v>
      </c>
      <c r="V1106" s="1">
        <v>0</v>
      </c>
      <c r="W1106" s="1">
        <v>1</v>
      </c>
    </row>
    <row r="1107">
      <c r="A1107" s="1">
        <v>2022</v>
      </c>
      <c r="B1107" s="1">
        <v>6</v>
      </c>
      <c r="C1107" t="s">
        <v>11</v>
      </c>
      <c r="D1107" s="1">
        <v>97</v>
      </c>
      <c r="E1107" t="s">
        <v>77</v>
      </c>
      <c r="F1107" s="1">
        <v>41</v>
      </c>
      <c r="G1107" t="s">
        <v>3</v>
      </c>
      <c r="H1107" s="1">
        <v>51</v>
      </c>
      <c r="I1107" t="s">
        <v>6</v>
      </c>
      <c r="J1107" s="1">
        <v>107</v>
      </c>
      <c r="K1107" s="1">
        <v>128</v>
      </c>
      <c r="L1107" s="1">
        <v>7025</v>
      </c>
      <c r="M1107" s="1">
        <v>10778</v>
      </c>
      <c r="N1107" s="1">
        <v>16921</v>
      </c>
      <c r="O1107" s="1">
        <v>1428615</v>
      </c>
      <c r="P1107" s="1">
        <v>214093</v>
      </c>
      <c r="Q1107" s="1">
        <v>400987</v>
      </c>
      <c r="R1107" s="1">
        <v>25245460</v>
      </c>
      <c r="S1107" s="1">
        <v>6097</v>
      </c>
      <c r="T1107" s="1">
        <v>6097</v>
      </c>
      <c r="U1107" s="1">
        <v>41051</v>
      </c>
      <c r="V1107" s="1">
        <v>0</v>
      </c>
      <c r="W1107" s="1">
        <v>1</v>
      </c>
    </row>
    <row r="1108">
      <c r="A1108" s="1">
        <v>2022</v>
      </c>
      <c r="B1108" s="1">
        <v>6</v>
      </c>
      <c r="C1108" t="s">
        <v>11</v>
      </c>
      <c r="D1108" s="1">
        <v>99</v>
      </c>
      <c r="E1108" t="s">
        <v>325</v>
      </c>
      <c r="F1108" s="1">
        <v>41</v>
      </c>
      <c r="G1108" t="s">
        <v>3</v>
      </c>
      <c r="H1108" s="1">
        <v>51</v>
      </c>
      <c r="I1108" t="s">
        <v>6</v>
      </c>
      <c r="J1108" s="1">
        <v>38</v>
      </c>
      <c r="K1108" s="1">
        <v>64</v>
      </c>
      <c r="L1108" s="1">
        <v>2081</v>
      </c>
      <c r="M1108" s="1">
        <v>10778</v>
      </c>
      <c r="N1108" s="1">
        <v>20137</v>
      </c>
      <c r="O1108" s="1">
        <v>757485</v>
      </c>
      <c r="P1108" s="1">
        <v>209416</v>
      </c>
      <c r="Q1108" s="1">
        <v>448044</v>
      </c>
      <c r="R1108" s="1">
        <v>15395172</v>
      </c>
      <c r="S1108" s="1">
        <v>6099</v>
      </c>
      <c r="T1108" s="1">
        <v>6099</v>
      </c>
      <c r="U1108" s="1">
        <v>41051</v>
      </c>
      <c r="V1108" s="1">
        <v>0</v>
      </c>
      <c r="W1108" s="1">
        <v>1</v>
      </c>
    </row>
    <row r="1109">
      <c r="A1109" s="1">
        <v>2022</v>
      </c>
      <c r="B1109" s="1">
        <v>6</v>
      </c>
      <c r="C1109" t="s">
        <v>11</v>
      </c>
      <c r="D1109" s="1">
        <v>107</v>
      </c>
      <c r="E1109" t="s">
        <v>365</v>
      </c>
      <c r="F1109" s="1">
        <v>41</v>
      </c>
      <c r="G1109" t="s">
        <v>3</v>
      </c>
      <c r="H1109" s="1">
        <v>51</v>
      </c>
      <c r="I1109" t="s">
        <v>6</v>
      </c>
      <c r="J1109" s="1">
        <v>29</v>
      </c>
      <c r="K1109" s="1">
        <v>40</v>
      </c>
      <c r="L1109" s="1">
        <v>1414</v>
      </c>
      <c r="M1109" s="1">
        <v>6407</v>
      </c>
      <c r="N1109" s="1">
        <v>11849</v>
      </c>
      <c r="O1109" s="1">
        <v>382968</v>
      </c>
      <c r="P1109" s="1">
        <v>169943</v>
      </c>
      <c r="Q1109" s="1">
        <v>380769</v>
      </c>
      <c r="R1109" s="1">
        <v>10453354</v>
      </c>
      <c r="S1109" s="1">
        <v>6107</v>
      </c>
      <c r="T1109" s="1">
        <v>6107</v>
      </c>
      <c r="U1109" s="1">
        <v>41051</v>
      </c>
      <c r="V1109" s="1">
        <v>0</v>
      </c>
      <c r="W1109" s="1">
        <v>1</v>
      </c>
    </row>
    <row r="1110">
      <c r="A1110" s="1">
        <v>2022</v>
      </c>
      <c r="B1110" s="1">
        <v>6</v>
      </c>
      <c r="C1110" t="s">
        <v>11</v>
      </c>
      <c r="D1110" s="1">
        <v>111</v>
      </c>
      <c r="E1110" t="s">
        <v>78</v>
      </c>
      <c r="F1110" s="1">
        <v>41</v>
      </c>
      <c r="G1110" t="s">
        <v>3</v>
      </c>
      <c r="H1110" s="1">
        <v>51</v>
      </c>
      <c r="I1110" t="s">
        <v>6</v>
      </c>
      <c r="J1110" s="1">
        <v>90</v>
      </c>
      <c r="K1110" s="1">
        <v>121</v>
      </c>
      <c r="L1110" s="1">
        <v>7115</v>
      </c>
      <c r="M1110" s="1">
        <v>19263</v>
      </c>
      <c r="N1110" s="1">
        <v>32780</v>
      </c>
      <c r="O1110" s="1">
        <v>2057247</v>
      </c>
      <c r="P1110" s="1">
        <v>356579</v>
      </c>
      <c r="Q1110" s="1">
        <v>708703</v>
      </c>
      <c r="R1110" s="1">
        <v>40972312</v>
      </c>
      <c r="S1110" s="1">
        <v>6111</v>
      </c>
      <c r="T1110" s="1">
        <v>6111</v>
      </c>
      <c r="U1110" s="1">
        <v>41051</v>
      </c>
      <c r="V1110" s="1">
        <v>0</v>
      </c>
      <c r="W1110" s="1">
        <v>1</v>
      </c>
    </row>
    <row r="1111">
      <c r="A1111" s="1">
        <v>2022</v>
      </c>
      <c r="B1111" s="1">
        <v>6</v>
      </c>
      <c r="C1111" t="s">
        <v>11</v>
      </c>
      <c r="D1111" s="1">
        <v>113</v>
      </c>
      <c r="E1111" t="s">
        <v>181</v>
      </c>
      <c r="F1111" s="1">
        <v>41</v>
      </c>
      <c r="G1111" t="s">
        <v>3</v>
      </c>
      <c r="H1111" s="1">
        <v>51</v>
      </c>
      <c r="I1111" t="s">
        <v>6</v>
      </c>
      <c r="J1111" s="1">
        <v>33</v>
      </c>
      <c r="K1111" s="1">
        <v>39</v>
      </c>
      <c r="L1111" s="1">
        <v>1551</v>
      </c>
      <c r="M1111" s="1">
        <v>7400</v>
      </c>
      <c r="N1111" s="1">
        <v>11639</v>
      </c>
      <c r="O1111" s="1">
        <v>540195</v>
      </c>
      <c r="P1111" s="1">
        <v>82952</v>
      </c>
      <c r="Q1111" s="1">
        <v>163884</v>
      </c>
      <c r="R1111" s="1">
        <v>8425750</v>
      </c>
      <c r="S1111" s="1">
        <v>6113</v>
      </c>
      <c r="T1111" s="1">
        <v>6113</v>
      </c>
      <c r="U1111" s="1">
        <v>41051</v>
      </c>
      <c r="V1111" s="1">
        <v>0</v>
      </c>
      <c r="W1111" s="1">
        <v>1</v>
      </c>
    </row>
    <row r="1112">
      <c r="A1112" s="1">
        <v>2022</v>
      </c>
      <c r="B1112" s="1">
        <v>8</v>
      </c>
      <c r="C1112" t="s">
        <v>12</v>
      </c>
      <c r="D1112" s="1">
        <v>1</v>
      </c>
      <c r="E1112" t="s">
        <v>225</v>
      </c>
      <c r="F1112" s="1">
        <v>41</v>
      </c>
      <c r="G1112" t="s">
        <v>3</v>
      </c>
      <c r="H1112" s="1">
        <v>51</v>
      </c>
      <c r="I1112" t="s">
        <v>6</v>
      </c>
      <c r="J1112" s="1">
        <v>27</v>
      </c>
      <c r="K1112" s="1">
        <v>37</v>
      </c>
      <c r="L1112" s="1">
        <v>1280</v>
      </c>
      <c r="M1112" s="1">
        <v>22879</v>
      </c>
      <c r="N1112" s="1">
        <v>39567</v>
      </c>
      <c r="O1112" s="1">
        <v>1499165</v>
      </c>
      <c r="P1112" s="1">
        <v>215552</v>
      </c>
      <c r="Q1112" s="1">
        <v>425604</v>
      </c>
      <c r="R1112" s="1">
        <v>16719165</v>
      </c>
      <c r="S1112" s="1">
        <v>8001</v>
      </c>
      <c r="T1112" s="1">
        <v>8001</v>
      </c>
      <c r="U1112" s="1">
        <v>41051</v>
      </c>
      <c r="V1112" s="1">
        <v>0</v>
      </c>
      <c r="W1112" s="1">
        <v>1</v>
      </c>
    </row>
    <row r="1113">
      <c r="A1113" s="1">
        <v>2022</v>
      </c>
      <c r="B1113" s="1">
        <v>8</v>
      </c>
      <c r="C1113" t="s">
        <v>12</v>
      </c>
      <c r="D1113" s="1">
        <v>5</v>
      </c>
      <c r="E1113" t="s">
        <v>79</v>
      </c>
      <c r="F1113" s="1">
        <v>41</v>
      </c>
      <c r="G1113" t="s">
        <v>3</v>
      </c>
      <c r="H1113" s="1">
        <v>51</v>
      </c>
      <c r="I1113" t="s">
        <v>6</v>
      </c>
      <c r="J1113" s="1">
        <v>67</v>
      </c>
      <c r="K1113" s="1">
        <v>110</v>
      </c>
      <c r="L1113" s="1">
        <v>4360</v>
      </c>
      <c r="M1113" s="1">
        <v>34278</v>
      </c>
      <c r="N1113" s="1">
        <v>57128</v>
      </c>
      <c r="O1113" s="1">
        <v>2862252</v>
      </c>
      <c r="P1113" s="1">
        <v>281495</v>
      </c>
      <c r="Q1113" s="1">
        <v>544713</v>
      </c>
      <c r="R1113" s="1">
        <v>33958596</v>
      </c>
      <c r="S1113" s="1">
        <v>8005</v>
      </c>
      <c r="T1113" s="1">
        <v>8005</v>
      </c>
      <c r="U1113" s="1">
        <v>41051</v>
      </c>
      <c r="V1113" s="1">
        <v>0</v>
      </c>
      <c r="W1113" s="1">
        <v>1</v>
      </c>
    </row>
    <row r="1114">
      <c r="A1114" s="1">
        <v>2022</v>
      </c>
      <c r="B1114" s="1">
        <v>8</v>
      </c>
      <c r="C1114" t="s">
        <v>12</v>
      </c>
      <c r="D1114" s="1">
        <v>13</v>
      </c>
      <c r="E1114" t="s">
        <v>80</v>
      </c>
      <c r="F1114" s="1">
        <v>41</v>
      </c>
      <c r="G1114" t="s">
        <v>3</v>
      </c>
      <c r="H1114" s="1">
        <v>51</v>
      </c>
      <c r="I1114" t="s">
        <v>6</v>
      </c>
      <c r="J1114" s="1">
        <v>67</v>
      </c>
      <c r="K1114" s="1">
        <v>87</v>
      </c>
      <c r="L1114" s="1">
        <v>7607</v>
      </c>
      <c r="M1114" s="1">
        <v>15539</v>
      </c>
      <c r="N1114" s="1">
        <v>23298</v>
      </c>
      <c r="O1114" s="1">
        <v>1812849</v>
      </c>
      <c r="P1114" s="1">
        <v>139525</v>
      </c>
      <c r="Q1114" s="1">
        <v>258035</v>
      </c>
      <c r="R1114" s="1">
        <v>23647292</v>
      </c>
      <c r="S1114" s="1">
        <v>8013</v>
      </c>
      <c r="T1114" s="1">
        <v>8013</v>
      </c>
      <c r="U1114" s="1">
        <v>41051</v>
      </c>
      <c r="V1114" s="1">
        <v>0</v>
      </c>
      <c r="W1114" s="1">
        <v>1</v>
      </c>
    </row>
    <row r="1115">
      <c r="A1115" s="1">
        <v>2022</v>
      </c>
      <c r="B1115" s="1">
        <v>8</v>
      </c>
      <c r="C1115" t="s">
        <v>12</v>
      </c>
      <c r="D1115" s="1">
        <v>31</v>
      </c>
      <c r="E1115" t="s">
        <v>81</v>
      </c>
      <c r="F1115" s="1">
        <v>41</v>
      </c>
      <c r="G1115" t="s">
        <v>3</v>
      </c>
      <c r="H1115" s="1">
        <v>51</v>
      </c>
      <c r="I1115" t="s">
        <v>6</v>
      </c>
      <c r="J1115" s="1">
        <v>201</v>
      </c>
      <c r="K1115" s="1">
        <v>248</v>
      </c>
      <c r="L1115" s="1">
        <v>16628</v>
      </c>
      <c r="M1115" s="1">
        <v>49553</v>
      </c>
      <c r="N1115" s="1">
        <v>73054</v>
      </c>
      <c r="O1115" s="1">
        <v>4840539</v>
      </c>
      <c r="P1115" s="1">
        <v>327781</v>
      </c>
      <c r="Q1115" s="1">
        <v>548910</v>
      </c>
      <c r="R1115" s="1">
        <v>43353448</v>
      </c>
      <c r="S1115" s="1">
        <v>8031</v>
      </c>
      <c r="T1115" s="1">
        <v>8031</v>
      </c>
      <c r="U1115" s="1">
        <v>41051</v>
      </c>
      <c r="V1115" s="1">
        <v>0</v>
      </c>
      <c r="W1115" s="1">
        <v>1</v>
      </c>
    </row>
    <row r="1116">
      <c r="A1116" s="1">
        <v>2022</v>
      </c>
      <c r="B1116" s="1">
        <v>8</v>
      </c>
      <c r="C1116" t="s">
        <v>12</v>
      </c>
      <c r="D1116" s="1">
        <v>41</v>
      </c>
      <c r="E1116" t="s">
        <v>82</v>
      </c>
      <c r="F1116" s="1">
        <v>41</v>
      </c>
      <c r="G1116" t="s">
        <v>3</v>
      </c>
      <c r="H1116" s="1">
        <v>51</v>
      </c>
      <c r="I1116" t="s">
        <v>6</v>
      </c>
      <c r="J1116" s="1">
        <v>57</v>
      </c>
      <c r="K1116" s="1">
        <v>82</v>
      </c>
      <c r="L1116" s="1">
        <v>3539</v>
      </c>
      <c r="M1116" s="1">
        <v>27762</v>
      </c>
      <c r="N1116" s="1">
        <v>52679</v>
      </c>
      <c r="O1116" s="1">
        <v>1866235</v>
      </c>
      <c r="P1116" s="1">
        <v>301075</v>
      </c>
      <c r="Q1116" s="1">
        <v>606872</v>
      </c>
      <c r="R1116" s="1">
        <v>26910228</v>
      </c>
      <c r="S1116" s="1">
        <v>8041</v>
      </c>
      <c r="T1116" s="1">
        <v>8041</v>
      </c>
      <c r="U1116" s="1">
        <v>41051</v>
      </c>
      <c r="V1116" s="1">
        <v>0</v>
      </c>
      <c r="W1116" s="1">
        <v>1</v>
      </c>
    </row>
    <row r="1117">
      <c r="A1117" s="1">
        <v>2022</v>
      </c>
      <c r="B1117" s="1">
        <v>8</v>
      </c>
      <c r="C1117" t="s">
        <v>12</v>
      </c>
      <c r="D1117" s="1">
        <v>59</v>
      </c>
      <c r="E1117" t="s">
        <v>83</v>
      </c>
      <c r="F1117" s="1">
        <v>41</v>
      </c>
      <c r="G1117" t="s">
        <v>3</v>
      </c>
      <c r="H1117" s="1">
        <v>51</v>
      </c>
      <c r="I1117" t="s">
        <v>6</v>
      </c>
      <c r="J1117" s="1">
        <v>78</v>
      </c>
      <c r="K1117" s="1">
        <v>92</v>
      </c>
      <c r="L1117" s="1">
        <v>4795</v>
      </c>
      <c r="M1117" s="1">
        <v>29137</v>
      </c>
      <c r="N1117" s="1">
        <v>45209</v>
      </c>
      <c r="O1117" s="1">
        <v>2447600</v>
      </c>
      <c r="P1117" s="1">
        <v>262464</v>
      </c>
      <c r="Q1117" s="1">
        <v>483232</v>
      </c>
      <c r="R1117" s="1">
        <v>30999142</v>
      </c>
      <c r="S1117" s="1">
        <v>8059</v>
      </c>
      <c r="T1117" s="1">
        <v>8059</v>
      </c>
      <c r="U1117" s="1">
        <v>41051</v>
      </c>
      <c r="V1117" s="1">
        <v>0</v>
      </c>
      <c r="W1117" s="1">
        <v>1</v>
      </c>
    </row>
    <row r="1118">
      <c r="A1118" s="1">
        <v>2022</v>
      </c>
      <c r="B1118" s="1">
        <v>8</v>
      </c>
      <c r="C1118" t="s">
        <v>12</v>
      </c>
      <c r="D1118" s="1">
        <v>69</v>
      </c>
      <c r="E1118" t="s">
        <v>84</v>
      </c>
      <c r="F1118" s="1">
        <v>41</v>
      </c>
      <c r="G1118" t="s">
        <v>3</v>
      </c>
      <c r="H1118" s="1">
        <v>51</v>
      </c>
      <c r="I1118" t="s">
        <v>6</v>
      </c>
      <c r="J1118" s="1">
        <v>60</v>
      </c>
      <c r="K1118" s="1">
        <v>74</v>
      </c>
      <c r="L1118" s="1">
        <v>2729</v>
      </c>
      <c r="M1118" s="1">
        <v>14907</v>
      </c>
      <c r="N1118" s="1">
        <v>23120</v>
      </c>
      <c r="O1118" s="1">
        <v>1101538</v>
      </c>
      <c r="P1118" s="1">
        <v>155392</v>
      </c>
      <c r="Q1118" s="1">
        <v>290549</v>
      </c>
      <c r="R1118" s="1">
        <v>16682339</v>
      </c>
      <c r="S1118" s="1">
        <v>8069</v>
      </c>
      <c r="T1118" s="1">
        <v>8069</v>
      </c>
      <c r="U1118" s="1">
        <v>41051</v>
      </c>
      <c r="V1118" s="1">
        <v>0</v>
      </c>
      <c r="W1118" s="1">
        <v>1</v>
      </c>
    </row>
    <row r="1119">
      <c r="A1119" s="1">
        <v>2022</v>
      </c>
      <c r="B1119" s="1">
        <v>11</v>
      </c>
      <c r="C1119" t="s">
        <v>14</v>
      </c>
      <c r="D1119" s="1">
        <v>1</v>
      </c>
      <c r="E1119" t="s">
        <v>14</v>
      </c>
      <c r="F1119" s="1">
        <v>41</v>
      </c>
      <c r="G1119" t="s">
        <v>3</v>
      </c>
      <c r="H1119" s="1">
        <v>51</v>
      </c>
      <c r="I1119" t="s">
        <v>6</v>
      </c>
      <c r="J1119" s="1">
        <v>103</v>
      </c>
      <c r="K1119" s="1">
        <v>128</v>
      </c>
      <c r="L1119" s="1">
        <v>13714</v>
      </c>
      <c r="M1119" s="1">
        <v>32602</v>
      </c>
      <c r="N1119" s="1">
        <v>46615</v>
      </c>
      <c r="O1119" s="1">
        <v>4211641</v>
      </c>
      <c r="P1119" s="1">
        <v>295241</v>
      </c>
      <c r="Q1119" s="1">
        <v>474758</v>
      </c>
      <c r="R1119" s="1">
        <v>43092940</v>
      </c>
      <c r="S1119" s="1">
        <v>11001</v>
      </c>
      <c r="T1119" s="1">
        <v>11001</v>
      </c>
      <c r="U1119" s="1">
        <v>41051</v>
      </c>
      <c r="V1119" s="1">
        <v>0</v>
      </c>
      <c r="W1119" s="1">
        <v>1</v>
      </c>
    </row>
    <row r="1120">
      <c r="A1120" s="1">
        <v>2022</v>
      </c>
      <c r="B1120" s="1">
        <v>12</v>
      </c>
      <c r="C1120" t="s">
        <v>15</v>
      </c>
      <c r="D1120" s="1">
        <v>11</v>
      </c>
      <c r="E1120" t="s">
        <v>183</v>
      </c>
      <c r="F1120" s="1">
        <v>41</v>
      </c>
      <c r="G1120" t="s">
        <v>3</v>
      </c>
      <c r="H1120" s="1">
        <v>51</v>
      </c>
      <c r="I1120" t="s">
        <v>6</v>
      </c>
      <c r="J1120" s="1">
        <v>45</v>
      </c>
      <c r="K1120" s="1">
        <v>58</v>
      </c>
      <c r="L1120" s="1">
        <v>2977</v>
      </c>
      <c r="M1120" s="1">
        <v>55167</v>
      </c>
      <c r="N1120" s="1">
        <v>92579</v>
      </c>
      <c r="O1120" s="1">
        <v>4717920</v>
      </c>
      <c r="P1120" s="1">
        <v>828879</v>
      </c>
      <c r="Q1120" s="1">
        <v>1520762</v>
      </c>
      <c r="R1120" s="1">
        <v>79659008</v>
      </c>
      <c r="S1120" s="1">
        <v>12011</v>
      </c>
      <c r="T1120" s="1">
        <v>12011</v>
      </c>
      <c r="U1120" s="1">
        <v>41051</v>
      </c>
      <c r="V1120" s="1">
        <v>0</v>
      </c>
      <c r="W1120" s="1">
        <v>1</v>
      </c>
    </row>
    <row r="1121">
      <c r="A1121" s="1">
        <v>2022</v>
      </c>
      <c r="B1121" s="1">
        <v>12</v>
      </c>
      <c r="C1121" t="s">
        <v>15</v>
      </c>
      <c r="D1121" s="1">
        <v>31</v>
      </c>
      <c r="E1121" t="s">
        <v>184</v>
      </c>
      <c r="F1121" s="1">
        <v>41</v>
      </c>
      <c r="G1121" t="s">
        <v>3</v>
      </c>
      <c r="H1121" s="1">
        <v>51</v>
      </c>
      <c r="I1121" t="s">
        <v>6</v>
      </c>
      <c r="J1121" s="1">
        <v>27</v>
      </c>
      <c r="K1121" s="1">
        <v>41</v>
      </c>
      <c r="L1121" s="1">
        <v>1854</v>
      </c>
      <c r="M1121" s="1">
        <v>27955</v>
      </c>
      <c r="N1121" s="1">
        <v>49684</v>
      </c>
      <c r="O1121" s="1">
        <v>2071860</v>
      </c>
      <c r="P1121" s="1">
        <v>405773</v>
      </c>
      <c r="Q1121" s="1">
        <v>764770</v>
      </c>
      <c r="R1121" s="1">
        <v>33092136</v>
      </c>
      <c r="S1121" s="1">
        <v>12031</v>
      </c>
      <c r="T1121" s="1">
        <v>12031</v>
      </c>
      <c r="U1121" s="1">
        <v>41051</v>
      </c>
      <c r="V1121" s="1">
        <v>0</v>
      </c>
      <c r="W1121" s="1">
        <v>1</v>
      </c>
    </row>
    <row r="1122">
      <c r="A1122" s="1">
        <v>2022</v>
      </c>
      <c r="B1122" s="1">
        <v>12</v>
      </c>
      <c r="C1122" t="s">
        <v>15</v>
      </c>
      <c r="D1122" s="1">
        <v>57</v>
      </c>
      <c r="E1122" t="s">
        <v>86</v>
      </c>
      <c r="F1122" s="1">
        <v>41</v>
      </c>
      <c r="G1122" t="s">
        <v>3</v>
      </c>
      <c r="H1122" s="1">
        <v>51</v>
      </c>
      <c r="I1122" t="s">
        <v>6</v>
      </c>
      <c r="J1122" s="1">
        <v>46</v>
      </c>
      <c r="K1122" s="1">
        <v>67</v>
      </c>
      <c r="L1122" s="1">
        <v>2381</v>
      </c>
      <c r="M1122" s="1">
        <v>46120</v>
      </c>
      <c r="N1122" s="1">
        <v>78769</v>
      </c>
      <c r="O1122" s="1">
        <v>3432037</v>
      </c>
      <c r="P1122" s="1">
        <v>606138</v>
      </c>
      <c r="Q1122" s="1">
        <v>1162731</v>
      </c>
      <c r="R1122" s="1">
        <v>56233128</v>
      </c>
      <c r="S1122" s="1">
        <v>12057</v>
      </c>
      <c r="T1122" s="1">
        <v>12057</v>
      </c>
      <c r="U1122" s="1">
        <v>41051</v>
      </c>
      <c r="V1122" s="1">
        <v>0</v>
      </c>
      <c r="W1122" s="1">
        <v>1</v>
      </c>
    </row>
    <row r="1123">
      <c r="A1123" s="1">
        <v>2022</v>
      </c>
      <c r="B1123" s="1">
        <v>12</v>
      </c>
      <c r="C1123" t="s">
        <v>15</v>
      </c>
      <c r="D1123" s="1">
        <v>86</v>
      </c>
      <c r="E1123" t="s">
        <v>87</v>
      </c>
      <c r="F1123" s="1">
        <v>41</v>
      </c>
      <c r="G1123" t="s">
        <v>3</v>
      </c>
      <c r="H1123" s="1">
        <v>51</v>
      </c>
      <c r="I1123" t="s">
        <v>6</v>
      </c>
      <c r="J1123" s="1">
        <v>66</v>
      </c>
      <c r="K1123" s="1">
        <v>80</v>
      </c>
      <c r="L1123" s="1">
        <v>4728</v>
      </c>
      <c r="M1123" s="1">
        <v>59594</v>
      </c>
      <c r="N1123" s="1">
        <v>98500</v>
      </c>
      <c r="O1123" s="1">
        <v>5898228</v>
      </c>
      <c r="P1123" s="1">
        <v>1179060</v>
      </c>
      <c r="Q1123" s="1">
        <v>2095143</v>
      </c>
      <c r="R1123" s="1">
        <v>115668616</v>
      </c>
      <c r="S1123" s="1">
        <v>12086</v>
      </c>
      <c r="T1123" s="1">
        <v>12086</v>
      </c>
      <c r="U1123" s="1">
        <v>41051</v>
      </c>
      <c r="V1123" s="1">
        <v>0</v>
      </c>
      <c r="W1123" s="1">
        <v>1</v>
      </c>
    </row>
    <row r="1124">
      <c r="A1124" s="1">
        <v>2022</v>
      </c>
      <c r="B1124" s="1">
        <v>12</v>
      </c>
      <c r="C1124" t="s">
        <v>15</v>
      </c>
      <c r="D1124" s="1">
        <v>95</v>
      </c>
      <c r="E1124" t="s">
        <v>64</v>
      </c>
      <c r="F1124" s="1">
        <v>41</v>
      </c>
      <c r="G1124" t="s">
        <v>3</v>
      </c>
      <c r="H1124" s="1">
        <v>51</v>
      </c>
      <c r="I1124" t="s">
        <v>6</v>
      </c>
      <c r="J1124" s="1">
        <v>43</v>
      </c>
      <c r="K1124" s="1">
        <v>59</v>
      </c>
      <c r="L1124" s="1">
        <v>2390</v>
      </c>
      <c r="M1124" s="1">
        <v>53462</v>
      </c>
      <c r="N1124" s="1">
        <v>89939</v>
      </c>
      <c r="O1124" s="1">
        <v>3487258</v>
      </c>
      <c r="P1124" s="1">
        <v>586455</v>
      </c>
      <c r="Q1124" s="1">
        <v>1111620</v>
      </c>
      <c r="R1124" s="1">
        <v>50344084</v>
      </c>
      <c r="S1124" s="1">
        <v>12095</v>
      </c>
      <c r="T1124" s="1">
        <v>12095</v>
      </c>
      <c r="U1124" s="1">
        <v>41051</v>
      </c>
      <c r="V1124" s="1">
        <v>0</v>
      </c>
      <c r="W1124" s="1">
        <v>1</v>
      </c>
    </row>
    <row r="1125">
      <c r="A1125" s="1">
        <v>2022</v>
      </c>
      <c r="B1125" s="1">
        <v>12</v>
      </c>
      <c r="C1125" t="s">
        <v>15</v>
      </c>
      <c r="D1125" s="1">
        <v>99</v>
      </c>
      <c r="E1125" t="s">
        <v>88</v>
      </c>
      <c r="F1125" s="1">
        <v>41</v>
      </c>
      <c r="G1125" t="s">
        <v>3</v>
      </c>
      <c r="H1125" s="1">
        <v>51</v>
      </c>
      <c r="I1125" t="s">
        <v>6</v>
      </c>
      <c r="J1125" s="1">
        <v>25</v>
      </c>
      <c r="K1125" s="1">
        <v>31</v>
      </c>
      <c r="L1125" s="1">
        <v>2076</v>
      </c>
      <c r="M1125" s="1">
        <v>39255</v>
      </c>
      <c r="N1125" s="1">
        <v>63587</v>
      </c>
      <c r="O1125" s="1">
        <v>6231092</v>
      </c>
      <c r="P1125" s="1">
        <v>638018</v>
      </c>
      <c r="Q1125" s="1">
        <v>1167759</v>
      </c>
      <c r="R1125" s="1">
        <v>112443208</v>
      </c>
      <c r="S1125" s="1">
        <v>12099</v>
      </c>
      <c r="T1125" s="1">
        <v>12099</v>
      </c>
      <c r="U1125" s="1">
        <v>41051</v>
      </c>
      <c r="V1125" s="1">
        <v>0</v>
      </c>
      <c r="W1125" s="1">
        <v>1</v>
      </c>
    </row>
    <row r="1126">
      <c r="A1126" s="1">
        <v>2022</v>
      </c>
      <c r="B1126" s="1">
        <v>12</v>
      </c>
      <c r="C1126" t="s">
        <v>15</v>
      </c>
      <c r="D1126" s="1">
        <v>103</v>
      </c>
      <c r="E1126" t="s">
        <v>89</v>
      </c>
      <c r="F1126" s="1">
        <v>41</v>
      </c>
      <c r="G1126" t="s">
        <v>3</v>
      </c>
      <c r="H1126" s="1">
        <v>51</v>
      </c>
      <c r="I1126" t="s">
        <v>6</v>
      </c>
      <c r="J1126" s="1">
        <v>39</v>
      </c>
      <c r="K1126" s="1">
        <v>62</v>
      </c>
      <c r="L1126" s="1">
        <v>2669</v>
      </c>
      <c r="M1126" s="1">
        <v>29391</v>
      </c>
      <c r="N1126" s="1">
        <v>46296</v>
      </c>
      <c r="O1126" s="1">
        <v>2382751</v>
      </c>
      <c r="P1126" s="1">
        <v>421447</v>
      </c>
      <c r="Q1126" s="1">
        <v>724465</v>
      </c>
      <c r="R1126" s="1">
        <v>42497664</v>
      </c>
      <c r="S1126" s="1">
        <v>12103</v>
      </c>
      <c r="T1126" s="1">
        <v>12103</v>
      </c>
      <c r="U1126" s="1">
        <v>41051</v>
      </c>
      <c r="V1126" s="1">
        <v>0</v>
      </c>
      <c r="W1126" s="1">
        <v>1</v>
      </c>
    </row>
    <row r="1127">
      <c r="A1127" s="1">
        <v>2022</v>
      </c>
      <c r="B1127" s="1">
        <v>12</v>
      </c>
      <c r="C1127" t="s">
        <v>15</v>
      </c>
      <c r="D1127" s="1">
        <v>115</v>
      </c>
      <c r="E1127" t="s">
        <v>231</v>
      </c>
      <c r="F1127" s="1">
        <v>41</v>
      </c>
      <c r="G1127" t="s">
        <v>3</v>
      </c>
      <c r="H1127" s="1">
        <v>51</v>
      </c>
      <c r="I1127" t="s">
        <v>6</v>
      </c>
      <c r="J1127" s="1">
        <v>26</v>
      </c>
      <c r="K1127" s="1">
        <v>40</v>
      </c>
      <c r="L1127" s="1">
        <v>1762</v>
      </c>
      <c r="M1127" s="1">
        <v>15106</v>
      </c>
      <c r="N1127" s="1">
        <v>24306</v>
      </c>
      <c r="O1127" s="1">
        <v>1349456</v>
      </c>
      <c r="P1127" s="1">
        <v>197108</v>
      </c>
      <c r="Q1127" s="1">
        <v>347526</v>
      </c>
      <c r="R1127" s="1">
        <v>29225926</v>
      </c>
      <c r="S1127" s="1">
        <v>12115</v>
      </c>
      <c r="T1127" s="1">
        <v>12115</v>
      </c>
      <c r="U1127" s="1">
        <v>41051</v>
      </c>
      <c r="V1127" s="1">
        <v>0</v>
      </c>
      <c r="W1127" s="1">
        <v>1</v>
      </c>
    </row>
    <row r="1128">
      <c r="A1128" s="1">
        <v>2022</v>
      </c>
      <c r="B1128" s="1">
        <v>13</v>
      </c>
      <c r="C1128" t="s">
        <v>16</v>
      </c>
      <c r="D1128" s="1">
        <v>89</v>
      </c>
      <c r="E1128" t="s">
        <v>90</v>
      </c>
      <c r="F1128" s="1">
        <v>41</v>
      </c>
      <c r="G1128" t="s">
        <v>3</v>
      </c>
      <c r="H1128" s="1">
        <v>51</v>
      </c>
      <c r="I1128" t="s">
        <v>6</v>
      </c>
      <c r="J1128" s="1">
        <v>48</v>
      </c>
      <c r="K1128" s="1">
        <v>77</v>
      </c>
      <c r="L1128" s="1">
        <v>3169</v>
      </c>
      <c r="M1128" s="1">
        <v>34853</v>
      </c>
      <c r="N1128" s="1">
        <v>59701</v>
      </c>
      <c r="O1128" s="1">
        <v>2809622</v>
      </c>
      <c r="P1128" s="1">
        <v>296890</v>
      </c>
      <c r="Q1128" s="1">
        <v>555071</v>
      </c>
      <c r="R1128" s="1">
        <v>28914268</v>
      </c>
      <c r="S1128" s="1">
        <v>13089</v>
      </c>
      <c r="T1128" s="1">
        <v>13089</v>
      </c>
      <c r="U1128" s="1">
        <v>41051</v>
      </c>
      <c r="V1128" s="1">
        <v>0</v>
      </c>
      <c r="W1128" s="1">
        <v>1</v>
      </c>
    </row>
    <row r="1129">
      <c r="A1129" s="1">
        <v>2022</v>
      </c>
      <c r="B1129" s="1">
        <v>13</v>
      </c>
      <c r="C1129" t="s">
        <v>16</v>
      </c>
      <c r="D1129" s="1">
        <v>121</v>
      </c>
      <c r="E1129" t="s">
        <v>91</v>
      </c>
      <c r="F1129" s="1">
        <v>41</v>
      </c>
      <c r="G1129" t="s">
        <v>3</v>
      </c>
      <c r="H1129" s="1">
        <v>51</v>
      </c>
      <c r="I1129" t="s">
        <v>6</v>
      </c>
      <c r="J1129" s="1">
        <v>60</v>
      </c>
      <c r="K1129" s="1">
        <v>68</v>
      </c>
      <c r="L1129" s="1">
        <v>5405</v>
      </c>
      <c r="M1129" s="1">
        <v>51965</v>
      </c>
      <c r="N1129" s="1">
        <v>84162</v>
      </c>
      <c r="O1129" s="1">
        <v>5772000</v>
      </c>
      <c r="P1129" s="1">
        <v>447977</v>
      </c>
      <c r="Q1129" s="1">
        <v>808015</v>
      </c>
      <c r="R1129" s="1">
        <v>79444920</v>
      </c>
      <c r="S1129" s="1">
        <v>13121</v>
      </c>
      <c r="T1129" s="1">
        <v>13121</v>
      </c>
      <c r="U1129" s="1">
        <v>41051</v>
      </c>
      <c r="V1129" s="1">
        <v>0</v>
      </c>
      <c r="W1129" s="1">
        <v>1</v>
      </c>
    </row>
    <row r="1130">
      <c r="A1130" s="1">
        <v>2022</v>
      </c>
      <c r="B1130" s="1">
        <v>13</v>
      </c>
      <c r="C1130" t="s">
        <v>16</v>
      </c>
      <c r="D1130" s="1">
        <v>135</v>
      </c>
      <c r="E1130" t="s">
        <v>251</v>
      </c>
      <c r="F1130" s="1">
        <v>41</v>
      </c>
      <c r="G1130" t="s">
        <v>3</v>
      </c>
      <c r="H1130" s="1">
        <v>51</v>
      </c>
      <c r="I1130" t="s">
        <v>6</v>
      </c>
      <c r="J1130" s="1">
        <v>25</v>
      </c>
      <c r="K1130" s="1">
        <v>38</v>
      </c>
      <c r="L1130" s="1">
        <v>1486</v>
      </c>
      <c r="M1130" s="1">
        <v>32251</v>
      </c>
      <c r="N1130" s="1">
        <v>58900</v>
      </c>
      <c r="O1130" s="1">
        <v>2322276</v>
      </c>
      <c r="P1130" s="1">
        <v>367995</v>
      </c>
      <c r="Q1130" s="1">
        <v>774433</v>
      </c>
      <c r="R1130" s="1">
        <v>29351580</v>
      </c>
      <c r="S1130" s="1">
        <v>13135</v>
      </c>
      <c r="T1130" s="1">
        <v>13135</v>
      </c>
      <c r="U1130" s="1">
        <v>41051</v>
      </c>
      <c r="V1130" s="1">
        <v>0</v>
      </c>
      <c r="W1130" s="1">
        <v>1</v>
      </c>
    </row>
    <row r="1131">
      <c r="A1131" s="1">
        <v>2022</v>
      </c>
      <c r="B1131" s="1">
        <v>15</v>
      </c>
      <c r="C1131" t="s">
        <v>17</v>
      </c>
      <c r="D1131" s="1">
        <v>1</v>
      </c>
      <c r="E1131" t="s">
        <v>92</v>
      </c>
      <c r="F1131" s="1">
        <v>41</v>
      </c>
      <c r="G1131" t="s">
        <v>3</v>
      </c>
      <c r="H1131" s="1">
        <v>51</v>
      </c>
      <c r="I1131" t="s">
        <v>6</v>
      </c>
      <c r="J1131" s="1">
        <v>40</v>
      </c>
      <c r="K1131" s="1">
        <v>64</v>
      </c>
      <c r="L1131" s="1">
        <v>2374</v>
      </c>
      <c r="M1131" s="1">
        <v>3616</v>
      </c>
      <c r="N1131" s="1">
        <v>6230</v>
      </c>
      <c r="O1131" s="1">
        <v>287088</v>
      </c>
      <c r="P1131" s="1">
        <v>79934</v>
      </c>
      <c r="Q1131" s="1">
        <v>153602</v>
      </c>
      <c r="R1131" s="1">
        <v>5887021</v>
      </c>
      <c r="S1131" s="1">
        <v>15001</v>
      </c>
      <c r="T1131" s="1">
        <v>15001</v>
      </c>
      <c r="U1131" s="1">
        <v>41051</v>
      </c>
      <c r="V1131" s="1">
        <v>0</v>
      </c>
      <c r="W1131" s="1">
        <v>1</v>
      </c>
    </row>
    <row r="1132">
      <c r="A1132" s="1">
        <v>2022</v>
      </c>
      <c r="B1132" s="1">
        <v>15</v>
      </c>
      <c r="C1132" t="s">
        <v>17</v>
      </c>
      <c r="D1132" s="1">
        <v>3</v>
      </c>
      <c r="E1132" t="s">
        <v>93</v>
      </c>
      <c r="F1132" s="1">
        <v>41</v>
      </c>
      <c r="G1132" t="s">
        <v>3</v>
      </c>
      <c r="H1132" s="1">
        <v>51</v>
      </c>
      <c r="I1132" t="s">
        <v>6</v>
      </c>
      <c r="J1132" s="1">
        <v>121</v>
      </c>
      <c r="K1132" s="1">
        <v>204</v>
      </c>
      <c r="L1132" s="1">
        <v>8657</v>
      </c>
      <c r="M1132" s="1">
        <v>23110</v>
      </c>
      <c r="N1132" s="1">
        <v>46256</v>
      </c>
      <c r="O1132" s="1">
        <v>1677784</v>
      </c>
      <c r="P1132" s="1">
        <v>414631</v>
      </c>
      <c r="Q1132" s="1">
        <v>792233</v>
      </c>
      <c r="R1132" s="1">
        <v>36654272</v>
      </c>
      <c r="S1132" s="1">
        <v>15003</v>
      </c>
      <c r="T1132" s="1">
        <v>15003</v>
      </c>
      <c r="U1132" s="1">
        <v>41051</v>
      </c>
      <c r="V1132" s="1">
        <v>0</v>
      </c>
      <c r="W1132" s="1">
        <v>1</v>
      </c>
    </row>
    <row r="1133">
      <c r="A1133" s="1">
        <v>2022</v>
      </c>
      <c r="B1133" s="1">
        <v>15</v>
      </c>
      <c r="C1133" t="s">
        <v>17</v>
      </c>
      <c r="D1133" s="1">
        <v>9</v>
      </c>
      <c r="E1133" t="s">
        <v>94</v>
      </c>
      <c r="F1133" s="1">
        <v>41</v>
      </c>
      <c r="G1133" t="s">
        <v>3</v>
      </c>
      <c r="H1133" s="1">
        <v>51</v>
      </c>
      <c r="I1133" t="s">
        <v>6</v>
      </c>
      <c r="J1133" s="1">
        <v>35</v>
      </c>
      <c r="K1133" s="1">
        <v>49</v>
      </c>
      <c r="L1133" s="1">
        <v>1845</v>
      </c>
      <c r="M1133" s="1">
        <v>3321</v>
      </c>
      <c r="N1133" s="1">
        <v>5530</v>
      </c>
      <c r="O1133" s="1">
        <v>295034</v>
      </c>
      <c r="P1133" s="1">
        <v>70942</v>
      </c>
      <c r="Q1133" s="1">
        <v>132567</v>
      </c>
      <c r="R1133" s="1">
        <v>6083676</v>
      </c>
      <c r="S1133" s="1">
        <v>15009</v>
      </c>
      <c r="T1133" s="1">
        <v>15009</v>
      </c>
      <c r="U1133" s="1">
        <v>41051</v>
      </c>
      <c r="V1133" s="1">
        <v>0</v>
      </c>
      <c r="W1133" s="1">
        <v>1</v>
      </c>
    </row>
    <row r="1134">
      <c r="A1134" s="1">
        <v>2022</v>
      </c>
      <c r="B1134" s="1">
        <v>16</v>
      </c>
      <c r="C1134" t="s">
        <v>18</v>
      </c>
      <c r="D1134" s="1">
        <v>1</v>
      </c>
      <c r="E1134" t="s">
        <v>95</v>
      </c>
      <c r="F1134" s="1">
        <v>41</v>
      </c>
      <c r="G1134" t="s">
        <v>3</v>
      </c>
      <c r="H1134" s="1">
        <v>51</v>
      </c>
      <c r="I1134" t="s">
        <v>6</v>
      </c>
      <c r="J1134" s="1">
        <v>179</v>
      </c>
      <c r="K1134" s="1">
        <v>223</v>
      </c>
      <c r="L1134" s="1">
        <v>10245</v>
      </c>
      <c r="M1134" s="1">
        <v>14526</v>
      </c>
      <c r="N1134" s="1">
        <v>26226</v>
      </c>
      <c r="O1134" s="1">
        <v>1100059</v>
      </c>
      <c r="P1134" s="1">
        <v>207206</v>
      </c>
      <c r="Q1134" s="1">
        <v>420819</v>
      </c>
      <c r="R1134" s="1">
        <v>24173814</v>
      </c>
      <c r="S1134" s="1">
        <v>16001</v>
      </c>
      <c r="T1134" s="1">
        <v>16001</v>
      </c>
      <c r="U1134" s="1">
        <v>41051</v>
      </c>
      <c r="V1134" s="1">
        <v>0</v>
      </c>
      <c r="W1134" s="1">
        <v>1</v>
      </c>
    </row>
    <row r="1135">
      <c r="A1135" s="1">
        <v>2022</v>
      </c>
      <c r="B1135" s="1">
        <v>16</v>
      </c>
      <c r="C1135" t="s">
        <v>18</v>
      </c>
      <c r="D1135" s="1">
        <v>27</v>
      </c>
      <c r="E1135" t="s">
        <v>96</v>
      </c>
      <c r="F1135" s="1">
        <v>41</v>
      </c>
      <c r="G1135" t="s">
        <v>3</v>
      </c>
      <c r="H1135" s="1">
        <v>51</v>
      </c>
      <c r="I1135" t="s">
        <v>6</v>
      </c>
      <c r="J1135" s="1">
        <v>27</v>
      </c>
      <c r="K1135" s="1">
        <v>41</v>
      </c>
      <c r="L1135" s="1">
        <v>1041</v>
      </c>
      <c r="M1135" s="1">
        <v>6709</v>
      </c>
      <c r="N1135" s="1">
        <v>12973</v>
      </c>
      <c r="O1135" s="1">
        <v>374275</v>
      </c>
      <c r="P1135" s="1">
        <v>89792</v>
      </c>
      <c r="Q1135" s="1">
        <v>199032</v>
      </c>
      <c r="R1135" s="1">
        <v>6445719</v>
      </c>
      <c r="S1135" s="1">
        <v>16027</v>
      </c>
      <c r="T1135" s="1">
        <v>16027</v>
      </c>
      <c r="U1135" s="1">
        <v>41051</v>
      </c>
      <c r="V1135" s="1">
        <v>0</v>
      </c>
      <c r="W1135" s="1">
        <v>1</v>
      </c>
    </row>
    <row r="1136">
      <c r="A1136" s="1">
        <v>2022</v>
      </c>
      <c r="B1136" s="1">
        <v>16</v>
      </c>
      <c r="C1136" t="s">
        <v>18</v>
      </c>
      <c r="D1136" s="1">
        <v>55</v>
      </c>
      <c r="E1136" t="s">
        <v>97</v>
      </c>
      <c r="F1136" s="1">
        <v>41</v>
      </c>
      <c r="G1136" t="s">
        <v>3</v>
      </c>
      <c r="H1136" s="1">
        <v>51</v>
      </c>
      <c r="I1136" t="s">
        <v>6</v>
      </c>
      <c r="J1136" s="1">
        <v>20</v>
      </c>
      <c r="K1136" s="1">
        <v>29</v>
      </c>
      <c r="L1136" s="1">
        <v>695</v>
      </c>
      <c r="M1136" s="1">
        <v>4991</v>
      </c>
      <c r="N1136" s="1">
        <v>9236</v>
      </c>
      <c r="O1136" s="1">
        <v>367061</v>
      </c>
      <c r="P1136" s="1">
        <v>72960</v>
      </c>
      <c r="Q1136" s="1">
        <v>149917</v>
      </c>
      <c r="R1136" s="1">
        <v>7124295</v>
      </c>
      <c r="S1136" s="1">
        <v>16055</v>
      </c>
      <c r="T1136" s="1">
        <v>16055</v>
      </c>
      <c r="U1136" s="1">
        <v>41051</v>
      </c>
      <c r="V1136" s="1">
        <v>0</v>
      </c>
      <c r="W1136" s="1">
        <v>1</v>
      </c>
    </row>
    <row r="1137">
      <c r="A1137" s="1">
        <v>2022</v>
      </c>
      <c r="B1137" s="1">
        <v>17</v>
      </c>
      <c r="C1137" t="s">
        <v>19</v>
      </c>
      <c r="D1137" s="1">
        <v>31</v>
      </c>
      <c r="E1137" t="s">
        <v>98</v>
      </c>
      <c r="F1137" s="1">
        <v>41</v>
      </c>
      <c r="G1137" t="s">
        <v>3</v>
      </c>
      <c r="H1137" s="1">
        <v>51</v>
      </c>
      <c r="I1137" t="s">
        <v>6</v>
      </c>
      <c r="J1137" s="1">
        <v>318</v>
      </c>
      <c r="K1137" s="1">
        <v>407</v>
      </c>
      <c r="L1137" s="1">
        <v>34520</v>
      </c>
      <c r="M1137" s="1">
        <v>109329</v>
      </c>
      <c r="N1137" s="1">
        <v>183546</v>
      </c>
      <c r="O1137" s="1">
        <v>14490847</v>
      </c>
      <c r="P1137" s="1">
        <v>2124107</v>
      </c>
      <c r="Q1137" s="1">
        <v>3995728</v>
      </c>
      <c r="R1137" s="1">
        <v>245947920</v>
      </c>
      <c r="S1137" s="1">
        <v>17031</v>
      </c>
      <c r="T1137" s="1">
        <v>17031</v>
      </c>
      <c r="U1137" s="1">
        <v>41051</v>
      </c>
      <c r="V1137" s="1">
        <v>0</v>
      </c>
      <c r="W1137" s="1">
        <v>1</v>
      </c>
    </row>
    <row r="1138">
      <c r="A1138" s="1">
        <v>2022</v>
      </c>
      <c r="B1138" s="1">
        <v>17</v>
      </c>
      <c r="C1138" t="s">
        <v>19</v>
      </c>
      <c r="D1138" s="1">
        <v>43</v>
      </c>
      <c r="E1138" t="s">
        <v>187</v>
      </c>
      <c r="F1138" s="1">
        <v>41</v>
      </c>
      <c r="G1138" t="s">
        <v>3</v>
      </c>
      <c r="H1138" s="1">
        <v>51</v>
      </c>
      <c r="I1138" t="s">
        <v>6</v>
      </c>
      <c r="J1138" s="1">
        <v>20</v>
      </c>
      <c r="K1138" s="1">
        <v>26</v>
      </c>
      <c r="L1138" s="1">
        <v>2306</v>
      </c>
      <c r="M1138" s="1">
        <v>29946</v>
      </c>
      <c r="N1138" s="1">
        <v>51530</v>
      </c>
      <c r="O1138" s="1">
        <v>3507764</v>
      </c>
      <c r="P1138" s="1">
        <v>393140</v>
      </c>
      <c r="Q1138" s="1">
        <v>810285</v>
      </c>
      <c r="R1138" s="1">
        <v>56932120</v>
      </c>
      <c r="S1138" s="1">
        <v>17043</v>
      </c>
      <c r="T1138" s="1">
        <v>17043</v>
      </c>
      <c r="U1138" s="1">
        <v>41051</v>
      </c>
      <c r="V1138" s="1">
        <v>0</v>
      </c>
      <c r="W1138" s="1">
        <v>1</v>
      </c>
    </row>
    <row r="1139">
      <c r="A1139" s="1">
        <v>2022</v>
      </c>
      <c r="B1139" s="1">
        <v>18</v>
      </c>
      <c r="C1139" t="s">
        <v>20</v>
      </c>
      <c r="D1139" s="1">
        <v>97</v>
      </c>
      <c r="E1139" t="s">
        <v>99</v>
      </c>
      <c r="F1139" s="1">
        <v>41</v>
      </c>
      <c r="G1139" t="s">
        <v>3</v>
      </c>
      <c r="H1139" s="1">
        <v>51</v>
      </c>
      <c r="I1139" t="s">
        <v>6</v>
      </c>
      <c r="J1139" s="1">
        <v>28</v>
      </c>
      <c r="K1139" s="1">
        <v>37</v>
      </c>
      <c r="L1139" s="1">
        <v>1456</v>
      </c>
      <c r="M1139" s="1">
        <v>30019</v>
      </c>
      <c r="N1139" s="1">
        <v>51663</v>
      </c>
      <c r="O1139" s="1">
        <v>2111547</v>
      </c>
      <c r="P1139" s="1">
        <v>394378</v>
      </c>
      <c r="Q1139" s="1">
        <v>747842</v>
      </c>
      <c r="R1139" s="1">
        <v>28938190</v>
      </c>
      <c r="S1139" s="1">
        <v>18097</v>
      </c>
      <c r="T1139" s="1">
        <v>18097</v>
      </c>
      <c r="U1139" s="1">
        <v>41051</v>
      </c>
      <c r="V1139" s="1">
        <v>0</v>
      </c>
      <c r="W1139" s="1">
        <v>1</v>
      </c>
    </row>
    <row r="1140">
      <c r="A1140" s="1">
        <v>2022</v>
      </c>
      <c r="B1140" s="1">
        <v>19</v>
      </c>
      <c r="C1140" t="s">
        <v>21</v>
      </c>
      <c r="D1140" s="1">
        <v>153</v>
      </c>
      <c r="E1140" t="s">
        <v>100</v>
      </c>
      <c r="F1140" s="1">
        <v>41</v>
      </c>
      <c r="G1140" t="s">
        <v>3</v>
      </c>
      <c r="H1140" s="1">
        <v>51</v>
      </c>
      <c r="I1140" t="s">
        <v>6</v>
      </c>
      <c r="J1140" s="1">
        <v>23</v>
      </c>
      <c r="K1140" s="1">
        <v>34</v>
      </c>
      <c r="L1140" s="1">
        <v>1188</v>
      </c>
      <c r="M1140" s="1">
        <v>14183</v>
      </c>
      <c r="N1140" s="1">
        <v>23105</v>
      </c>
      <c r="O1140" s="1">
        <v>947655</v>
      </c>
      <c r="P1140" s="1">
        <v>205595</v>
      </c>
      <c r="Q1140" s="1">
        <v>413722</v>
      </c>
      <c r="R1140" s="1">
        <v>19595898</v>
      </c>
      <c r="S1140" s="1">
        <v>19153</v>
      </c>
      <c r="T1140" s="1">
        <v>19153</v>
      </c>
      <c r="U1140" s="1">
        <v>41051</v>
      </c>
      <c r="V1140" s="1">
        <v>0</v>
      </c>
      <c r="W1140" s="1">
        <v>1</v>
      </c>
    </row>
    <row r="1141">
      <c r="A1141" s="1">
        <v>2022</v>
      </c>
      <c r="B1141" s="1">
        <v>20</v>
      </c>
      <c r="C1141" t="s">
        <v>42</v>
      </c>
      <c r="D1141" s="1">
        <v>91</v>
      </c>
      <c r="E1141" t="s">
        <v>188</v>
      </c>
      <c r="F1141" s="1">
        <v>41</v>
      </c>
      <c r="G1141" t="s">
        <v>3</v>
      </c>
      <c r="H1141" s="1">
        <v>51</v>
      </c>
      <c r="I1141" t="s">
        <v>6</v>
      </c>
      <c r="J1141" s="1">
        <v>22</v>
      </c>
      <c r="K1141" s="1">
        <v>26</v>
      </c>
      <c r="L1141" s="1">
        <v>1159</v>
      </c>
      <c r="M1141" s="1">
        <v>17205</v>
      </c>
      <c r="N1141" s="1">
        <v>29037</v>
      </c>
      <c r="O1141" s="1">
        <v>1821729</v>
      </c>
      <c r="P1141" s="1">
        <v>254535</v>
      </c>
      <c r="Q1141" s="1">
        <v>532686</v>
      </c>
      <c r="R1141" s="1">
        <v>38782816</v>
      </c>
      <c r="S1141" s="1">
        <v>20091</v>
      </c>
      <c r="T1141" s="1">
        <v>20091</v>
      </c>
      <c r="U1141" s="1">
        <v>41051</v>
      </c>
      <c r="V1141" s="1">
        <v>0</v>
      </c>
      <c r="W1141" s="1">
        <v>1</v>
      </c>
    </row>
    <row r="1142">
      <c r="A1142" s="1">
        <v>2022</v>
      </c>
      <c r="B1142" s="1">
        <v>22</v>
      </c>
      <c r="C1142" t="s">
        <v>22</v>
      </c>
      <c r="D1142" s="1">
        <v>71</v>
      </c>
      <c r="E1142" t="s">
        <v>101</v>
      </c>
      <c r="F1142" s="1">
        <v>41</v>
      </c>
      <c r="G1142" t="s">
        <v>3</v>
      </c>
      <c r="H1142" s="1">
        <v>51</v>
      </c>
      <c r="I1142" t="s">
        <v>6</v>
      </c>
      <c r="J1142" s="1">
        <v>56</v>
      </c>
      <c r="K1142" s="1">
        <v>72</v>
      </c>
      <c r="L1142" s="1">
        <v>4247</v>
      </c>
      <c r="M1142" s="1">
        <v>13146</v>
      </c>
      <c r="N1142" s="1">
        <v>21807</v>
      </c>
      <c r="O1142" s="1">
        <v>896813</v>
      </c>
      <c r="P1142" s="1">
        <v>130630</v>
      </c>
      <c r="Q1142" s="1">
        <v>233990</v>
      </c>
      <c r="R1142" s="1">
        <v>10610964</v>
      </c>
      <c r="S1142" s="1">
        <v>22071</v>
      </c>
      <c r="T1142" s="1">
        <v>22071</v>
      </c>
      <c r="U1142" s="1">
        <v>41051</v>
      </c>
      <c r="V1142" s="1">
        <v>0</v>
      </c>
      <c r="W1142" s="1">
        <v>1</v>
      </c>
    </row>
    <row r="1143">
      <c r="A1143" s="1">
        <v>2022</v>
      </c>
      <c r="B1143" s="1">
        <v>23</v>
      </c>
      <c r="C1143" t="s">
        <v>23</v>
      </c>
      <c r="D1143" s="1">
        <v>5</v>
      </c>
      <c r="E1143" t="s">
        <v>102</v>
      </c>
      <c r="F1143" s="1">
        <v>41</v>
      </c>
      <c r="G1143" t="s">
        <v>3</v>
      </c>
      <c r="H1143" s="1">
        <v>51</v>
      </c>
      <c r="I1143" t="s">
        <v>6</v>
      </c>
      <c r="J1143" s="1">
        <v>29</v>
      </c>
      <c r="K1143" s="1">
        <v>34</v>
      </c>
      <c r="L1143" s="1">
        <v>2996</v>
      </c>
      <c r="M1143" s="1">
        <v>9319</v>
      </c>
      <c r="N1143" s="1">
        <v>14036</v>
      </c>
      <c r="O1143" s="1">
        <v>790816</v>
      </c>
      <c r="P1143" s="1">
        <v>139938</v>
      </c>
      <c r="Q1143" s="1">
        <v>254879</v>
      </c>
      <c r="R1143" s="1">
        <v>15829106</v>
      </c>
      <c r="S1143" s="1">
        <v>23005</v>
      </c>
      <c r="T1143" s="1">
        <v>23005</v>
      </c>
      <c r="U1143" s="1">
        <v>41051</v>
      </c>
      <c r="V1143" s="1">
        <v>0</v>
      </c>
      <c r="W1143" s="1">
        <v>1</v>
      </c>
    </row>
    <row r="1144">
      <c r="A1144" s="1">
        <v>2022</v>
      </c>
      <c r="B1144" s="1">
        <v>24</v>
      </c>
      <c r="C1144" t="s">
        <v>24</v>
      </c>
      <c r="D1144" s="1">
        <v>31</v>
      </c>
      <c r="E1144" t="s">
        <v>103</v>
      </c>
      <c r="F1144" s="1">
        <v>41</v>
      </c>
      <c r="G1144" t="s">
        <v>3</v>
      </c>
      <c r="H1144" s="1">
        <v>51</v>
      </c>
      <c r="I1144" t="s">
        <v>6</v>
      </c>
      <c r="J1144" s="1">
        <v>42</v>
      </c>
      <c r="K1144" s="1">
        <v>64</v>
      </c>
      <c r="L1144" s="1">
        <v>4179</v>
      </c>
      <c r="M1144" s="1">
        <v>32755</v>
      </c>
      <c r="N1144" s="1">
        <v>53669</v>
      </c>
      <c r="O1144" s="1">
        <v>4012412</v>
      </c>
      <c r="P1144" s="1">
        <v>448550</v>
      </c>
      <c r="Q1144" s="1">
        <v>891164</v>
      </c>
      <c r="R1144" s="1">
        <v>71068264</v>
      </c>
      <c r="S1144" s="1">
        <v>24031</v>
      </c>
      <c r="T1144" s="1">
        <v>24031</v>
      </c>
      <c r="U1144" s="1">
        <v>41051</v>
      </c>
      <c r="V1144" s="1">
        <v>0</v>
      </c>
      <c r="W1144" s="1">
        <v>1</v>
      </c>
    </row>
    <row r="1145">
      <c r="A1145" s="1">
        <v>2022</v>
      </c>
      <c r="B1145" s="1">
        <v>24</v>
      </c>
      <c r="C1145" t="s">
        <v>24</v>
      </c>
      <c r="D1145" s="1">
        <v>510</v>
      </c>
      <c r="E1145" t="s">
        <v>190</v>
      </c>
      <c r="F1145" s="1">
        <v>41</v>
      </c>
      <c r="G1145" t="s">
        <v>3</v>
      </c>
      <c r="H1145" s="1">
        <v>51</v>
      </c>
      <c r="I1145" t="s">
        <v>6</v>
      </c>
      <c r="J1145" s="1">
        <v>38</v>
      </c>
      <c r="K1145" s="1">
        <v>52</v>
      </c>
      <c r="L1145" s="1">
        <v>3768</v>
      </c>
      <c r="M1145" s="1">
        <v>21883</v>
      </c>
      <c r="N1145" s="1">
        <v>35123</v>
      </c>
      <c r="O1145" s="1">
        <v>1745727</v>
      </c>
      <c r="P1145" s="1">
        <v>211172</v>
      </c>
      <c r="Q1145" s="1">
        <v>368191</v>
      </c>
      <c r="R1145" s="1">
        <v>15660294</v>
      </c>
      <c r="S1145" s="1">
        <v>24510</v>
      </c>
      <c r="T1145" s="1">
        <v>24510</v>
      </c>
      <c r="U1145" s="1">
        <v>41051</v>
      </c>
      <c r="V1145" s="1">
        <v>0</v>
      </c>
      <c r="W1145" s="1">
        <v>1</v>
      </c>
    </row>
    <row r="1146">
      <c r="A1146" s="1">
        <v>2022</v>
      </c>
      <c r="B1146" s="1">
        <v>25</v>
      </c>
      <c r="C1146" t="s">
        <v>25</v>
      </c>
      <c r="D1146" s="1">
        <v>9</v>
      </c>
      <c r="E1146" t="s">
        <v>305</v>
      </c>
      <c r="F1146" s="1">
        <v>41</v>
      </c>
      <c r="G1146" t="s">
        <v>3</v>
      </c>
      <c r="H1146" s="1">
        <v>51</v>
      </c>
      <c r="I1146" t="s">
        <v>6</v>
      </c>
      <c r="J1146" s="1">
        <v>24</v>
      </c>
      <c r="K1146" s="1">
        <v>28</v>
      </c>
      <c r="L1146" s="1">
        <v>1573</v>
      </c>
      <c r="M1146" s="1">
        <v>18949</v>
      </c>
      <c r="N1146" s="1">
        <v>30071</v>
      </c>
      <c r="O1146" s="1">
        <v>2031920</v>
      </c>
      <c r="P1146" s="1">
        <v>351738</v>
      </c>
      <c r="Q1146" s="1">
        <v>666531</v>
      </c>
      <c r="R1146" s="1">
        <v>44494176</v>
      </c>
      <c r="S1146" s="1">
        <v>25009</v>
      </c>
      <c r="T1146" s="1">
        <v>25009</v>
      </c>
      <c r="U1146" s="1">
        <v>41051</v>
      </c>
      <c r="V1146" s="1">
        <v>0</v>
      </c>
      <c r="W1146" s="1">
        <v>1</v>
      </c>
    </row>
    <row r="1147">
      <c r="A1147" s="1">
        <v>2022</v>
      </c>
      <c r="B1147" s="1">
        <v>25</v>
      </c>
      <c r="C1147" t="s">
        <v>25</v>
      </c>
      <c r="D1147" s="1">
        <v>17</v>
      </c>
      <c r="E1147" t="s">
        <v>104</v>
      </c>
      <c r="F1147" s="1">
        <v>41</v>
      </c>
      <c r="G1147" t="s">
        <v>3</v>
      </c>
      <c r="H1147" s="1">
        <v>51</v>
      </c>
      <c r="I1147" t="s">
        <v>6</v>
      </c>
      <c r="J1147" s="1">
        <v>107</v>
      </c>
      <c r="K1147" s="1">
        <v>146</v>
      </c>
      <c r="L1147" s="1">
        <v>10312</v>
      </c>
      <c r="M1147" s="1">
        <v>54607</v>
      </c>
      <c r="N1147" s="1">
        <v>82332</v>
      </c>
      <c r="O1147" s="1">
        <v>7347877</v>
      </c>
      <c r="P1147" s="1">
        <v>691297</v>
      </c>
      <c r="Q1147" s="1">
        <v>1314239</v>
      </c>
      <c r="R1147" s="1">
        <v>125894536</v>
      </c>
      <c r="S1147" s="1">
        <v>25017</v>
      </c>
      <c r="T1147" s="1">
        <v>25017</v>
      </c>
      <c r="U1147" s="1">
        <v>41051</v>
      </c>
      <c r="V1147" s="1">
        <v>0</v>
      </c>
      <c r="W1147" s="1">
        <v>1</v>
      </c>
    </row>
    <row r="1148">
      <c r="A1148" s="1">
        <v>2022</v>
      </c>
      <c r="B1148" s="1">
        <v>25</v>
      </c>
      <c r="C1148" t="s">
        <v>25</v>
      </c>
      <c r="D1148" s="1">
        <v>21</v>
      </c>
      <c r="E1148" t="s">
        <v>192</v>
      </c>
      <c r="F1148" s="1">
        <v>41</v>
      </c>
      <c r="G1148" t="s">
        <v>3</v>
      </c>
      <c r="H1148" s="1">
        <v>51</v>
      </c>
      <c r="I1148" t="s">
        <v>6</v>
      </c>
      <c r="J1148" s="1">
        <v>28</v>
      </c>
      <c r="K1148" s="1">
        <v>35</v>
      </c>
      <c r="L1148" s="1">
        <v>1927</v>
      </c>
      <c r="M1148" s="1">
        <v>25075</v>
      </c>
      <c r="N1148" s="1">
        <v>38762</v>
      </c>
      <c r="O1148" s="1">
        <v>3304834</v>
      </c>
      <c r="P1148" s="1">
        <v>307213</v>
      </c>
      <c r="Q1148" s="1">
        <v>604106</v>
      </c>
      <c r="R1148" s="1">
        <v>63458272</v>
      </c>
      <c r="S1148" s="1">
        <v>25021</v>
      </c>
      <c r="T1148" s="1">
        <v>25021</v>
      </c>
      <c r="U1148" s="1">
        <v>41051</v>
      </c>
      <c r="V1148" s="1">
        <v>0</v>
      </c>
      <c r="W1148" s="1">
        <v>1</v>
      </c>
    </row>
    <row r="1149">
      <c r="A1149" s="1">
        <v>2022</v>
      </c>
      <c r="B1149" s="1">
        <v>25</v>
      </c>
      <c r="C1149" t="s">
        <v>25</v>
      </c>
      <c r="D1149" s="1">
        <v>25</v>
      </c>
      <c r="E1149" t="s">
        <v>105</v>
      </c>
      <c r="F1149" s="1">
        <v>41</v>
      </c>
      <c r="G1149" t="s">
        <v>3</v>
      </c>
      <c r="H1149" s="1">
        <v>51</v>
      </c>
      <c r="I1149" t="s">
        <v>6</v>
      </c>
      <c r="J1149" s="1">
        <v>74</v>
      </c>
      <c r="K1149" s="1">
        <v>90</v>
      </c>
      <c r="L1149" s="1">
        <v>10418</v>
      </c>
      <c r="M1149" s="1">
        <v>42754</v>
      </c>
      <c r="N1149" s="1">
        <v>60585</v>
      </c>
      <c r="O1149" s="1">
        <v>5896730</v>
      </c>
      <c r="P1149" s="1">
        <v>334410</v>
      </c>
      <c r="Q1149" s="1">
        <v>537774</v>
      </c>
      <c r="R1149" s="1">
        <v>50506392</v>
      </c>
      <c r="S1149" s="1">
        <v>25025</v>
      </c>
      <c r="T1149" s="1">
        <v>25025</v>
      </c>
      <c r="U1149" s="1">
        <v>41051</v>
      </c>
      <c r="V1149" s="1">
        <v>0</v>
      </c>
      <c r="W1149" s="1">
        <v>1</v>
      </c>
    </row>
    <row r="1150">
      <c r="A1150" s="1">
        <v>2022</v>
      </c>
      <c r="B1150" s="1">
        <v>25</v>
      </c>
      <c r="C1150" t="s">
        <v>25</v>
      </c>
      <c r="D1150" s="1">
        <v>27</v>
      </c>
      <c r="E1150" t="s">
        <v>354</v>
      </c>
      <c r="F1150" s="1">
        <v>41</v>
      </c>
      <c r="G1150" t="s">
        <v>3</v>
      </c>
      <c r="H1150" s="1">
        <v>51</v>
      </c>
      <c r="I1150" t="s">
        <v>6</v>
      </c>
      <c r="J1150" s="1">
        <v>42</v>
      </c>
      <c r="K1150" s="1">
        <v>60</v>
      </c>
      <c r="L1150" s="1">
        <v>2327</v>
      </c>
      <c r="M1150" s="1">
        <v>17280</v>
      </c>
      <c r="N1150" s="1">
        <v>27630</v>
      </c>
      <c r="O1150" s="1">
        <v>1599124</v>
      </c>
      <c r="P1150" s="1">
        <v>356067</v>
      </c>
      <c r="Q1150" s="1">
        <v>687008</v>
      </c>
      <c r="R1150" s="1">
        <v>36025692</v>
      </c>
      <c r="S1150" s="1">
        <v>25027</v>
      </c>
      <c r="T1150" s="1">
        <v>25027</v>
      </c>
      <c r="U1150" s="1">
        <v>41051</v>
      </c>
      <c r="V1150" s="1">
        <v>0</v>
      </c>
      <c r="W1150" s="1">
        <v>1</v>
      </c>
    </row>
    <row r="1151">
      <c r="A1151" s="1">
        <v>2022</v>
      </c>
      <c r="B1151" s="1">
        <v>26</v>
      </c>
      <c r="C1151" t="s">
        <v>26</v>
      </c>
      <c r="D1151" s="1">
        <v>81</v>
      </c>
      <c r="E1151" t="s">
        <v>193</v>
      </c>
      <c r="F1151" s="1">
        <v>41</v>
      </c>
      <c r="G1151" t="s">
        <v>3</v>
      </c>
      <c r="H1151" s="1">
        <v>51</v>
      </c>
      <c r="I1151" t="s">
        <v>6</v>
      </c>
      <c r="J1151" s="1">
        <v>28</v>
      </c>
      <c r="K1151" s="1">
        <v>34</v>
      </c>
      <c r="L1151" s="1">
        <v>1492</v>
      </c>
      <c r="M1151" s="1">
        <v>15909</v>
      </c>
      <c r="N1151" s="1">
        <v>26536</v>
      </c>
      <c r="O1151" s="1">
        <v>1147189</v>
      </c>
      <c r="P1151" s="1">
        <v>274365</v>
      </c>
      <c r="Q1151" s="1">
        <v>550070</v>
      </c>
      <c r="R1151" s="1">
        <v>26747036</v>
      </c>
      <c r="S1151" s="1">
        <v>26081</v>
      </c>
      <c r="T1151" s="1">
        <v>26081</v>
      </c>
      <c r="U1151" s="1">
        <v>41051</v>
      </c>
      <c r="V1151" s="1">
        <v>0</v>
      </c>
      <c r="W1151" s="1">
        <v>1</v>
      </c>
    </row>
    <row r="1152">
      <c r="A1152" s="1">
        <v>2022</v>
      </c>
      <c r="B1152" s="1">
        <v>26</v>
      </c>
      <c r="C1152" t="s">
        <v>26</v>
      </c>
      <c r="D1152" s="1">
        <v>125</v>
      </c>
      <c r="E1152" t="s">
        <v>194</v>
      </c>
      <c r="F1152" s="1">
        <v>41</v>
      </c>
      <c r="G1152" t="s">
        <v>3</v>
      </c>
      <c r="H1152" s="1">
        <v>51</v>
      </c>
      <c r="I1152" t="s">
        <v>6</v>
      </c>
      <c r="J1152" s="1">
        <v>30</v>
      </c>
      <c r="K1152" s="1">
        <v>35</v>
      </c>
      <c r="L1152" s="1">
        <v>2487</v>
      </c>
      <c r="M1152" s="1">
        <v>33938</v>
      </c>
      <c r="N1152" s="1">
        <v>55223</v>
      </c>
      <c r="O1152" s="1">
        <v>3652609</v>
      </c>
      <c r="P1152" s="1">
        <v>544242</v>
      </c>
      <c r="Q1152" s="1">
        <v>1054704</v>
      </c>
      <c r="R1152" s="1">
        <v>75055304</v>
      </c>
      <c r="S1152" s="1">
        <v>26125</v>
      </c>
      <c r="T1152" s="1">
        <v>26125</v>
      </c>
      <c r="U1152" s="1">
        <v>41051</v>
      </c>
      <c r="V1152" s="1">
        <v>0</v>
      </c>
      <c r="W1152" s="1">
        <v>1</v>
      </c>
    </row>
    <row r="1153">
      <c r="A1153" s="1">
        <v>2022</v>
      </c>
      <c r="B1153" s="1">
        <v>26</v>
      </c>
      <c r="C1153" t="s">
        <v>26</v>
      </c>
      <c r="D1153" s="1">
        <v>161</v>
      </c>
      <c r="E1153" t="s">
        <v>106</v>
      </c>
      <c r="F1153" s="1">
        <v>41</v>
      </c>
      <c r="G1153" t="s">
        <v>3</v>
      </c>
      <c r="H1153" s="1">
        <v>51</v>
      </c>
      <c r="I1153" t="s">
        <v>6</v>
      </c>
      <c r="J1153" s="1">
        <v>58</v>
      </c>
      <c r="K1153" s="1">
        <v>71</v>
      </c>
      <c r="L1153" s="1">
        <v>3505</v>
      </c>
      <c r="M1153" s="1">
        <v>13187</v>
      </c>
      <c r="N1153" s="1">
        <v>19889</v>
      </c>
      <c r="O1153" s="1">
        <v>1187409</v>
      </c>
      <c r="P1153" s="1">
        <v>144743</v>
      </c>
      <c r="Q1153" s="1">
        <v>274412</v>
      </c>
      <c r="R1153" s="1">
        <v>17370824</v>
      </c>
      <c r="S1153" s="1">
        <v>26161</v>
      </c>
      <c r="T1153" s="1">
        <v>26161</v>
      </c>
      <c r="U1153" s="1">
        <v>41051</v>
      </c>
      <c r="V1153" s="1">
        <v>0</v>
      </c>
      <c r="W1153" s="1">
        <v>1</v>
      </c>
    </row>
    <row r="1154">
      <c r="A1154" s="1">
        <v>2022</v>
      </c>
      <c r="B1154" s="1">
        <v>26</v>
      </c>
      <c r="C1154" t="s">
        <v>26</v>
      </c>
      <c r="D1154" s="1">
        <v>163</v>
      </c>
      <c r="E1154" t="s">
        <v>195</v>
      </c>
      <c r="F1154" s="1">
        <v>41</v>
      </c>
      <c r="G1154" t="s">
        <v>3</v>
      </c>
      <c r="H1154" s="1">
        <v>51</v>
      </c>
      <c r="I1154" t="s">
        <v>6</v>
      </c>
      <c r="J1154" s="1">
        <v>25</v>
      </c>
      <c r="K1154" s="1">
        <v>30</v>
      </c>
      <c r="L1154" s="1">
        <v>2105</v>
      </c>
      <c r="M1154" s="1">
        <v>33402</v>
      </c>
      <c r="N1154" s="1">
        <v>56984</v>
      </c>
      <c r="O1154" s="1">
        <v>2271506</v>
      </c>
      <c r="P1154" s="1">
        <v>674374</v>
      </c>
      <c r="Q1154" s="1">
        <v>1305205</v>
      </c>
      <c r="R1154" s="1">
        <v>47644088</v>
      </c>
      <c r="S1154" s="1">
        <v>26163</v>
      </c>
      <c r="T1154" s="1">
        <v>26163</v>
      </c>
      <c r="U1154" s="1">
        <v>41051</v>
      </c>
      <c r="V1154" s="1">
        <v>0</v>
      </c>
      <c r="W1154" s="1">
        <v>1</v>
      </c>
    </row>
    <row r="1155">
      <c r="A1155" s="1">
        <v>2022</v>
      </c>
      <c r="B1155" s="1">
        <v>27</v>
      </c>
      <c r="C1155" t="s">
        <v>27</v>
      </c>
      <c r="D1155" s="1">
        <v>53</v>
      </c>
      <c r="E1155" t="s">
        <v>107</v>
      </c>
      <c r="F1155" s="1">
        <v>41</v>
      </c>
      <c r="G1155" t="s">
        <v>3</v>
      </c>
      <c r="H1155" s="1">
        <v>51</v>
      </c>
      <c r="I1155" t="s">
        <v>6</v>
      </c>
      <c r="J1155" s="1">
        <v>182</v>
      </c>
      <c r="K1155" s="1">
        <v>208</v>
      </c>
      <c r="L1155" s="1">
        <v>15632</v>
      </c>
      <c r="M1155" s="1">
        <v>43220</v>
      </c>
      <c r="N1155" s="1">
        <v>70120</v>
      </c>
      <c r="O1155" s="1">
        <v>4506757</v>
      </c>
      <c r="P1155" s="1">
        <v>551209</v>
      </c>
      <c r="Q1155" s="1">
        <v>1036781</v>
      </c>
      <c r="R1155" s="1">
        <v>73282448</v>
      </c>
      <c r="S1155" s="1">
        <v>27053</v>
      </c>
      <c r="T1155" s="1">
        <v>27053</v>
      </c>
      <c r="U1155" s="1">
        <v>41051</v>
      </c>
      <c r="V1155" s="1">
        <v>0</v>
      </c>
      <c r="W1155" s="1">
        <v>1</v>
      </c>
    </row>
    <row r="1156">
      <c r="A1156" s="1">
        <v>2022</v>
      </c>
      <c r="B1156" s="1">
        <v>27</v>
      </c>
      <c r="C1156" t="s">
        <v>27</v>
      </c>
      <c r="D1156" s="1">
        <v>123</v>
      </c>
      <c r="E1156" t="s">
        <v>108</v>
      </c>
      <c r="F1156" s="1">
        <v>41</v>
      </c>
      <c r="G1156" t="s">
        <v>3</v>
      </c>
      <c r="H1156" s="1">
        <v>51</v>
      </c>
      <c r="I1156" t="s">
        <v>6</v>
      </c>
      <c r="J1156" s="1">
        <v>48</v>
      </c>
      <c r="K1156" s="1">
        <v>53</v>
      </c>
      <c r="L1156" s="1">
        <v>2790</v>
      </c>
      <c r="M1156" s="1">
        <v>22382</v>
      </c>
      <c r="N1156" s="1">
        <v>37002</v>
      </c>
      <c r="O1156" s="1">
        <v>1594397</v>
      </c>
      <c r="P1156" s="1">
        <v>230177</v>
      </c>
      <c r="Q1156" s="1">
        <v>436805</v>
      </c>
      <c r="R1156" s="1">
        <v>21264828</v>
      </c>
      <c r="S1156" s="1">
        <v>27123</v>
      </c>
      <c r="T1156" s="1">
        <v>27123</v>
      </c>
      <c r="U1156" s="1">
        <v>41051</v>
      </c>
      <c r="V1156" s="1">
        <v>0</v>
      </c>
      <c r="W1156" s="1">
        <v>1</v>
      </c>
    </row>
    <row r="1157">
      <c r="A1157" s="1">
        <v>2022</v>
      </c>
      <c r="B1157" s="1">
        <v>29</v>
      </c>
      <c r="C1157" t="s">
        <v>44</v>
      </c>
      <c r="D1157" s="1">
        <v>95</v>
      </c>
      <c r="E1157" t="s">
        <v>133</v>
      </c>
      <c r="F1157" s="1">
        <v>41</v>
      </c>
      <c r="G1157" t="s">
        <v>3</v>
      </c>
      <c r="H1157" s="1">
        <v>51</v>
      </c>
      <c r="I1157" t="s">
        <v>6</v>
      </c>
      <c r="J1157" s="1">
        <v>40</v>
      </c>
      <c r="K1157" s="1">
        <v>46</v>
      </c>
      <c r="L1157" s="1">
        <v>2285</v>
      </c>
      <c r="M1157" s="1">
        <v>20580</v>
      </c>
      <c r="N1157" s="1">
        <v>34206</v>
      </c>
      <c r="O1157" s="1">
        <v>1689861</v>
      </c>
      <c r="P1157" s="1">
        <v>283773</v>
      </c>
      <c r="Q1157" s="1">
        <v>540954</v>
      </c>
      <c r="R1157" s="1">
        <v>22525308</v>
      </c>
      <c r="S1157" s="1">
        <v>29095</v>
      </c>
      <c r="T1157" s="1">
        <v>29095</v>
      </c>
      <c r="U1157" s="1">
        <v>41051</v>
      </c>
      <c r="V1157" s="1">
        <v>0</v>
      </c>
      <c r="W1157" s="1">
        <v>1</v>
      </c>
    </row>
    <row r="1158">
      <c r="A1158" s="1">
        <v>2022</v>
      </c>
      <c r="B1158" s="1">
        <v>29</v>
      </c>
      <c r="C1158" t="s">
        <v>44</v>
      </c>
      <c r="D1158" s="1">
        <v>189</v>
      </c>
      <c r="E1158" t="s">
        <v>197</v>
      </c>
      <c r="F1158" s="1">
        <v>41</v>
      </c>
      <c r="G1158" t="s">
        <v>3</v>
      </c>
      <c r="H1158" s="1">
        <v>51</v>
      </c>
      <c r="I1158" t="s">
        <v>6</v>
      </c>
      <c r="J1158" s="1">
        <v>35</v>
      </c>
      <c r="K1158" s="1">
        <v>55</v>
      </c>
      <c r="L1158" s="1">
        <v>2651</v>
      </c>
      <c r="M1158" s="1">
        <v>26408</v>
      </c>
      <c r="N1158" s="1">
        <v>44550</v>
      </c>
      <c r="O1158" s="1">
        <v>2388517</v>
      </c>
      <c r="P1158" s="1">
        <v>414773</v>
      </c>
      <c r="Q1158" s="1">
        <v>810846</v>
      </c>
      <c r="R1158" s="1">
        <v>55695104</v>
      </c>
      <c r="S1158" s="1">
        <v>29189</v>
      </c>
      <c r="T1158" s="1">
        <v>29189</v>
      </c>
      <c r="U1158" s="1">
        <v>41051</v>
      </c>
      <c r="V1158" s="1">
        <v>0</v>
      </c>
      <c r="W1158" s="1">
        <v>1</v>
      </c>
    </row>
    <row r="1159">
      <c r="A1159" s="1">
        <v>2022</v>
      </c>
      <c r="B1159" s="1">
        <v>29</v>
      </c>
      <c r="C1159" t="s">
        <v>44</v>
      </c>
      <c r="D1159" s="1">
        <v>510</v>
      </c>
      <c r="E1159" t="s">
        <v>198</v>
      </c>
      <c r="F1159" s="1">
        <v>41</v>
      </c>
      <c r="G1159" t="s">
        <v>3</v>
      </c>
      <c r="H1159" s="1">
        <v>51</v>
      </c>
      <c r="I1159" t="s">
        <v>6</v>
      </c>
      <c r="J1159" s="1">
        <v>33</v>
      </c>
      <c r="K1159" s="1">
        <v>38</v>
      </c>
      <c r="L1159" s="1">
        <v>2198</v>
      </c>
      <c r="M1159" s="1">
        <v>14767</v>
      </c>
      <c r="N1159" s="1">
        <v>23882</v>
      </c>
      <c r="O1159" s="1">
        <v>1354616</v>
      </c>
      <c r="P1159" s="1">
        <v>115785</v>
      </c>
      <c r="Q1159" s="1">
        <v>193286</v>
      </c>
      <c r="R1159" s="1">
        <v>8043014</v>
      </c>
      <c r="S1159" s="1">
        <v>29510</v>
      </c>
      <c r="T1159" s="1">
        <v>29510</v>
      </c>
      <c r="U1159" s="1">
        <v>41051</v>
      </c>
      <c r="V1159" s="1">
        <v>0</v>
      </c>
      <c r="W1159" s="1">
        <v>1</v>
      </c>
    </row>
    <row r="1160">
      <c r="A1160" s="1">
        <v>2022</v>
      </c>
      <c r="B1160" s="1">
        <v>30</v>
      </c>
      <c r="C1160" t="s">
        <v>28</v>
      </c>
      <c r="D1160" s="1">
        <v>29</v>
      </c>
      <c r="E1160" t="s">
        <v>199</v>
      </c>
      <c r="F1160" s="1">
        <v>41</v>
      </c>
      <c r="G1160" t="s">
        <v>3</v>
      </c>
      <c r="H1160" s="1">
        <v>51</v>
      </c>
      <c r="I1160" t="s">
        <v>6</v>
      </c>
      <c r="J1160" s="1">
        <v>25</v>
      </c>
      <c r="K1160" s="1">
        <v>41</v>
      </c>
      <c r="L1160" s="1">
        <v>1728</v>
      </c>
      <c r="M1160" s="1">
        <v>2800</v>
      </c>
      <c r="N1160" s="1">
        <v>4803</v>
      </c>
      <c r="O1160" s="1">
        <v>212511</v>
      </c>
      <c r="P1160" s="1">
        <v>46823</v>
      </c>
      <c r="Q1160" s="1">
        <v>92423</v>
      </c>
      <c r="R1160" s="1">
        <v>4673823</v>
      </c>
      <c r="S1160" s="1">
        <v>30029</v>
      </c>
      <c r="T1160" s="1">
        <v>30029</v>
      </c>
      <c r="U1160" s="1">
        <v>41051</v>
      </c>
      <c r="V1160" s="1">
        <v>0</v>
      </c>
      <c r="W1160" s="1">
        <v>1</v>
      </c>
    </row>
    <row r="1161">
      <c r="A1161" s="1">
        <v>2022</v>
      </c>
      <c r="B1161" s="1">
        <v>30</v>
      </c>
      <c r="C1161" t="s">
        <v>28</v>
      </c>
      <c r="D1161" s="1">
        <v>31</v>
      </c>
      <c r="E1161" t="s">
        <v>109</v>
      </c>
      <c r="F1161" s="1">
        <v>41</v>
      </c>
      <c r="G1161" t="s">
        <v>3</v>
      </c>
      <c r="H1161" s="1">
        <v>51</v>
      </c>
      <c r="I1161" t="s">
        <v>6</v>
      </c>
      <c r="J1161" s="1">
        <v>45</v>
      </c>
      <c r="K1161" s="1">
        <v>47</v>
      </c>
      <c r="L1161" s="1">
        <v>1813</v>
      </c>
      <c r="M1161" s="1">
        <v>4973</v>
      </c>
      <c r="N1161" s="1">
        <v>7530</v>
      </c>
      <c r="O1161" s="1">
        <v>478905</v>
      </c>
      <c r="P1161" s="1">
        <v>52520</v>
      </c>
      <c r="Q1161" s="1">
        <v>96148</v>
      </c>
      <c r="R1161" s="1">
        <v>7481673</v>
      </c>
      <c r="S1161" s="1">
        <v>30031</v>
      </c>
      <c r="T1161" s="1">
        <v>30031</v>
      </c>
      <c r="U1161" s="1">
        <v>41051</v>
      </c>
      <c r="V1161" s="1">
        <v>0</v>
      </c>
      <c r="W1161" s="1">
        <v>1</v>
      </c>
    </row>
    <row r="1162">
      <c r="A1162" s="1">
        <v>2022</v>
      </c>
      <c r="B1162" s="1">
        <v>30</v>
      </c>
      <c r="C1162" t="s">
        <v>28</v>
      </c>
      <c r="D1162" s="1">
        <v>63</v>
      </c>
      <c r="E1162" t="s">
        <v>110</v>
      </c>
      <c r="F1162" s="1">
        <v>41</v>
      </c>
      <c r="G1162" t="s">
        <v>3</v>
      </c>
      <c r="H1162" s="1">
        <v>51</v>
      </c>
      <c r="I1162" t="s">
        <v>6</v>
      </c>
      <c r="J1162" s="1">
        <v>41</v>
      </c>
      <c r="K1162" s="1">
        <v>48</v>
      </c>
      <c r="L1162" s="1">
        <v>1532</v>
      </c>
      <c r="M1162" s="1">
        <v>3814</v>
      </c>
      <c r="N1162" s="1">
        <v>5918</v>
      </c>
      <c r="O1162" s="1">
        <v>238073</v>
      </c>
      <c r="P1162" s="1">
        <v>52547</v>
      </c>
      <c r="Q1162" s="1">
        <v>94645</v>
      </c>
      <c r="R1162" s="1">
        <v>4992137</v>
      </c>
      <c r="S1162" s="1">
        <v>30063</v>
      </c>
      <c r="T1162" s="1">
        <v>30063</v>
      </c>
      <c r="U1162" s="1">
        <v>41051</v>
      </c>
      <c r="V1162" s="1">
        <v>0</v>
      </c>
      <c r="W1162" s="1">
        <v>1</v>
      </c>
    </row>
    <row r="1163">
      <c r="A1163" s="1">
        <v>2022</v>
      </c>
      <c r="B1163" s="1">
        <v>31</v>
      </c>
      <c r="C1163" t="s">
        <v>45</v>
      </c>
      <c r="D1163" s="1">
        <v>55</v>
      </c>
      <c r="E1163" t="s">
        <v>131</v>
      </c>
      <c r="F1163" s="1">
        <v>41</v>
      </c>
      <c r="G1163" t="s">
        <v>3</v>
      </c>
      <c r="H1163" s="1">
        <v>51</v>
      </c>
      <c r="I1163" t="s">
        <v>6</v>
      </c>
      <c r="J1163" s="1">
        <v>43</v>
      </c>
      <c r="K1163" s="1">
        <v>61</v>
      </c>
      <c r="L1163" s="1">
        <v>2657</v>
      </c>
      <c r="M1163" s="1">
        <v>14729</v>
      </c>
      <c r="N1163" s="1">
        <v>25836</v>
      </c>
      <c r="O1163" s="1">
        <v>1242289</v>
      </c>
      <c r="P1163" s="1">
        <v>237110</v>
      </c>
      <c r="Q1163" s="1">
        <v>483179</v>
      </c>
      <c r="R1163" s="1">
        <v>26520302</v>
      </c>
      <c r="S1163" s="1">
        <v>31055</v>
      </c>
      <c r="T1163" s="1">
        <v>31055</v>
      </c>
      <c r="U1163" s="1">
        <v>41051</v>
      </c>
      <c r="V1163" s="1">
        <v>0</v>
      </c>
      <c r="W1163" s="1">
        <v>1</v>
      </c>
    </row>
    <row r="1164">
      <c r="A1164" s="1">
        <v>2022</v>
      </c>
      <c r="B1164" s="1">
        <v>32</v>
      </c>
      <c r="C1164" t="s">
        <v>29</v>
      </c>
      <c r="D1164" s="1">
        <v>3</v>
      </c>
      <c r="E1164" t="s">
        <v>112</v>
      </c>
      <c r="F1164" s="1">
        <v>41</v>
      </c>
      <c r="G1164" t="s">
        <v>3</v>
      </c>
      <c r="H1164" s="1">
        <v>51</v>
      </c>
      <c r="I1164" t="s">
        <v>6</v>
      </c>
      <c r="J1164" s="1">
        <v>218</v>
      </c>
      <c r="K1164" s="1">
        <v>328</v>
      </c>
      <c r="L1164" s="1">
        <v>10463</v>
      </c>
      <c r="M1164" s="1">
        <v>47945</v>
      </c>
      <c r="N1164" s="1">
        <v>84612</v>
      </c>
      <c r="O1164" s="1">
        <v>3828860</v>
      </c>
      <c r="P1164" s="1">
        <v>950251</v>
      </c>
      <c r="Q1164" s="1">
        <v>1807130</v>
      </c>
      <c r="R1164" s="1">
        <v>89906480</v>
      </c>
      <c r="S1164" s="1">
        <v>32003</v>
      </c>
      <c r="T1164" s="1">
        <v>32003</v>
      </c>
      <c r="U1164" s="1">
        <v>41051</v>
      </c>
      <c r="V1164" s="1">
        <v>0</v>
      </c>
      <c r="W1164" s="1">
        <v>1</v>
      </c>
    </row>
    <row r="1165">
      <c r="A1165" s="1">
        <v>2022</v>
      </c>
      <c r="B1165" s="1">
        <v>32</v>
      </c>
      <c r="C1165" t="s">
        <v>29</v>
      </c>
      <c r="D1165" s="1">
        <v>31</v>
      </c>
      <c r="E1165" t="s">
        <v>113</v>
      </c>
      <c r="F1165" s="1">
        <v>41</v>
      </c>
      <c r="G1165" t="s">
        <v>3</v>
      </c>
      <c r="H1165" s="1">
        <v>51</v>
      </c>
      <c r="I1165" t="s">
        <v>6</v>
      </c>
      <c r="J1165" s="1">
        <v>102</v>
      </c>
      <c r="K1165" s="1">
        <v>123</v>
      </c>
      <c r="L1165" s="1">
        <v>6102</v>
      </c>
      <c r="M1165" s="1">
        <v>12759</v>
      </c>
      <c r="N1165" s="1">
        <v>20987</v>
      </c>
      <c r="O1165" s="1">
        <v>1385082</v>
      </c>
      <c r="P1165" s="1">
        <v>213683</v>
      </c>
      <c r="Q1165" s="1">
        <v>396963</v>
      </c>
      <c r="R1165" s="1">
        <v>28883650</v>
      </c>
      <c r="S1165" s="1">
        <v>32031</v>
      </c>
      <c r="T1165" s="1">
        <v>32031</v>
      </c>
      <c r="U1165" s="1">
        <v>41051</v>
      </c>
      <c r="V1165" s="1">
        <v>0</v>
      </c>
      <c r="W1165" s="1">
        <v>1</v>
      </c>
    </row>
    <row r="1166">
      <c r="A1166" s="1">
        <v>2022</v>
      </c>
      <c r="B1166" s="1">
        <v>34</v>
      </c>
      <c r="C1166" t="s">
        <v>46</v>
      </c>
      <c r="D1166" s="1">
        <v>17</v>
      </c>
      <c r="E1166" t="s">
        <v>201</v>
      </c>
      <c r="F1166" s="1">
        <v>41</v>
      </c>
      <c r="G1166" t="s">
        <v>3</v>
      </c>
      <c r="H1166" s="1">
        <v>51</v>
      </c>
      <c r="I1166" t="s">
        <v>6</v>
      </c>
      <c r="J1166" s="1">
        <v>28</v>
      </c>
      <c r="K1166" s="1">
        <v>42</v>
      </c>
      <c r="L1166" s="1">
        <v>3657</v>
      </c>
      <c r="M1166" s="1">
        <v>31595</v>
      </c>
      <c r="N1166" s="1">
        <v>53467</v>
      </c>
      <c r="O1166" s="1">
        <v>4259742</v>
      </c>
      <c r="P1166" s="1">
        <v>301851</v>
      </c>
      <c r="Q1166" s="1">
        <v>532380</v>
      </c>
      <c r="R1166" s="1">
        <v>31054584</v>
      </c>
      <c r="S1166" s="1">
        <v>34017</v>
      </c>
      <c r="T1166" s="1">
        <v>34017</v>
      </c>
      <c r="U1166" s="1">
        <v>41051</v>
      </c>
      <c r="V1166" s="1">
        <v>0</v>
      </c>
      <c r="W1166" s="1">
        <v>1</v>
      </c>
    </row>
    <row r="1167">
      <c r="A1167" s="1">
        <v>2022</v>
      </c>
      <c r="B1167" s="1">
        <v>35</v>
      </c>
      <c r="C1167" t="s">
        <v>30</v>
      </c>
      <c r="D1167" s="1">
        <v>1</v>
      </c>
      <c r="E1167" t="s">
        <v>114</v>
      </c>
      <c r="F1167" s="1">
        <v>41</v>
      </c>
      <c r="G1167" t="s">
        <v>3</v>
      </c>
      <c r="H1167" s="1">
        <v>51</v>
      </c>
      <c r="I1167" t="s">
        <v>6</v>
      </c>
      <c r="J1167" s="1">
        <v>61</v>
      </c>
      <c r="K1167" s="1">
        <v>83</v>
      </c>
      <c r="L1167" s="1">
        <v>4299</v>
      </c>
      <c r="M1167" s="1">
        <v>15643</v>
      </c>
      <c r="N1167" s="1">
        <v>26731</v>
      </c>
      <c r="O1167" s="1">
        <v>1083090</v>
      </c>
      <c r="P1167" s="1">
        <v>280729</v>
      </c>
      <c r="Q1167" s="1">
        <v>512682</v>
      </c>
      <c r="R1167" s="1">
        <v>21629712</v>
      </c>
      <c r="S1167" s="1">
        <v>35001</v>
      </c>
      <c r="T1167" s="1">
        <v>35001</v>
      </c>
      <c r="U1167" s="1">
        <v>41051</v>
      </c>
      <c r="V1167" s="1">
        <v>0</v>
      </c>
      <c r="W1167" s="1">
        <v>1</v>
      </c>
    </row>
    <row r="1168">
      <c r="A1168" s="1">
        <v>2022</v>
      </c>
      <c r="B1168" s="1">
        <v>35</v>
      </c>
      <c r="C1168" t="s">
        <v>30</v>
      </c>
      <c r="D1168" s="1">
        <v>49</v>
      </c>
      <c r="E1168" t="s">
        <v>115</v>
      </c>
      <c r="F1168" s="1">
        <v>41</v>
      </c>
      <c r="G1168" t="s">
        <v>3</v>
      </c>
      <c r="H1168" s="1">
        <v>51</v>
      </c>
      <c r="I1168" t="s">
        <v>6</v>
      </c>
      <c r="J1168" s="1">
        <v>28</v>
      </c>
      <c r="K1168" s="1">
        <v>34</v>
      </c>
      <c r="L1168" s="1">
        <v>2620</v>
      </c>
      <c r="M1168" s="1">
        <v>4441</v>
      </c>
      <c r="N1168" s="1">
        <v>6958</v>
      </c>
      <c r="O1168" s="1">
        <v>635199</v>
      </c>
      <c r="P1168" s="1">
        <v>69531</v>
      </c>
      <c r="Q1168" s="1">
        <v>120118</v>
      </c>
      <c r="R1168" s="1">
        <v>7268703</v>
      </c>
      <c r="S1168" s="1">
        <v>35049</v>
      </c>
      <c r="T1168" s="1">
        <v>35049</v>
      </c>
      <c r="U1168" s="1">
        <v>41051</v>
      </c>
      <c r="V1168" s="1">
        <v>0</v>
      </c>
      <c r="W1168" s="1">
        <v>1</v>
      </c>
    </row>
    <row r="1169">
      <c r="A1169" s="1">
        <v>2022</v>
      </c>
      <c r="B1169" s="1">
        <v>36</v>
      </c>
      <c r="C1169" t="s">
        <v>31</v>
      </c>
      <c r="D1169" s="1">
        <v>5</v>
      </c>
      <c r="E1169" t="s">
        <v>288</v>
      </c>
      <c r="F1169" s="1">
        <v>41</v>
      </c>
      <c r="G1169" t="s">
        <v>3</v>
      </c>
      <c r="H1169" s="1">
        <v>51</v>
      </c>
      <c r="I1169" t="s">
        <v>6</v>
      </c>
      <c r="J1169" s="1">
        <v>23</v>
      </c>
      <c r="K1169" s="1">
        <v>23</v>
      </c>
      <c r="L1169" s="1">
        <v>1184</v>
      </c>
      <c r="M1169" s="1">
        <v>43886</v>
      </c>
      <c r="N1169" s="1">
        <v>78042</v>
      </c>
      <c r="O1169" s="1">
        <v>2479430</v>
      </c>
      <c r="P1169" s="1">
        <v>583705</v>
      </c>
      <c r="Q1169" s="1">
        <v>1066474</v>
      </c>
      <c r="R1169" s="1">
        <v>28587562</v>
      </c>
      <c r="S1169" s="1">
        <v>36005</v>
      </c>
      <c r="T1169" s="1">
        <v>36005</v>
      </c>
      <c r="U1169" s="1">
        <v>41051</v>
      </c>
      <c r="V1169" s="1">
        <v>0</v>
      </c>
      <c r="W1169" s="1">
        <v>1</v>
      </c>
    </row>
    <row r="1170">
      <c r="A1170" s="1">
        <v>2022</v>
      </c>
      <c r="B1170" s="1">
        <v>36</v>
      </c>
      <c r="C1170" t="s">
        <v>31</v>
      </c>
      <c r="D1170" s="1">
        <v>47</v>
      </c>
      <c r="E1170" t="s">
        <v>116</v>
      </c>
      <c r="F1170" s="1">
        <v>41</v>
      </c>
      <c r="G1170" t="s">
        <v>3</v>
      </c>
      <c r="H1170" s="1">
        <v>51</v>
      </c>
      <c r="I1170" t="s">
        <v>6</v>
      </c>
      <c r="J1170" s="1">
        <v>239</v>
      </c>
      <c r="K1170" s="1">
        <v>316</v>
      </c>
      <c r="L1170" s="1">
        <v>25142</v>
      </c>
      <c r="M1170" s="1">
        <v>84530</v>
      </c>
      <c r="N1170" s="1">
        <v>141005</v>
      </c>
      <c r="O1170" s="1">
        <v>9042886</v>
      </c>
      <c r="P1170" s="1">
        <v>1077155</v>
      </c>
      <c r="Q1170" s="1">
        <v>1955425</v>
      </c>
      <c r="R1170" s="1">
        <v>94378080</v>
      </c>
      <c r="S1170" s="1">
        <v>36047</v>
      </c>
      <c r="T1170" s="1">
        <v>36047</v>
      </c>
      <c r="U1170" s="1">
        <v>41051</v>
      </c>
      <c r="V1170" s="1">
        <v>0</v>
      </c>
      <c r="W1170" s="1">
        <v>1</v>
      </c>
    </row>
    <row r="1171">
      <c r="A1171" s="1">
        <v>2022</v>
      </c>
      <c r="B1171" s="1">
        <v>36</v>
      </c>
      <c r="C1171" t="s">
        <v>31</v>
      </c>
      <c r="D1171" s="1">
        <v>55</v>
      </c>
      <c r="E1171" t="s">
        <v>203</v>
      </c>
      <c r="F1171" s="1">
        <v>41</v>
      </c>
      <c r="G1171" t="s">
        <v>3</v>
      </c>
      <c r="H1171" s="1">
        <v>51</v>
      </c>
      <c r="I1171" t="s">
        <v>6</v>
      </c>
      <c r="J1171" s="1">
        <v>25</v>
      </c>
      <c r="K1171" s="1">
        <v>31</v>
      </c>
      <c r="L1171" s="1">
        <v>1663</v>
      </c>
      <c r="M1171" s="1">
        <v>13422</v>
      </c>
      <c r="N1171" s="1">
        <v>21072</v>
      </c>
      <c r="O1171" s="1">
        <v>1013571</v>
      </c>
      <c r="P1171" s="1">
        <v>319621</v>
      </c>
      <c r="Q1171" s="1">
        <v>595399</v>
      </c>
      <c r="R1171" s="1">
        <v>27454138</v>
      </c>
      <c r="S1171" s="1">
        <v>36055</v>
      </c>
      <c r="T1171" s="1">
        <v>36055</v>
      </c>
      <c r="U1171" s="1">
        <v>41051</v>
      </c>
      <c r="V1171" s="1">
        <v>0</v>
      </c>
      <c r="W1171" s="1">
        <v>1</v>
      </c>
    </row>
    <row r="1172">
      <c r="A1172" s="1">
        <v>2022</v>
      </c>
      <c r="B1172" s="1">
        <v>36</v>
      </c>
      <c r="C1172" t="s">
        <v>31</v>
      </c>
      <c r="D1172" s="1">
        <v>59</v>
      </c>
      <c r="E1172" t="s">
        <v>316</v>
      </c>
      <c r="F1172" s="1">
        <v>41</v>
      </c>
      <c r="G1172" t="s">
        <v>3</v>
      </c>
      <c r="H1172" s="1">
        <v>51</v>
      </c>
      <c r="I1172" t="s">
        <v>6</v>
      </c>
      <c r="J1172" s="1">
        <v>25</v>
      </c>
      <c r="K1172" s="1">
        <v>28</v>
      </c>
      <c r="L1172" s="1">
        <v>1458</v>
      </c>
      <c r="M1172" s="1">
        <v>35224</v>
      </c>
      <c r="N1172" s="1">
        <v>57814</v>
      </c>
      <c r="O1172" s="1">
        <v>4219136</v>
      </c>
      <c r="P1172" s="1">
        <v>622814</v>
      </c>
      <c r="Q1172" s="1">
        <v>1222482</v>
      </c>
      <c r="R1172" s="1">
        <v>96380480</v>
      </c>
      <c r="S1172" s="1">
        <v>36059</v>
      </c>
      <c r="T1172" s="1">
        <v>36059</v>
      </c>
      <c r="U1172" s="1">
        <v>41051</v>
      </c>
      <c r="V1172" s="1">
        <v>0</v>
      </c>
      <c r="W1172" s="1">
        <v>1</v>
      </c>
    </row>
    <row r="1173">
      <c r="A1173" s="1">
        <v>2022</v>
      </c>
      <c r="B1173" s="1">
        <v>36</v>
      </c>
      <c r="C1173" t="s">
        <v>31</v>
      </c>
      <c r="D1173" s="1">
        <v>61</v>
      </c>
      <c r="E1173" t="s">
        <v>117</v>
      </c>
      <c r="F1173" s="1">
        <v>41</v>
      </c>
      <c r="G1173" t="s">
        <v>3</v>
      </c>
      <c r="H1173" s="1">
        <v>51</v>
      </c>
      <c r="I1173" t="s">
        <v>6</v>
      </c>
      <c r="J1173" s="1">
        <v>133</v>
      </c>
      <c r="K1173" s="1">
        <v>173</v>
      </c>
      <c r="L1173" s="1">
        <v>19143</v>
      </c>
      <c r="M1173" s="1">
        <v>78324</v>
      </c>
      <c r="N1173" s="1">
        <v>113815</v>
      </c>
      <c r="O1173" s="1">
        <v>18436505</v>
      </c>
      <c r="P1173" s="1">
        <v>720302</v>
      </c>
      <c r="Q1173" s="1">
        <v>1118972</v>
      </c>
      <c r="R1173" s="1">
        <v>221252464</v>
      </c>
      <c r="S1173" s="1">
        <v>36061</v>
      </c>
      <c r="T1173" s="1">
        <v>36061</v>
      </c>
      <c r="U1173" s="1">
        <v>41051</v>
      </c>
      <c r="V1173" s="1">
        <v>0</v>
      </c>
      <c r="W1173" s="1">
        <v>1</v>
      </c>
    </row>
    <row r="1174">
      <c r="A1174" s="1">
        <v>2022</v>
      </c>
      <c r="B1174" s="1">
        <v>36</v>
      </c>
      <c r="C1174" t="s">
        <v>31</v>
      </c>
      <c r="D1174" s="1">
        <v>81</v>
      </c>
      <c r="E1174" t="s">
        <v>118</v>
      </c>
      <c r="F1174" s="1">
        <v>41</v>
      </c>
      <c r="G1174" t="s">
        <v>3</v>
      </c>
      <c r="H1174" s="1">
        <v>51</v>
      </c>
      <c r="I1174" t="s">
        <v>6</v>
      </c>
      <c r="J1174" s="1">
        <v>43</v>
      </c>
      <c r="K1174" s="1">
        <v>55</v>
      </c>
      <c r="L1174" s="1">
        <v>6120</v>
      </c>
      <c r="M1174" s="1">
        <v>71513</v>
      </c>
      <c r="N1174" s="1">
        <v>124313</v>
      </c>
      <c r="O1174" s="1">
        <v>5721730</v>
      </c>
      <c r="P1174" s="1">
        <v>1044328</v>
      </c>
      <c r="Q1174" s="1">
        <v>1871251</v>
      </c>
      <c r="R1174" s="1">
        <v>70190720</v>
      </c>
      <c r="S1174" s="1">
        <v>36081</v>
      </c>
      <c r="T1174" s="1">
        <v>36081</v>
      </c>
      <c r="U1174" s="1">
        <v>41051</v>
      </c>
      <c r="V1174" s="1">
        <v>0</v>
      </c>
      <c r="W1174" s="1">
        <v>1</v>
      </c>
    </row>
    <row r="1175">
      <c r="A1175" s="1">
        <v>2022</v>
      </c>
      <c r="B1175" s="1">
        <v>36</v>
      </c>
      <c r="C1175" t="s">
        <v>31</v>
      </c>
      <c r="D1175" s="1">
        <v>103</v>
      </c>
      <c r="E1175" t="s">
        <v>105</v>
      </c>
      <c r="F1175" s="1">
        <v>41</v>
      </c>
      <c r="G1175" t="s">
        <v>3</v>
      </c>
      <c r="H1175" s="1">
        <v>51</v>
      </c>
      <c r="I1175" t="s">
        <v>6</v>
      </c>
      <c r="J1175" s="1">
        <v>23</v>
      </c>
      <c r="K1175" s="1">
        <v>25</v>
      </c>
      <c r="L1175" s="1">
        <v>990</v>
      </c>
      <c r="M1175" s="1">
        <v>31122</v>
      </c>
      <c r="N1175" s="1">
        <v>50449</v>
      </c>
      <c r="O1175" s="1">
        <v>4632270</v>
      </c>
      <c r="P1175" s="1">
        <v>692066</v>
      </c>
      <c r="Q1175" s="1">
        <v>1311511</v>
      </c>
      <c r="R1175" s="1">
        <v>88940952</v>
      </c>
      <c r="S1175" s="1">
        <v>36103</v>
      </c>
      <c r="T1175" s="1">
        <v>36103</v>
      </c>
      <c r="U1175" s="1">
        <v>41051</v>
      </c>
      <c r="V1175" s="1">
        <v>0</v>
      </c>
      <c r="W1175" s="1">
        <v>1</v>
      </c>
    </row>
    <row r="1176">
      <c r="A1176" s="1">
        <v>2022</v>
      </c>
      <c r="B1176" s="1">
        <v>36</v>
      </c>
      <c r="C1176" t="s">
        <v>31</v>
      </c>
      <c r="D1176" s="1">
        <v>119</v>
      </c>
      <c r="E1176" t="s">
        <v>119</v>
      </c>
      <c r="F1176" s="1">
        <v>41</v>
      </c>
      <c r="G1176" t="s">
        <v>3</v>
      </c>
      <c r="H1176" s="1">
        <v>51</v>
      </c>
      <c r="I1176" t="s">
        <v>6</v>
      </c>
      <c r="J1176" s="1">
        <v>21</v>
      </c>
      <c r="K1176" s="1">
        <v>29</v>
      </c>
      <c r="L1176" s="1">
        <v>1758</v>
      </c>
      <c r="M1176" s="1">
        <v>26953</v>
      </c>
      <c r="N1176" s="1">
        <v>44741</v>
      </c>
      <c r="O1176" s="1">
        <v>4545690</v>
      </c>
      <c r="P1176" s="1">
        <v>419927</v>
      </c>
      <c r="Q1176" s="1">
        <v>820082</v>
      </c>
      <c r="R1176" s="1">
        <v>92039608</v>
      </c>
      <c r="S1176" s="1">
        <v>36119</v>
      </c>
      <c r="T1176" s="1">
        <v>36119</v>
      </c>
      <c r="U1176" s="1">
        <v>41051</v>
      </c>
      <c r="V1176" s="1">
        <v>0</v>
      </c>
      <c r="W1176" s="1">
        <v>1</v>
      </c>
    </row>
    <row r="1177">
      <c r="A1177" s="1">
        <v>2022</v>
      </c>
      <c r="B1177" s="1">
        <v>37</v>
      </c>
      <c r="C1177" t="s">
        <v>32</v>
      </c>
      <c r="D1177" s="1">
        <v>21</v>
      </c>
      <c r="E1177" t="s">
        <v>120</v>
      </c>
      <c r="F1177" s="1">
        <v>41</v>
      </c>
      <c r="G1177" t="s">
        <v>3</v>
      </c>
      <c r="H1177" s="1">
        <v>51</v>
      </c>
      <c r="I1177" t="s">
        <v>6</v>
      </c>
      <c r="J1177" s="1">
        <v>25</v>
      </c>
      <c r="K1177" s="1">
        <v>28</v>
      </c>
      <c r="L1177" s="1">
        <v>1543</v>
      </c>
      <c r="M1177" s="1">
        <v>8981</v>
      </c>
      <c r="N1177" s="1">
        <v>14087</v>
      </c>
      <c r="O1177" s="1">
        <v>649166</v>
      </c>
      <c r="P1177" s="1">
        <v>113330</v>
      </c>
      <c r="Q1177" s="1">
        <v>206500</v>
      </c>
      <c r="R1177" s="1">
        <v>10245330</v>
      </c>
      <c r="S1177" s="1">
        <v>37021</v>
      </c>
      <c r="T1177" s="1">
        <v>37021</v>
      </c>
      <c r="U1177" s="1">
        <v>41051</v>
      </c>
      <c r="V1177" s="1">
        <v>0</v>
      </c>
      <c r="W1177" s="1">
        <v>1</v>
      </c>
    </row>
    <row r="1178">
      <c r="A1178" s="1">
        <v>2022</v>
      </c>
      <c r="B1178" s="1">
        <v>37</v>
      </c>
      <c r="C1178" t="s">
        <v>32</v>
      </c>
      <c r="D1178" s="1">
        <v>119</v>
      </c>
      <c r="E1178" t="s">
        <v>121</v>
      </c>
      <c r="F1178" s="1">
        <v>41</v>
      </c>
      <c r="G1178" t="s">
        <v>3</v>
      </c>
      <c r="H1178" s="1">
        <v>51</v>
      </c>
      <c r="I1178" t="s">
        <v>6</v>
      </c>
      <c r="J1178" s="1">
        <v>34</v>
      </c>
      <c r="K1178" s="1">
        <v>47</v>
      </c>
      <c r="L1178" s="1">
        <v>3588</v>
      </c>
      <c r="M1178" s="1">
        <v>39616</v>
      </c>
      <c r="N1178" s="1">
        <v>68477</v>
      </c>
      <c r="O1178" s="1">
        <v>3699734</v>
      </c>
      <c r="P1178" s="1">
        <v>447022</v>
      </c>
      <c r="Q1178" s="1">
        <v>867399</v>
      </c>
      <c r="R1178" s="1">
        <v>55505592</v>
      </c>
      <c r="S1178" s="1">
        <v>37119</v>
      </c>
      <c r="T1178" s="1">
        <v>37119</v>
      </c>
      <c r="U1178" s="1">
        <v>41051</v>
      </c>
      <c r="V1178" s="1">
        <v>0</v>
      </c>
      <c r="W1178" s="1">
        <v>1</v>
      </c>
    </row>
    <row r="1179">
      <c r="A1179" s="1">
        <v>2022</v>
      </c>
      <c r="B1179" s="1">
        <v>37</v>
      </c>
      <c r="C1179" t="s">
        <v>32</v>
      </c>
      <c r="D1179" s="1">
        <v>183</v>
      </c>
      <c r="E1179" t="s">
        <v>206</v>
      </c>
      <c r="F1179" s="1">
        <v>41</v>
      </c>
      <c r="G1179" t="s">
        <v>3</v>
      </c>
      <c r="H1179" s="1">
        <v>51</v>
      </c>
      <c r="I1179" t="s">
        <v>6</v>
      </c>
      <c r="J1179" s="1">
        <v>36</v>
      </c>
      <c r="K1179" s="1">
        <v>43</v>
      </c>
      <c r="L1179" s="1">
        <v>3728</v>
      </c>
      <c r="M1179" s="1">
        <v>35917</v>
      </c>
      <c r="N1179" s="1">
        <v>61126</v>
      </c>
      <c r="O1179" s="1">
        <v>3052173</v>
      </c>
      <c r="P1179" s="1">
        <v>454899</v>
      </c>
      <c r="Q1179" s="1">
        <v>943012</v>
      </c>
      <c r="R1179" s="1">
        <v>58576592</v>
      </c>
      <c r="S1179" s="1">
        <v>37183</v>
      </c>
      <c r="T1179" s="1">
        <v>37183</v>
      </c>
      <c r="U1179" s="1">
        <v>41051</v>
      </c>
      <c r="V1179" s="1">
        <v>0</v>
      </c>
      <c r="W1179" s="1">
        <v>1</v>
      </c>
    </row>
    <row r="1180">
      <c r="A1180" s="1">
        <v>2022</v>
      </c>
      <c r="B1180" s="1">
        <v>39</v>
      </c>
      <c r="C1180" t="s">
        <v>33</v>
      </c>
      <c r="D1180" s="1">
        <v>35</v>
      </c>
      <c r="E1180" t="s">
        <v>207</v>
      </c>
      <c r="F1180" s="1">
        <v>41</v>
      </c>
      <c r="G1180" t="s">
        <v>3</v>
      </c>
      <c r="H1180" s="1">
        <v>51</v>
      </c>
      <c r="I1180" t="s">
        <v>6</v>
      </c>
      <c r="J1180" s="1">
        <v>36</v>
      </c>
      <c r="K1180" s="1">
        <v>38</v>
      </c>
      <c r="L1180" s="1">
        <v>1887</v>
      </c>
      <c r="M1180" s="1">
        <v>25625</v>
      </c>
      <c r="N1180" s="1">
        <v>40624</v>
      </c>
      <c r="O1180" s="1">
        <v>2474973</v>
      </c>
      <c r="P1180" s="1">
        <v>528267</v>
      </c>
      <c r="Q1180" s="1">
        <v>950053</v>
      </c>
      <c r="R1180" s="1">
        <v>47199748</v>
      </c>
      <c r="S1180" s="1">
        <v>39035</v>
      </c>
      <c r="T1180" s="1">
        <v>39035</v>
      </c>
      <c r="U1180" s="1">
        <v>41051</v>
      </c>
      <c r="V1180" s="1">
        <v>0</v>
      </c>
      <c r="W1180" s="1">
        <v>1</v>
      </c>
    </row>
    <row r="1181">
      <c r="A1181" s="1">
        <v>2022</v>
      </c>
      <c r="B1181" s="1">
        <v>39</v>
      </c>
      <c r="C1181" t="s">
        <v>33</v>
      </c>
      <c r="D1181" s="1">
        <v>49</v>
      </c>
      <c r="E1181" t="s">
        <v>122</v>
      </c>
      <c r="F1181" s="1">
        <v>41</v>
      </c>
      <c r="G1181" t="s">
        <v>3</v>
      </c>
      <c r="H1181" s="1">
        <v>51</v>
      </c>
      <c r="I1181" t="s">
        <v>6</v>
      </c>
      <c r="J1181" s="1">
        <v>86</v>
      </c>
      <c r="K1181" s="1">
        <v>126</v>
      </c>
      <c r="L1181" s="1">
        <v>5631</v>
      </c>
      <c r="M1181" s="1">
        <v>36639</v>
      </c>
      <c r="N1181" s="1">
        <v>61618</v>
      </c>
      <c r="O1181" s="1">
        <v>2994453</v>
      </c>
      <c r="P1181" s="1">
        <v>552700</v>
      </c>
      <c r="Q1181" s="1">
        <v>1034738</v>
      </c>
      <c r="R1181" s="1">
        <v>50490424</v>
      </c>
      <c r="S1181" s="1">
        <v>39049</v>
      </c>
      <c r="T1181" s="1">
        <v>39049</v>
      </c>
      <c r="U1181" s="1">
        <v>41051</v>
      </c>
      <c r="V1181" s="1">
        <v>0</v>
      </c>
      <c r="W1181" s="1">
        <v>1</v>
      </c>
    </row>
    <row r="1182">
      <c r="A1182" s="1">
        <v>2022</v>
      </c>
      <c r="B1182" s="1">
        <v>39</v>
      </c>
      <c r="C1182" t="s">
        <v>33</v>
      </c>
      <c r="D1182" s="1">
        <v>61</v>
      </c>
      <c r="E1182" t="s">
        <v>208</v>
      </c>
      <c r="F1182" s="1">
        <v>41</v>
      </c>
      <c r="G1182" t="s">
        <v>3</v>
      </c>
      <c r="H1182" s="1">
        <v>51</v>
      </c>
      <c r="I1182" t="s">
        <v>6</v>
      </c>
      <c r="J1182" s="1">
        <v>35</v>
      </c>
      <c r="K1182" s="1">
        <v>44</v>
      </c>
      <c r="L1182" s="1">
        <v>3021</v>
      </c>
      <c r="M1182" s="1">
        <v>20503</v>
      </c>
      <c r="N1182" s="1">
        <v>33061</v>
      </c>
      <c r="O1182" s="1">
        <v>1806377</v>
      </c>
      <c r="P1182" s="1">
        <v>342464</v>
      </c>
      <c r="Q1182" s="1">
        <v>646578</v>
      </c>
      <c r="R1182" s="1">
        <v>37536624</v>
      </c>
      <c r="S1182" s="1">
        <v>39061</v>
      </c>
      <c r="T1182" s="1">
        <v>39061</v>
      </c>
      <c r="U1182" s="1">
        <v>41051</v>
      </c>
      <c r="V1182" s="1">
        <v>0</v>
      </c>
      <c r="W1182" s="1">
        <v>1</v>
      </c>
    </row>
    <row r="1183">
      <c r="A1183" s="1">
        <v>2022</v>
      </c>
      <c r="B1183" s="1">
        <v>40</v>
      </c>
      <c r="C1183" t="s">
        <v>47</v>
      </c>
      <c r="D1183" s="1">
        <v>109</v>
      </c>
      <c r="E1183" t="s">
        <v>209</v>
      </c>
      <c r="F1183" s="1">
        <v>41</v>
      </c>
      <c r="G1183" t="s">
        <v>3</v>
      </c>
      <c r="H1183" s="1">
        <v>51</v>
      </c>
      <c r="I1183" t="s">
        <v>6</v>
      </c>
      <c r="J1183" s="1">
        <v>28</v>
      </c>
      <c r="K1183" s="1">
        <v>51</v>
      </c>
      <c r="L1183" s="1">
        <v>2560</v>
      </c>
      <c r="M1183" s="1">
        <v>20293</v>
      </c>
      <c r="N1183" s="1">
        <v>37234</v>
      </c>
      <c r="O1183" s="1">
        <v>1436407</v>
      </c>
      <c r="P1183" s="1">
        <v>295634</v>
      </c>
      <c r="Q1183" s="1">
        <v>597130</v>
      </c>
      <c r="R1183" s="1">
        <v>25858980</v>
      </c>
      <c r="S1183" s="1">
        <v>40109</v>
      </c>
      <c r="T1183" s="1">
        <v>40109</v>
      </c>
      <c r="U1183" s="1">
        <v>41051</v>
      </c>
      <c r="V1183" s="1">
        <v>0</v>
      </c>
      <c r="W1183" s="1">
        <v>1</v>
      </c>
    </row>
    <row r="1184">
      <c r="A1184" s="1">
        <v>2022</v>
      </c>
      <c r="B1184" s="1">
        <v>41</v>
      </c>
      <c r="C1184" t="s">
        <v>3</v>
      </c>
      <c r="D1184" s="1">
        <v>3</v>
      </c>
      <c r="E1184" t="s">
        <v>124</v>
      </c>
      <c r="F1184" s="1">
        <v>41</v>
      </c>
      <c r="G1184" t="s">
        <v>3</v>
      </c>
      <c r="H1184" s="1">
        <v>51</v>
      </c>
      <c r="I1184" t="s">
        <v>6</v>
      </c>
      <c r="J1184" s="1">
        <v>283</v>
      </c>
      <c r="K1184" s="1">
        <v>357</v>
      </c>
      <c r="L1184" s="1">
        <v>13269</v>
      </c>
      <c r="M1184" s="1">
        <v>4031</v>
      </c>
      <c r="N1184" s="1">
        <v>5950</v>
      </c>
      <c r="O1184" s="1">
        <v>260655</v>
      </c>
      <c r="P1184" s="1">
        <v>36167</v>
      </c>
      <c r="Q1184" s="1">
        <v>67073</v>
      </c>
      <c r="R1184" s="1">
        <v>3649208</v>
      </c>
      <c r="S1184" s="1">
        <v>41003</v>
      </c>
      <c r="T1184" s="1">
        <v>41003</v>
      </c>
      <c r="U1184" s="1">
        <v>41051</v>
      </c>
      <c r="V1184" s="1">
        <v>0</v>
      </c>
      <c r="W1184" s="1">
        <v>1</v>
      </c>
    </row>
    <row r="1185">
      <c r="A1185" s="1">
        <v>2022</v>
      </c>
      <c r="B1185" s="1">
        <v>41</v>
      </c>
      <c r="C1185" t="s">
        <v>3</v>
      </c>
      <c r="D1185" s="1">
        <v>5</v>
      </c>
      <c r="E1185" t="s">
        <v>125</v>
      </c>
      <c r="F1185" s="1">
        <v>41</v>
      </c>
      <c r="G1185" t="s">
        <v>3</v>
      </c>
      <c r="H1185" s="1">
        <v>51</v>
      </c>
      <c r="I1185" t="s">
        <v>6</v>
      </c>
      <c r="J1185" s="1">
        <v>3682</v>
      </c>
      <c r="K1185" s="1">
        <v>5368</v>
      </c>
      <c r="L1185" s="1">
        <v>242566</v>
      </c>
      <c r="M1185" s="1">
        <v>14500</v>
      </c>
      <c r="N1185" s="1">
        <v>24215</v>
      </c>
      <c r="O1185" s="1">
        <v>1378353</v>
      </c>
      <c r="P1185" s="1">
        <v>176174</v>
      </c>
      <c r="Q1185" s="1">
        <v>349770</v>
      </c>
      <c r="R1185" s="1">
        <v>21210806</v>
      </c>
      <c r="S1185" s="1">
        <v>41005</v>
      </c>
      <c r="T1185" s="1">
        <v>41005</v>
      </c>
      <c r="U1185" s="1">
        <v>41051</v>
      </c>
      <c r="V1185" s="1">
        <v>0</v>
      </c>
      <c r="W1185" s="1">
        <v>1</v>
      </c>
    </row>
    <row r="1186">
      <c r="A1186" s="1">
        <v>2022</v>
      </c>
      <c r="B1186" s="1">
        <v>41</v>
      </c>
      <c r="C1186" t="s">
        <v>3</v>
      </c>
      <c r="D1186" s="1">
        <v>7</v>
      </c>
      <c r="E1186" t="s">
        <v>126</v>
      </c>
      <c r="F1186" s="1">
        <v>41</v>
      </c>
      <c r="G1186" t="s">
        <v>3</v>
      </c>
      <c r="H1186" s="1">
        <v>51</v>
      </c>
      <c r="I1186" t="s">
        <v>6</v>
      </c>
      <c r="J1186" s="1">
        <v>105</v>
      </c>
      <c r="K1186" s="1">
        <v>142</v>
      </c>
      <c r="L1186" s="1">
        <v>8324</v>
      </c>
      <c r="M1186" s="1">
        <v>1480</v>
      </c>
      <c r="N1186" s="1">
        <v>2440</v>
      </c>
      <c r="O1186" s="1">
        <v>111643</v>
      </c>
      <c r="P1186" s="1">
        <v>16901</v>
      </c>
      <c r="Q1186" s="1">
        <v>31390</v>
      </c>
      <c r="R1186" s="1">
        <v>1354902</v>
      </c>
      <c r="S1186" s="1">
        <v>41007</v>
      </c>
      <c r="T1186" s="1">
        <v>41007</v>
      </c>
      <c r="U1186" s="1">
        <v>41051</v>
      </c>
      <c r="V1186" s="1">
        <v>0</v>
      </c>
      <c r="W1186" s="1">
        <v>1</v>
      </c>
    </row>
    <row r="1187">
      <c r="A1187" s="1">
        <v>2022</v>
      </c>
      <c r="B1187" s="1">
        <v>41</v>
      </c>
      <c r="C1187" t="s">
        <v>3</v>
      </c>
      <c r="D1187" s="1">
        <v>9</v>
      </c>
      <c r="E1187" t="s">
        <v>127</v>
      </c>
      <c r="F1187" s="1">
        <v>41</v>
      </c>
      <c r="G1187" t="s">
        <v>3</v>
      </c>
      <c r="H1187" s="1">
        <v>51</v>
      </c>
      <c r="I1187" t="s">
        <v>6</v>
      </c>
      <c r="J1187" s="1">
        <v>155</v>
      </c>
      <c r="K1187" s="1">
        <v>220</v>
      </c>
      <c r="L1187" s="1">
        <v>7364</v>
      </c>
      <c r="M1187" s="1">
        <v>1445</v>
      </c>
      <c r="N1187" s="1">
        <v>2590</v>
      </c>
      <c r="O1187" s="1">
        <v>89676</v>
      </c>
      <c r="P1187" s="1">
        <v>21350</v>
      </c>
      <c r="Q1187" s="1">
        <v>42051</v>
      </c>
      <c r="R1187" s="1">
        <v>1672511</v>
      </c>
      <c r="S1187" s="1">
        <v>41009</v>
      </c>
      <c r="T1187" s="1">
        <v>41009</v>
      </c>
      <c r="U1187" s="1">
        <v>41051</v>
      </c>
      <c r="V1187" s="1">
        <v>0</v>
      </c>
      <c r="W1187" s="1">
        <v>1</v>
      </c>
    </row>
    <row r="1188">
      <c r="A1188" s="1">
        <v>2022</v>
      </c>
      <c r="B1188" s="1">
        <v>41</v>
      </c>
      <c r="C1188" t="s">
        <v>3</v>
      </c>
      <c r="D1188" s="1">
        <v>11</v>
      </c>
      <c r="E1188" t="s">
        <v>128</v>
      </c>
      <c r="F1188" s="1">
        <v>41</v>
      </c>
      <c r="G1188" t="s">
        <v>3</v>
      </c>
      <c r="H1188" s="1">
        <v>51</v>
      </c>
      <c r="I1188" t="s">
        <v>6</v>
      </c>
      <c r="J1188" s="1">
        <v>44</v>
      </c>
      <c r="K1188" s="1">
        <v>63</v>
      </c>
      <c r="L1188" s="1">
        <v>2684</v>
      </c>
      <c r="M1188" s="1">
        <v>1580</v>
      </c>
      <c r="N1188" s="1">
        <v>2679</v>
      </c>
      <c r="O1188" s="1">
        <v>87555</v>
      </c>
      <c r="P1188" s="1">
        <v>25071</v>
      </c>
      <c r="Q1188" s="1">
        <v>46934</v>
      </c>
      <c r="R1188" s="1">
        <v>1681130</v>
      </c>
      <c r="S1188" s="1">
        <v>41011</v>
      </c>
      <c r="T1188" s="1">
        <v>41011</v>
      </c>
      <c r="U1188" s="1">
        <v>41051</v>
      </c>
      <c r="V1188" s="1">
        <v>0</v>
      </c>
      <c r="W1188" s="1">
        <v>1</v>
      </c>
    </row>
    <row r="1189">
      <c r="A1189" s="1">
        <v>2022</v>
      </c>
      <c r="B1189" s="1">
        <v>41</v>
      </c>
      <c r="C1189" t="s">
        <v>3</v>
      </c>
      <c r="D1189" s="1">
        <v>17</v>
      </c>
      <c r="E1189" t="s">
        <v>130</v>
      </c>
      <c r="F1189" s="1">
        <v>41</v>
      </c>
      <c r="G1189" t="s">
        <v>3</v>
      </c>
      <c r="H1189" s="1">
        <v>51</v>
      </c>
      <c r="I1189" t="s">
        <v>6</v>
      </c>
      <c r="J1189" s="1">
        <v>302</v>
      </c>
      <c r="K1189" s="1">
        <v>379</v>
      </c>
      <c r="L1189" s="1">
        <v>20828</v>
      </c>
      <c r="M1189" s="1">
        <v>6847</v>
      </c>
      <c r="N1189" s="1">
        <v>11479</v>
      </c>
      <c r="O1189" s="1">
        <v>672855</v>
      </c>
      <c r="P1189" s="1">
        <v>88509</v>
      </c>
      <c r="Q1189" s="1">
        <v>168549</v>
      </c>
      <c r="R1189" s="1">
        <v>10472793</v>
      </c>
      <c r="S1189" s="1">
        <v>41017</v>
      </c>
      <c r="T1189" s="1">
        <v>41017</v>
      </c>
      <c r="U1189" s="1">
        <v>41051</v>
      </c>
      <c r="V1189" s="1">
        <v>0</v>
      </c>
      <c r="W1189" s="1">
        <v>1</v>
      </c>
    </row>
    <row r="1190">
      <c r="A1190" s="1">
        <v>2022</v>
      </c>
      <c r="B1190" s="1">
        <v>41</v>
      </c>
      <c r="C1190" t="s">
        <v>3</v>
      </c>
      <c r="D1190" s="1">
        <v>19</v>
      </c>
      <c r="E1190" t="s">
        <v>131</v>
      </c>
      <c r="F1190" s="1">
        <v>41</v>
      </c>
      <c r="G1190" t="s">
        <v>3</v>
      </c>
      <c r="H1190" s="1">
        <v>51</v>
      </c>
      <c r="I1190" t="s">
        <v>6</v>
      </c>
      <c r="J1190" s="1">
        <v>64</v>
      </c>
      <c r="K1190" s="1">
        <v>80</v>
      </c>
      <c r="L1190" s="1">
        <v>3695</v>
      </c>
      <c r="M1190" s="1">
        <v>2209</v>
      </c>
      <c r="N1190" s="1">
        <v>3731</v>
      </c>
      <c r="O1190" s="1">
        <v>138107</v>
      </c>
      <c r="P1190" s="1">
        <v>42312</v>
      </c>
      <c r="Q1190" s="1">
        <v>82718</v>
      </c>
      <c r="R1190" s="1">
        <v>3060598</v>
      </c>
      <c r="S1190" s="1">
        <v>41019</v>
      </c>
      <c r="T1190" s="1">
        <v>41019</v>
      </c>
      <c r="U1190" s="1">
        <v>41051</v>
      </c>
      <c r="V1190" s="1">
        <v>0</v>
      </c>
      <c r="W1190" s="1">
        <v>1</v>
      </c>
    </row>
    <row r="1191">
      <c r="A1191" s="1">
        <v>2022</v>
      </c>
      <c r="B1191" s="1">
        <v>41</v>
      </c>
      <c r="C1191" t="s">
        <v>3</v>
      </c>
      <c r="D1191" s="1">
        <v>27</v>
      </c>
      <c r="E1191" t="s">
        <v>132</v>
      </c>
      <c r="F1191" s="1">
        <v>41</v>
      </c>
      <c r="G1191" t="s">
        <v>3</v>
      </c>
      <c r="H1191" s="1">
        <v>51</v>
      </c>
      <c r="I1191" t="s">
        <v>6</v>
      </c>
      <c r="J1191" s="1">
        <v>82</v>
      </c>
      <c r="K1191" s="1">
        <v>129</v>
      </c>
      <c r="L1191" s="1">
        <v>5870</v>
      </c>
      <c r="M1191" s="1">
        <v>749</v>
      </c>
      <c r="N1191" s="1">
        <v>1227</v>
      </c>
      <c r="O1191" s="1">
        <v>83688</v>
      </c>
      <c r="P1191" s="1">
        <v>10420</v>
      </c>
      <c r="Q1191" s="1">
        <v>20935</v>
      </c>
      <c r="R1191" s="1">
        <v>1059002</v>
      </c>
      <c r="S1191" s="1">
        <v>41027</v>
      </c>
      <c r="T1191" s="1">
        <v>41027</v>
      </c>
      <c r="U1191" s="1">
        <v>41051</v>
      </c>
      <c r="V1191" s="1">
        <v>0</v>
      </c>
      <c r="W1191" s="1">
        <v>1</v>
      </c>
    </row>
    <row r="1192">
      <c r="A1192" s="1">
        <v>2022</v>
      </c>
      <c r="B1192" s="1">
        <v>41</v>
      </c>
      <c r="C1192" t="s">
        <v>3</v>
      </c>
      <c r="D1192" s="1">
        <v>29</v>
      </c>
      <c r="E1192" t="s">
        <v>133</v>
      </c>
      <c r="F1192" s="1">
        <v>41</v>
      </c>
      <c r="G1192" t="s">
        <v>3</v>
      </c>
      <c r="H1192" s="1">
        <v>51</v>
      </c>
      <c r="I1192" t="s">
        <v>6</v>
      </c>
      <c r="J1192" s="1">
        <v>249</v>
      </c>
      <c r="K1192" s="1">
        <v>316</v>
      </c>
      <c r="L1192" s="1">
        <v>15945</v>
      </c>
      <c r="M1192" s="1">
        <v>5561</v>
      </c>
      <c r="N1192" s="1">
        <v>9201</v>
      </c>
      <c r="O1192" s="1">
        <v>413084</v>
      </c>
      <c r="P1192" s="1">
        <v>90991</v>
      </c>
      <c r="Q1192" s="1">
        <v>173500</v>
      </c>
      <c r="R1192" s="1">
        <v>7457043</v>
      </c>
      <c r="S1192" s="1">
        <v>41029</v>
      </c>
      <c r="T1192" s="1">
        <v>41029</v>
      </c>
      <c r="U1192" s="1">
        <v>41051</v>
      </c>
      <c r="V1192" s="1">
        <v>0</v>
      </c>
      <c r="W1192" s="1">
        <v>1</v>
      </c>
    </row>
    <row r="1193">
      <c r="A1193" s="1">
        <v>2022</v>
      </c>
      <c r="B1193" s="1">
        <v>41</v>
      </c>
      <c r="C1193" t="s">
        <v>3</v>
      </c>
      <c r="D1193" s="1">
        <v>31</v>
      </c>
      <c r="E1193" t="s">
        <v>83</v>
      </c>
      <c r="F1193" s="1">
        <v>41</v>
      </c>
      <c r="G1193" t="s">
        <v>3</v>
      </c>
      <c r="H1193" s="1">
        <v>51</v>
      </c>
      <c r="I1193" t="s">
        <v>6</v>
      </c>
      <c r="J1193" s="1">
        <v>24</v>
      </c>
      <c r="K1193" s="1">
        <v>34</v>
      </c>
      <c r="L1193" s="1">
        <v>786</v>
      </c>
      <c r="M1193" s="1">
        <v>714</v>
      </c>
      <c r="N1193" s="1">
        <v>1304</v>
      </c>
      <c r="O1193" s="1">
        <v>40571</v>
      </c>
      <c r="P1193" s="1">
        <v>9086</v>
      </c>
      <c r="Q1193" s="1">
        <v>18861</v>
      </c>
      <c r="R1193" s="1">
        <v>552975</v>
      </c>
      <c r="S1193" s="1">
        <v>41031</v>
      </c>
      <c r="T1193" s="1">
        <v>41031</v>
      </c>
      <c r="U1193" s="1">
        <v>41051</v>
      </c>
      <c r="V1193" s="1">
        <v>0</v>
      </c>
      <c r="W1193" s="1">
        <v>1</v>
      </c>
    </row>
    <row r="1194">
      <c r="A1194" s="1">
        <v>2022</v>
      </c>
      <c r="B1194" s="1">
        <v>41</v>
      </c>
      <c r="C1194" t="s">
        <v>3</v>
      </c>
      <c r="D1194" s="1">
        <v>33</v>
      </c>
      <c r="E1194" t="s">
        <v>134</v>
      </c>
      <c r="F1194" s="1">
        <v>41</v>
      </c>
      <c r="G1194" t="s">
        <v>3</v>
      </c>
      <c r="H1194" s="1">
        <v>51</v>
      </c>
      <c r="I1194" t="s">
        <v>6</v>
      </c>
      <c r="J1194" s="1">
        <v>59</v>
      </c>
      <c r="K1194" s="1">
        <v>74</v>
      </c>
      <c r="L1194" s="1">
        <v>3013</v>
      </c>
      <c r="M1194" s="1">
        <v>2288</v>
      </c>
      <c r="N1194" s="1">
        <v>3927</v>
      </c>
      <c r="O1194" s="1">
        <v>120362</v>
      </c>
      <c r="P1194" s="1">
        <v>33717</v>
      </c>
      <c r="Q1194" s="1">
        <v>64625</v>
      </c>
      <c r="R1194" s="1">
        <v>2289864</v>
      </c>
      <c r="S1194" s="1">
        <v>41033</v>
      </c>
      <c r="T1194" s="1">
        <v>41033</v>
      </c>
      <c r="U1194" s="1">
        <v>41051</v>
      </c>
      <c r="V1194" s="1">
        <v>0</v>
      </c>
      <c r="W1194" s="1">
        <v>1</v>
      </c>
    </row>
    <row r="1195">
      <c r="A1195" s="1">
        <v>2022</v>
      </c>
      <c r="B1195" s="1">
        <v>41</v>
      </c>
      <c r="C1195" t="s">
        <v>3</v>
      </c>
      <c r="D1195" s="1">
        <v>35</v>
      </c>
      <c r="E1195" t="s">
        <v>135</v>
      </c>
      <c r="F1195" s="1">
        <v>41</v>
      </c>
      <c r="G1195" t="s">
        <v>3</v>
      </c>
      <c r="H1195" s="1">
        <v>51</v>
      </c>
      <c r="I1195" t="s">
        <v>6</v>
      </c>
      <c r="J1195" s="1">
        <v>42</v>
      </c>
      <c r="K1195" s="1">
        <v>53</v>
      </c>
      <c r="L1195" s="1">
        <v>1613</v>
      </c>
      <c r="M1195" s="1">
        <v>1742</v>
      </c>
      <c r="N1195" s="1">
        <v>3107</v>
      </c>
      <c r="O1195" s="1">
        <v>103986</v>
      </c>
      <c r="P1195" s="1">
        <v>25814</v>
      </c>
      <c r="Q1195" s="1">
        <v>52126</v>
      </c>
      <c r="R1195" s="1">
        <v>1611562</v>
      </c>
      <c r="S1195" s="1">
        <v>41035</v>
      </c>
      <c r="T1195" s="1">
        <v>41035</v>
      </c>
      <c r="U1195" s="1">
        <v>41051</v>
      </c>
      <c r="V1195" s="1">
        <v>0</v>
      </c>
      <c r="W1195" s="1">
        <v>1</v>
      </c>
    </row>
    <row r="1196">
      <c r="A1196" s="1">
        <v>2022</v>
      </c>
      <c r="B1196" s="1">
        <v>41</v>
      </c>
      <c r="C1196" t="s">
        <v>3</v>
      </c>
      <c r="D1196" s="1">
        <v>39</v>
      </c>
      <c r="E1196" t="s">
        <v>136</v>
      </c>
      <c r="F1196" s="1">
        <v>41</v>
      </c>
      <c r="G1196" t="s">
        <v>3</v>
      </c>
      <c r="H1196" s="1">
        <v>51</v>
      </c>
      <c r="I1196" t="s">
        <v>6</v>
      </c>
      <c r="J1196" s="1">
        <v>658</v>
      </c>
      <c r="K1196" s="1">
        <v>780</v>
      </c>
      <c r="L1196" s="1">
        <v>28929</v>
      </c>
      <c r="M1196" s="1">
        <v>8977</v>
      </c>
      <c r="N1196" s="1">
        <v>13944</v>
      </c>
      <c r="O1196" s="1">
        <v>665546</v>
      </c>
      <c r="P1196" s="1">
        <v>153605</v>
      </c>
      <c r="Q1196" s="1">
        <v>280130</v>
      </c>
      <c r="R1196" s="1">
        <v>13201069</v>
      </c>
      <c r="S1196" s="1">
        <v>41039</v>
      </c>
      <c r="T1196" s="1">
        <v>41039</v>
      </c>
      <c r="U1196" s="1">
        <v>41051</v>
      </c>
      <c r="V1196" s="1">
        <v>0</v>
      </c>
      <c r="W1196" s="1">
        <v>1</v>
      </c>
    </row>
    <row r="1197">
      <c r="A1197" s="1">
        <v>2022</v>
      </c>
      <c r="B1197" s="1">
        <v>41</v>
      </c>
      <c r="C1197" t="s">
        <v>3</v>
      </c>
      <c r="D1197" s="1">
        <v>41</v>
      </c>
      <c r="E1197" t="s">
        <v>137</v>
      </c>
      <c r="F1197" s="1">
        <v>41</v>
      </c>
      <c r="G1197" t="s">
        <v>3</v>
      </c>
      <c r="H1197" s="1">
        <v>51</v>
      </c>
      <c r="I1197" t="s">
        <v>6</v>
      </c>
      <c r="J1197" s="1">
        <v>70</v>
      </c>
      <c r="K1197" s="1">
        <v>96</v>
      </c>
      <c r="L1197" s="1">
        <v>5441</v>
      </c>
      <c r="M1197" s="1">
        <v>1729</v>
      </c>
      <c r="N1197" s="1">
        <v>2872</v>
      </c>
      <c r="O1197" s="1">
        <v>124695</v>
      </c>
      <c r="P1197" s="1">
        <v>20477</v>
      </c>
      <c r="Q1197" s="1">
        <v>37085</v>
      </c>
      <c r="R1197" s="1">
        <v>1520967</v>
      </c>
      <c r="S1197" s="1">
        <v>41041</v>
      </c>
      <c r="T1197" s="1">
        <v>41041</v>
      </c>
      <c r="U1197" s="1">
        <v>41051</v>
      </c>
      <c r="V1197" s="1">
        <v>0</v>
      </c>
      <c r="W1197" s="1">
        <v>1</v>
      </c>
    </row>
    <row r="1198">
      <c r="A1198" s="1">
        <v>2022</v>
      </c>
      <c r="B1198" s="1">
        <v>41</v>
      </c>
      <c r="C1198" t="s">
        <v>3</v>
      </c>
      <c r="D1198" s="1">
        <v>43</v>
      </c>
      <c r="E1198" t="s">
        <v>138</v>
      </c>
      <c r="F1198" s="1">
        <v>41</v>
      </c>
      <c r="G1198" t="s">
        <v>3</v>
      </c>
      <c r="H1198" s="1">
        <v>51</v>
      </c>
      <c r="I1198" t="s">
        <v>6</v>
      </c>
      <c r="J1198" s="1">
        <v>91</v>
      </c>
      <c r="K1198" s="1">
        <v>119</v>
      </c>
      <c r="L1198" s="1">
        <v>3431</v>
      </c>
      <c r="M1198" s="1">
        <v>3608</v>
      </c>
      <c r="N1198" s="1">
        <v>6419</v>
      </c>
      <c r="O1198" s="1">
        <v>327638</v>
      </c>
      <c r="P1198" s="1">
        <v>50806</v>
      </c>
      <c r="Q1198" s="1">
        <v>102044</v>
      </c>
      <c r="R1198" s="1">
        <v>3632907</v>
      </c>
      <c r="S1198" s="1">
        <v>41043</v>
      </c>
      <c r="T1198" s="1">
        <v>41043</v>
      </c>
      <c r="U1198" s="1">
        <v>41051</v>
      </c>
      <c r="V1198" s="1">
        <v>0</v>
      </c>
      <c r="W1198" s="1">
        <v>1</v>
      </c>
    </row>
    <row r="1199">
      <c r="A1199" s="1">
        <v>2022</v>
      </c>
      <c r="B1199" s="1">
        <v>41</v>
      </c>
      <c r="C1199" t="s">
        <v>3</v>
      </c>
      <c r="D1199" s="1">
        <v>47</v>
      </c>
      <c r="E1199" t="s">
        <v>99</v>
      </c>
      <c r="F1199" s="1">
        <v>41</v>
      </c>
      <c r="G1199" t="s">
        <v>3</v>
      </c>
      <c r="H1199" s="1">
        <v>51</v>
      </c>
      <c r="I1199" t="s">
        <v>6</v>
      </c>
      <c r="J1199" s="1">
        <v>603</v>
      </c>
      <c r="K1199" s="1">
        <v>823</v>
      </c>
      <c r="L1199" s="1">
        <v>27185</v>
      </c>
      <c r="M1199" s="1">
        <v>8845</v>
      </c>
      <c r="N1199" s="1">
        <v>15327</v>
      </c>
      <c r="O1199" s="1">
        <v>557584</v>
      </c>
      <c r="P1199" s="1">
        <v>134321</v>
      </c>
      <c r="Q1199" s="1">
        <v>273712</v>
      </c>
      <c r="R1199" s="1">
        <v>10342071</v>
      </c>
      <c r="S1199" s="1">
        <v>41047</v>
      </c>
      <c r="T1199" s="1">
        <v>41047</v>
      </c>
      <c r="U1199" s="1">
        <v>41051</v>
      </c>
      <c r="V1199" s="1">
        <v>0</v>
      </c>
      <c r="W1199" s="1">
        <v>1</v>
      </c>
    </row>
    <row r="1200">
      <c r="A1200" s="1">
        <v>2022</v>
      </c>
      <c r="B1200" s="1">
        <v>41</v>
      </c>
      <c r="C1200" t="s">
        <v>3</v>
      </c>
      <c r="D1200" s="1">
        <v>53</v>
      </c>
      <c r="E1200" t="s">
        <v>100</v>
      </c>
      <c r="F1200" s="1">
        <v>41</v>
      </c>
      <c r="G1200" t="s">
        <v>3</v>
      </c>
      <c r="H1200" s="1">
        <v>51</v>
      </c>
      <c r="I1200" t="s">
        <v>6</v>
      </c>
      <c r="J1200" s="1">
        <v>119</v>
      </c>
      <c r="K1200" s="1">
        <v>158</v>
      </c>
      <c r="L1200" s="1">
        <v>6147</v>
      </c>
      <c r="M1200" s="1">
        <v>3302</v>
      </c>
      <c r="N1200" s="1">
        <v>5770</v>
      </c>
      <c r="O1200" s="1">
        <v>187755</v>
      </c>
      <c r="P1200" s="1">
        <v>33650</v>
      </c>
      <c r="Q1200" s="1">
        <v>68920</v>
      </c>
      <c r="R1200" s="1">
        <v>2743672</v>
      </c>
      <c r="S1200" s="1">
        <v>41053</v>
      </c>
      <c r="T1200" s="1">
        <v>41053</v>
      </c>
      <c r="U1200" s="1">
        <v>41051</v>
      </c>
      <c r="V1200" s="1">
        <v>0</v>
      </c>
      <c r="W1200" s="1">
        <v>1</v>
      </c>
    </row>
    <row r="1201">
      <c r="A1201" s="1">
        <v>2022</v>
      </c>
      <c r="B1201" s="1">
        <v>41</v>
      </c>
      <c r="C1201" t="s">
        <v>3</v>
      </c>
      <c r="D1201" s="1">
        <v>57</v>
      </c>
      <c r="E1201" t="s">
        <v>139</v>
      </c>
      <c r="F1201" s="1">
        <v>41</v>
      </c>
      <c r="G1201" t="s">
        <v>3</v>
      </c>
      <c r="H1201" s="1">
        <v>51</v>
      </c>
      <c r="I1201" t="s">
        <v>6</v>
      </c>
      <c r="J1201" s="1">
        <v>67</v>
      </c>
      <c r="K1201" s="1">
        <v>99</v>
      </c>
      <c r="L1201" s="1">
        <v>5652</v>
      </c>
      <c r="M1201" s="1">
        <v>851</v>
      </c>
      <c r="N1201" s="1">
        <v>1417</v>
      </c>
      <c r="O1201" s="1">
        <v>54775</v>
      </c>
      <c r="P1201" s="1">
        <v>11124</v>
      </c>
      <c r="Q1201" s="1">
        <v>21139</v>
      </c>
      <c r="R1201" s="1">
        <v>855526</v>
      </c>
      <c r="S1201" s="1">
        <v>41057</v>
      </c>
      <c r="T1201" s="1">
        <v>41057</v>
      </c>
      <c r="U1201" s="1">
        <v>41051</v>
      </c>
      <c r="V1201" s="1">
        <v>0</v>
      </c>
      <c r="W1201" s="1">
        <v>1</v>
      </c>
    </row>
    <row r="1202">
      <c r="A1202" s="1">
        <v>2022</v>
      </c>
      <c r="B1202" s="1">
        <v>41</v>
      </c>
      <c r="C1202" t="s">
        <v>3</v>
      </c>
      <c r="D1202" s="1">
        <v>59</v>
      </c>
      <c r="E1202" t="s">
        <v>140</v>
      </c>
      <c r="F1202" s="1">
        <v>41</v>
      </c>
      <c r="G1202" t="s">
        <v>3</v>
      </c>
      <c r="H1202" s="1">
        <v>51</v>
      </c>
      <c r="I1202" t="s">
        <v>6</v>
      </c>
      <c r="J1202" s="1">
        <v>69</v>
      </c>
      <c r="K1202" s="1">
        <v>94</v>
      </c>
      <c r="L1202" s="1">
        <v>1848</v>
      </c>
      <c r="M1202" s="1">
        <v>1692</v>
      </c>
      <c r="N1202" s="1">
        <v>2955</v>
      </c>
      <c r="O1202" s="1">
        <v>87278</v>
      </c>
      <c r="P1202" s="1">
        <v>28598</v>
      </c>
      <c r="Q1202" s="1">
        <v>59460</v>
      </c>
      <c r="R1202" s="1">
        <v>1959375</v>
      </c>
      <c r="S1202" s="1">
        <v>41059</v>
      </c>
      <c r="T1202" s="1">
        <v>41059</v>
      </c>
      <c r="U1202" s="1">
        <v>41051</v>
      </c>
      <c r="V1202" s="1">
        <v>0</v>
      </c>
      <c r="W1202" s="1">
        <v>1</v>
      </c>
    </row>
    <row r="1203">
      <c r="A1203" s="1">
        <v>2022</v>
      </c>
      <c r="B1203" s="1">
        <v>41</v>
      </c>
      <c r="C1203" t="s">
        <v>3</v>
      </c>
      <c r="D1203" s="1">
        <v>61</v>
      </c>
      <c r="E1203" t="s">
        <v>141</v>
      </c>
      <c r="F1203" s="1">
        <v>41</v>
      </c>
      <c r="G1203" t="s">
        <v>3</v>
      </c>
      <c r="H1203" s="1">
        <v>51</v>
      </c>
      <c r="I1203" t="s">
        <v>6</v>
      </c>
      <c r="J1203" s="1">
        <v>23</v>
      </c>
      <c r="K1203" s="1">
        <v>34</v>
      </c>
      <c r="L1203" s="1">
        <v>769</v>
      </c>
      <c r="M1203" s="1">
        <v>658</v>
      </c>
      <c r="N1203" s="1">
        <v>1143</v>
      </c>
      <c r="O1203" s="1">
        <v>37657</v>
      </c>
      <c r="P1203" s="1">
        <v>10153</v>
      </c>
      <c r="Q1203" s="1">
        <v>20582</v>
      </c>
      <c r="R1203" s="1">
        <v>700147</v>
      </c>
      <c r="S1203" s="1">
        <v>41061</v>
      </c>
      <c r="T1203" s="1">
        <v>41061</v>
      </c>
      <c r="U1203" s="1">
        <v>41051</v>
      </c>
      <c r="V1203" s="1">
        <v>0</v>
      </c>
      <c r="W1203" s="1">
        <v>1</v>
      </c>
    </row>
    <row r="1204">
      <c r="A1204" s="1">
        <v>2022</v>
      </c>
      <c r="B1204" s="1">
        <v>41</v>
      </c>
      <c r="C1204" t="s">
        <v>3</v>
      </c>
      <c r="D1204" s="1">
        <v>65</v>
      </c>
      <c r="E1204" t="s">
        <v>142</v>
      </c>
      <c r="F1204" s="1">
        <v>41</v>
      </c>
      <c r="G1204" t="s">
        <v>3</v>
      </c>
      <c r="H1204" s="1">
        <v>51</v>
      </c>
      <c r="I1204" t="s">
        <v>6</v>
      </c>
      <c r="J1204" s="1">
        <v>56</v>
      </c>
      <c r="K1204" s="1">
        <v>79</v>
      </c>
      <c r="L1204" s="1">
        <v>3180</v>
      </c>
      <c r="M1204" s="1">
        <v>726</v>
      </c>
      <c r="N1204" s="1">
        <v>1219</v>
      </c>
      <c r="O1204" s="1">
        <v>40229</v>
      </c>
      <c r="P1204" s="1">
        <v>10335</v>
      </c>
      <c r="Q1204" s="1">
        <v>20258</v>
      </c>
      <c r="R1204" s="1">
        <v>708308</v>
      </c>
      <c r="S1204" s="1">
        <v>41065</v>
      </c>
      <c r="T1204" s="1">
        <v>41065</v>
      </c>
      <c r="U1204" s="1">
        <v>41051</v>
      </c>
      <c r="V1204" s="1">
        <v>0</v>
      </c>
      <c r="W1204" s="1">
        <v>1</v>
      </c>
    </row>
    <row r="1205">
      <c r="A1205" s="1">
        <v>2022</v>
      </c>
      <c r="B1205" s="1">
        <v>41</v>
      </c>
      <c r="C1205" t="s">
        <v>3</v>
      </c>
      <c r="D1205" s="1">
        <v>67</v>
      </c>
      <c r="E1205" t="s">
        <v>143</v>
      </c>
      <c r="F1205" s="1">
        <v>41</v>
      </c>
      <c r="G1205" t="s">
        <v>3</v>
      </c>
      <c r="H1205" s="1">
        <v>51</v>
      </c>
      <c r="I1205" t="s">
        <v>6</v>
      </c>
      <c r="J1205" s="1">
        <v>4248</v>
      </c>
      <c r="K1205" s="1">
        <v>5833</v>
      </c>
      <c r="L1205" s="1">
        <v>312622</v>
      </c>
      <c r="M1205" s="1">
        <v>20983</v>
      </c>
      <c r="N1205" s="1">
        <v>35211</v>
      </c>
      <c r="O1205" s="1">
        <v>2074525</v>
      </c>
      <c r="P1205" s="1">
        <v>251787</v>
      </c>
      <c r="Q1205" s="1">
        <v>497756</v>
      </c>
      <c r="R1205" s="1">
        <v>29141672</v>
      </c>
      <c r="S1205" s="1">
        <v>41067</v>
      </c>
      <c r="T1205" s="1">
        <v>41067</v>
      </c>
      <c r="U1205" s="1">
        <v>41051</v>
      </c>
      <c r="V1205" s="1">
        <v>0</v>
      </c>
      <c r="W1205" s="1">
        <v>1</v>
      </c>
    </row>
    <row r="1206">
      <c r="A1206" s="1">
        <v>2022</v>
      </c>
      <c r="B1206" s="1">
        <v>41</v>
      </c>
      <c r="C1206" t="s">
        <v>3</v>
      </c>
      <c r="D1206" s="1">
        <v>71</v>
      </c>
      <c r="E1206" t="s">
        <v>144</v>
      </c>
      <c r="F1206" s="1">
        <v>41</v>
      </c>
      <c r="G1206" t="s">
        <v>3</v>
      </c>
      <c r="H1206" s="1">
        <v>51</v>
      </c>
      <c r="I1206" t="s">
        <v>6</v>
      </c>
      <c r="J1206" s="1">
        <v>221</v>
      </c>
      <c r="K1206" s="1">
        <v>275</v>
      </c>
      <c r="L1206" s="1">
        <v>11929</v>
      </c>
      <c r="M1206" s="1">
        <v>3107</v>
      </c>
      <c r="N1206" s="1">
        <v>5475</v>
      </c>
      <c r="O1206" s="1">
        <v>214838</v>
      </c>
      <c r="P1206" s="1">
        <v>41588</v>
      </c>
      <c r="Q1206" s="1">
        <v>84700</v>
      </c>
      <c r="R1206" s="1">
        <v>3727067</v>
      </c>
      <c r="S1206" s="1">
        <v>41071</v>
      </c>
      <c r="T1206" s="1">
        <v>41071</v>
      </c>
      <c r="U1206" s="1">
        <v>41051</v>
      </c>
      <c r="V1206" s="1">
        <v>0</v>
      </c>
      <c r="W1206" s="1">
        <v>1</v>
      </c>
    </row>
    <row r="1207">
      <c r="A1207" s="1">
        <v>2022</v>
      </c>
      <c r="B1207" s="1">
        <v>42</v>
      </c>
      <c r="C1207" t="s">
        <v>34</v>
      </c>
      <c r="D1207" s="1">
        <v>3</v>
      </c>
      <c r="E1207" t="s">
        <v>145</v>
      </c>
      <c r="F1207" s="1">
        <v>41</v>
      </c>
      <c r="G1207" t="s">
        <v>3</v>
      </c>
      <c r="H1207" s="1">
        <v>51</v>
      </c>
      <c r="I1207" t="s">
        <v>6</v>
      </c>
      <c r="J1207" s="1">
        <v>47</v>
      </c>
      <c r="K1207" s="1">
        <v>58</v>
      </c>
      <c r="L1207" s="1">
        <v>3930</v>
      </c>
      <c r="M1207" s="1">
        <v>26992</v>
      </c>
      <c r="N1207" s="1">
        <v>42125</v>
      </c>
      <c r="O1207" s="1">
        <v>2692619</v>
      </c>
      <c r="P1207" s="1">
        <v>539727</v>
      </c>
      <c r="Q1207" s="1">
        <v>986116</v>
      </c>
      <c r="R1207" s="1">
        <v>55687080</v>
      </c>
      <c r="S1207" s="1">
        <v>42003</v>
      </c>
      <c r="T1207" s="1">
        <v>42003</v>
      </c>
      <c r="U1207" s="1">
        <v>41051</v>
      </c>
      <c r="V1207" s="1">
        <v>0</v>
      </c>
      <c r="W1207" s="1">
        <v>1</v>
      </c>
    </row>
    <row r="1208">
      <c r="A1208" s="1">
        <v>2022</v>
      </c>
      <c r="B1208" s="1">
        <v>42</v>
      </c>
      <c r="C1208" t="s">
        <v>34</v>
      </c>
      <c r="D1208" s="1">
        <v>101</v>
      </c>
      <c r="E1208" t="s">
        <v>146</v>
      </c>
      <c r="F1208" s="1">
        <v>41</v>
      </c>
      <c r="G1208" t="s">
        <v>3</v>
      </c>
      <c r="H1208" s="1">
        <v>51</v>
      </c>
      <c r="I1208" t="s">
        <v>6</v>
      </c>
      <c r="J1208" s="1">
        <v>88</v>
      </c>
      <c r="K1208" s="1">
        <v>107</v>
      </c>
      <c r="L1208" s="1">
        <v>6950</v>
      </c>
      <c r="M1208" s="1">
        <v>44736</v>
      </c>
      <c r="N1208" s="1">
        <v>73320</v>
      </c>
      <c r="O1208" s="1">
        <v>3997376</v>
      </c>
      <c r="P1208" s="1">
        <v>599098</v>
      </c>
      <c r="Q1208" s="1">
        <v>1058307</v>
      </c>
      <c r="R1208" s="1">
        <v>43015600</v>
      </c>
      <c r="S1208" s="1">
        <v>42101</v>
      </c>
      <c r="T1208" s="1">
        <v>42101</v>
      </c>
      <c r="U1208" s="1">
        <v>41051</v>
      </c>
      <c r="V1208" s="1">
        <v>0</v>
      </c>
      <c r="W1208" s="1">
        <v>1</v>
      </c>
    </row>
    <row r="1209">
      <c r="A1209" s="1">
        <v>2022</v>
      </c>
      <c r="B1209" s="1">
        <v>45</v>
      </c>
      <c r="C1209" t="s">
        <v>49</v>
      </c>
      <c r="D1209" s="1">
        <v>19</v>
      </c>
      <c r="E1209" t="s">
        <v>213</v>
      </c>
      <c r="F1209" s="1">
        <v>41</v>
      </c>
      <c r="G1209" t="s">
        <v>3</v>
      </c>
      <c r="H1209" s="1">
        <v>51</v>
      </c>
      <c r="I1209" t="s">
        <v>6</v>
      </c>
      <c r="J1209" s="1">
        <v>24</v>
      </c>
      <c r="K1209" s="1">
        <v>32</v>
      </c>
      <c r="L1209" s="1">
        <v>1795</v>
      </c>
      <c r="M1209" s="1">
        <v>15767</v>
      </c>
      <c r="N1209" s="1">
        <v>25968</v>
      </c>
      <c r="O1209" s="1">
        <v>1240929</v>
      </c>
      <c r="P1209" s="1">
        <v>167145</v>
      </c>
      <c r="Q1209" s="1">
        <v>311571</v>
      </c>
      <c r="R1209" s="1">
        <v>24043396</v>
      </c>
      <c r="S1209" s="1">
        <v>45019</v>
      </c>
      <c r="T1209" s="1">
        <v>45019</v>
      </c>
      <c r="U1209" s="1">
        <v>41051</v>
      </c>
      <c r="V1209" s="1">
        <v>0</v>
      </c>
      <c r="W1209" s="1">
        <v>1</v>
      </c>
    </row>
    <row r="1210">
      <c r="A1210" s="1">
        <v>2022</v>
      </c>
      <c r="B1210" s="1">
        <v>47</v>
      </c>
      <c r="C1210" t="s">
        <v>35</v>
      </c>
      <c r="D1210" s="1">
        <v>37</v>
      </c>
      <c r="E1210" t="s">
        <v>147</v>
      </c>
      <c r="F1210" s="1">
        <v>41</v>
      </c>
      <c r="G1210" t="s">
        <v>3</v>
      </c>
      <c r="H1210" s="1">
        <v>51</v>
      </c>
      <c r="I1210" t="s">
        <v>6</v>
      </c>
      <c r="J1210" s="1">
        <v>43</v>
      </c>
      <c r="K1210" s="1">
        <v>57</v>
      </c>
      <c r="L1210" s="1">
        <v>3119</v>
      </c>
      <c r="M1210" s="1">
        <v>30356</v>
      </c>
      <c r="N1210" s="1">
        <v>49453</v>
      </c>
      <c r="O1210" s="1">
        <v>2679496</v>
      </c>
      <c r="P1210" s="1">
        <v>300147</v>
      </c>
      <c r="Q1210" s="1">
        <v>530462</v>
      </c>
      <c r="R1210" s="1">
        <v>35042072</v>
      </c>
      <c r="S1210" s="1">
        <v>47037</v>
      </c>
      <c r="T1210" s="1">
        <v>47037</v>
      </c>
      <c r="U1210" s="1">
        <v>41051</v>
      </c>
      <c r="V1210" s="1">
        <v>0</v>
      </c>
      <c r="W1210" s="1">
        <v>1</v>
      </c>
    </row>
    <row r="1211">
      <c r="A1211" s="1">
        <v>2022</v>
      </c>
      <c r="B1211" s="1">
        <v>47</v>
      </c>
      <c r="C1211" t="s">
        <v>35</v>
      </c>
      <c r="D1211" s="1">
        <v>157</v>
      </c>
      <c r="E1211" t="s">
        <v>215</v>
      </c>
      <c r="F1211" s="1">
        <v>41</v>
      </c>
      <c r="G1211" t="s">
        <v>3</v>
      </c>
      <c r="H1211" s="1">
        <v>51</v>
      </c>
      <c r="I1211" t="s">
        <v>6</v>
      </c>
      <c r="J1211" s="1">
        <v>26</v>
      </c>
      <c r="K1211" s="1">
        <v>32</v>
      </c>
      <c r="L1211" s="1">
        <v>1873</v>
      </c>
      <c r="M1211" s="1">
        <v>18962</v>
      </c>
      <c r="N1211" s="1">
        <v>34698</v>
      </c>
      <c r="O1211" s="1">
        <v>1452334</v>
      </c>
      <c r="P1211" s="1">
        <v>361703</v>
      </c>
      <c r="Q1211" s="1">
        <v>713537</v>
      </c>
      <c r="R1211" s="1">
        <v>31693464</v>
      </c>
      <c r="S1211" s="1">
        <v>47157</v>
      </c>
      <c r="T1211" s="1">
        <v>47157</v>
      </c>
      <c r="U1211" s="1">
        <v>41051</v>
      </c>
      <c r="V1211" s="1">
        <v>0</v>
      </c>
      <c r="W1211" s="1">
        <v>1</v>
      </c>
    </row>
    <row r="1212">
      <c r="A1212" s="1">
        <v>2022</v>
      </c>
      <c r="B1212" s="1">
        <v>48</v>
      </c>
      <c r="C1212" t="s">
        <v>36</v>
      </c>
      <c r="D1212" s="1">
        <v>29</v>
      </c>
      <c r="E1212" t="s">
        <v>149</v>
      </c>
      <c r="F1212" s="1">
        <v>41</v>
      </c>
      <c r="G1212" t="s">
        <v>3</v>
      </c>
      <c r="H1212" s="1">
        <v>51</v>
      </c>
      <c r="I1212" t="s">
        <v>6</v>
      </c>
      <c r="J1212" s="1">
        <v>35</v>
      </c>
      <c r="K1212" s="1">
        <v>40</v>
      </c>
      <c r="L1212" s="1">
        <v>1638</v>
      </c>
      <c r="M1212" s="1">
        <v>41563</v>
      </c>
      <c r="N1212" s="1">
        <v>77979</v>
      </c>
      <c r="O1212" s="1">
        <v>3292908</v>
      </c>
      <c r="P1212" s="1">
        <v>788006</v>
      </c>
      <c r="Q1212" s="1">
        <v>1599332</v>
      </c>
      <c r="R1212" s="1">
        <v>62866016</v>
      </c>
      <c r="S1212" s="1">
        <v>48029</v>
      </c>
      <c r="T1212" s="1">
        <v>48029</v>
      </c>
      <c r="U1212" s="1">
        <v>41051</v>
      </c>
      <c r="V1212" s="1">
        <v>0</v>
      </c>
      <c r="W1212" s="1">
        <v>1</v>
      </c>
    </row>
    <row r="1213">
      <c r="A1213" s="1">
        <v>2022</v>
      </c>
      <c r="B1213" s="1">
        <v>48</v>
      </c>
      <c r="C1213" t="s">
        <v>36</v>
      </c>
      <c r="D1213" s="1">
        <v>85</v>
      </c>
      <c r="E1213" t="s">
        <v>216</v>
      </c>
      <c r="F1213" s="1">
        <v>41</v>
      </c>
      <c r="G1213" t="s">
        <v>3</v>
      </c>
      <c r="H1213" s="1">
        <v>51</v>
      </c>
      <c r="I1213" t="s">
        <v>6</v>
      </c>
      <c r="J1213" s="1">
        <v>42</v>
      </c>
      <c r="K1213" s="1">
        <v>51</v>
      </c>
      <c r="L1213" s="1">
        <v>3230</v>
      </c>
      <c r="M1213" s="1">
        <v>40341</v>
      </c>
      <c r="N1213" s="1">
        <v>72703</v>
      </c>
      <c r="O1213" s="1">
        <v>4201139</v>
      </c>
      <c r="P1213" s="1">
        <v>426100</v>
      </c>
      <c r="Q1213" s="1">
        <v>948857</v>
      </c>
      <c r="R1213" s="1">
        <v>60792916</v>
      </c>
      <c r="S1213" s="1">
        <v>48085</v>
      </c>
      <c r="T1213" s="1">
        <v>48085</v>
      </c>
      <c r="U1213" s="1">
        <v>41051</v>
      </c>
      <c r="V1213" s="1">
        <v>0</v>
      </c>
      <c r="W1213" s="1">
        <v>1</v>
      </c>
    </row>
    <row r="1214">
      <c r="A1214" s="1">
        <v>2022</v>
      </c>
      <c r="B1214" s="1">
        <v>48</v>
      </c>
      <c r="C1214" t="s">
        <v>36</v>
      </c>
      <c r="D1214" s="1">
        <v>113</v>
      </c>
      <c r="E1214" t="s">
        <v>150</v>
      </c>
      <c r="F1214" s="1">
        <v>41</v>
      </c>
      <c r="G1214" t="s">
        <v>3</v>
      </c>
      <c r="H1214" s="1">
        <v>51</v>
      </c>
      <c r="I1214" t="s">
        <v>6</v>
      </c>
      <c r="J1214" s="1">
        <v>94</v>
      </c>
      <c r="K1214" s="1">
        <v>117</v>
      </c>
      <c r="L1214" s="1">
        <v>5728</v>
      </c>
      <c r="M1214" s="1">
        <v>83165</v>
      </c>
      <c r="N1214" s="1">
        <v>146471</v>
      </c>
      <c r="O1214" s="1">
        <v>7658023</v>
      </c>
      <c r="P1214" s="1">
        <v>1019363</v>
      </c>
      <c r="Q1214" s="1">
        <v>2019120</v>
      </c>
      <c r="R1214" s="1">
        <v>112745576</v>
      </c>
      <c r="S1214" s="1">
        <v>48113</v>
      </c>
      <c r="T1214" s="1">
        <v>48113</v>
      </c>
      <c r="U1214" s="1">
        <v>41051</v>
      </c>
      <c r="V1214" s="1">
        <v>0</v>
      </c>
      <c r="W1214" s="1">
        <v>1</v>
      </c>
    </row>
    <row r="1215">
      <c r="A1215" s="1">
        <v>2022</v>
      </c>
      <c r="B1215" s="1">
        <v>48</v>
      </c>
      <c r="C1215" t="s">
        <v>36</v>
      </c>
      <c r="D1215" s="1">
        <v>121</v>
      </c>
      <c r="E1215" t="s">
        <v>234</v>
      </c>
      <c r="F1215" s="1">
        <v>41</v>
      </c>
      <c r="G1215" t="s">
        <v>3</v>
      </c>
      <c r="H1215" s="1">
        <v>51</v>
      </c>
      <c r="I1215" t="s">
        <v>6</v>
      </c>
      <c r="J1215" s="1">
        <v>25</v>
      </c>
      <c r="K1215" s="1">
        <v>29</v>
      </c>
      <c r="L1215" s="1">
        <v>1877</v>
      </c>
      <c r="M1215" s="1">
        <v>36344</v>
      </c>
      <c r="N1215" s="1">
        <v>65108</v>
      </c>
      <c r="O1215" s="1">
        <v>3265678</v>
      </c>
      <c r="P1215" s="1">
        <v>366645</v>
      </c>
      <c r="Q1215" s="1">
        <v>788015</v>
      </c>
      <c r="R1215" s="1">
        <v>46097024</v>
      </c>
      <c r="S1215" s="1">
        <v>48121</v>
      </c>
      <c r="T1215" s="1">
        <v>48121</v>
      </c>
      <c r="U1215" s="1">
        <v>41051</v>
      </c>
      <c r="V1215" s="1">
        <v>0</v>
      </c>
      <c r="W1215" s="1">
        <v>1</v>
      </c>
    </row>
    <row r="1216">
      <c r="A1216" s="1">
        <v>2022</v>
      </c>
      <c r="B1216" s="1">
        <v>48</v>
      </c>
      <c r="C1216" t="s">
        <v>36</v>
      </c>
      <c r="D1216" s="1">
        <v>141</v>
      </c>
      <c r="E1216" t="s">
        <v>82</v>
      </c>
      <c r="F1216" s="1">
        <v>41</v>
      </c>
      <c r="G1216" t="s">
        <v>3</v>
      </c>
      <c r="H1216" s="1">
        <v>51</v>
      </c>
      <c r="I1216" t="s">
        <v>6</v>
      </c>
      <c r="J1216" s="1">
        <v>26</v>
      </c>
      <c r="K1216" s="1">
        <v>55</v>
      </c>
      <c r="L1216" s="1">
        <v>1112</v>
      </c>
      <c r="M1216" s="1">
        <v>15795</v>
      </c>
      <c r="N1216" s="1">
        <v>32040</v>
      </c>
      <c r="O1216" s="1">
        <v>871440</v>
      </c>
      <c r="P1216" s="1">
        <v>339520</v>
      </c>
      <c r="Q1216" s="1">
        <v>718794</v>
      </c>
      <c r="R1216" s="1">
        <v>19024152</v>
      </c>
      <c r="S1216" s="1">
        <v>48141</v>
      </c>
      <c r="T1216" s="1">
        <v>48141</v>
      </c>
      <c r="U1216" s="1">
        <v>41051</v>
      </c>
      <c r="V1216" s="1">
        <v>0</v>
      </c>
      <c r="W1216" s="1">
        <v>1</v>
      </c>
    </row>
    <row r="1217">
      <c r="A1217" s="1">
        <v>2022</v>
      </c>
      <c r="B1217" s="1">
        <v>48</v>
      </c>
      <c r="C1217" t="s">
        <v>36</v>
      </c>
      <c r="D1217" s="1">
        <v>201</v>
      </c>
      <c r="E1217" t="s">
        <v>151</v>
      </c>
      <c r="F1217" s="1">
        <v>41</v>
      </c>
      <c r="G1217" t="s">
        <v>3</v>
      </c>
      <c r="H1217" s="1">
        <v>51</v>
      </c>
      <c r="I1217" t="s">
        <v>6</v>
      </c>
      <c r="J1217" s="1">
        <v>130</v>
      </c>
      <c r="K1217" s="1">
        <v>183</v>
      </c>
      <c r="L1217" s="1">
        <v>14914</v>
      </c>
      <c r="M1217" s="1">
        <v>98103</v>
      </c>
      <c r="N1217" s="1">
        <v>182621</v>
      </c>
      <c r="O1217" s="1">
        <v>8464243</v>
      </c>
      <c r="P1217" s="1">
        <v>1763072</v>
      </c>
      <c r="Q1217" s="1">
        <v>3640922</v>
      </c>
      <c r="R1217" s="1">
        <v>175687264</v>
      </c>
      <c r="S1217" s="1">
        <v>48201</v>
      </c>
      <c r="T1217" s="1">
        <v>48201</v>
      </c>
      <c r="U1217" s="1">
        <v>41051</v>
      </c>
      <c r="V1217" s="1">
        <v>0</v>
      </c>
      <c r="W1217" s="1">
        <v>1</v>
      </c>
    </row>
    <row r="1218">
      <c r="A1218" s="1">
        <v>2022</v>
      </c>
      <c r="B1218" s="1">
        <v>48</v>
      </c>
      <c r="C1218" t="s">
        <v>36</v>
      </c>
      <c r="D1218" s="1">
        <v>439</v>
      </c>
      <c r="E1218" t="s">
        <v>152</v>
      </c>
      <c r="F1218" s="1">
        <v>41</v>
      </c>
      <c r="G1218" t="s">
        <v>3</v>
      </c>
      <c r="H1218" s="1">
        <v>51</v>
      </c>
      <c r="I1218" t="s">
        <v>6</v>
      </c>
      <c r="J1218" s="1">
        <v>61</v>
      </c>
      <c r="K1218" s="1">
        <v>92</v>
      </c>
      <c r="L1218" s="1">
        <v>2646</v>
      </c>
      <c r="M1218" s="1">
        <v>57809</v>
      </c>
      <c r="N1218" s="1">
        <v>105925</v>
      </c>
      <c r="O1218" s="1">
        <v>4375378</v>
      </c>
      <c r="P1218" s="1">
        <v>831434</v>
      </c>
      <c r="Q1218" s="1">
        <v>1723260</v>
      </c>
      <c r="R1218" s="1">
        <v>81257976</v>
      </c>
      <c r="S1218" s="1">
        <v>48439</v>
      </c>
      <c r="T1218" s="1">
        <v>48439</v>
      </c>
      <c r="U1218" s="1">
        <v>41051</v>
      </c>
      <c r="V1218" s="1">
        <v>0</v>
      </c>
      <c r="W1218" s="1">
        <v>1</v>
      </c>
    </row>
    <row r="1219">
      <c r="A1219" s="1">
        <v>2022</v>
      </c>
      <c r="B1219" s="1">
        <v>48</v>
      </c>
      <c r="C1219" t="s">
        <v>36</v>
      </c>
      <c r="D1219" s="1">
        <v>453</v>
      </c>
      <c r="E1219" t="s">
        <v>153</v>
      </c>
      <c r="F1219" s="1">
        <v>41</v>
      </c>
      <c r="G1219" t="s">
        <v>3</v>
      </c>
      <c r="H1219" s="1">
        <v>51</v>
      </c>
      <c r="I1219" t="s">
        <v>6</v>
      </c>
      <c r="J1219" s="1">
        <v>199</v>
      </c>
      <c r="K1219" s="1">
        <v>271</v>
      </c>
      <c r="L1219" s="1">
        <v>21665</v>
      </c>
      <c r="M1219" s="1">
        <v>55718</v>
      </c>
      <c r="N1219" s="1">
        <v>91421</v>
      </c>
      <c r="O1219" s="1">
        <v>6429440</v>
      </c>
      <c r="P1219" s="1">
        <v>532430</v>
      </c>
      <c r="Q1219" s="1">
        <v>989677</v>
      </c>
      <c r="R1219" s="1">
        <v>92568832</v>
      </c>
      <c r="S1219" s="1">
        <v>48453</v>
      </c>
      <c r="T1219" s="1">
        <v>48453</v>
      </c>
      <c r="U1219" s="1">
        <v>41051</v>
      </c>
      <c r="V1219" s="1">
        <v>0</v>
      </c>
      <c r="W1219" s="1">
        <v>1</v>
      </c>
    </row>
    <row r="1220">
      <c r="A1220" s="1">
        <v>2022</v>
      </c>
      <c r="B1220" s="1">
        <v>48</v>
      </c>
      <c r="C1220" t="s">
        <v>36</v>
      </c>
      <c r="D1220" s="1">
        <v>491</v>
      </c>
      <c r="E1220" t="s">
        <v>217</v>
      </c>
      <c r="F1220" s="1">
        <v>41</v>
      </c>
      <c r="G1220" t="s">
        <v>3</v>
      </c>
      <c r="H1220" s="1">
        <v>51</v>
      </c>
      <c r="I1220" t="s">
        <v>6</v>
      </c>
      <c r="J1220" s="1">
        <v>32</v>
      </c>
      <c r="K1220" s="1">
        <v>51</v>
      </c>
      <c r="L1220" s="1">
        <v>2742</v>
      </c>
      <c r="M1220" s="1">
        <v>24741</v>
      </c>
      <c r="N1220" s="1">
        <v>44938</v>
      </c>
      <c r="O1220" s="1">
        <v>2205710</v>
      </c>
      <c r="P1220" s="1">
        <v>254938</v>
      </c>
      <c r="Q1220" s="1">
        <v>545005</v>
      </c>
      <c r="R1220" s="1">
        <v>29601768</v>
      </c>
      <c r="S1220" s="1">
        <v>48491</v>
      </c>
      <c r="T1220" s="1">
        <v>48491</v>
      </c>
      <c r="U1220" s="1">
        <v>41051</v>
      </c>
      <c r="V1220" s="1">
        <v>0</v>
      </c>
      <c r="W1220" s="1">
        <v>1</v>
      </c>
    </row>
    <row r="1221">
      <c r="A1221" s="1">
        <v>2022</v>
      </c>
      <c r="B1221" s="1">
        <v>49</v>
      </c>
      <c r="C1221" t="s">
        <v>37</v>
      </c>
      <c r="D1221" s="1">
        <v>35</v>
      </c>
      <c r="E1221" t="s">
        <v>154</v>
      </c>
      <c r="F1221" s="1">
        <v>41</v>
      </c>
      <c r="G1221" t="s">
        <v>3</v>
      </c>
      <c r="H1221" s="1">
        <v>51</v>
      </c>
      <c r="I1221" t="s">
        <v>6</v>
      </c>
      <c r="J1221" s="1">
        <v>208</v>
      </c>
      <c r="K1221" s="1">
        <v>295</v>
      </c>
      <c r="L1221" s="1">
        <v>15487</v>
      </c>
      <c r="M1221" s="1">
        <v>31072</v>
      </c>
      <c r="N1221" s="1">
        <v>57194</v>
      </c>
      <c r="O1221" s="1">
        <v>2656801</v>
      </c>
      <c r="P1221" s="1">
        <v>470201</v>
      </c>
      <c r="Q1221" s="1">
        <v>968010</v>
      </c>
      <c r="R1221" s="1">
        <v>50695884</v>
      </c>
      <c r="S1221" s="1">
        <v>49035</v>
      </c>
      <c r="T1221" s="1">
        <v>49035</v>
      </c>
      <c r="U1221" s="1">
        <v>41051</v>
      </c>
      <c r="V1221" s="1">
        <v>0</v>
      </c>
      <c r="W1221" s="1">
        <v>1</v>
      </c>
    </row>
    <row r="1222">
      <c r="A1222" s="1">
        <v>2022</v>
      </c>
      <c r="B1222" s="1">
        <v>49</v>
      </c>
      <c r="C1222" t="s">
        <v>37</v>
      </c>
      <c r="D1222" s="1">
        <v>49</v>
      </c>
      <c r="E1222" t="s">
        <v>219</v>
      </c>
      <c r="F1222" s="1">
        <v>41</v>
      </c>
      <c r="G1222" t="s">
        <v>3</v>
      </c>
      <c r="H1222" s="1">
        <v>51</v>
      </c>
      <c r="I1222" t="s">
        <v>6</v>
      </c>
      <c r="J1222" s="1">
        <v>51</v>
      </c>
      <c r="K1222" s="1">
        <v>81</v>
      </c>
      <c r="L1222" s="1">
        <v>2750</v>
      </c>
      <c r="M1222" s="1">
        <v>16067</v>
      </c>
      <c r="N1222" s="1">
        <v>33259</v>
      </c>
      <c r="O1222" s="1">
        <v>1205323</v>
      </c>
      <c r="P1222" s="1">
        <v>223404</v>
      </c>
      <c r="Q1222" s="1">
        <v>570837</v>
      </c>
      <c r="R1222" s="1">
        <v>24449144</v>
      </c>
      <c r="S1222" s="1">
        <v>49049</v>
      </c>
      <c r="T1222" s="1">
        <v>49049</v>
      </c>
      <c r="U1222" s="1">
        <v>41051</v>
      </c>
      <c r="V1222" s="1">
        <v>0</v>
      </c>
      <c r="W1222" s="1">
        <v>1</v>
      </c>
    </row>
    <row r="1223">
      <c r="A1223" s="1">
        <v>2022</v>
      </c>
      <c r="B1223" s="1">
        <v>50</v>
      </c>
      <c r="C1223" t="s">
        <v>38</v>
      </c>
      <c r="D1223" s="1">
        <v>7</v>
      </c>
      <c r="E1223" t="s">
        <v>155</v>
      </c>
      <c r="F1223" s="1">
        <v>41</v>
      </c>
      <c r="G1223" t="s">
        <v>3</v>
      </c>
      <c r="H1223" s="1">
        <v>51</v>
      </c>
      <c r="I1223" t="s">
        <v>6</v>
      </c>
      <c r="J1223" s="1">
        <v>33</v>
      </c>
      <c r="K1223" s="1">
        <v>36</v>
      </c>
      <c r="L1223" s="1">
        <v>1623</v>
      </c>
      <c r="M1223" s="1">
        <v>5383</v>
      </c>
      <c r="N1223" s="1">
        <v>7857</v>
      </c>
      <c r="O1223" s="1">
        <v>419811</v>
      </c>
      <c r="P1223" s="1">
        <v>75313</v>
      </c>
      <c r="Q1223" s="1">
        <v>135987</v>
      </c>
      <c r="R1223" s="1">
        <v>8028625</v>
      </c>
      <c r="S1223" s="1">
        <v>50007</v>
      </c>
      <c r="T1223" s="1">
        <v>50007</v>
      </c>
      <c r="U1223" s="1">
        <v>41051</v>
      </c>
      <c r="V1223" s="1">
        <v>0</v>
      </c>
      <c r="W1223" s="1">
        <v>1</v>
      </c>
    </row>
    <row r="1224">
      <c r="A1224" s="1">
        <v>2022</v>
      </c>
      <c r="B1224" s="1">
        <v>51</v>
      </c>
      <c r="C1224" t="s">
        <v>39</v>
      </c>
      <c r="D1224" s="1">
        <v>13</v>
      </c>
      <c r="E1224" t="s">
        <v>221</v>
      </c>
      <c r="F1224" s="1">
        <v>41</v>
      </c>
      <c r="G1224" t="s">
        <v>3</v>
      </c>
      <c r="H1224" s="1">
        <v>51</v>
      </c>
      <c r="I1224" t="s">
        <v>6</v>
      </c>
      <c r="J1224" s="1">
        <v>33</v>
      </c>
      <c r="K1224" s="1">
        <v>41</v>
      </c>
      <c r="L1224" s="1">
        <v>3477</v>
      </c>
      <c r="M1224" s="1">
        <v>19112</v>
      </c>
      <c r="N1224" s="1">
        <v>26892</v>
      </c>
      <c r="O1224" s="1">
        <v>2553466</v>
      </c>
      <c r="P1224" s="1">
        <v>109500</v>
      </c>
      <c r="Q1224" s="1">
        <v>184529</v>
      </c>
      <c r="R1224" s="1">
        <v>18921088</v>
      </c>
      <c r="S1224" s="1">
        <v>51013</v>
      </c>
      <c r="T1224" s="1">
        <v>51013</v>
      </c>
      <c r="U1224" s="1">
        <v>41051</v>
      </c>
      <c r="V1224" s="1">
        <v>0</v>
      </c>
      <c r="W1224" s="1">
        <v>1</v>
      </c>
    </row>
    <row r="1225">
      <c r="A1225" s="1">
        <v>2022</v>
      </c>
      <c r="B1225" s="1">
        <v>51</v>
      </c>
      <c r="C1225" t="s">
        <v>39</v>
      </c>
      <c r="D1225" s="1">
        <v>59</v>
      </c>
      <c r="E1225" t="s">
        <v>156</v>
      </c>
      <c r="F1225" s="1">
        <v>41</v>
      </c>
      <c r="G1225" t="s">
        <v>3</v>
      </c>
      <c r="H1225" s="1">
        <v>51</v>
      </c>
      <c r="I1225" t="s">
        <v>6</v>
      </c>
      <c r="J1225" s="1">
        <v>42</v>
      </c>
      <c r="K1225" s="1">
        <v>52</v>
      </c>
      <c r="L1225" s="1">
        <v>4222</v>
      </c>
      <c r="M1225" s="1">
        <v>44676</v>
      </c>
      <c r="N1225" s="1">
        <v>78564</v>
      </c>
      <c r="O1225" s="1">
        <v>5572982</v>
      </c>
      <c r="P1225" s="1">
        <v>480272</v>
      </c>
      <c r="Q1225" s="1">
        <v>982315</v>
      </c>
      <c r="R1225" s="1">
        <v>81798576</v>
      </c>
      <c r="S1225" s="1">
        <v>51059</v>
      </c>
      <c r="T1225" s="1">
        <v>51059</v>
      </c>
      <c r="U1225" s="1">
        <v>41051</v>
      </c>
      <c r="V1225" s="1">
        <v>0</v>
      </c>
      <c r="W1225" s="1">
        <v>1</v>
      </c>
    </row>
    <row r="1226">
      <c r="A1226" s="1">
        <v>2022</v>
      </c>
      <c r="B1226" s="1">
        <v>51</v>
      </c>
      <c r="C1226" t="s">
        <v>39</v>
      </c>
      <c r="D1226" s="1">
        <v>760</v>
      </c>
      <c r="E1226" t="s">
        <v>227</v>
      </c>
      <c r="F1226" s="1">
        <v>41</v>
      </c>
      <c r="G1226" t="s">
        <v>3</v>
      </c>
      <c r="H1226" s="1">
        <v>51</v>
      </c>
      <c r="I1226" t="s">
        <v>6</v>
      </c>
      <c r="J1226" s="1">
        <v>22</v>
      </c>
      <c r="K1226" s="1">
        <v>32</v>
      </c>
      <c r="L1226" s="1">
        <v>2119</v>
      </c>
      <c r="M1226" s="1">
        <v>12284</v>
      </c>
      <c r="N1226" s="1">
        <v>18668</v>
      </c>
      <c r="O1226" s="1">
        <v>869227</v>
      </c>
      <c r="P1226" s="1">
        <v>89181</v>
      </c>
      <c r="Q1226" s="1">
        <v>146726</v>
      </c>
      <c r="R1226" s="1">
        <v>9639735</v>
      </c>
      <c r="S1226" s="1">
        <v>51760</v>
      </c>
      <c r="T1226" s="1">
        <v>51760</v>
      </c>
      <c r="U1226" s="1">
        <v>41051</v>
      </c>
      <c r="V1226" s="1">
        <v>0</v>
      </c>
      <c r="W1226" s="1">
        <v>1</v>
      </c>
    </row>
    <row r="1227">
      <c r="A1227" s="1">
        <v>2022</v>
      </c>
      <c r="B1227" s="1">
        <v>53</v>
      </c>
      <c r="C1227" t="s">
        <v>40</v>
      </c>
      <c r="D1227" s="1">
        <v>5</v>
      </c>
      <c r="E1227" t="s">
        <v>124</v>
      </c>
      <c r="F1227" s="1">
        <v>41</v>
      </c>
      <c r="G1227" t="s">
        <v>3</v>
      </c>
      <c r="H1227" s="1">
        <v>51</v>
      </c>
      <c r="I1227" t="s">
        <v>6</v>
      </c>
      <c r="J1227" s="1">
        <v>59</v>
      </c>
      <c r="K1227" s="1">
        <v>95</v>
      </c>
      <c r="L1227" s="1">
        <v>4078</v>
      </c>
      <c r="M1227" s="1">
        <v>5695</v>
      </c>
      <c r="N1227" s="1">
        <v>10537</v>
      </c>
      <c r="O1227" s="1">
        <v>402835</v>
      </c>
      <c r="P1227" s="1">
        <v>82037</v>
      </c>
      <c r="Q1227" s="1">
        <v>174327</v>
      </c>
      <c r="R1227" s="1">
        <v>7771689</v>
      </c>
      <c r="S1227" s="1">
        <v>53005</v>
      </c>
      <c r="T1227" s="1">
        <v>53005</v>
      </c>
      <c r="U1227" s="1">
        <v>41051</v>
      </c>
      <c r="V1227" s="1">
        <v>0</v>
      </c>
      <c r="W1227" s="1">
        <v>1</v>
      </c>
    </row>
    <row r="1228">
      <c r="A1228" s="1">
        <v>2022</v>
      </c>
      <c r="B1228" s="1">
        <v>53</v>
      </c>
      <c r="C1228" t="s">
        <v>40</v>
      </c>
      <c r="D1228" s="1">
        <v>9</v>
      </c>
      <c r="E1228" t="s">
        <v>222</v>
      </c>
      <c r="F1228" s="1">
        <v>41</v>
      </c>
      <c r="G1228" t="s">
        <v>3</v>
      </c>
      <c r="H1228" s="1">
        <v>51</v>
      </c>
      <c r="I1228" t="s">
        <v>6</v>
      </c>
      <c r="J1228" s="1">
        <v>21</v>
      </c>
      <c r="K1228" s="1">
        <v>34</v>
      </c>
      <c r="L1228" s="1">
        <v>1012</v>
      </c>
      <c r="M1228" s="1">
        <v>1951</v>
      </c>
      <c r="N1228" s="1">
        <v>3344</v>
      </c>
      <c r="O1228" s="1">
        <v>133758</v>
      </c>
      <c r="P1228" s="1">
        <v>33399</v>
      </c>
      <c r="Q1228" s="1">
        <v>61383</v>
      </c>
      <c r="R1228" s="1">
        <v>2698619</v>
      </c>
      <c r="S1228" s="1">
        <v>53009</v>
      </c>
      <c r="T1228" s="1">
        <v>53009</v>
      </c>
      <c r="U1228" s="1">
        <v>41051</v>
      </c>
      <c r="V1228" s="1">
        <v>0</v>
      </c>
      <c r="W1228" s="1">
        <v>1</v>
      </c>
    </row>
    <row r="1229">
      <c r="A1229" s="1">
        <v>2022</v>
      </c>
      <c r="B1229" s="1">
        <v>53</v>
      </c>
      <c r="C1229" t="s">
        <v>40</v>
      </c>
      <c r="D1229" s="1">
        <v>11</v>
      </c>
      <c r="E1229" t="s">
        <v>112</v>
      </c>
      <c r="F1229" s="1">
        <v>41</v>
      </c>
      <c r="G1229" t="s">
        <v>3</v>
      </c>
      <c r="H1229" s="1">
        <v>51</v>
      </c>
      <c r="I1229" t="s">
        <v>6</v>
      </c>
      <c r="J1229" s="1">
        <v>1758</v>
      </c>
      <c r="K1229" s="1">
        <v>2599</v>
      </c>
      <c r="L1229" s="1">
        <v>107695</v>
      </c>
      <c r="M1229" s="1">
        <v>13751</v>
      </c>
      <c r="N1229" s="1">
        <v>24773</v>
      </c>
      <c r="O1229" s="1">
        <v>1330576</v>
      </c>
      <c r="P1229" s="1">
        <v>211459</v>
      </c>
      <c r="Q1229" s="1">
        <v>424648</v>
      </c>
      <c r="R1229" s="1">
        <v>23201422</v>
      </c>
      <c r="S1229" s="1">
        <v>53011</v>
      </c>
      <c r="T1229" s="1">
        <v>53011</v>
      </c>
      <c r="U1229" s="1">
        <v>41051</v>
      </c>
      <c r="V1229" s="1">
        <v>0</v>
      </c>
      <c r="W1229" s="1">
        <v>1</v>
      </c>
    </row>
    <row r="1230">
      <c r="A1230" s="1">
        <v>2022</v>
      </c>
      <c r="B1230" s="1">
        <v>53</v>
      </c>
      <c r="C1230" t="s">
        <v>40</v>
      </c>
      <c r="D1230" s="1">
        <v>15</v>
      </c>
      <c r="E1230" t="s">
        <v>157</v>
      </c>
      <c r="F1230" s="1">
        <v>41</v>
      </c>
      <c r="G1230" t="s">
        <v>3</v>
      </c>
      <c r="H1230" s="1">
        <v>51</v>
      </c>
      <c r="I1230" t="s">
        <v>6</v>
      </c>
      <c r="J1230" s="1">
        <v>111</v>
      </c>
      <c r="K1230" s="1">
        <v>176</v>
      </c>
      <c r="L1230" s="1">
        <v>5149</v>
      </c>
      <c r="M1230" s="1">
        <v>2711</v>
      </c>
      <c r="N1230" s="1">
        <v>4978</v>
      </c>
      <c r="O1230" s="1">
        <v>169237</v>
      </c>
      <c r="P1230" s="1">
        <v>44277</v>
      </c>
      <c r="Q1230" s="1">
        <v>89298</v>
      </c>
      <c r="R1230" s="1">
        <v>3651732</v>
      </c>
      <c r="S1230" s="1">
        <v>53015</v>
      </c>
      <c r="T1230" s="1">
        <v>53015</v>
      </c>
      <c r="U1230" s="1">
        <v>41051</v>
      </c>
      <c r="V1230" s="1">
        <v>0</v>
      </c>
      <c r="W1230" s="1">
        <v>1</v>
      </c>
    </row>
    <row r="1231">
      <c r="A1231" s="1">
        <v>2022</v>
      </c>
      <c r="B1231" s="1">
        <v>53</v>
      </c>
      <c r="C1231" t="s">
        <v>40</v>
      </c>
      <c r="D1231" s="1">
        <v>33</v>
      </c>
      <c r="E1231" t="s">
        <v>160</v>
      </c>
      <c r="F1231" s="1">
        <v>41</v>
      </c>
      <c r="G1231" t="s">
        <v>3</v>
      </c>
      <c r="H1231" s="1">
        <v>51</v>
      </c>
      <c r="I1231" t="s">
        <v>6</v>
      </c>
      <c r="J1231" s="1">
        <v>905</v>
      </c>
      <c r="K1231" s="1">
        <v>1140</v>
      </c>
      <c r="L1231" s="1">
        <v>83929</v>
      </c>
      <c r="M1231" s="1">
        <v>73739</v>
      </c>
      <c r="N1231" s="1">
        <v>122342</v>
      </c>
      <c r="O1231" s="1">
        <v>11723118</v>
      </c>
      <c r="P1231" s="1">
        <v>992608</v>
      </c>
      <c r="Q1231" s="1">
        <v>1855414</v>
      </c>
      <c r="R1231" s="1">
        <v>192129840</v>
      </c>
      <c r="S1231" s="1">
        <v>53033</v>
      </c>
      <c r="T1231" s="1">
        <v>53033</v>
      </c>
      <c r="U1231" s="1">
        <v>41051</v>
      </c>
      <c r="V1231" s="1">
        <v>0</v>
      </c>
      <c r="W1231" s="1">
        <v>1</v>
      </c>
    </row>
    <row r="1232">
      <c r="A1232" s="1">
        <v>2022</v>
      </c>
      <c r="B1232" s="1">
        <v>53</v>
      </c>
      <c r="C1232" t="s">
        <v>40</v>
      </c>
      <c r="D1232" s="1">
        <v>35</v>
      </c>
      <c r="E1232" t="s">
        <v>161</v>
      </c>
      <c r="F1232" s="1">
        <v>41</v>
      </c>
      <c r="G1232" t="s">
        <v>3</v>
      </c>
      <c r="H1232" s="1">
        <v>51</v>
      </c>
      <c r="I1232" t="s">
        <v>6</v>
      </c>
      <c r="J1232" s="1">
        <v>42</v>
      </c>
      <c r="K1232" s="1">
        <v>56</v>
      </c>
      <c r="L1232" s="1">
        <v>3493</v>
      </c>
      <c r="M1232" s="1">
        <v>9245</v>
      </c>
      <c r="N1232" s="1">
        <v>17139</v>
      </c>
      <c r="O1232" s="1">
        <v>832064</v>
      </c>
      <c r="P1232" s="1">
        <v>115506</v>
      </c>
      <c r="Q1232" s="1">
        <v>225745</v>
      </c>
      <c r="R1232" s="1">
        <v>12644108</v>
      </c>
      <c r="S1232" s="1">
        <v>53035</v>
      </c>
      <c r="T1232" s="1">
        <v>53035</v>
      </c>
      <c r="U1232" s="1">
        <v>41051</v>
      </c>
      <c r="V1232" s="1">
        <v>0</v>
      </c>
      <c r="W1232" s="1">
        <v>1</v>
      </c>
    </row>
    <row r="1233">
      <c r="A1233" s="1">
        <v>2022</v>
      </c>
      <c r="B1233" s="1">
        <v>53</v>
      </c>
      <c r="C1233" t="s">
        <v>40</v>
      </c>
      <c r="D1233" s="1">
        <v>39</v>
      </c>
      <c r="E1233" t="s">
        <v>162</v>
      </c>
      <c r="F1233" s="1">
        <v>41</v>
      </c>
      <c r="G1233" t="s">
        <v>3</v>
      </c>
      <c r="H1233" s="1">
        <v>51</v>
      </c>
      <c r="I1233" t="s">
        <v>6</v>
      </c>
      <c r="J1233" s="1">
        <v>22</v>
      </c>
      <c r="K1233" s="1">
        <v>34</v>
      </c>
      <c r="L1233" s="1">
        <v>887</v>
      </c>
      <c r="M1233" s="1">
        <v>686</v>
      </c>
      <c r="N1233" s="1">
        <v>1202</v>
      </c>
      <c r="O1233" s="1">
        <v>58547</v>
      </c>
      <c r="P1233" s="1">
        <v>9528</v>
      </c>
      <c r="Q1233" s="1">
        <v>18816</v>
      </c>
      <c r="R1233" s="1">
        <v>1097824</v>
      </c>
      <c r="S1233" s="1">
        <v>53039</v>
      </c>
      <c r="T1233" s="1">
        <v>53039</v>
      </c>
      <c r="U1233" s="1">
        <v>41051</v>
      </c>
      <c r="V1233" s="1">
        <v>0</v>
      </c>
      <c r="W1233" s="1">
        <v>1</v>
      </c>
    </row>
    <row r="1234">
      <c r="A1234" s="1">
        <v>2022</v>
      </c>
      <c r="B1234" s="1">
        <v>53</v>
      </c>
      <c r="C1234" t="s">
        <v>40</v>
      </c>
      <c r="D1234" s="1">
        <v>41</v>
      </c>
      <c r="E1234" t="s">
        <v>163</v>
      </c>
      <c r="F1234" s="1">
        <v>41</v>
      </c>
      <c r="G1234" t="s">
        <v>3</v>
      </c>
      <c r="H1234" s="1">
        <v>51</v>
      </c>
      <c r="I1234" t="s">
        <v>6</v>
      </c>
      <c r="J1234" s="1">
        <v>27</v>
      </c>
      <c r="K1234" s="1">
        <v>37</v>
      </c>
      <c r="L1234" s="1">
        <v>957</v>
      </c>
      <c r="M1234" s="1">
        <v>2252</v>
      </c>
      <c r="N1234" s="1">
        <v>4052</v>
      </c>
      <c r="O1234" s="1">
        <v>127758</v>
      </c>
      <c r="P1234" s="1">
        <v>32769</v>
      </c>
      <c r="Q1234" s="1">
        <v>66756</v>
      </c>
      <c r="R1234" s="1">
        <v>2385043</v>
      </c>
      <c r="S1234" s="1">
        <v>53041</v>
      </c>
      <c r="T1234" s="1">
        <v>53041</v>
      </c>
      <c r="U1234" s="1">
        <v>41051</v>
      </c>
      <c r="V1234" s="1">
        <v>0</v>
      </c>
      <c r="W1234" s="1">
        <v>1</v>
      </c>
    </row>
    <row r="1235">
      <c r="A1235" s="1">
        <v>2022</v>
      </c>
      <c r="B1235" s="1">
        <v>53</v>
      </c>
      <c r="C1235" t="s">
        <v>40</v>
      </c>
      <c r="D1235" s="1">
        <v>53</v>
      </c>
      <c r="E1235" t="s">
        <v>165</v>
      </c>
      <c r="F1235" s="1">
        <v>41</v>
      </c>
      <c r="G1235" t="s">
        <v>3</v>
      </c>
      <c r="H1235" s="1">
        <v>51</v>
      </c>
      <c r="I1235" t="s">
        <v>6</v>
      </c>
      <c r="J1235" s="1">
        <v>214</v>
      </c>
      <c r="K1235" s="1">
        <v>310</v>
      </c>
      <c r="L1235" s="1">
        <v>13024</v>
      </c>
      <c r="M1235" s="1">
        <v>29742</v>
      </c>
      <c r="N1235" s="1">
        <v>55948</v>
      </c>
      <c r="O1235" s="1">
        <v>2206836</v>
      </c>
      <c r="P1235" s="1">
        <v>374680</v>
      </c>
      <c r="Q1235" s="1">
        <v>746859</v>
      </c>
      <c r="R1235" s="1">
        <v>35433236</v>
      </c>
      <c r="S1235" s="1">
        <v>53053</v>
      </c>
      <c r="T1235" s="1">
        <v>53053</v>
      </c>
      <c r="U1235" s="1">
        <v>41051</v>
      </c>
      <c r="V1235" s="1">
        <v>0</v>
      </c>
      <c r="W1235" s="1">
        <v>1</v>
      </c>
    </row>
    <row r="1236">
      <c r="A1236" s="1">
        <v>2022</v>
      </c>
      <c r="B1236" s="1">
        <v>53</v>
      </c>
      <c r="C1236" t="s">
        <v>40</v>
      </c>
      <c r="D1236" s="1">
        <v>59</v>
      </c>
      <c r="E1236" t="s">
        <v>166</v>
      </c>
      <c r="F1236" s="1">
        <v>41</v>
      </c>
      <c r="G1236" t="s">
        <v>3</v>
      </c>
      <c r="H1236" s="1">
        <v>51</v>
      </c>
      <c r="I1236" t="s">
        <v>6</v>
      </c>
      <c r="J1236" s="1">
        <v>30</v>
      </c>
      <c r="K1236" s="1">
        <v>39</v>
      </c>
      <c r="L1236" s="1">
        <v>1181</v>
      </c>
      <c r="M1236" s="1">
        <v>393</v>
      </c>
      <c r="N1236" s="1">
        <v>623</v>
      </c>
      <c r="O1236" s="1">
        <v>32843</v>
      </c>
      <c r="P1236" s="1">
        <v>4648</v>
      </c>
      <c r="Q1236" s="1">
        <v>9014</v>
      </c>
      <c r="R1236" s="1">
        <v>546863</v>
      </c>
      <c r="S1236" s="1">
        <v>53059</v>
      </c>
      <c r="T1236" s="1">
        <v>53059</v>
      </c>
      <c r="U1236" s="1">
        <v>41051</v>
      </c>
      <c r="V1236" s="1">
        <v>0</v>
      </c>
      <c r="W1236" s="1">
        <v>1</v>
      </c>
    </row>
    <row r="1237">
      <c r="A1237" s="1">
        <v>2022</v>
      </c>
      <c r="B1237" s="1">
        <v>53</v>
      </c>
      <c r="C1237" t="s">
        <v>40</v>
      </c>
      <c r="D1237" s="1">
        <v>61</v>
      </c>
      <c r="E1237" t="s">
        <v>167</v>
      </c>
      <c r="F1237" s="1">
        <v>41</v>
      </c>
      <c r="G1237" t="s">
        <v>3</v>
      </c>
      <c r="H1237" s="1">
        <v>51</v>
      </c>
      <c r="I1237" t="s">
        <v>6</v>
      </c>
      <c r="J1237" s="1">
        <v>133</v>
      </c>
      <c r="K1237" s="1">
        <v>183</v>
      </c>
      <c r="L1237" s="1">
        <v>9776</v>
      </c>
      <c r="M1237" s="1">
        <v>24716</v>
      </c>
      <c r="N1237" s="1">
        <v>43982</v>
      </c>
      <c r="O1237" s="1">
        <v>2556459</v>
      </c>
      <c r="P1237" s="1">
        <v>345392</v>
      </c>
      <c r="Q1237" s="1">
        <v>693545</v>
      </c>
      <c r="R1237" s="1">
        <v>39748248</v>
      </c>
      <c r="S1237" s="1">
        <v>53061</v>
      </c>
      <c r="T1237" s="1">
        <v>53061</v>
      </c>
      <c r="U1237" s="1">
        <v>41051</v>
      </c>
      <c r="V1237" s="1">
        <v>0</v>
      </c>
      <c r="W1237" s="1">
        <v>1</v>
      </c>
    </row>
    <row r="1238">
      <c r="A1238" s="1">
        <v>2022</v>
      </c>
      <c r="B1238" s="1">
        <v>53</v>
      </c>
      <c r="C1238" t="s">
        <v>40</v>
      </c>
      <c r="D1238" s="1">
        <v>63</v>
      </c>
      <c r="E1238" t="s">
        <v>168</v>
      </c>
      <c r="F1238" s="1">
        <v>41</v>
      </c>
      <c r="G1238" t="s">
        <v>3</v>
      </c>
      <c r="H1238" s="1">
        <v>51</v>
      </c>
      <c r="I1238" t="s">
        <v>6</v>
      </c>
      <c r="J1238" s="1">
        <v>128</v>
      </c>
      <c r="K1238" s="1">
        <v>160</v>
      </c>
      <c r="L1238" s="1">
        <v>6752</v>
      </c>
      <c r="M1238" s="1">
        <v>12015</v>
      </c>
      <c r="N1238" s="1">
        <v>20951</v>
      </c>
      <c r="O1238" s="1">
        <v>798701</v>
      </c>
      <c r="P1238" s="1">
        <v>219387</v>
      </c>
      <c r="Q1238" s="1">
        <v>432060</v>
      </c>
      <c r="R1238" s="1">
        <v>19530392</v>
      </c>
      <c r="S1238" s="1">
        <v>53063</v>
      </c>
      <c r="T1238" s="1">
        <v>53063</v>
      </c>
      <c r="U1238" s="1">
        <v>41051</v>
      </c>
      <c r="V1238" s="1">
        <v>0</v>
      </c>
      <c r="W1238" s="1">
        <v>1</v>
      </c>
    </row>
    <row r="1239">
      <c r="A1239" s="1">
        <v>2022</v>
      </c>
      <c r="B1239" s="1">
        <v>53</v>
      </c>
      <c r="C1239" t="s">
        <v>40</v>
      </c>
      <c r="D1239" s="1">
        <v>67</v>
      </c>
      <c r="E1239" t="s">
        <v>169</v>
      </c>
      <c r="F1239" s="1">
        <v>41</v>
      </c>
      <c r="G1239" t="s">
        <v>3</v>
      </c>
      <c r="H1239" s="1">
        <v>51</v>
      </c>
      <c r="I1239" t="s">
        <v>6</v>
      </c>
      <c r="J1239" s="1">
        <v>103</v>
      </c>
      <c r="K1239" s="1">
        <v>126</v>
      </c>
      <c r="L1239" s="1">
        <v>4954</v>
      </c>
      <c r="M1239" s="1">
        <v>10711</v>
      </c>
      <c r="N1239" s="1">
        <v>20357</v>
      </c>
      <c r="O1239" s="1">
        <v>747111</v>
      </c>
      <c r="P1239" s="1">
        <v>125923</v>
      </c>
      <c r="Q1239" s="1">
        <v>245936</v>
      </c>
      <c r="R1239" s="1">
        <v>11267545</v>
      </c>
      <c r="S1239" s="1">
        <v>53067</v>
      </c>
      <c r="T1239" s="1">
        <v>53067</v>
      </c>
      <c r="U1239" s="1">
        <v>41051</v>
      </c>
      <c r="V1239" s="1">
        <v>0</v>
      </c>
      <c r="W1239" s="1">
        <v>1</v>
      </c>
    </row>
    <row r="1240">
      <c r="A1240" s="1">
        <v>2022</v>
      </c>
      <c r="B1240" s="1">
        <v>53</v>
      </c>
      <c r="C1240" t="s">
        <v>40</v>
      </c>
      <c r="D1240" s="1">
        <v>71</v>
      </c>
      <c r="E1240" t="s">
        <v>170</v>
      </c>
      <c r="F1240" s="1">
        <v>41</v>
      </c>
      <c r="G1240" t="s">
        <v>3</v>
      </c>
      <c r="H1240" s="1">
        <v>51</v>
      </c>
      <c r="I1240" t="s">
        <v>6</v>
      </c>
      <c r="J1240" s="1">
        <v>31</v>
      </c>
      <c r="K1240" s="1">
        <v>39</v>
      </c>
      <c r="L1240" s="1">
        <v>1581</v>
      </c>
      <c r="M1240" s="1">
        <v>1635</v>
      </c>
      <c r="N1240" s="1">
        <v>2758</v>
      </c>
      <c r="O1240" s="1">
        <v>91798</v>
      </c>
      <c r="P1240" s="1">
        <v>23524</v>
      </c>
      <c r="Q1240" s="1">
        <v>47332</v>
      </c>
      <c r="R1240" s="1">
        <v>1952410</v>
      </c>
      <c r="S1240" s="1">
        <v>53071</v>
      </c>
      <c r="T1240" s="1">
        <v>53071</v>
      </c>
      <c r="U1240" s="1">
        <v>41051</v>
      </c>
      <c r="V1240" s="1">
        <v>0</v>
      </c>
      <c r="W1240" s="1">
        <v>1</v>
      </c>
    </row>
    <row r="1241">
      <c r="A1241" s="1">
        <v>2022</v>
      </c>
      <c r="B1241" s="1">
        <v>53</v>
      </c>
      <c r="C1241" t="s">
        <v>40</v>
      </c>
      <c r="D1241" s="1">
        <v>73</v>
      </c>
      <c r="E1241" t="s">
        <v>171</v>
      </c>
      <c r="F1241" s="1">
        <v>41</v>
      </c>
      <c r="G1241" t="s">
        <v>3</v>
      </c>
      <c r="H1241" s="1">
        <v>51</v>
      </c>
      <c r="I1241" t="s">
        <v>6</v>
      </c>
      <c r="J1241" s="1">
        <v>102</v>
      </c>
      <c r="K1241" s="1">
        <v>120</v>
      </c>
      <c r="L1241" s="1">
        <v>4225</v>
      </c>
      <c r="M1241" s="1">
        <v>6127</v>
      </c>
      <c r="N1241" s="1">
        <v>9521</v>
      </c>
      <c r="O1241" s="1">
        <v>552684</v>
      </c>
      <c r="P1241" s="1">
        <v>95370</v>
      </c>
      <c r="Q1241" s="1">
        <v>180751</v>
      </c>
      <c r="R1241" s="1">
        <v>9558711</v>
      </c>
      <c r="S1241" s="1">
        <v>53073</v>
      </c>
      <c r="T1241" s="1">
        <v>53073</v>
      </c>
      <c r="U1241" s="1">
        <v>41051</v>
      </c>
      <c r="V1241" s="1">
        <v>0</v>
      </c>
      <c r="W1241" s="1">
        <v>1</v>
      </c>
    </row>
    <row r="1242">
      <c r="A1242" s="1">
        <v>2022</v>
      </c>
      <c r="B1242" s="1">
        <v>53</v>
      </c>
      <c r="C1242" t="s">
        <v>40</v>
      </c>
      <c r="D1242" s="1">
        <v>75</v>
      </c>
      <c r="E1242" t="s">
        <v>228</v>
      </c>
      <c r="F1242" s="1">
        <v>41</v>
      </c>
      <c r="G1242" t="s">
        <v>3</v>
      </c>
      <c r="H1242" s="1">
        <v>51</v>
      </c>
      <c r="I1242" t="s">
        <v>6</v>
      </c>
      <c r="J1242" s="1">
        <v>22</v>
      </c>
      <c r="K1242" s="1">
        <v>22</v>
      </c>
      <c r="L1242" s="1">
        <v>857</v>
      </c>
      <c r="M1242" s="1">
        <v>2059</v>
      </c>
      <c r="N1242" s="1">
        <v>3052</v>
      </c>
      <c r="O1242" s="1">
        <v>119706</v>
      </c>
      <c r="P1242" s="1">
        <v>15200</v>
      </c>
      <c r="Q1242" s="1">
        <v>28893</v>
      </c>
      <c r="R1242" s="1">
        <v>1239654</v>
      </c>
      <c r="S1242" s="1">
        <v>53075</v>
      </c>
      <c r="T1242" s="1">
        <v>53075</v>
      </c>
      <c r="U1242" s="1">
        <v>41051</v>
      </c>
      <c r="V1242" s="1">
        <v>0</v>
      </c>
      <c r="W1242" s="1">
        <v>1</v>
      </c>
    </row>
    <row r="1243">
      <c r="A1243" s="1">
        <v>2022</v>
      </c>
      <c r="B1243" s="1">
        <v>53</v>
      </c>
      <c r="C1243" t="s">
        <v>40</v>
      </c>
      <c r="D1243" s="1">
        <v>77</v>
      </c>
      <c r="E1243" t="s">
        <v>172</v>
      </c>
      <c r="F1243" s="1">
        <v>41</v>
      </c>
      <c r="G1243" t="s">
        <v>3</v>
      </c>
      <c r="H1243" s="1">
        <v>51</v>
      </c>
      <c r="I1243" t="s">
        <v>6</v>
      </c>
      <c r="J1243" s="1">
        <v>47</v>
      </c>
      <c r="K1243" s="1">
        <v>66</v>
      </c>
      <c r="L1243" s="1">
        <v>1765</v>
      </c>
      <c r="M1243" s="1">
        <v>4148</v>
      </c>
      <c r="N1243" s="1">
        <v>7202</v>
      </c>
      <c r="O1243" s="1">
        <v>224600</v>
      </c>
      <c r="P1243" s="1">
        <v>99578</v>
      </c>
      <c r="Q1243" s="1">
        <v>213631</v>
      </c>
      <c r="R1243" s="1">
        <v>6947364</v>
      </c>
      <c r="S1243" s="1">
        <v>53077</v>
      </c>
      <c r="T1243" s="1">
        <v>53077</v>
      </c>
      <c r="U1243" s="1">
        <v>41051</v>
      </c>
      <c r="V1243" s="1">
        <v>0</v>
      </c>
      <c r="W1243" s="1">
        <v>1</v>
      </c>
    </row>
    <row r="1244">
      <c r="A1244" s="1">
        <v>2022</v>
      </c>
      <c r="B1244" s="1">
        <v>55</v>
      </c>
      <c r="C1244" t="s">
        <v>41</v>
      </c>
      <c r="D1244" s="1">
        <v>25</v>
      </c>
      <c r="E1244" t="s">
        <v>173</v>
      </c>
      <c r="F1244" s="1">
        <v>41</v>
      </c>
      <c r="G1244" t="s">
        <v>3</v>
      </c>
      <c r="H1244" s="1">
        <v>51</v>
      </c>
      <c r="I1244" t="s">
        <v>6</v>
      </c>
      <c r="J1244" s="1">
        <v>57</v>
      </c>
      <c r="K1244" s="1">
        <v>71</v>
      </c>
      <c r="L1244" s="1">
        <v>4369</v>
      </c>
      <c r="M1244" s="1">
        <v>15908</v>
      </c>
      <c r="N1244" s="1">
        <v>23759</v>
      </c>
      <c r="O1244" s="1">
        <v>1318437</v>
      </c>
      <c r="P1244" s="1">
        <v>245242</v>
      </c>
      <c r="Q1244" s="1">
        <v>459675</v>
      </c>
      <c r="R1244" s="1">
        <v>28229142</v>
      </c>
      <c r="S1244" s="1">
        <v>55025</v>
      </c>
      <c r="T1244" s="1">
        <v>55025</v>
      </c>
      <c r="U1244" s="1">
        <v>41051</v>
      </c>
      <c r="V1244" s="1">
        <v>0</v>
      </c>
      <c r="W1244" s="1">
        <v>1</v>
      </c>
    </row>
    <row r="1245">
      <c r="A1245" s="1">
        <v>2022</v>
      </c>
      <c r="B1245" s="1">
        <v>55</v>
      </c>
      <c r="C1245" t="s">
        <v>41</v>
      </c>
      <c r="D1245" s="1">
        <v>79</v>
      </c>
      <c r="E1245" t="s">
        <v>174</v>
      </c>
      <c r="F1245" s="1">
        <v>41</v>
      </c>
      <c r="G1245" t="s">
        <v>3</v>
      </c>
      <c r="H1245" s="1">
        <v>51</v>
      </c>
      <c r="I1245" t="s">
        <v>6</v>
      </c>
      <c r="J1245" s="1">
        <v>59</v>
      </c>
      <c r="K1245" s="1">
        <v>81</v>
      </c>
      <c r="L1245" s="1">
        <v>5565</v>
      </c>
      <c r="M1245" s="1">
        <v>21692</v>
      </c>
      <c r="N1245" s="1">
        <v>35626</v>
      </c>
      <c r="O1245" s="1">
        <v>1786216</v>
      </c>
      <c r="P1245" s="1">
        <v>378996</v>
      </c>
      <c r="Q1245" s="1">
        <v>717054</v>
      </c>
      <c r="R1245" s="1">
        <v>28597332</v>
      </c>
      <c r="S1245" s="1">
        <v>55079</v>
      </c>
      <c r="T1245" s="1">
        <v>55079</v>
      </c>
      <c r="U1245" s="1">
        <v>41051</v>
      </c>
      <c r="V1245" s="1">
        <v>0</v>
      </c>
      <c r="W1245" s="1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47"/>
  <sheetViews>
    <sheetView workbookViewId="0">
      <selection activeCell="J15" sqref="A1:R747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264</v>
      </c>
      <c r="G1" t="s">
        <v>7</v>
      </c>
      <c r="H1" t="s">
        <v>50</v>
      </c>
      <c r="I1" t="s">
        <v>8</v>
      </c>
      <c r="J1" t="s">
        <v>51</v>
      </c>
      <c r="K1" t="s">
        <v>265</v>
      </c>
      <c r="L1" t="s">
        <v>337</v>
      </c>
      <c r="M1" t="s">
        <v>338</v>
      </c>
      <c r="N1" t="s">
        <v>339</v>
      </c>
      <c r="O1" t="s">
        <v>263</v>
      </c>
      <c r="P1" t="s">
        <v>266</v>
      </c>
      <c r="Q1" t="s">
        <v>267</v>
      </c>
    </row>
    <row r="2">
      <c r="A2" s="1">
        <v>2015</v>
      </c>
      <c r="B2" s="1">
        <v>41</v>
      </c>
      <c r="C2" s="1">
        <v>51</v>
      </c>
      <c r="D2" t="s">
        <v>3</v>
      </c>
      <c r="E2" t="s">
        <v>6</v>
      </c>
      <c r="F2" s="1">
        <v>41051</v>
      </c>
      <c r="G2" s="1">
        <v>1</v>
      </c>
      <c r="H2" s="1">
        <v>0</v>
      </c>
      <c r="I2" t="s">
        <v>411</v>
      </c>
      <c r="J2" t="s">
        <v>276</v>
      </c>
      <c r="K2" s="1">
        <v>1000</v>
      </c>
      <c r="L2" s="1">
        <v>540</v>
      </c>
      <c r="M2" s="1">
        <v>140</v>
      </c>
      <c r="N2" s="1">
        <v>24260000</v>
      </c>
      <c r="O2" s="1"/>
      <c r="P2" s="1">
        <v>1</v>
      </c>
      <c r="Q2" s="1">
        <v>0</v>
      </c>
    </row>
    <row r="3">
      <c r="A3" s="1">
        <v>2015</v>
      </c>
      <c r="B3" s="1">
        <v>41</v>
      </c>
      <c r="C3" s="1">
        <v>51</v>
      </c>
      <c r="D3" t="s">
        <v>3</v>
      </c>
      <c r="E3" t="s">
        <v>6</v>
      </c>
      <c r="F3" s="1">
        <v>41051</v>
      </c>
      <c r="G3" s="1">
        <v>2</v>
      </c>
      <c r="H3" s="1">
        <v>0</v>
      </c>
      <c r="I3" t="s">
        <v>411</v>
      </c>
      <c r="J3" t="s">
        <v>276</v>
      </c>
      <c r="K3" s="1">
        <v>2000</v>
      </c>
      <c r="L3" s="1">
        <v>133</v>
      </c>
      <c r="M3" s="1"/>
      <c r="N3" s="1">
        <v>1276800</v>
      </c>
      <c r="O3" s="1"/>
      <c r="P3" s="1">
        <v>1</v>
      </c>
      <c r="Q3" s="1">
        <v>0</v>
      </c>
    </row>
    <row r="4">
      <c r="A4" s="1">
        <v>2015</v>
      </c>
      <c r="B4" s="1">
        <v>41</v>
      </c>
      <c r="C4" s="1">
        <v>51</v>
      </c>
      <c r="D4" t="s">
        <v>3</v>
      </c>
      <c r="E4" t="s">
        <v>6</v>
      </c>
      <c r="F4" s="1">
        <v>41051</v>
      </c>
      <c r="G4" s="1">
        <v>4</v>
      </c>
      <c r="H4" s="1">
        <v>0</v>
      </c>
      <c r="I4" t="s">
        <v>411</v>
      </c>
      <c r="J4" t="s">
        <v>276</v>
      </c>
      <c r="K4" s="1">
        <v>4000</v>
      </c>
      <c r="L4" s="1">
        <v>1480</v>
      </c>
      <c r="M4" s="1">
        <v>1057</v>
      </c>
      <c r="N4" s="1">
        <v>137915900</v>
      </c>
      <c r="O4" s="1"/>
      <c r="P4" s="1">
        <v>1</v>
      </c>
      <c r="Q4" s="1">
        <v>0</v>
      </c>
    </row>
    <row r="5">
      <c r="A5" s="1">
        <v>2015</v>
      </c>
      <c r="B5" s="1">
        <v>41</v>
      </c>
      <c r="C5" s="1">
        <v>51</v>
      </c>
      <c r="D5" t="s">
        <v>3</v>
      </c>
      <c r="E5" t="s">
        <v>6</v>
      </c>
      <c r="F5" s="1">
        <v>41051</v>
      </c>
      <c r="G5" s="1">
        <v>4</v>
      </c>
      <c r="H5" s="1">
        <v>13</v>
      </c>
      <c r="I5" t="s">
        <v>10</v>
      </c>
      <c r="J5" t="s">
        <v>53</v>
      </c>
      <c r="K5" s="1">
        <v>4013</v>
      </c>
      <c r="L5" s="1">
        <v>280</v>
      </c>
      <c r="M5" s="1">
        <v>146</v>
      </c>
      <c r="N5" s="1">
        <v>4519600</v>
      </c>
      <c r="O5" s="1">
        <v>4013</v>
      </c>
      <c r="P5" s="1">
        <v>1</v>
      </c>
      <c r="Q5" s="1">
        <v>0</v>
      </c>
    </row>
    <row r="6">
      <c r="A6" s="1">
        <v>2015</v>
      </c>
      <c r="B6" s="1">
        <v>41</v>
      </c>
      <c r="C6" s="1">
        <v>51</v>
      </c>
      <c r="D6" t="s">
        <v>3</v>
      </c>
      <c r="E6" t="s">
        <v>6</v>
      </c>
      <c r="F6" s="1">
        <v>41051</v>
      </c>
      <c r="G6" s="1">
        <v>6</v>
      </c>
      <c r="H6" s="1">
        <v>0</v>
      </c>
      <c r="I6" t="s">
        <v>411</v>
      </c>
      <c r="J6" t="s">
        <v>276</v>
      </c>
      <c r="K6" s="1">
        <v>6000</v>
      </c>
      <c r="L6" s="1">
        <v>282</v>
      </c>
      <c r="M6" s="1">
        <v>37</v>
      </c>
      <c r="N6" s="1">
        <v>7775000</v>
      </c>
      <c r="O6" s="1"/>
      <c r="P6" s="1">
        <v>1</v>
      </c>
      <c r="Q6" s="1">
        <v>0</v>
      </c>
    </row>
    <row r="7">
      <c r="A7" s="1">
        <v>2015</v>
      </c>
      <c r="B7" s="1">
        <v>41</v>
      </c>
      <c r="C7" s="1">
        <v>51</v>
      </c>
      <c r="D7" t="s">
        <v>3</v>
      </c>
      <c r="E7" t="s">
        <v>6</v>
      </c>
      <c r="F7" s="1">
        <v>41051</v>
      </c>
      <c r="G7" s="1">
        <v>6</v>
      </c>
      <c r="H7" s="1">
        <v>1</v>
      </c>
      <c r="I7" t="s">
        <v>11</v>
      </c>
      <c r="J7" t="s">
        <v>56</v>
      </c>
      <c r="K7" s="1">
        <v>6001</v>
      </c>
      <c r="L7" s="1">
        <v>253</v>
      </c>
      <c r="M7" s="1">
        <v>252</v>
      </c>
      <c r="N7" s="1">
        <v>8197200</v>
      </c>
      <c r="O7" s="1">
        <v>6001</v>
      </c>
      <c r="P7" s="1">
        <v>1</v>
      </c>
      <c r="Q7" s="1">
        <v>0</v>
      </c>
    </row>
    <row r="8">
      <c r="A8" s="1">
        <v>2015</v>
      </c>
      <c r="B8" s="1">
        <v>41</v>
      </c>
      <c r="C8" s="1">
        <v>51</v>
      </c>
      <c r="D8" t="s">
        <v>3</v>
      </c>
      <c r="E8" t="s">
        <v>6</v>
      </c>
      <c r="F8" s="1">
        <v>41051</v>
      </c>
      <c r="G8" s="1">
        <v>6</v>
      </c>
      <c r="H8" s="1">
        <v>13</v>
      </c>
      <c r="I8" t="s">
        <v>11</v>
      </c>
      <c r="J8" t="s">
        <v>57</v>
      </c>
      <c r="K8" s="1">
        <v>6013</v>
      </c>
      <c r="L8" s="1">
        <v>191</v>
      </c>
      <c r="M8" s="1"/>
      <c r="N8" s="1">
        <v>6468000</v>
      </c>
      <c r="O8" s="1">
        <v>6013</v>
      </c>
      <c r="P8" s="1">
        <v>1</v>
      </c>
      <c r="Q8" s="1">
        <v>0</v>
      </c>
    </row>
    <row r="9">
      <c r="A9" s="1">
        <v>2015</v>
      </c>
      <c r="B9" s="1">
        <v>41</v>
      </c>
      <c r="C9" s="1">
        <v>51</v>
      </c>
      <c r="D9" t="s">
        <v>3</v>
      </c>
      <c r="E9" t="s">
        <v>6</v>
      </c>
      <c r="F9" s="1">
        <v>41051</v>
      </c>
      <c r="G9" s="1">
        <v>6</v>
      </c>
      <c r="H9" s="1">
        <v>19</v>
      </c>
      <c r="I9" t="s">
        <v>11</v>
      </c>
      <c r="J9" t="s">
        <v>58</v>
      </c>
      <c r="K9" s="1">
        <v>6019</v>
      </c>
      <c r="L9" s="1">
        <v>350</v>
      </c>
      <c r="M9" s="1">
        <v>301</v>
      </c>
      <c r="N9" s="1">
        <v>17894500</v>
      </c>
      <c r="O9" s="1">
        <v>6019</v>
      </c>
      <c r="P9" s="1">
        <v>1</v>
      </c>
      <c r="Q9" s="1">
        <v>0</v>
      </c>
    </row>
    <row r="10">
      <c r="A10" s="1">
        <v>2015</v>
      </c>
      <c r="B10" s="1">
        <v>41</v>
      </c>
      <c r="C10" s="1">
        <v>51</v>
      </c>
      <c r="D10" t="s">
        <v>3</v>
      </c>
      <c r="E10" t="s">
        <v>6</v>
      </c>
      <c r="F10" s="1">
        <v>41051</v>
      </c>
      <c r="G10" s="1">
        <v>6</v>
      </c>
      <c r="H10" s="1">
        <v>23</v>
      </c>
      <c r="I10" t="s">
        <v>11</v>
      </c>
      <c r="J10" t="s">
        <v>59</v>
      </c>
      <c r="K10" s="1">
        <v>6023</v>
      </c>
      <c r="L10" s="1">
        <v>31</v>
      </c>
      <c r="M10" s="1"/>
      <c r="N10" s="1">
        <v>827700</v>
      </c>
      <c r="O10" s="1">
        <v>6023</v>
      </c>
      <c r="P10" s="1">
        <v>1</v>
      </c>
      <c r="Q10" s="1">
        <v>0</v>
      </c>
    </row>
    <row r="11">
      <c r="A11" s="1">
        <v>2015</v>
      </c>
      <c r="B11" s="1">
        <v>41</v>
      </c>
      <c r="C11" s="1">
        <v>51</v>
      </c>
      <c r="D11" t="s">
        <v>3</v>
      </c>
      <c r="E11" t="s">
        <v>6</v>
      </c>
      <c r="F11" s="1">
        <v>41051</v>
      </c>
      <c r="G11" s="1">
        <v>6</v>
      </c>
      <c r="H11" s="1">
        <v>37</v>
      </c>
      <c r="I11" t="s">
        <v>11</v>
      </c>
      <c r="J11" t="s">
        <v>61</v>
      </c>
      <c r="K11" s="1">
        <v>6037</v>
      </c>
      <c r="L11" s="1">
        <v>892</v>
      </c>
      <c r="M11" s="1">
        <v>123</v>
      </c>
      <c r="N11" s="1">
        <v>29821220</v>
      </c>
      <c r="O11" s="1">
        <v>6037</v>
      </c>
      <c r="P11" s="1">
        <v>1</v>
      </c>
      <c r="Q11" s="1">
        <v>0</v>
      </c>
    </row>
    <row r="12">
      <c r="A12" s="1">
        <v>2015</v>
      </c>
      <c r="B12" s="1">
        <v>41</v>
      </c>
      <c r="C12" s="1">
        <v>51</v>
      </c>
      <c r="D12" t="s">
        <v>3</v>
      </c>
      <c r="E12" t="s">
        <v>6</v>
      </c>
      <c r="F12" s="1">
        <v>41051</v>
      </c>
      <c r="G12" s="1">
        <v>6</v>
      </c>
      <c r="H12" s="1">
        <v>59</v>
      </c>
      <c r="I12" t="s">
        <v>11</v>
      </c>
      <c r="J12" t="s">
        <v>64</v>
      </c>
      <c r="K12" s="1">
        <v>6059</v>
      </c>
      <c r="L12" s="1">
        <v>194</v>
      </c>
      <c r="M12" s="1">
        <v>86</v>
      </c>
      <c r="N12" s="1">
        <v>4414000</v>
      </c>
      <c r="O12" s="1">
        <v>6059</v>
      </c>
      <c r="P12" s="1">
        <v>1</v>
      </c>
      <c r="Q12" s="1">
        <v>0</v>
      </c>
    </row>
    <row r="13">
      <c r="A13" s="1">
        <v>2015</v>
      </c>
      <c r="B13" s="1">
        <v>41</v>
      </c>
      <c r="C13" s="1">
        <v>51</v>
      </c>
      <c r="D13" t="s">
        <v>3</v>
      </c>
      <c r="E13" t="s">
        <v>6</v>
      </c>
      <c r="F13" s="1">
        <v>41051</v>
      </c>
      <c r="G13" s="1">
        <v>6</v>
      </c>
      <c r="H13" s="1">
        <v>61</v>
      </c>
      <c r="I13" t="s">
        <v>11</v>
      </c>
      <c r="J13" t="s">
        <v>65</v>
      </c>
      <c r="K13" s="1">
        <v>6061</v>
      </c>
      <c r="L13" s="1">
        <v>427</v>
      </c>
      <c r="M13" s="1"/>
      <c r="N13" s="1">
        <v>4828000</v>
      </c>
      <c r="O13" s="1">
        <v>6061</v>
      </c>
      <c r="P13" s="1">
        <v>1</v>
      </c>
      <c r="Q13" s="1">
        <v>0</v>
      </c>
    </row>
    <row r="14">
      <c r="A14" s="1">
        <v>2015</v>
      </c>
      <c r="B14" s="1">
        <v>41</v>
      </c>
      <c r="C14" s="1">
        <v>51</v>
      </c>
      <c r="D14" t="s">
        <v>3</v>
      </c>
      <c r="E14" t="s">
        <v>6</v>
      </c>
      <c r="F14" s="1">
        <v>41051</v>
      </c>
      <c r="G14" s="1">
        <v>6</v>
      </c>
      <c r="H14" s="1">
        <v>67</v>
      </c>
      <c r="I14" t="s">
        <v>11</v>
      </c>
      <c r="J14" t="s">
        <v>67</v>
      </c>
      <c r="K14" s="1">
        <v>6067</v>
      </c>
      <c r="L14" s="1">
        <v>1261</v>
      </c>
      <c r="M14" s="1">
        <v>607</v>
      </c>
      <c r="N14" s="1">
        <v>98229200</v>
      </c>
      <c r="O14" s="1">
        <v>6067</v>
      </c>
      <c r="P14" s="1">
        <v>1</v>
      </c>
      <c r="Q14" s="1">
        <v>0</v>
      </c>
    </row>
    <row r="15">
      <c r="A15" s="1">
        <v>2015</v>
      </c>
      <c r="B15" s="1">
        <v>41</v>
      </c>
      <c r="C15" s="1">
        <v>51</v>
      </c>
      <c r="D15" t="s">
        <v>3</v>
      </c>
      <c r="E15" t="s">
        <v>6</v>
      </c>
      <c r="F15" s="1">
        <v>41051</v>
      </c>
      <c r="G15" s="1">
        <v>6</v>
      </c>
      <c r="H15" s="1">
        <v>73</v>
      </c>
      <c r="I15" t="s">
        <v>11</v>
      </c>
      <c r="J15" t="s">
        <v>69</v>
      </c>
      <c r="K15" s="1">
        <v>6073</v>
      </c>
      <c r="L15" s="1">
        <v>535</v>
      </c>
      <c r="M15" s="1">
        <v>317</v>
      </c>
      <c r="N15" s="1">
        <v>13495000</v>
      </c>
      <c r="O15" s="1">
        <v>6073</v>
      </c>
      <c r="P15" s="1">
        <v>1</v>
      </c>
      <c r="Q15" s="1">
        <v>0</v>
      </c>
    </row>
    <row r="16">
      <c r="A16" s="1">
        <v>2015</v>
      </c>
      <c r="B16" s="1">
        <v>41</v>
      </c>
      <c r="C16" s="1">
        <v>51</v>
      </c>
      <c r="D16" t="s">
        <v>3</v>
      </c>
      <c r="E16" t="s">
        <v>6</v>
      </c>
      <c r="F16" s="1">
        <v>41051</v>
      </c>
      <c r="G16" s="1">
        <v>6</v>
      </c>
      <c r="H16" s="1">
        <v>75</v>
      </c>
      <c r="I16" t="s">
        <v>11</v>
      </c>
      <c r="J16" t="s">
        <v>70</v>
      </c>
      <c r="K16" s="1">
        <v>6075</v>
      </c>
      <c r="L16" s="1">
        <v>1137</v>
      </c>
      <c r="M16" s="1">
        <v>486</v>
      </c>
      <c r="N16" s="1">
        <v>68840000</v>
      </c>
      <c r="O16" s="1">
        <v>6075</v>
      </c>
      <c r="P16" s="1">
        <v>1</v>
      </c>
      <c r="Q16" s="1">
        <v>0</v>
      </c>
    </row>
    <row r="17">
      <c r="A17" s="1">
        <v>2015</v>
      </c>
      <c r="B17" s="1">
        <v>41</v>
      </c>
      <c r="C17" s="1">
        <v>51</v>
      </c>
      <c r="D17" t="s">
        <v>3</v>
      </c>
      <c r="E17" t="s">
        <v>6</v>
      </c>
      <c r="F17" s="1">
        <v>41051</v>
      </c>
      <c r="G17" s="1">
        <v>6</v>
      </c>
      <c r="H17" s="1">
        <v>113</v>
      </c>
      <c r="I17" t="s">
        <v>11</v>
      </c>
      <c r="J17" t="s">
        <v>181</v>
      </c>
      <c r="K17" s="1">
        <v>6113</v>
      </c>
      <c r="L17" s="1">
        <v>67</v>
      </c>
      <c r="M17" s="1"/>
      <c r="N17" s="1">
        <v>871000</v>
      </c>
      <c r="O17" s="1">
        <v>6113</v>
      </c>
      <c r="P17" s="1">
        <v>1</v>
      </c>
      <c r="Q17" s="1">
        <v>0</v>
      </c>
    </row>
    <row r="18">
      <c r="A18" s="1">
        <v>2015</v>
      </c>
      <c r="B18" s="1">
        <v>41</v>
      </c>
      <c r="C18" s="1">
        <v>51</v>
      </c>
      <c r="D18" t="s">
        <v>3</v>
      </c>
      <c r="E18" t="s">
        <v>6</v>
      </c>
      <c r="F18" s="1">
        <v>41051</v>
      </c>
      <c r="G18" s="1">
        <v>8</v>
      </c>
      <c r="H18" s="1">
        <v>0</v>
      </c>
      <c r="I18" t="s">
        <v>411</v>
      </c>
      <c r="J18" t="s">
        <v>276</v>
      </c>
      <c r="K18" s="1">
        <v>8000</v>
      </c>
      <c r="L18" s="1">
        <v>988</v>
      </c>
      <c r="M18" s="1">
        <v>121</v>
      </c>
      <c r="N18" s="1">
        <v>23785180</v>
      </c>
      <c r="O18" s="1"/>
      <c r="P18" s="1">
        <v>1</v>
      </c>
      <c r="Q18" s="1">
        <v>0</v>
      </c>
    </row>
    <row r="19">
      <c r="A19" s="1">
        <v>2015</v>
      </c>
      <c r="B19" s="1">
        <v>41</v>
      </c>
      <c r="C19" s="1">
        <v>51</v>
      </c>
      <c r="D19" t="s">
        <v>3</v>
      </c>
      <c r="E19" t="s">
        <v>6</v>
      </c>
      <c r="F19" s="1">
        <v>41051</v>
      </c>
      <c r="G19" s="1">
        <v>9</v>
      </c>
      <c r="H19" s="1">
        <v>9</v>
      </c>
      <c r="I19" t="s">
        <v>13</v>
      </c>
      <c r="J19" t="s">
        <v>85</v>
      </c>
      <c r="K19" s="1">
        <v>9009</v>
      </c>
      <c r="L19" s="1">
        <v>173</v>
      </c>
      <c r="M19" s="1"/>
      <c r="N19" s="1">
        <v>2162500</v>
      </c>
      <c r="O19" s="1">
        <v>9009</v>
      </c>
      <c r="P19" s="1">
        <v>1</v>
      </c>
      <c r="Q19" s="1">
        <v>0</v>
      </c>
    </row>
    <row r="20">
      <c r="A20" s="1">
        <v>2015</v>
      </c>
      <c r="B20" s="1">
        <v>41</v>
      </c>
      <c r="C20" s="1">
        <v>51</v>
      </c>
      <c r="D20" t="s">
        <v>3</v>
      </c>
      <c r="E20" t="s">
        <v>6</v>
      </c>
      <c r="F20" s="1">
        <v>41051</v>
      </c>
      <c r="G20" s="1">
        <v>12</v>
      </c>
      <c r="H20" s="1">
        <v>0</v>
      </c>
      <c r="I20" t="s">
        <v>411</v>
      </c>
      <c r="J20" t="s">
        <v>276</v>
      </c>
      <c r="K20" s="1">
        <v>12000</v>
      </c>
      <c r="L20" s="1">
        <v>66</v>
      </c>
      <c r="M20" s="1">
        <v>66</v>
      </c>
      <c r="N20" s="1">
        <v>1650000</v>
      </c>
      <c r="O20" s="1"/>
      <c r="P20" s="1">
        <v>1</v>
      </c>
      <c r="Q20" s="1">
        <v>0</v>
      </c>
    </row>
    <row r="21">
      <c r="A21" s="1">
        <v>2015</v>
      </c>
      <c r="B21" s="1">
        <v>41</v>
      </c>
      <c r="C21" s="1">
        <v>51</v>
      </c>
      <c r="D21" t="s">
        <v>3</v>
      </c>
      <c r="E21" t="s">
        <v>6</v>
      </c>
      <c r="F21" s="1">
        <v>41051</v>
      </c>
      <c r="G21" s="1">
        <v>12</v>
      </c>
      <c r="H21" s="1">
        <v>9</v>
      </c>
      <c r="I21" t="s">
        <v>15</v>
      </c>
      <c r="J21" t="s">
        <v>277</v>
      </c>
      <c r="K21" s="1">
        <v>12009</v>
      </c>
      <c r="L21" s="1">
        <v>132</v>
      </c>
      <c r="M21" s="1"/>
      <c r="N21" s="1">
        <v>3696000</v>
      </c>
      <c r="O21" s="1">
        <v>12009</v>
      </c>
      <c r="P21" s="1">
        <v>1</v>
      </c>
      <c r="Q21" s="1">
        <v>0</v>
      </c>
    </row>
    <row r="22">
      <c r="A22" s="1">
        <v>2015</v>
      </c>
      <c r="B22" s="1">
        <v>41</v>
      </c>
      <c r="C22" s="1">
        <v>51</v>
      </c>
      <c r="D22" t="s">
        <v>3</v>
      </c>
      <c r="E22" t="s">
        <v>6</v>
      </c>
      <c r="F22" s="1">
        <v>41051</v>
      </c>
      <c r="G22" s="1">
        <v>12</v>
      </c>
      <c r="H22" s="1">
        <v>91</v>
      </c>
      <c r="I22" t="s">
        <v>15</v>
      </c>
      <c r="J22" t="s">
        <v>278</v>
      </c>
      <c r="K22" s="1">
        <v>12091</v>
      </c>
      <c r="L22" s="1">
        <v>77</v>
      </c>
      <c r="M22" s="1">
        <v>76</v>
      </c>
      <c r="N22" s="1">
        <v>1232000</v>
      </c>
      <c r="O22" s="1">
        <v>12091</v>
      </c>
      <c r="P22" s="1">
        <v>1</v>
      </c>
      <c r="Q22" s="1">
        <v>0</v>
      </c>
    </row>
    <row r="23">
      <c r="A23" s="1">
        <v>2015</v>
      </c>
      <c r="B23" s="1">
        <v>41</v>
      </c>
      <c r="C23" s="1">
        <v>51</v>
      </c>
      <c r="D23" t="s">
        <v>3</v>
      </c>
      <c r="E23" t="s">
        <v>6</v>
      </c>
      <c r="F23" s="1">
        <v>41051</v>
      </c>
      <c r="G23" s="1">
        <v>13</v>
      </c>
      <c r="H23" s="1">
        <v>0</v>
      </c>
      <c r="I23" t="s">
        <v>411</v>
      </c>
      <c r="J23" t="s">
        <v>276</v>
      </c>
      <c r="K23" s="1">
        <v>13000</v>
      </c>
      <c r="L23" s="1">
        <v>47</v>
      </c>
      <c r="M23" s="1">
        <v>47</v>
      </c>
      <c r="N23" s="1">
        <v>122200</v>
      </c>
      <c r="O23" s="1"/>
      <c r="P23" s="1">
        <v>1</v>
      </c>
      <c r="Q23" s="1">
        <v>0</v>
      </c>
    </row>
    <row r="24">
      <c r="A24" s="1">
        <v>2015</v>
      </c>
      <c r="B24" s="1">
        <v>41</v>
      </c>
      <c r="C24" s="1">
        <v>51</v>
      </c>
      <c r="D24" t="s">
        <v>3</v>
      </c>
      <c r="E24" t="s">
        <v>6</v>
      </c>
      <c r="F24" s="1">
        <v>41051</v>
      </c>
      <c r="G24" s="1">
        <v>15</v>
      </c>
      <c r="H24" s="1">
        <v>0</v>
      </c>
      <c r="I24" t="s">
        <v>411</v>
      </c>
      <c r="J24" t="s">
        <v>276</v>
      </c>
      <c r="K24" s="1">
        <v>15000</v>
      </c>
      <c r="L24" s="1">
        <v>69</v>
      </c>
      <c r="M24" s="1">
        <v>69</v>
      </c>
      <c r="N24" s="1">
        <v>2070000</v>
      </c>
      <c r="O24" s="1"/>
      <c r="P24" s="1">
        <v>1</v>
      </c>
      <c r="Q24" s="1">
        <v>0</v>
      </c>
    </row>
    <row r="25">
      <c r="A25" s="1">
        <v>2015</v>
      </c>
      <c r="B25" s="1">
        <v>41</v>
      </c>
      <c r="C25" s="1">
        <v>51</v>
      </c>
      <c r="D25" t="s">
        <v>3</v>
      </c>
      <c r="E25" t="s">
        <v>6</v>
      </c>
      <c r="F25" s="1">
        <v>41051</v>
      </c>
      <c r="G25" s="1">
        <v>15</v>
      </c>
      <c r="H25" s="1">
        <v>3</v>
      </c>
      <c r="I25" t="s">
        <v>17</v>
      </c>
      <c r="J25" t="s">
        <v>93</v>
      </c>
      <c r="K25" s="1">
        <v>15003</v>
      </c>
      <c r="L25" s="1">
        <v>196</v>
      </c>
      <c r="M25" s="1">
        <v>196</v>
      </c>
      <c r="N25" s="1">
        <v>700000</v>
      </c>
      <c r="O25" s="1">
        <v>15003</v>
      </c>
      <c r="P25" s="1">
        <v>1</v>
      </c>
      <c r="Q25" s="1">
        <v>0</v>
      </c>
    </row>
    <row r="26">
      <c r="A26" s="1">
        <v>2015</v>
      </c>
      <c r="B26" s="1">
        <v>41</v>
      </c>
      <c r="C26" s="1">
        <v>51</v>
      </c>
      <c r="D26" t="s">
        <v>3</v>
      </c>
      <c r="E26" t="s">
        <v>6</v>
      </c>
      <c r="F26" s="1">
        <v>41051</v>
      </c>
      <c r="G26" s="1">
        <v>16</v>
      </c>
      <c r="H26" s="1">
        <v>0</v>
      </c>
      <c r="I26" t="s">
        <v>411</v>
      </c>
      <c r="J26" t="s">
        <v>276</v>
      </c>
      <c r="K26" s="1">
        <v>16000</v>
      </c>
      <c r="L26" s="1">
        <v>490</v>
      </c>
      <c r="M26" s="1">
        <v>101</v>
      </c>
      <c r="N26" s="1">
        <v>8602000</v>
      </c>
      <c r="O26" s="1"/>
      <c r="P26" s="1">
        <v>1</v>
      </c>
      <c r="Q26" s="1">
        <v>0</v>
      </c>
    </row>
    <row r="27">
      <c r="A27" s="1">
        <v>2015</v>
      </c>
      <c r="B27" s="1">
        <v>41</v>
      </c>
      <c r="C27" s="1">
        <v>51</v>
      </c>
      <c r="D27" t="s">
        <v>3</v>
      </c>
      <c r="E27" t="s">
        <v>6</v>
      </c>
      <c r="F27" s="1">
        <v>41051</v>
      </c>
      <c r="G27" s="1">
        <v>17</v>
      </c>
      <c r="H27" s="1">
        <v>89</v>
      </c>
      <c r="I27" t="s">
        <v>19</v>
      </c>
      <c r="J27" t="s">
        <v>279</v>
      </c>
      <c r="K27" s="1">
        <v>17089</v>
      </c>
      <c r="L27" s="1">
        <v>234</v>
      </c>
      <c r="M27" s="1"/>
      <c r="N27" s="1">
        <v>8058600</v>
      </c>
      <c r="O27" s="1">
        <v>17089</v>
      </c>
      <c r="P27" s="1">
        <v>1</v>
      </c>
      <c r="Q27" s="1">
        <v>0</v>
      </c>
    </row>
    <row r="28">
      <c r="A28" s="1">
        <v>2015</v>
      </c>
      <c r="B28" s="1">
        <v>41</v>
      </c>
      <c r="C28" s="1">
        <v>51</v>
      </c>
      <c r="D28" t="s">
        <v>3</v>
      </c>
      <c r="E28" t="s">
        <v>6</v>
      </c>
      <c r="F28" s="1">
        <v>41051</v>
      </c>
      <c r="G28" s="1">
        <v>20</v>
      </c>
      <c r="H28" s="1">
        <v>0</v>
      </c>
      <c r="I28" t="s">
        <v>411</v>
      </c>
      <c r="J28" t="s">
        <v>276</v>
      </c>
      <c r="K28" s="1">
        <v>20000</v>
      </c>
      <c r="L28" s="1">
        <v>42</v>
      </c>
      <c r="M28" s="1"/>
      <c r="N28" s="1">
        <v>23100</v>
      </c>
      <c r="O28" s="1"/>
      <c r="P28" s="1">
        <v>1</v>
      </c>
      <c r="Q28" s="1">
        <v>0</v>
      </c>
    </row>
    <row r="29">
      <c r="A29" s="1">
        <v>2015</v>
      </c>
      <c r="B29" s="1">
        <v>41</v>
      </c>
      <c r="C29" s="1">
        <v>51</v>
      </c>
      <c r="D29" t="s">
        <v>3</v>
      </c>
      <c r="E29" t="s">
        <v>6</v>
      </c>
      <c r="F29" s="1">
        <v>41051</v>
      </c>
      <c r="G29" s="1">
        <v>22</v>
      </c>
      <c r="H29" s="1">
        <v>71</v>
      </c>
      <c r="I29" t="s">
        <v>22</v>
      </c>
      <c r="J29" t="s">
        <v>101</v>
      </c>
      <c r="K29" s="1">
        <v>22071</v>
      </c>
      <c r="L29" s="1">
        <v>44</v>
      </c>
      <c r="M29" s="1">
        <v>28</v>
      </c>
      <c r="N29" s="1">
        <v>1041600</v>
      </c>
      <c r="O29" s="1">
        <v>22071</v>
      </c>
      <c r="P29" s="1">
        <v>1</v>
      </c>
      <c r="Q29" s="1">
        <v>0</v>
      </c>
    </row>
    <row r="30">
      <c r="A30" s="1">
        <v>2015</v>
      </c>
      <c r="B30" s="1">
        <v>41</v>
      </c>
      <c r="C30" s="1">
        <v>51</v>
      </c>
      <c r="D30" t="s">
        <v>3</v>
      </c>
      <c r="E30" t="s">
        <v>6</v>
      </c>
      <c r="F30" s="1">
        <v>41051</v>
      </c>
      <c r="G30" s="1">
        <v>23</v>
      </c>
      <c r="H30" s="1">
        <v>0</v>
      </c>
      <c r="I30" t="s">
        <v>411</v>
      </c>
      <c r="J30" t="s">
        <v>276</v>
      </c>
      <c r="K30" s="1">
        <v>23000</v>
      </c>
      <c r="L30" s="1">
        <v>334</v>
      </c>
      <c r="M30" s="1"/>
      <c r="N30" s="1">
        <v>1369400</v>
      </c>
      <c r="O30" s="1"/>
      <c r="P30" s="1">
        <v>1</v>
      </c>
      <c r="Q30" s="1">
        <v>0</v>
      </c>
    </row>
    <row r="31">
      <c r="A31" s="1">
        <v>2015</v>
      </c>
      <c r="B31" s="1">
        <v>41</v>
      </c>
      <c r="C31" s="1">
        <v>51</v>
      </c>
      <c r="D31" t="s">
        <v>3</v>
      </c>
      <c r="E31" t="s">
        <v>6</v>
      </c>
      <c r="F31" s="1">
        <v>41051</v>
      </c>
      <c r="G31" s="1">
        <v>24</v>
      </c>
      <c r="H31" s="1">
        <v>510</v>
      </c>
      <c r="I31" t="s">
        <v>24</v>
      </c>
      <c r="J31" t="s">
        <v>190</v>
      </c>
      <c r="K31" s="1">
        <v>24510</v>
      </c>
      <c r="L31" s="1">
        <v>126</v>
      </c>
      <c r="M31" s="1">
        <v>68</v>
      </c>
      <c r="N31" s="1">
        <v>8526000</v>
      </c>
      <c r="O31" s="1">
        <v>24510</v>
      </c>
      <c r="P31" s="1">
        <v>1</v>
      </c>
      <c r="Q31" s="1">
        <v>0</v>
      </c>
    </row>
    <row r="32">
      <c r="A32" s="1">
        <v>2015</v>
      </c>
      <c r="B32" s="1">
        <v>41</v>
      </c>
      <c r="C32" s="1">
        <v>51</v>
      </c>
      <c r="D32" t="s">
        <v>3</v>
      </c>
      <c r="E32" t="s">
        <v>6</v>
      </c>
      <c r="F32" s="1">
        <v>41051</v>
      </c>
      <c r="G32" s="1">
        <v>25</v>
      </c>
      <c r="H32" s="1">
        <v>0</v>
      </c>
      <c r="I32" t="s">
        <v>411</v>
      </c>
      <c r="J32" t="s">
        <v>276</v>
      </c>
      <c r="K32" s="1">
        <v>25000</v>
      </c>
      <c r="L32" s="1">
        <v>153</v>
      </c>
      <c r="M32" s="1">
        <v>153</v>
      </c>
      <c r="N32" s="1">
        <v>51088000</v>
      </c>
      <c r="O32" s="1"/>
      <c r="P32" s="1">
        <v>1</v>
      </c>
      <c r="Q32" s="1">
        <v>0</v>
      </c>
    </row>
    <row r="33">
      <c r="A33" s="1">
        <v>2015</v>
      </c>
      <c r="B33" s="1">
        <v>41</v>
      </c>
      <c r="C33" s="1">
        <v>51</v>
      </c>
      <c r="D33" t="s">
        <v>3</v>
      </c>
      <c r="E33" t="s">
        <v>6</v>
      </c>
      <c r="F33" s="1">
        <v>41051</v>
      </c>
      <c r="G33" s="1">
        <v>25</v>
      </c>
      <c r="H33" s="1">
        <v>25</v>
      </c>
      <c r="I33" t="s">
        <v>25</v>
      </c>
      <c r="J33" t="s">
        <v>105</v>
      </c>
      <c r="K33" s="1">
        <v>25025</v>
      </c>
      <c r="L33" s="1">
        <v>56</v>
      </c>
      <c r="M33" s="1">
        <v>57</v>
      </c>
      <c r="N33" s="1">
        <v>7448000</v>
      </c>
      <c r="O33" s="1">
        <v>25025</v>
      </c>
      <c r="P33" s="1">
        <v>1</v>
      </c>
      <c r="Q33" s="1">
        <v>0</v>
      </c>
    </row>
    <row r="34">
      <c r="A34" s="1">
        <v>2015</v>
      </c>
      <c r="B34" s="1">
        <v>41</v>
      </c>
      <c r="C34" s="1">
        <v>51</v>
      </c>
      <c r="D34" t="s">
        <v>3</v>
      </c>
      <c r="E34" t="s">
        <v>6</v>
      </c>
      <c r="F34" s="1">
        <v>41051</v>
      </c>
      <c r="G34" s="1">
        <v>26</v>
      </c>
      <c r="H34" s="1">
        <v>0</v>
      </c>
      <c r="I34" t="s">
        <v>411</v>
      </c>
      <c r="J34" t="s">
        <v>276</v>
      </c>
      <c r="K34" s="1">
        <v>26000</v>
      </c>
      <c r="L34" s="1">
        <v>176</v>
      </c>
      <c r="M34" s="1">
        <v>109</v>
      </c>
      <c r="N34" s="1">
        <v>8690000</v>
      </c>
      <c r="O34" s="1"/>
      <c r="P34" s="1">
        <v>1</v>
      </c>
      <c r="Q34" s="1">
        <v>0</v>
      </c>
    </row>
    <row r="35">
      <c r="A35" s="1">
        <v>2015</v>
      </c>
      <c r="B35" s="1">
        <v>41</v>
      </c>
      <c r="C35" s="1">
        <v>51</v>
      </c>
      <c r="D35" t="s">
        <v>3</v>
      </c>
      <c r="E35" t="s">
        <v>6</v>
      </c>
      <c r="F35" s="1">
        <v>41051</v>
      </c>
      <c r="G35" s="1">
        <v>27</v>
      </c>
      <c r="H35" s="1">
        <v>53</v>
      </c>
      <c r="I35" t="s">
        <v>27</v>
      </c>
      <c r="J35" t="s">
        <v>107</v>
      </c>
      <c r="K35" s="1">
        <v>27053</v>
      </c>
      <c r="L35" s="1">
        <v>855</v>
      </c>
      <c r="M35" s="1">
        <v>495</v>
      </c>
      <c r="N35" s="1">
        <v>57960000</v>
      </c>
      <c r="O35" s="1">
        <v>27053</v>
      </c>
      <c r="P35" s="1">
        <v>1</v>
      </c>
      <c r="Q35" s="1">
        <v>0</v>
      </c>
    </row>
    <row r="36">
      <c r="A36" s="1">
        <v>2015</v>
      </c>
      <c r="B36" s="1">
        <v>41</v>
      </c>
      <c r="C36" s="1">
        <v>51</v>
      </c>
      <c r="D36" t="s">
        <v>3</v>
      </c>
      <c r="E36" t="s">
        <v>6</v>
      </c>
      <c r="F36" s="1">
        <v>41051</v>
      </c>
      <c r="G36" s="1">
        <v>32</v>
      </c>
      <c r="H36" s="1">
        <v>0</v>
      </c>
      <c r="I36" t="s">
        <v>411</v>
      </c>
      <c r="J36" t="s">
        <v>276</v>
      </c>
      <c r="K36" s="1">
        <v>32000</v>
      </c>
      <c r="L36" s="1">
        <v>82</v>
      </c>
      <c r="M36" s="1">
        <v>41</v>
      </c>
      <c r="N36" s="1">
        <v>1496500</v>
      </c>
      <c r="O36" s="1"/>
      <c r="P36" s="1">
        <v>1</v>
      </c>
      <c r="Q36" s="1">
        <v>0</v>
      </c>
    </row>
    <row r="37">
      <c r="A37" s="1">
        <v>2015</v>
      </c>
      <c r="B37" s="1">
        <v>41</v>
      </c>
      <c r="C37" s="1">
        <v>51</v>
      </c>
      <c r="D37" t="s">
        <v>3</v>
      </c>
      <c r="E37" t="s">
        <v>6</v>
      </c>
      <c r="F37" s="1">
        <v>41051</v>
      </c>
      <c r="G37" s="1">
        <v>32</v>
      </c>
      <c r="H37" s="1">
        <v>3</v>
      </c>
      <c r="I37" t="s">
        <v>29</v>
      </c>
      <c r="J37" t="s">
        <v>112</v>
      </c>
      <c r="K37" s="1">
        <v>32003</v>
      </c>
      <c r="L37" s="1">
        <v>392</v>
      </c>
      <c r="M37" s="1">
        <v>121</v>
      </c>
      <c r="N37" s="1">
        <v>2468600</v>
      </c>
      <c r="O37" s="1">
        <v>32003</v>
      </c>
      <c r="P37" s="1">
        <v>1</v>
      </c>
      <c r="Q37" s="1">
        <v>0</v>
      </c>
    </row>
    <row r="38">
      <c r="A38" s="1">
        <v>2015</v>
      </c>
      <c r="B38" s="1">
        <v>41</v>
      </c>
      <c r="C38" s="1">
        <v>51</v>
      </c>
      <c r="D38" t="s">
        <v>3</v>
      </c>
      <c r="E38" t="s">
        <v>6</v>
      </c>
      <c r="F38" s="1">
        <v>41051</v>
      </c>
      <c r="G38" s="1">
        <v>33</v>
      </c>
      <c r="H38" s="1">
        <v>0</v>
      </c>
      <c r="I38" t="s">
        <v>411</v>
      </c>
      <c r="J38" t="s">
        <v>276</v>
      </c>
      <c r="K38" s="1">
        <v>33000</v>
      </c>
      <c r="L38" s="1">
        <v>249</v>
      </c>
      <c r="M38" s="1">
        <v>141</v>
      </c>
      <c r="N38" s="1">
        <v>2676000</v>
      </c>
      <c r="O38" s="1"/>
      <c r="P38" s="1">
        <v>1</v>
      </c>
      <c r="Q38" s="1">
        <v>0</v>
      </c>
    </row>
    <row r="39">
      <c r="A39" s="1">
        <v>2015</v>
      </c>
      <c r="B39" s="1">
        <v>41</v>
      </c>
      <c r="C39" s="1">
        <v>51</v>
      </c>
      <c r="D39" t="s">
        <v>3</v>
      </c>
      <c r="E39" t="s">
        <v>6</v>
      </c>
      <c r="F39" s="1">
        <v>41051</v>
      </c>
      <c r="G39" s="1">
        <v>35</v>
      </c>
      <c r="H39" s="1">
        <v>0</v>
      </c>
      <c r="I39" t="s">
        <v>411</v>
      </c>
      <c r="J39" t="s">
        <v>276</v>
      </c>
      <c r="K39" s="1">
        <v>35000</v>
      </c>
      <c r="L39" s="1">
        <v>154</v>
      </c>
      <c r="M39" s="1">
        <v>63</v>
      </c>
      <c r="N39" s="1">
        <v>3372600</v>
      </c>
      <c r="O39" s="1"/>
      <c r="P39" s="1">
        <v>1</v>
      </c>
      <c r="Q39" s="1">
        <v>0</v>
      </c>
    </row>
    <row r="40">
      <c r="A40" s="1">
        <v>2015</v>
      </c>
      <c r="B40" s="1">
        <v>41</v>
      </c>
      <c r="C40" s="1">
        <v>51</v>
      </c>
      <c r="D40" t="s">
        <v>3</v>
      </c>
      <c r="E40" t="s">
        <v>6</v>
      </c>
      <c r="F40" s="1">
        <v>41051</v>
      </c>
      <c r="G40" s="1">
        <v>36</v>
      </c>
      <c r="H40" s="1">
        <v>0</v>
      </c>
      <c r="I40" t="s">
        <v>411</v>
      </c>
      <c r="J40" t="s">
        <v>276</v>
      </c>
      <c r="K40" s="1">
        <v>36000</v>
      </c>
      <c r="L40" s="1">
        <v>26</v>
      </c>
      <c r="M40" s="1"/>
      <c r="N40" s="1">
        <v>213200</v>
      </c>
      <c r="O40" s="1"/>
      <c r="P40" s="1">
        <v>1</v>
      </c>
      <c r="Q40" s="1">
        <v>0</v>
      </c>
    </row>
    <row r="41">
      <c r="A41" s="1">
        <v>2015</v>
      </c>
      <c r="B41" s="1">
        <v>41</v>
      </c>
      <c r="C41" s="1">
        <v>51</v>
      </c>
      <c r="D41" t="s">
        <v>3</v>
      </c>
      <c r="E41" t="s">
        <v>6</v>
      </c>
      <c r="F41" s="1">
        <v>41051</v>
      </c>
      <c r="G41" s="1">
        <v>36</v>
      </c>
      <c r="H41" s="1">
        <v>47</v>
      </c>
      <c r="I41" t="s">
        <v>31</v>
      </c>
      <c r="J41" t="s">
        <v>116</v>
      </c>
      <c r="K41" s="1">
        <v>36047</v>
      </c>
      <c r="L41" s="1">
        <v>267</v>
      </c>
      <c r="M41" s="1">
        <v>64</v>
      </c>
      <c r="N41" s="1">
        <v>12183000</v>
      </c>
      <c r="O41" s="1">
        <v>36047</v>
      </c>
      <c r="P41" s="1">
        <v>1</v>
      </c>
      <c r="Q41" s="1">
        <v>0</v>
      </c>
    </row>
    <row r="42">
      <c r="A42" s="1">
        <v>2015</v>
      </c>
      <c r="B42" s="1">
        <v>41</v>
      </c>
      <c r="C42" s="1">
        <v>51</v>
      </c>
      <c r="D42" t="s">
        <v>3</v>
      </c>
      <c r="E42" t="s">
        <v>6</v>
      </c>
      <c r="F42" s="1">
        <v>41051</v>
      </c>
      <c r="G42" s="1">
        <v>36</v>
      </c>
      <c r="H42" s="1">
        <v>61</v>
      </c>
      <c r="I42" t="s">
        <v>31</v>
      </c>
      <c r="J42" t="s">
        <v>117</v>
      </c>
      <c r="K42" s="1">
        <v>36061</v>
      </c>
      <c r="L42" s="1">
        <v>122</v>
      </c>
      <c r="M42" s="1"/>
      <c r="N42" s="1">
        <v>7320000</v>
      </c>
      <c r="O42" s="1">
        <v>36061</v>
      </c>
      <c r="P42" s="1">
        <v>1</v>
      </c>
      <c r="Q42" s="1">
        <v>0</v>
      </c>
    </row>
    <row r="43">
      <c r="A43" s="1">
        <v>2015</v>
      </c>
      <c r="B43" s="1">
        <v>41</v>
      </c>
      <c r="C43" s="1">
        <v>51</v>
      </c>
      <c r="D43" t="s">
        <v>3</v>
      </c>
      <c r="E43" t="s">
        <v>6</v>
      </c>
      <c r="F43" s="1">
        <v>41051</v>
      </c>
      <c r="G43" s="1">
        <v>36</v>
      </c>
      <c r="H43" s="1">
        <v>81</v>
      </c>
      <c r="I43" t="s">
        <v>31</v>
      </c>
      <c r="J43" t="s">
        <v>118</v>
      </c>
      <c r="K43" s="1">
        <v>36081</v>
      </c>
      <c r="L43" s="1">
        <v>189</v>
      </c>
      <c r="M43" s="1">
        <v>189</v>
      </c>
      <c r="N43" s="1">
        <v>9113400</v>
      </c>
      <c r="O43" s="1">
        <v>36081</v>
      </c>
      <c r="P43" s="1">
        <v>1</v>
      </c>
      <c r="Q43" s="1">
        <v>0</v>
      </c>
    </row>
    <row r="44">
      <c r="A44" s="1">
        <v>2015</v>
      </c>
      <c r="B44" s="1">
        <v>41</v>
      </c>
      <c r="C44" s="1">
        <v>51</v>
      </c>
      <c r="D44" t="s">
        <v>3</v>
      </c>
      <c r="E44" t="s">
        <v>6</v>
      </c>
      <c r="F44" s="1">
        <v>41051</v>
      </c>
      <c r="G44" s="1">
        <v>36</v>
      </c>
      <c r="H44" s="1">
        <v>103</v>
      </c>
      <c r="I44" t="s">
        <v>31</v>
      </c>
      <c r="J44" t="s">
        <v>105</v>
      </c>
      <c r="K44" s="1">
        <v>36103</v>
      </c>
      <c r="L44" s="1">
        <v>71</v>
      </c>
      <c r="M44" s="1">
        <v>72</v>
      </c>
      <c r="N44" s="1">
        <v>5538000</v>
      </c>
      <c r="O44" s="1">
        <v>36103</v>
      </c>
      <c r="P44" s="1">
        <v>1</v>
      </c>
      <c r="Q44" s="1">
        <v>0</v>
      </c>
    </row>
    <row r="45">
      <c r="A45" s="1">
        <v>2015</v>
      </c>
      <c r="B45" s="1">
        <v>41</v>
      </c>
      <c r="C45" s="1">
        <v>51</v>
      </c>
      <c r="D45" t="s">
        <v>3</v>
      </c>
      <c r="E45" t="s">
        <v>6</v>
      </c>
      <c r="F45" s="1">
        <v>41051</v>
      </c>
      <c r="G45" s="1">
        <v>37</v>
      </c>
      <c r="H45" s="1">
        <v>0</v>
      </c>
      <c r="I45" t="s">
        <v>411</v>
      </c>
      <c r="J45" t="s">
        <v>276</v>
      </c>
      <c r="K45" s="1">
        <v>37000</v>
      </c>
      <c r="L45" s="1">
        <v>94</v>
      </c>
      <c r="M45" s="1"/>
      <c r="N45" s="1">
        <v>0</v>
      </c>
      <c r="O45" s="1"/>
      <c r="P45" s="1">
        <v>1</v>
      </c>
      <c r="Q45" s="1">
        <v>0</v>
      </c>
    </row>
    <row r="46">
      <c r="A46" s="1">
        <v>2015</v>
      </c>
      <c r="B46" s="1">
        <v>41</v>
      </c>
      <c r="C46" s="1">
        <v>51</v>
      </c>
      <c r="D46" t="s">
        <v>3</v>
      </c>
      <c r="E46" t="s">
        <v>6</v>
      </c>
      <c r="F46" s="1">
        <v>41051</v>
      </c>
      <c r="G46" s="1">
        <v>39</v>
      </c>
      <c r="H46" s="1">
        <v>49</v>
      </c>
      <c r="I46" t="s">
        <v>33</v>
      </c>
      <c r="J46" t="s">
        <v>122</v>
      </c>
      <c r="K46" s="1">
        <v>39049</v>
      </c>
      <c r="L46" s="1">
        <v>95</v>
      </c>
      <c r="M46" s="1">
        <v>95</v>
      </c>
      <c r="N46" s="1">
        <v>8835000</v>
      </c>
      <c r="O46" s="1">
        <v>39049</v>
      </c>
      <c r="P46" s="1">
        <v>1</v>
      </c>
      <c r="Q46" s="1">
        <v>0</v>
      </c>
    </row>
    <row r="47">
      <c r="A47" s="1">
        <v>2015</v>
      </c>
      <c r="B47" s="1">
        <v>41</v>
      </c>
      <c r="C47" s="1">
        <v>51</v>
      </c>
      <c r="D47" t="s">
        <v>3</v>
      </c>
      <c r="E47" t="s">
        <v>6</v>
      </c>
      <c r="F47" s="1">
        <v>41051</v>
      </c>
      <c r="G47" s="1">
        <v>41</v>
      </c>
      <c r="H47" s="1">
        <v>0</v>
      </c>
      <c r="I47" t="s">
        <v>411</v>
      </c>
      <c r="J47" t="s">
        <v>276</v>
      </c>
      <c r="K47" s="1">
        <v>41000</v>
      </c>
      <c r="L47" s="1">
        <v>5538</v>
      </c>
      <c r="M47" s="1">
        <v>2496</v>
      </c>
      <c r="N47" s="1">
        <v>140260100</v>
      </c>
      <c r="O47" s="1"/>
      <c r="P47" s="1">
        <v>1</v>
      </c>
      <c r="Q47" s="1">
        <v>0</v>
      </c>
    </row>
    <row r="48">
      <c r="A48" s="1">
        <v>2015</v>
      </c>
      <c r="B48" s="1">
        <v>41</v>
      </c>
      <c r="C48" s="1">
        <v>51</v>
      </c>
      <c r="D48" t="s">
        <v>3</v>
      </c>
      <c r="E48" t="s">
        <v>6</v>
      </c>
      <c r="F48" s="1">
        <v>41051</v>
      </c>
      <c r="G48" s="1">
        <v>41</v>
      </c>
      <c r="H48" s="1">
        <v>5</v>
      </c>
      <c r="I48" t="s">
        <v>3</v>
      </c>
      <c r="J48" t="s">
        <v>125</v>
      </c>
      <c r="K48" s="1">
        <v>41005</v>
      </c>
      <c r="L48" s="1">
        <v>7743</v>
      </c>
      <c r="M48" s="1">
        <v>3785</v>
      </c>
      <c r="N48" s="1">
        <v>345464990</v>
      </c>
      <c r="O48" s="1">
        <v>41005</v>
      </c>
      <c r="P48" s="1">
        <v>1</v>
      </c>
      <c r="Q48" s="1">
        <v>0</v>
      </c>
    </row>
    <row r="49">
      <c r="A49" s="1">
        <v>2015</v>
      </c>
      <c r="B49" s="1">
        <v>41</v>
      </c>
      <c r="C49" s="1">
        <v>51</v>
      </c>
      <c r="D49" t="s">
        <v>3</v>
      </c>
      <c r="E49" t="s">
        <v>6</v>
      </c>
      <c r="F49" s="1">
        <v>41051</v>
      </c>
      <c r="G49" s="1">
        <v>41</v>
      </c>
      <c r="H49" s="1">
        <v>17</v>
      </c>
      <c r="I49" t="s">
        <v>3</v>
      </c>
      <c r="J49" t="s">
        <v>130</v>
      </c>
      <c r="K49" s="1">
        <v>41017</v>
      </c>
      <c r="L49" s="1">
        <v>952</v>
      </c>
      <c r="M49" s="1">
        <v>366</v>
      </c>
      <c r="N49" s="1">
        <v>41676000</v>
      </c>
      <c r="O49" s="1">
        <v>41017</v>
      </c>
      <c r="P49" s="1">
        <v>1</v>
      </c>
      <c r="Q49" s="1">
        <v>0</v>
      </c>
    </row>
    <row r="50">
      <c r="A50" s="1">
        <v>2015</v>
      </c>
      <c r="B50" s="1">
        <v>41</v>
      </c>
      <c r="C50" s="1">
        <v>51</v>
      </c>
      <c r="D50" t="s">
        <v>3</v>
      </c>
      <c r="E50" t="s">
        <v>6</v>
      </c>
      <c r="F50" s="1">
        <v>41051</v>
      </c>
      <c r="G50" s="1">
        <v>41</v>
      </c>
      <c r="H50" s="1">
        <v>19</v>
      </c>
      <c r="I50" t="s">
        <v>3</v>
      </c>
      <c r="J50" t="s">
        <v>131</v>
      </c>
      <c r="K50" s="1">
        <v>41019</v>
      </c>
      <c r="L50" s="1">
        <v>418</v>
      </c>
      <c r="M50" s="1">
        <v>82</v>
      </c>
      <c r="N50" s="1">
        <v>3384200</v>
      </c>
      <c r="O50" s="1">
        <v>41019</v>
      </c>
      <c r="P50" s="1">
        <v>1</v>
      </c>
      <c r="Q50" s="1">
        <v>0</v>
      </c>
    </row>
    <row r="51">
      <c r="A51" s="1">
        <v>2015</v>
      </c>
      <c r="B51" s="1">
        <v>41</v>
      </c>
      <c r="C51" s="1">
        <v>51</v>
      </c>
      <c r="D51" t="s">
        <v>3</v>
      </c>
      <c r="E51" t="s">
        <v>6</v>
      </c>
      <c r="F51" s="1">
        <v>41051</v>
      </c>
      <c r="G51" s="1">
        <v>41</v>
      </c>
      <c r="H51" s="1">
        <v>29</v>
      </c>
      <c r="I51" t="s">
        <v>3</v>
      </c>
      <c r="J51" t="s">
        <v>133</v>
      </c>
      <c r="K51" s="1">
        <v>41029</v>
      </c>
      <c r="L51" s="1">
        <v>173</v>
      </c>
      <c r="M51" s="1">
        <v>172</v>
      </c>
      <c r="N51" s="1">
        <v>5559000</v>
      </c>
      <c r="O51" s="1">
        <v>41029</v>
      </c>
      <c r="P51" s="1">
        <v>1</v>
      </c>
      <c r="Q51" s="1">
        <v>0</v>
      </c>
    </row>
    <row r="52">
      <c r="A52" s="1">
        <v>2015</v>
      </c>
      <c r="B52" s="1">
        <v>41</v>
      </c>
      <c r="C52" s="1">
        <v>51</v>
      </c>
      <c r="D52" t="s">
        <v>3</v>
      </c>
      <c r="E52" t="s">
        <v>6</v>
      </c>
      <c r="F52" s="1">
        <v>41051</v>
      </c>
      <c r="G52" s="1">
        <v>41</v>
      </c>
      <c r="H52" s="1">
        <v>39</v>
      </c>
      <c r="I52" t="s">
        <v>3</v>
      </c>
      <c r="J52" t="s">
        <v>136</v>
      </c>
      <c r="K52" s="1">
        <v>41039</v>
      </c>
      <c r="L52" s="1">
        <v>1646</v>
      </c>
      <c r="M52" s="1">
        <v>640</v>
      </c>
      <c r="N52" s="1">
        <v>29552520</v>
      </c>
      <c r="O52" s="1">
        <v>41039</v>
      </c>
      <c r="P52" s="1">
        <v>1</v>
      </c>
      <c r="Q52" s="1">
        <v>0</v>
      </c>
    </row>
    <row r="53">
      <c r="A53" s="1">
        <v>2015</v>
      </c>
      <c r="B53" s="1">
        <v>41</v>
      </c>
      <c r="C53" s="1">
        <v>51</v>
      </c>
      <c r="D53" t="s">
        <v>3</v>
      </c>
      <c r="E53" t="s">
        <v>6</v>
      </c>
      <c r="F53" s="1">
        <v>41051</v>
      </c>
      <c r="G53" s="1">
        <v>41</v>
      </c>
      <c r="H53" s="1">
        <v>47</v>
      </c>
      <c r="I53" t="s">
        <v>3</v>
      </c>
      <c r="J53" t="s">
        <v>99</v>
      </c>
      <c r="K53" s="1">
        <v>41047</v>
      </c>
      <c r="L53" s="1">
        <v>581</v>
      </c>
      <c r="M53" s="1">
        <v>61</v>
      </c>
      <c r="N53" s="1">
        <v>8411940</v>
      </c>
      <c r="O53" s="1">
        <v>41047</v>
      </c>
      <c r="P53" s="1">
        <v>1</v>
      </c>
      <c r="Q53" s="1">
        <v>0</v>
      </c>
    </row>
    <row r="54">
      <c r="A54" s="1">
        <v>2015</v>
      </c>
      <c r="B54" s="1">
        <v>41</v>
      </c>
      <c r="C54" s="1">
        <v>51</v>
      </c>
      <c r="D54" t="s">
        <v>3</v>
      </c>
      <c r="E54" t="s">
        <v>6</v>
      </c>
      <c r="F54" s="1">
        <v>41051</v>
      </c>
      <c r="G54" s="1">
        <v>41</v>
      </c>
      <c r="H54" s="1">
        <v>51</v>
      </c>
      <c r="I54" t="s">
        <v>3</v>
      </c>
      <c r="J54" t="s">
        <v>6</v>
      </c>
      <c r="K54" s="1">
        <v>41051</v>
      </c>
      <c r="L54" s="1">
        <v>571896</v>
      </c>
      <c r="M54" s="1">
        <v>292849</v>
      </c>
      <c r="N54" s="1">
        <v>24467590794</v>
      </c>
      <c r="O54" s="1">
        <v>41051</v>
      </c>
      <c r="P54" s="1">
        <v>1</v>
      </c>
      <c r="Q54" s="1">
        <v>1</v>
      </c>
    </row>
    <row r="55">
      <c r="A55" s="1">
        <v>2015</v>
      </c>
      <c r="B55" s="1">
        <v>41</v>
      </c>
      <c r="C55" s="1">
        <v>51</v>
      </c>
      <c r="D55" t="s">
        <v>3</v>
      </c>
      <c r="E55" t="s">
        <v>6</v>
      </c>
      <c r="F55" s="1">
        <v>41051</v>
      </c>
      <c r="G55" s="1">
        <v>41</v>
      </c>
      <c r="H55" s="1">
        <v>67</v>
      </c>
      <c r="I55" t="s">
        <v>3</v>
      </c>
      <c r="J55" t="s">
        <v>143</v>
      </c>
      <c r="K55" s="1">
        <v>41067</v>
      </c>
      <c r="L55" s="1">
        <v>6416</v>
      </c>
      <c r="M55" s="1">
        <v>3287</v>
      </c>
      <c r="N55" s="1">
        <v>323862750</v>
      </c>
      <c r="O55" s="1">
        <v>41067</v>
      </c>
      <c r="P55" s="1">
        <v>1</v>
      </c>
      <c r="Q55" s="1">
        <v>0</v>
      </c>
    </row>
    <row r="56">
      <c r="A56" s="1">
        <v>2015</v>
      </c>
      <c r="B56" s="1">
        <v>41</v>
      </c>
      <c r="C56" s="1">
        <v>51</v>
      </c>
      <c r="D56" t="s">
        <v>3</v>
      </c>
      <c r="E56" t="s">
        <v>6</v>
      </c>
      <c r="F56" s="1">
        <v>41051</v>
      </c>
      <c r="G56" s="1">
        <v>42</v>
      </c>
      <c r="H56" s="1">
        <v>3</v>
      </c>
      <c r="I56" t="s">
        <v>34</v>
      </c>
      <c r="J56" t="s">
        <v>145</v>
      </c>
      <c r="K56" s="1">
        <v>42003</v>
      </c>
      <c r="L56" s="1">
        <v>367</v>
      </c>
      <c r="M56" s="1"/>
      <c r="N56" s="1">
        <v>2202000</v>
      </c>
      <c r="O56" s="1">
        <v>42003</v>
      </c>
      <c r="P56" s="1">
        <v>1</v>
      </c>
      <c r="Q56" s="1">
        <v>0</v>
      </c>
    </row>
    <row r="57">
      <c r="A57" s="1">
        <v>2015</v>
      </c>
      <c r="B57" s="1">
        <v>41</v>
      </c>
      <c r="C57" s="1">
        <v>51</v>
      </c>
      <c r="D57" t="s">
        <v>3</v>
      </c>
      <c r="E57" t="s">
        <v>6</v>
      </c>
      <c r="F57" s="1">
        <v>41051</v>
      </c>
      <c r="G57" s="1">
        <v>42</v>
      </c>
      <c r="H57" s="1">
        <v>101</v>
      </c>
      <c r="I57" t="s">
        <v>34</v>
      </c>
      <c r="J57" t="s">
        <v>146</v>
      </c>
      <c r="K57" s="1">
        <v>42101</v>
      </c>
      <c r="L57" s="1">
        <v>253</v>
      </c>
      <c r="M57" s="1">
        <v>85</v>
      </c>
      <c r="N57" s="1">
        <v>8018000</v>
      </c>
      <c r="O57" s="1">
        <v>42101</v>
      </c>
      <c r="P57" s="1">
        <v>1</v>
      </c>
      <c r="Q57" s="1">
        <v>0</v>
      </c>
    </row>
    <row r="58">
      <c r="A58" s="1">
        <v>2015</v>
      </c>
      <c r="B58" s="1">
        <v>41</v>
      </c>
      <c r="C58" s="1">
        <v>51</v>
      </c>
      <c r="D58" t="s">
        <v>3</v>
      </c>
      <c r="E58" t="s">
        <v>6</v>
      </c>
      <c r="F58" s="1">
        <v>41051</v>
      </c>
      <c r="G58" s="1">
        <v>48</v>
      </c>
      <c r="H58" s="1">
        <v>141</v>
      </c>
      <c r="I58" t="s">
        <v>36</v>
      </c>
      <c r="J58" t="s">
        <v>82</v>
      </c>
      <c r="K58" s="1">
        <v>48141</v>
      </c>
      <c r="L58" s="1">
        <v>354</v>
      </c>
      <c r="M58" s="1">
        <v>106</v>
      </c>
      <c r="N58" s="1">
        <v>20048000</v>
      </c>
      <c r="O58" s="1">
        <v>48141</v>
      </c>
      <c r="P58" s="1">
        <v>1</v>
      </c>
      <c r="Q58" s="1">
        <v>0</v>
      </c>
    </row>
    <row r="59">
      <c r="A59" s="1">
        <v>2015</v>
      </c>
      <c r="B59" s="1">
        <v>41</v>
      </c>
      <c r="C59" s="1">
        <v>51</v>
      </c>
      <c r="D59" t="s">
        <v>3</v>
      </c>
      <c r="E59" t="s">
        <v>6</v>
      </c>
      <c r="F59" s="1">
        <v>41051</v>
      </c>
      <c r="G59" s="1">
        <v>48</v>
      </c>
      <c r="H59" s="1">
        <v>453</v>
      </c>
      <c r="I59" t="s">
        <v>36</v>
      </c>
      <c r="J59" t="s">
        <v>153</v>
      </c>
      <c r="K59" s="1">
        <v>48453</v>
      </c>
      <c r="L59" s="1">
        <v>94</v>
      </c>
      <c r="M59" s="1">
        <v>95</v>
      </c>
      <c r="N59" s="1">
        <v>2340600</v>
      </c>
      <c r="O59" s="1">
        <v>48453</v>
      </c>
      <c r="P59" s="1">
        <v>1</v>
      </c>
      <c r="Q59" s="1">
        <v>0</v>
      </c>
    </row>
    <row r="60">
      <c r="A60" s="1">
        <v>2015</v>
      </c>
      <c r="B60" s="1">
        <v>41</v>
      </c>
      <c r="C60" s="1">
        <v>51</v>
      </c>
      <c r="D60" t="s">
        <v>3</v>
      </c>
      <c r="E60" t="s">
        <v>6</v>
      </c>
      <c r="F60" s="1">
        <v>41051</v>
      </c>
      <c r="G60" s="1">
        <v>49</v>
      </c>
      <c r="H60" s="1">
        <v>35</v>
      </c>
      <c r="I60" t="s">
        <v>37</v>
      </c>
      <c r="J60" t="s">
        <v>154</v>
      </c>
      <c r="K60" s="1">
        <v>49035</v>
      </c>
      <c r="L60" s="1">
        <v>382</v>
      </c>
      <c r="M60" s="1">
        <v>250</v>
      </c>
      <c r="N60" s="1">
        <v>10795000</v>
      </c>
      <c r="O60" s="1">
        <v>49035</v>
      </c>
      <c r="P60" s="1">
        <v>1</v>
      </c>
      <c r="Q60" s="1">
        <v>0</v>
      </c>
    </row>
    <row r="61">
      <c r="A61" s="1">
        <v>2015</v>
      </c>
      <c r="B61" s="1">
        <v>41</v>
      </c>
      <c r="C61" s="1">
        <v>51</v>
      </c>
      <c r="D61" t="s">
        <v>3</v>
      </c>
      <c r="E61" t="s">
        <v>6</v>
      </c>
      <c r="F61" s="1">
        <v>41051</v>
      </c>
      <c r="G61" s="1">
        <v>49</v>
      </c>
      <c r="H61" s="1">
        <v>49</v>
      </c>
      <c r="I61" t="s">
        <v>37</v>
      </c>
      <c r="J61" t="s">
        <v>219</v>
      </c>
      <c r="K61" s="1">
        <v>49049</v>
      </c>
      <c r="L61" s="1">
        <v>171</v>
      </c>
      <c r="M61" s="1"/>
      <c r="N61" s="1">
        <v>3762000</v>
      </c>
      <c r="O61" s="1">
        <v>49049</v>
      </c>
      <c r="P61" s="1">
        <v>1</v>
      </c>
      <c r="Q61" s="1">
        <v>0</v>
      </c>
    </row>
    <row r="62">
      <c r="A62" s="1">
        <v>2015</v>
      </c>
      <c r="B62" s="1">
        <v>41</v>
      </c>
      <c r="C62" s="1">
        <v>51</v>
      </c>
      <c r="D62" t="s">
        <v>3</v>
      </c>
      <c r="E62" t="s">
        <v>6</v>
      </c>
      <c r="F62" s="1">
        <v>41051</v>
      </c>
      <c r="G62" s="1">
        <v>53</v>
      </c>
      <c r="H62" s="1">
        <v>0</v>
      </c>
      <c r="I62" t="s">
        <v>411</v>
      </c>
      <c r="J62" t="s">
        <v>276</v>
      </c>
      <c r="K62" s="1">
        <v>53000</v>
      </c>
      <c r="L62" s="1">
        <v>978</v>
      </c>
      <c r="M62" s="1">
        <v>408</v>
      </c>
      <c r="N62" s="1">
        <v>26587700</v>
      </c>
      <c r="O62" s="1"/>
      <c r="P62" s="1">
        <v>1</v>
      </c>
      <c r="Q62" s="1">
        <v>0</v>
      </c>
    </row>
    <row r="63">
      <c r="A63" s="1">
        <v>2015</v>
      </c>
      <c r="B63" s="1">
        <v>41</v>
      </c>
      <c r="C63" s="1">
        <v>51</v>
      </c>
      <c r="D63" t="s">
        <v>3</v>
      </c>
      <c r="E63" t="s">
        <v>6</v>
      </c>
      <c r="F63" s="1">
        <v>41051</v>
      </c>
      <c r="G63" s="1">
        <v>53</v>
      </c>
      <c r="H63" s="1">
        <v>11</v>
      </c>
      <c r="I63" t="s">
        <v>40</v>
      </c>
      <c r="J63" t="s">
        <v>112</v>
      </c>
      <c r="K63" s="1">
        <v>53011</v>
      </c>
      <c r="L63" s="1">
        <v>4069</v>
      </c>
      <c r="M63" s="1">
        <v>2138</v>
      </c>
      <c r="N63" s="1">
        <v>125022080</v>
      </c>
      <c r="O63" s="1">
        <v>53011</v>
      </c>
      <c r="P63" s="1">
        <v>1</v>
      </c>
      <c r="Q63" s="1">
        <v>0</v>
      </c>
    </row>
    <row r="64">
      <c r="A64" s="1">
        <v>2015</v>
      </c>
      <c r="B64" s="1">
        <v>41</v>
      </c>
      <c r="C64" s="1">
        <v>51</v>
      </c>
      <c r="D64" t="s">
        <v>3</v>
      </c>
      <c r="E64" t="s">
        <v>6</v>
      </c>
      <c r="F64" s="1">
        <v>41051</v>
      </c>
      <c r="G64" s="1">
        <v>53</v>
      </c>
      <c r="H64" s="1">
        <v>33</v>
      </c>
      <c r="I64" t="s">
        <v>40</v>
      </c>
      <c r="J64" t="s">
        <v>160</v>
      </c>
      <c r="K64" s="1">
        <v>53033</v>
      </c>
      <c r="L64" s="1">
        <v>3238</v>
      </c>
      <c r="M64" s="1">
        <v>1908</v>
      </c>
      <c r="N64" s="1">
        <v>144601250</v>
      </c>
      <c r="O64" s="1">
        <v>53033</v>
      </c>
      <c r="P64" s="1">
        <v>1</v>
      </c>
      <c r="Q64" s="1">
        <v>0</v>
      </c>
    </row>
    <row r="65">
      <c r="A65" s="1">
        <v>2015</v>
      </c>
      <c r="B65" s="1">
        <v>41</v>
      </c>
      <c r="C65" s="1">
        <v>51</v>
      </c>
      <c r="D65" t="s">
        <v>3</v>
      </c>
      <c r="E65" t="s">
        <v>6</v>
      </c>
      <c r="F65" s="1">
        <v>41051</v>
      </c>
      <c r="G65" s="1">
        <v>53</v>
      </c>
      <c r="H65" s="1">
        <v>35</v>
      </c>
      <c r="I65" t="s">
        <v>40</v>
      </c>
      <c r="J65" t="s">
        <v>161</v>
      </c>
      <c r="K65" s="1">
        <v>53035</v>
      </c>
      <c r="L65" s="1">
        <v>76</v>
      </c>
      <c r="M65" s="1"/>
      <c r="N65" s="1">
        <v>2812000</v>
      </c>
      <c r="O65" s="1">
        <v>53035</v>
      </c>
      <c r="P65" s="1">
        <v>1</v>
      </c>
      <c r="Q65" s="1">
        <v>0</v>
      </c>
    </row>
    <row r="66">
      <c r="A66" s="1">
        <v>2015</v>
      </c>
      <c r="B66" s="1">
        <v>41</v>
      </c>
      <c r="C66" s="1">
        <v>51</v>
      </c>
      <c r="D66" t="s">
        <v>3</v>
      </c>
      <c r="E66" t="s">
        <v>6</v>
      </c>
      <c r="F66" s="1">
        <v>41051</v>
      </c>
      <c r="G66" s="1">
        <v>53</v>
      </c>
      <c r="H66" s="1">
        <v>53</v>
      </c>
      <c r="I66" t="s">
        <v>40</v>
      </c>
      <c r="J66" t="s">
        <v>165</v>
      </c>
      <c r="K66" s="1">
        <v>53053</v>
      </c>
      <c r="L66" s="1">
        <v>361</v>
      </c>
      <c r="M66" s="1"/>
      <c r="N66" s="1">
        <v>6089000</v>
      </c>
      <c r="O66" s="1">
        <v>53053</v>
      </c>
      <c r="P66" s="1">
        <v>1</v>
      </c>
      <c r="Q66" s="1">
        <v>0</v>
      </c>
    </row>
    <row r="67">
      <c r="A67" s="1">
        <v>2015</v>
      </c>
      <c r="B67" s="1">
        <v>41</v>
      </c>
      <c r="C67" s="1">
        <v>51</v>
      </c>
      <c r="D67" t="s">
        <v>3</v>
      </c>
      <c r="E67" t="s">
        <v>6</v>
      </c>
      <c r="F67" s="1">
        <v>41051</v>
      </c>
      <c r="G67" s="1">
        <v>53</v>
      </c>
      <c r="H67" s="1">
        <v>61</v>
      </c>
      <c r="I67" t="s">
        <v>40</v>
      </c>
      <c r="J67" t="s">
        <v>167</v>
      </c>
      <c r="K67" s="1">
        <v>53061</v>
      </c>
      <c r="L67" s="1">
        <v>245</v>
      </c>
      <c r="M67" s="1"/>
      <c r="N67" s="1">
        <v>2186000</v>
      </c>
      <c r="O67" s="1">
        <v>53061</v>
      </c>
      <c r="P67" s="1">
        <v>1</v>
      </c>
      <c r="Q67" s="1">
        <v>0</v>
      </c>
    </row>
    <row r="68">
      <c r="A68" s="1">
        <v>2015</v>
      </c>
      <c r="B68" s="1">
        <v>41</v>
      </c>
      <c r="C68" s="1">
        <v>51</v>
      </c>
      <c r="D68" t="s">
        <v>3</v>
      </c>
      <c r="E68" t="s">
        <v>6</v>
      </c>
      <c r="F68" s="1">
        <v>41051</v>
      </c>
      <c r="G68" s="1">
        <v>53</v>
      </c>
      <c r="H68" s="1">
        <v>63</v>
      </c>
      <c r="I68" t="s">
        <v>40</v>
      </c>
      <c r="J68" t="s">
        <v>168</v>
      </c>
      <c r="K68" s="1">
        <v>53063</v>
      </c>
      <c r="L68" s="1">
        <v>190</v>
      </c>
      <c r="M68" s="1">
        <v>190</v>
      </c>
      <c r="N68" s="1">
        <v>4811600</v>
      </c>
      <c r="O68" s="1">
        <v>53063</v>
      </c>
      <c r="P68" s="1">
        <v>1</v>
      </c>
      <c r="Q68" s="1">
        <v>0</v>
      </c>
    </row>
    <row r="69">
      <c r="A69" s="1">
        <v>2016</v>
      </c>
      <c r="B69" s="1">
        <v>41</v>
      </c>
      <c r="C69" s="1">
        <v>51</v>
      </c>
      <c r="D69" t="s">
        <v>3</v>
      </c>
      <c r="E69" t="s">
        <v>6</v>
      </c>
      <c r="F69" s="1">
        <v>41051</v>
      </c>
      <c r="G69" s="1">
        <v>1</v>
      </c>
      <c r="H69" s="1">
        <v>0</v>
      </c>
      <c r="I69" t="s">
        <v>411</v>
      </c>
      <c r="J69" t="s">
        <v>276</v>
      </c>
      <c r="K69" s="1">
        <v>1000</v>
      </c>
      <c r="L69" s="1">
        <v>21</v>
      </c>
      <c r="M69" s="1">
        <v>11</v>
      </c>
      <c r="N69" s="1">
        <v>2521200</v>
      </c>
      <c r="O69" s="1"/>
      <c r="P69" s="1">
        <v>1</v>
      </c>
      <c r="Q69" s="1">
        <v>0</v>
      </c>
    </row>
    <row r="70">
      <c r="A70" s="1">
        <v>2016</v>
      </c>
      <c r="B70" s="1">
        <v>41</v>
      </c>
      <c r="C70" s="1">
        <v>51</v>
      </c>
      <c r="D70" t="s">
        <v>3</v>
      </c>
      <c r="E70" t="s">
        <v>6</v>
      </c>
      <c r="F70" s="1">
        <v>41051</v>
      </c>
      <c r="G70" s="1">
        <v>1</v>
      </c>
      <c r="H70" s="1">
        <v>97</v>
      </c>
      <c r="I70" t="s">
        <v>268</v>
      </c>
      <c r="J70" t="s">
        <v>280</v>
      </c>
      <c r="K70" s="1">
        <v>1097</v>
      </c>
      <c r="L70" s="1">
        <v>115</v>
      </c>
      <c r="M70" s="1">
        <v>115</v>
      </c>
      <c r="N70" s="1">
        <v>230000</v>
      </c>
      <c r="O70" s="1">
        <v>1097</v>
      </c>
      <c r="P70" s="1">
        <v>1</v>
      </c>
      <c r="Q70" s="1">
        <v>0</v>
      </c>
    </row>
    <row r="71">
      <c r="A71" s="1">
        <v>2016</v>
      </c>
      <c r="B71" s="1">
        <v>41</v>
      </c>
      <c r="C71" s="1">
        <v>51</v>
      </c>
      <c r="D71" t="s">
        <v>3</v>
      </c>
      <c r="E71" t="s">
        <v>6</v>
      </c>
      <c r="F71" s="1">
        <v>41051</v>
      </c>
      <c r="G71" s="1">
        <v>2</v>
      </c>
      <c r="H71" s="1">
        <v>0</v>
      </c>
      <c r="I71" t="s">
        <v>411</v>
      </c>
      <c r="J71" t="s">
        <v>276</v>
      </c>
      <c r="K71" s="1">
        <v>2000</v>
      </c>
      <c r="L71" s="1">
        <v>102</v>
      </c>
      <c r="M71" s="1">
        <v>71</v>
      </c>
      <c r="N71" s="1">
        <v>3588210</v>
      </c>
      <c r="O71" s="1"/>
      <c r="P71" s="1">
        <v>1</v>
      </c>
      <c r="Q71" s="1">
        <v>0</v>
      </c>
    </row>
    <row r="72">
      <c r="A72" s="1">
        <v>2016</v>
      </c>
      <c r="B72" s="1">
        <v>41</v>
      </c>
      <c r="C72" s="1">
        <v>51</v>
      </c>
      <c r="D72" t="s">
        <v>3</v>
      </c>
      <c r="E72" t="s">
        <v>6</v>
      </c>
      <c r="F72" s="1">
        <v>41051</v>
      </c>
      <c r="G72" s="1">
        <v>4</v>
      </c>
      <c r="H72" s="1">
        <v>0</v>
      </c>
      <c r="I72" t="s">
        <v>411</v>
      </c>
      <c r="J72" t="s">
        <v>276</v>
      </c>
      <c r="K72" s="1">
        <v>4000</v>
      </c>
      <c r="L72" s="1">
        <v>1052</v>
      </c>
      <c r="M72" s="1">
        <v>228</v>
      </c>
      <c r="N72" s="1">
        <v>12577900</v>
      </c>
      <c r="O72" s="1"/>
      <c r="P72" s="1">
        <v>1</v>
      </c>
      <c r="Q72" s="1">
        <v>0</v>
      </c>
    </row>
    <row r="73">
      <c r="A73" s="1">
        <v>2016</v>
      </c>
      <c r="B73" s="1">
        <v>41</v>
      </c>
      <c r="C73" s="1">
        <v>51</v>
      </c>
      <c r="D73" t="s">
        <v>3</v>
      </c>
      <c r="E73" t="s">
        <v>6</v>
      </c>
      <c r="F73" s="1">
        <v>41051</v>
      </c>
      <c r="G73" s="1">
        <v>4</v>
      </c>
      <c r="H73" s="1">
        <v>13</v>
      </c>
      <c r="I73" t="s">
        <v>10</v>
      </c>
      <c r="J73" t="s">
        <v>53</v>
      </c>
      <c r="K73" s="1">
        <v>4013</v>
      </c>
      <c r="L73" s="1">
        <v>853</v>
      </c>
      <c r="M73" s="1">
        <v>270</v>
      </c>
      <c r="N73" s="1">
        <v>5497140</v>
      </c>
      <c r="O73" s="1">
        <v>4013</v>
      </c>
      <c r="P73" s="1">
        <v>1</v>
      </c>
      <c r="Q73" s="1">
        <v>0</v>
      </c>
    </row>
    <row r="74">
      <c r="A74" s="1">
        <v>2016</v>
      </c>
      <c r="B74" s="1">
        <v>41</v>
      </c>
      <c r="C74" s="1">
        <v>51</v>
      </c>
      <c r="D74" t="s">
        <v>3</v>
      </c>
      <c r="E74" t="s">
        <v>6</v>
      </c>
      <c r="F74" s="1">
        <v>41051</v>
      </c>
      <c r="G74" s="1">
        <v>4</v>
      </c>
      <c r="H74" s="1">
        <v>19</v>
      </c>
      <c r="I74" t="s">
        <v>10</v>
      </c>
      <c r="J74" t="s">
        <v>54</v>
      </c>
      <c r="K74" s="1">
        <v>4019</v>
      </c>
      <c r="L74" s="1">
        <v>126</v>
      </c>
      <c r="M74" s="1">
        <v>125</v>
      </c>
      <c r="N74" s="1">
        <v>3929600</v>
      </c>
      <c r="O74" s="1">
        <v>4019</v>
      </c>
      <c r="P74" s="1">
        <v>1</v>
      </c>
      <c r="Q74" s="1">
        <v>0</v>
      </c>
    </row>
    <row r="75">
      <c r="A75" s="1">
        <v>2016</v>
      </c>
      <c r="B75" s="1">
        <v>41</v>
      </c>
      <c r="C75" s="1">
        <v>51</v>
      </c>
      <c r="D75" t="s">
        <v>3</v>
      </c>
      <c r="E75" t="s">
        <v>6</v>
      </c>
      <c r="F75" s="1">
        <v>41051</v>
      </c>
      <c r="G75" s="1">
        <v>6</v>
      </c>
      <c r="H75" s="1">
        <v>0</v>
      </c>
      <c r="I75" t="s">
        <v>411</v>
      </c>
      <c r="J75" t="s">
        <v>276</v>
      </c>
      <c r="K75" s="1">
        <v>6000</v>
      </c>
      <c r="L75" s="1">
        <v>114</v>
      </c>
      <c r="M75" s="1"/>
      <c r="N75" s="1">
        <v>0</v>
      </c>
      <c r="O75" s="1"/>
      <c r="P75" s="1">
        <v>1</v>
      </c>
      <c r="Q75" s="1">
        <v>0</v>
      </c>
    </row>
    <row r="76">
      <c r="A76" s="1">
        <v>2016</v>
      </c>
      <c r="B76" s="1">
        <v>41</v>
      </c>
      <c r="C76" s="1">
        <v>51</v>
      </c>
      <c r="D76" t="s">
        <v>3</v>
      </c>
      <c r="E76" t="s">
        <v>6</v>
      </c>
      <c r="F76" s="1">
        <v>41051</v>
      </c>
      <c r="G76" s="1">
        <v>6</v>
      </c>
      <c r="H76" s="1">
        <v>13</v>
      </c>
      <c r="I76" t="s">
        <v>11</v>
      </c>
      <c r="J76" t="s">
        <v>57</v>
      </c>
      <c r="K76" s="1">
        <v>6013</v>
      </c>
      <c r="L76" s="1">
        <v>149</v>
      </c>
      <c r="M76" s="1">
        <v>148</v>
      </c>
      <c r="N76" s="1">
        <v>5960000</v>
      </c>
      <c r="O76" s="1">
        <v>6013</v>
      </c>
      <c r="P76" s="1">
        <v>1</v>
      </c>
      <c r="Q76" s="1">
        <v>0</v>
      </c>
    </row>
    <row r="77">
      <c r="A77" s="1">
        <v>2016</v>
      </c>
      <c r="B77" s="1">
        <v>41</v>
      </c>
      <c r="C77" s="1">
        <v>51</v>
      </c>
      <c r="D77" t="s">
        <v>3</v>
      </c>
      <c r="E77" t="s">
        <v>6</v>
      </c>
      <c r="F77" s="1">
        <v>41051</v>
      </c>
      <c r="G77" s="1">
        <v>6</v>
      </c>
      <c r="H77" s="1">
        <v>37</v>
      </c>
      <c r="I77" t="s">
        <v>11</v>
      </c>
      <c r="J77" t="s">
        <v>61</v>
      </c>
      <c r="K77" s="1">
        <v>6037</v>
      </c>
      <c r="L77" s="1">
        <v>690</v>
      </c>
      <c r="M77" s="1">
        <v>288</v>
      </c>
      <c r="N77" s="1">
        <v>23915500</v>
      </c>
      <c r="O77" s="1">
        <v>6037</v>
      </c>
      <c r="P77" s="1">
        <v>1</v>
      </c>
      <c r="Q77" s="1">
        <v>0</v>
      </c>
    </row>
    <row r="78">
      <c r="A78" s="1">
        <v>2016</v>
      </c>
      <c r="B78" s="1">
        <v>41</v>
      </c>
      <c r="C78" s="1">
        <v>51</v>
      </c>
      <c r="D78" t="s">
        <v>3</v>
      </c>
      <c r="E78" t="s">
        <v>6</v>
      </c>
      <c r="F78" s="1">
        <v>41051</v>
      </c>
      <c r="G78" s="1">
        <v>6</v>
      </c>
      <c r="H78" s="1">
        <v>61</v>
      </c>
      <c r="I78" t="s">
        <v>11</v>
      </c>
      <c r="J78" t="s">
        <v>65</v>
      </c>
      <c r="K78" s="1">
        <v>6061</v>
      </c>
      <c r="L78" s="1">
        <v>290</v>
      </c>
      <c r="M78" s="1"/>
      <c r="N78" s="1">
        <v>9972000</v>
      </c>
      <c r="O78" s="1">
        <v>6061</v>
      </c>
      <c r="P78" s="1">
        <v>1</v>
      </c>
      <c r="Q78" s="1">
        <v>0</v>
      </c>
    </row>
    <row r="79">
      <c r="A79" s="1">
        <v>2016</v>
      </c>
      <c r="B79" s="1">
        <v>41</v>
      </c>
      <c r="C79" s="1">
        <v>51</v>
      </c>
      <c r="D79" t="s">
        <v>3</v>
      </c>
      <c r="E79" t="s">
        <v>6</v>
      </c>
      <c r="F79" s="1">
        <v>41051</v>
      </c>
      <c r="G79" s="1">
        <v>6</v>
      </c>
      <c r="H79" s="1">
        <v>67</v>
      </c>
      <c r="I79" t="s">
        <v>11</v>
      </c>
      <c r="J79" t="s">
        <v>67</v>
      </c>
      <c r="K79" s="1">
        <v>6067</v>
      </c>
      <c r="L79" s="1">
        <v>182</v>
      </c>
      <c r="M79" s="1">
        <v>45</v>
      </c>
      <c r="N79" s="1">
        <v>1350000</v>
      </c>
      <c r="O79" s="1">
        <v>6067</v>
      </c>
      <c r="P79" s="1">
        <v>1</v>
      </c>
      <c r="Q79" s="1">
        <v>0</v>
      </c>
    </row>
    <row r="80">
      <c r="A80" s="1">
        <v>2016</v>
      </c>
      <c r="B80" s="1">
        <v>41</v>
      </c>
      <c r="C80" s="1">
        <v>51</v>
      </c>
      <c r="D80" t="s">
        <v>3</v>
      </c>
      <c r="E80" t="s">
        <v>6</v>
      </c>
      <c r="F80" s="1">
        <v>41051</v>
      </c>
      <c r="G80" s="1">
        <v>6</v>
      </c>
      <c r="H80" s="1">
        <v>73</v>
      </c>
      <c r="I80" t="s">
        <v>11</v>
      </c>
      <c r="J80" t="s">
        <v>69</v>
      </c>
      <c r="K80" s="1">
        <v>6073</v>
      </c>
      <c r="L80" s="1">
        <v>38</v>
      </c>
      <c r="M80" s="1">
        <v>37</v>
      </c>
      <c r="N80" s="1">
        <v>304000</v>
      </c>
      <c r="O80" s="1">
        <v>6073</v>
      </c>
      <c r="P80" s="1">
        <v>1</v>
      </c>
      <c r="Q80" s="1">
        <v>0</v>
      </c>
    </row>
    <row r="81">
      <c r="A81" s="1">
        <v>2016</v>
      </c>
      <c r="B81" s="1">
        <v>41</v>
      </c>
      <c r="C81" s="1">
        <v>51</v>
      </c>
      <c r="D81" t="s">
        <v>3</v>
      </c>
      <c r="E81" t="s">
        <v>6</v>
      </c>
      <c r="F81" s="1">
        <v>41051</v>
      </c>
      <c r="G81" s="1">
        <v>6</v>
      </c>
      <c r="H81" s="1">
        <v>79</v>
      </c>
      <c r="I81" t="s">
        <v>11</v>
      </c>
      <c r="J81" t="s">
        <v>71</v>
      </c>
      <c r="K81" s="1">
        <v>6079</v>
      </c>
      <c r="L81" s="1">
        <v>298</v>
      </c>
      <c r="M81" s="1">
        <v>157</v>
      </c>
      <c r="N81" s="1">
        <v>16323000</v>
      </c>
      <c r="O81" s="1">
        <v>6079</v>
      </c>
      <c r="P81" s="1">
        <v>1</v>
      </c>
      <c r="Q81" s="1">
        <v>0</v>
      </c>
    </row>
    <row r="82">
      <c r="A82" s="1">
        <v>2016</v>
      </c>
      <c r="B82" s="1">
        <v>41</v>
      </c>
      <c r="C82" s="1">
        <v>51</v>
      </c>
      <c r="D82" t="s">
        <v>3</v>
      </c>
      <c r="E82" t="s">
        <v>6</v>
      </c>
      <c r="F82" s="1">
        <v>41051</v>
      </c>
      <c r="G82" s="1">
        <v>6</v>
      </c>
      <c r="H82" s="1">
        <v>83</v>
      </c>
      <c r="I82" t="s">
        <v>11</v>
      </c>
      <c r="J82" t="s">
        <v>73</v>
      </c>
      <c r="K82" s="1">
        <v>6083</v>
      </c>
      <c r="L82" s="1">
        <v>69</v>
      </c>
      <c r="M82" s="1">
        <v>69</v>
      </c>
      <c r="N82" s="1">
        <v>2898000</v>
      </c>
      <c r="O82" s="1">
        <v>6083</v>
      </c>
      <c r="P82" s="1">
        <v>1</v>
      </c>
      <c r="Q82" s="1">
        <v>0</v>
      </c>
    </row>
    <row r="83">
      <c r="A83" s="1">
        <v>2016</v>
      </c>
      <c r="B83" s="1">
        <v>41</v>
      </c>
      <c r="C83" s="1">
        <v>51</v>
      </c>
      <c r="D83" t="s">
        <v>3</v>
      </c>
      <c r="E83" t="s">
        <v>6</v>
      </c>
      <c r="F83" s="1">
        <v>41051</v>
      </c>
      <c r="G83" s="1">
        <v>6</v>
      </c>
      <c r="H83" s="1">
        <v>85</v>
      </c>
      <c r="I83" t="s">
        <v>11</v>
      </c>
      <c r="J83" t="s">
        <v>74</v>
      </c>
      <c r="K83" s="1">
        <v>6085</v>
      </c>
      <c r="L83" s="1">
        <v>224</v>
      </c>
      <c r="M83" s="1">
        <v>127</v>
      </c>
      <c r="N83" s="1">
        <v>34018600</v>
      </c>
      <c r="O83" s="1">
        <v>6085</v>
      </c>
      <c r="P83" s="1">
        <v>1</v>
      </c>
      <c r="Q83" s="1">
        <v>0</v>
      </c>
    </row>
    <row r="84">
      <c r="A84" s="1">
        <v>2016</v>
      </c>
      <c r="B84" s="1">
        <v>41</v>
      </c>
      <c r="C84" s="1">
        <v>51</v>
      </c>
      <c r="D84" t="s">
        <v>3</v>
      </c>
      <c r="E84" t="s">
        <v>6</v>
      </c>
      <c r="F84" s="1">
        <v>41051</v>
      </c>
      <c r="G84" s="1">
        <v>6</v>
      </c>
      <c r="H84" s="1">
        <v>95</v>
      </c>
      <c r="I84" t="s">
        <v>11</v>
      </c>
      <c r="J84" t="s">
        <v>180</v>
      </c>
      <c r="K84" s="1">
        <v>6095</v>
      </c>
      <c r="L84" s="1">
        <v>88</v>
      </c>
      <c r="M84" s="1"/>
      <c r="N84" s="1">
        <v>941600</v>
      </c>
      <c r="O84" s="1">
        <v>6095</v>
      </c>
      <c r="P84" s="1">
        <v>1</v>
      </c>
      <c r="Q84" s="1">
        <v>0</v>
      </c>
    </row>
    <row r="85">
      <c r="A85" s="1">
        <v>2016</v>
      </c>
      <c r="B85" s="1">
        <v>41</v>
      </c>
      <c r="C85" s="1">
        <v>51</v>
      </c>
      <c r="D85" t="s">
        <v>3</v>
      </c>
      <c r="E85" t="s">
        <v>6</v>
      </c>
      <c r="F85" s="1">
        <v>41051</v>
      </c>
      <c r="G85" s="1">
        <v>6</v>
      </c>
      <c r="H85" s="1">
        <v>97</v>
      </c>
      <c r="I85" t="s">
        <v>11</v>
      </c>
      <c r="J85" t="s">
        <v>77</v>
      </c>
      <c r="K85" s="1">
        <v>6097</v>
      </c>
      <c r="L85" s="1">
        <v>305</v>
      </c>
      <c r="M85" s="1">
        <v>145</v>
      </c>
      <c r="N85" s="1">
        <v>3851900</v>
      </c>
      <c r="O85" s="1">
        <v>6097</v>
      </c>
      <c r="P85" s="1">
        <v>1</v>
      </c>
      <c r="Q85" s="1">
        <v>0</v>
      </c>
    </row>
    <row r="86">
      <c r="A86" s="1">
        <v>2016</v>
      </c>
      <c r="B86" s="1">
        <v>41</v>
      </c>
      <c r="C86" s="1">
        <v>51</v>
      </c>
      <c r="D86" t="s">
        <v>3</v>
      </c>
      <c r="E86" t="s">
        <v>6</v>
      </c>
      <c r="F86" s="1">
        <v>41051</v>
      </c>
      <c r="G86" s="1">
        <v>6</v>
      </c>
      <c r="H86" s="1">
        <v>111</v>
      </c>
      <c r="I86" t="s">
        <v>11</v>
      </c>
      <c r="J86" t="s">
        <v>78</v>
      </c>
      <c r="K86" s="1">
        <v>6111</v>
      </c>
      <c r="L86" s="1">
        <v>30</v>
      </c>
      <c r="M86" s="1">
        <v>30</v>
      </c>
      <c r="N86" s="1">
        <v>1524000</v>
      </c>
      <c r="O86" s="1">
        <v>6111</v>
      </c>
      <c r="P86" s="1">
        <v>1</v>
      </c>
      <c r="Q86" s="1">
        <v>0</v>
      </c>
    </row>
    <row r="87">
      <c r="A87" s="1">
        <v>2016</v>
      </c>
      <c r="B87" s="1">
        <v>41</v>
      </c>
      <c r="C87" s="1">
        <v>51</v>
      </c>
      <c r="D87" t="s">
        <v>3</v>
      </c>
      <c r="E87" t="s">
        <v>6</v>
      </c>
      <c r="F87" s="1">
        <v>41051</v>
      </c>
      <c r="G87" s="1">
        <v>8</v>
      </c>
      <c r="H87" s="1">
        <v>0</v>
      </c>
      <c r="I87" t="s">
        <v>411</v>
      </c>
      <c r="J87" t="s">
        <v>276</v>
      </c>
      <c r="K87" s="1">
        <v>8000</v>
      </c>
      <c r="L87" s="1">
        <v>1205</v>
      </c>
      <c r="M87" s="1">
        <v>313</v>
      </c>
      <c r="N87" s="1">
        <v>30518500</v>
      </c>
      <c r="O87" s="1"/>
      <c r="P87" s="1">
        <v>1</v>
      </c>
      <c r="Q87" s="1">
        <v>0</v>
      </c>
    </row>
    <row r="88">
      <c r="A88" s="1">
        <v>2016</v>
      </c>
      <c r="B88" s="1">
        <v>41</v>
      </c>
      <c r="C88" s="1">
        <v>51</v>
      </c>
      <c r="D88" t="s">
        <v>3</v>
      </c>
      <c r="E88" t="s">
        <v>6</v>
      </c>
      <c r="F88" s="1">
        <v>41051</v>
      </c>
      <c r="G88" s="1">
        <v>9</v>
      </c>
      <c r="H88" s="1">
        <v>13</v>
      </c>
      <c r="I88" t="s">
        <v>13</v>
      </c>
      <c r="J88" t="s">
        <v>281</v>
      </c>
      <c r="K88" s="1">
        <v>9013</v>
      </c>
      <c r="L88" s="1">
        <v>80</v>
      </c>
      <c r="M88" s="1"/>
      <c r="N88" s="1">
        <v>4800000</v>
      </c>
      <c r="O88" s="1">
        <v>9013</v>
      </c>
      <c r="P88" s="1">
        <v>1</v>
      </c>
      <c r="Q88" s="1">
        <v>0</v>
      </c>
    </row>
    <row r="89">
      <c r="A89" s="1">
        <v>2016</v>
      </c>
      <c r="B89" s="1">
        <v>41</v>
      </c>
      <c r="C89" s="1">
        <v>51</v>
      </c>
      <c r="D89" t="s">
        <v>3</v>
      </c>
      <c r="E89" t="s">
        <v>6</v>
      </c>
      <c r="F89" s="1">
        <v>41051</v>
      </c>
      <c r="G89" s="1">
        <v>11</v>
      </c>
      <c r="H89" s="1">
        <v>1</v>
      </c>
      <c r="I89" t="s">
        <v>14</v>
      </c>
      <c r="J89" t="s">
        <v>14</v>
      </c>
      <c r="K89" s="1">
        <v>11001</v>
      </c>
      <c r="L89" s="1">
        <v>23</v>
      </c>
      <c r="M89" s="1">
        <v>23</v>
      </c>
      <c r="N89" s="1">
        <v>1495000</v>
      </c>
      <c r="O89" s="1">
        <v>11001</v>
      </c>
      <c r="P89" s="1">
        <v>1</v>
      </c>
      <c r="Q89" s="1">
        <v>0</v>
      </c>
    </row>
    <row r="90">
      <c r="A90" s="1">
        <v>2016</v>
      </c>
      <c r="B90" s="1">
        <v>41</v>
      </c>
      <c r="C90" s="1">
        <v>51</v>
      </c>
      <c r="D90" t="s">
        <v>3</v>
      </c>
      <c r="E90" t="s">
        <v>6</v>
      </c>
      <c r="F90" s="1">
        <v>41051</v>
      </c>
      <c r="G90" s="1">
        <v>12</v>
      </c>
      <c r="H90" s="1">
        <v>115</v>
      </c>
      <c r="I90" t="s">
        <v>15</v>
      </c>
      <c r="J90" t="s">
        <v>231</v>
      </c>
      <c r="K90" s="1">
        <v>12115</v>
      </c>
      <c r="L90" s="1">
        <v>58</v>
      </c>
      <c r="M90" s="1">
        <v>58</v>
      </c>
      <c r="N90" s="1">
        <v>359600</v>
      </c>
      <c r="O90" s="1">
        <v>12115</v>
      </c>
      <c r="P90" s="1">
        <v>1</v>
      </c>
      <c r="Q90" s="1">
        <v>0</v>
      </c>
    </row>
    <row r="91">
      <c r="A91" s="1">
        <v>2016</v>
      </c>
      <c r="B91" s="1">
        <v>41</v>
      </c>
      <c r="C91" s="1">
        <v>51</v>
      </c>
      <c r="D91" t="s">
        <v>3</v>
      </c>
      <c r="E91" t="s">
        <v>6</v>
      </c>
      <c r="F91" s="1">
        <v>41051</v>
      </c>
      <c r="G91" s="1">
        <v>13</v>
      </c>
      <c r="H91" s="1">
        <v>0</v>
      </c>
      <c r="I91" t="s">
        <v>411</v>
      </c>
      <c r="J91" t="s">
        <v>276</v>
      </c>
      <c r="K91" s="1">
        <v>13000</v>
      </c>
      <c r="L91" s="1">
        <v>189</v>
      </c>
      <c r="M91" s="1">
        <v>106</v>
      </c>
      <c r="N91" s="1">
        <v>8427000</v>
      </c>
      <c r="O91" s="1"/>
      <c r="P91" s="1">
        <v>1</v>
      </c>
      <c r="Q91" s="1">
        <v>0</v>
      </c>
    </row>
    <row r="92">
      <c r="A92" s="1">
        <v>2016</v>
      </c>
      <c r="B92" s="1">
        <v>41</v>
      </c>
      <c r="C92" s="1">
        <v>51</v>
      </c>
      <c r="D92" t="s">
        <v>3</v>
      </c>
      <c r="E92" t="s">
        <v>6</v>
      </c>
      <c r="F92" s="1">
        <v>41051</v>
      </c>
      <c r="G92" s="1">
        <v>15</v>
      </c>
      <c r="H92" s="1">
        <v>0</v>
      </c>
      <c r="I92" t="s">
        <v>411</v>
      </c>
      <c r="J92" t="s">
        <v>276</v>
      </c>
      <c r="K92" s="1">
        <v>15000</v>
      </c>
      <c r="L92" s="1">
        <v>220</v>
      </c>
      <c r="M92" s="1"/>
      <c r="N92" s="1">
        <v>1795000</v>
      </c>
      <c r="O92" s="1"/>
      <c r="P92" s="1">
        <v>1</v>
      </c>
      <c r="Q92" s="1">
        <v>0</v>
      </c>
    </row>
    <row r="93">
      <c r="A93" s="1">
        <v>2016</v>
      </c>
      <c r="B93" s="1">
        <v>41</v>
      </c>
      <c r="C93" s="1">
        <v>51</v>
      </c>
      <c r="D93" t="s">
        <v>3</v>
      </c>
      <c r="E93" t="s">
        <v>6</v>
      </c>
      <c r="F93" s="1">
        <v>41051</v>
      </c>
      <c r="G93" s="1">
        <v>16</v>
      </c>
      <c r="H93" s="1">
        <v>0</v>
      </c>
      <c r="I93" t="s">
        <v>411</v>
      </c>
      <c r="J93" t="s">
        <v>276</v>
      </c>
      <c r="K93" s="1">
        <v>16000</v>
      </c>
      <c r="L93" s="1">
        <v>246</v>
      </c>
      <c r="M93" s="1"/>
      <c r="N93" s="1">
        <v>738000</v>
      </c>
      <c r="O93" s="1"/>
      <c r="P93" s="1">
        <v>1</v>
      </c>
      <c r="Q93" s="1">
        <v>0</v>
      </c>
    </row>
    <row r="94">
      <c r="A94" s="1">
        <v>2016</v>
      </c>
      <c r="B94" s="1">
        <v>41</v>
      </c>
      <c r="C94" s="1">
        <v>51</v>
      </c>
      <c r="D94" t="s">
        <v>3</v>
      </c>
      <c r="E94" t="s">
        <v>6</v>
      </c>
      <c r="F94" s="1">
        <v>41051</v>
      </c>
      <c r="G94" s="1">
        <v>17</v>
      </c>
      <c r="H94" s="1">
        <v>0</v>
      </c>
      <c r="I94" t="s">
        <v>411</v>
      </c>
      <c r="J94" t="s">
        <v>276</v>
      </c>
      <c r="K94" s="1">
        <v>17000</v>
      </c>
      <c r="L94" s="1">
        <v>12</v>
      </c>
      <c r="M94" s="1">
        <v>12</v>
      </c>
      <c r="N94" s="1">
        <v>264000</v>
      </c>
      <c r="O94" s="1"/>
      <c r="P94" s="1">
        <v>1</v>
      </c>
      <c r="Q94" s="1">
        <v>0</v>
      </c>
    </row>
    <row r="95">
      <c r="A95" s="1">
        <v>2016</v>
      </c>
      <c r="B95" s="1">
        <v>41</v>
      </c>
      <c r="C95" s="1">
        <v>51</v>
      </c>
      <c r="D95" t="s">
        <v>3</v>
      </c>
      <c r="E95" t="s">
        <v>6</v>
      </c>
      <c r="F95" s="1">
        <v>41051</v>
      </c>
      <c r="G95" s="1">
        <v>18</v>
      </c>
      <c r="H95" s="1">
        <v>3</v>
      </c>
      <c r="I95" t="s">
        <v>20</v>
      </c>
      <c r="J95" t="s">
        <v>246</v>
      </c>
      <c r="K95" s="1">
        <v>18003</v>
      </c>
      <c r="L95" s="1">
        <v>611</v>
      </c>
      <c r="M95" s="1">
        <v>306</v>
      </c>
      <c r="N95" s="1">
        <v>35485000</v>
      </c>
      <c r="O95" s="1">
        <v>18003</v>
      </c>
      <c r="P95" s="1">
        <v>1</v>
      </c>
      <c r="Q95" s="1">
        <v>0</v>
      </c>
    </row>
    <row r="96">
      <c r="A96" s="1">
        <v>2016</v>
      </c>
      <c r="B96" s="1">
        <v>41</v>
      </c>
      <c r="C96" s="1">
        <v>51</v>
      </c>
      <c r="D96" t="s">
        <v>3</v>
      </c>
      <c r="E96" t="s">
        <v>6</v>
      </c>
      <c r="F96" s="1">
        <v>41051</v>
      </c>
      <c r="G96" s="1">
        <v>18</v>
      </c>
      <c r="H96" s="1">
        <v>141</v>
      </c>
      <c r="I96" t="s">
        <v>20</v>
      </c>
      <c r="J96" t="s">
        <v>282</v>
      </c>
      <c r="K96" s="1">
        <v>18141</v>
      </c>
      <c r="L96" s="1">
        <v>311</v>
      </c>
      <c r="M96" s="1">
        <v>150</v>
      </c>
      <c r="N96" s="1">
        <v>11438500</v>
      </c>
      <c r="O96" s="1">
        <v>18141</v>
      </c>
      <c r="P96" s="1">
        <v>1</v>
      </c>
      <c r="Q96" s="1">
        <v>0</v>
      </c>
    </row>
    <row r="97">
      <c r="A97" s="1">
        <v>2016</v>
      </c>
      <c r="B97" s="1">
        <v>41</v>
      </c>
      <c r="C97" s="1">
        <v>51</v>
      </c>
      <c r="D97" t="s">
        <v>3</v>
      </c>
      <c r="E97" t="s">
        <v>6</v>
      </c>
      <c r="F97" s="1">
        <v>41051</v>
      </c>
      <c r="G97" s="1">
        <v>20</v>
      </c>
      <c r="H97" s="1">
        <v>0</v>
      </c>
      <c r="I97" t="s">
        <v>411</v>
      </c>
      <c r="J97" t="s">
        <v>276</v>
      </c>
      <c r="K97" s="1">
        <v>20000</v>
      </c>
      <c r="L97" s="1">
        <v>750</v>
      </c>
      <c r="M97" s="1">
        <v>221</v>
      </c>
      <c r="N97" s="1">
        <v>35828200</v>
      </c>
      <c r="O97" s="1"/>
      <c r="P97" s="1">
        <v>1</v>
      </c>
      <c r="Q97" s="1">
        <v>0</v>
      </c>
    </row>
    <row r="98">
      <c r="A98" s="1">
        <v>2016</v>
      </c>
      <c r="B98" s="1">
        <v>41</v>
      </c>
      <c r="C98" s="1">
        <v>51</v>
      </c>
      <c r="D98" t="s">
        <v>3</v>
      </c>
      <c r="E98" t="s">
        <v>6</v>
      </c>
      <c r="F98" s="1">
        <v>41051</v>
      </c>
      <c r="G98" s="1">
        <v>21</v>
      </c>
      <c r="H98" s="1">
        <v>0</v>
      </c>
      <c r="I98" t="s">
        <v>411</v>
      </c>
      <c r="J98" t="s">
        <v>276</v>
      </c>
      <c r="K98" s="1">
        <v>21000</v>
      </c>
      <c r="L98" s="1">
        <v>125</v>
      </c>
      <c r="M98" s="1">
        <v>125</v>
      </c>
      <c r="N98" s="1">
        <v>3200000</v>
      </c>
      <c r="O98" s="1"/>
      <c r="P98" s="1">
        <v>1</v>
      </c>
      <c r="Q98" s="1">
        <v>0</v>
      </c>
    </row>
    <row r="99">
      <c r="A99" s="1">
        <v>2016</v>
      </c>
      <c r="B99" s="1">
        <v>41</v>
      </c>
      <c r="C99" s="1">
        <v>51</v>
      </c>
      <c r="D99" t="s">
        <v>3</v>
      </c>
      <c r="E99" t="s">
        <v>6</v>
      </c>
      <c r="F99" s="1">
        <v>41051</v>
      </c>
      <c r="G99" s="1">
        <v>21</v>
      </c>
      <c r="H99" s="1">
        <v>67</v>
      </c>
      <c r="I99" t="s">
        <v>43</v>
      </c>
      <c r="J99" t="s">
        <v>283</v>
      </c>
      <c r="K99" s="1">
        <v>21067</v>
      </c>
      <c r="L99" s="1">
        <v>88</v>
      </c>
      <c r="M99" s="1"/>
      <c r="N99" s="1">
        <v>853600</v>
      </c>
      <c r="O99" s="1">
        <v>21067</v>
      </c>
      <c r="P99" s="1">
        <v>1</v>
      </c>
      <c r="Q99" s="1">
        <v>0</v>
      </c>
    </row>
    <row r="100">
      <c r="A100" s="1">
        <v>2016</v>
      </c>
      <c r="B100" s="1">
        <v>41</v>
      </c>
      <c r="C100" s="1">
        <v>51</v>
      </c>
      <c r="D100" t="s">
        <v>3</v>
      </c>
      <c r="E100" t="s">
        <v>6</v>
      </c>
      <c r="F100" s="1">
        <v>41051</v>
      </c>
      <c r="G100" s="1">
        <v>21</v>
      </c>
      <c r="H100" s="1">
        <v>111</v>
      </c>
      <c r="I100" t="s">
        <v>43</v>
      </c>
      <c r="J100" t="s">
        <v>83</v>
      </c>
      <c r="K100" s="1">
        <v>21111</v>
      </c>
      <c r="L100" s="1">
        <v>36</v>
      </c>
      <c r="M100" s="1">
        <v>36</v>
      </c>
      <c r="N100" s="1">
        <v>1440000</v>
      </c>
      <c r="O100" s="1">
        <v>21111</v>
      </c>
      <c r="P100" s="1">
        <v>1</v>
      </c>
      <c r="Q100" s="1">
        <v>0</v>
      </c>
    </row>
    <row r="101">
      <c r="A101" s="1">
        <v>2016</v>
      </c>
      <c r="B101" s="1">
        <v>41</v>
      </c>
      <c r="C101" s="1">
        <v>51</v>
      </c>
      <c r="D101" t="s">
        <v>3</v>
      </c>
      <c r="E101" t="s">
        <v>6</v>
      </c>
      <c r="F101" s="1">
        <v>41051</v>
      </c>
      <c r="G101" s="1">
        <v>22</v>
      </c>
      <c r="H101" s="1">
        <v>71</v>
      </c>
      <c r="I101" t="s">
        <v>22</v>
      </c>
      <c r="J101" t="s">
        <v>101</v>
      </c>
      <c r="K101" s="1">
        <v>22071</v>
      </c>
      <c r="L101" s="1">
        <v>123</v>
      </c>
      <c r="M101" s="1">
        <v>65</v>
      </c>
      <c r="N101" s="1">
        <v>3032000</v>
      </c>
      <c r="O101" s="1">
        <v>22071</v>
      </c>
      <c r="P101" s="1">
        <v>1</v>
      </c>
      <c r="Q101" s="1">
        <v>0</v>
      </c>
    </row>
    <row r="102">
      <c r="A102" s="1">
        <v>2016</v>
      </c>
      <c r="B102" s="1">
        <v>41</v>
      </c>
      <c r="C102" s="1">
        <v>51</v>
      </c>
      <c r="D102" t="s">
        <v>3</v>
      </c>
      <c r="E102" t="s">
        <v>6</v>
      </c>
      <c r="F102" s="1">
        <v>41051</v>
      </c>
      <c r="G102" s="1">
        <v>24</v>
      </c>
      <c r="H102" s="1">
        <v>5</v>
      </c>
      <c r="I102" t="s">
        <v>24</v>
      </c>
      <c r="J102" t="s">
        <v>284</v>
      </c>
      <c r="K102" s="1">
        <v>24005</v>
      </c>
      <c r="L102" s="1">
        <v>96</v>
      </c>
      <c r="M102" s="1">
        <v>39</v>
      </c>
      <c r="N102" s="1">
        <v>6870800</v>
      </c>
      <c r="O102" s="1">
        <v>24005</v>
      </c>
      <c r="P102" s="1">
        <v>1</v>
      </c>
      <c r="Q102" s="1">
        <v>0</v>
      </c>
    </row>
    <row r="103">
      <c r="A103" s="1">
        <v>2016</v>
      </c>
      <c r="B103" s="1">
        <v>41</v>
      </c>
      <c r="C103" s="1">
        <v>51</v>
      </c>
      <c r="D103" t="s">
        <v>3</v>
      </c>
      <c r="E103" t="s">
        <v>6</v>
      </c>
      <c r="F103" s="1">
        <v>41051</v>
      </c>
      <c r="G103" s="1">
        <v>24</v>
      </c>
      <c r="H103" s="1">
        <v>21</v>
      </c>
      <c r="I103" t="s">
        <v>24</v>
      </c>
      <c r="J103" t="s">
        <v>285</v>
      </c>
      <c r="K103" s="1">
        <v>24021</v>
      </c>
      <c r="L103" s="1">
        <v>161</v>
      </c>
      <c r="M103" s="1">
        <v>66</v>
      </c>
      <c r="N103" s="1">
        <v>43442700</v>
      </c>
      <c r="O103" s="1">
        <v>24021</v>
      </c>
      <c r="P103" s="1">
        <v>1</v>
      </c>
      <c r="Q103" s="1">
        <v>0</v>
      </c>
    </row>
    <row r="104">
      <c r="A104" s="1">
        <v>2016</v>
      </c>
      <c r="B104" s="1">
        <v>41</v>
      </c>
      <c r="C104" s="1">
        <v>51</v>
      </c>
      <c r="D104" t="s">
        <v>3</v>
      </c>
      <c r="E104" t="s">
        <v>6</v>
      </c>
      <c r="F104" s="1">
        <v>41051</v>
      </c>
      <c r="G104" s="1">
        <v>24</v>
      </c>
      <c r="H104" s="1">
        <v>31</v>
      </c>
      <c r="I104" t="s">
        <v>24</v>
      </c>
      <c r="J104" t="s">
        <v>103</v>
      </c>
      <c r="K104" s="1">
        <v>24031</v>
      </c>
      <c r="L104" s="1">
        <v>74</v>
      </c>
      <c r="M104" s="1"/>
      <c r="N104" s="1">
        <v>6216000</v>
      </c>
      <c r="O104" s="1">
        <v>24031</v>
      </c>
      <c r="P104" s="1">
        <v>1</v>
      </c>
      <c r="Q104" s="1">
        <v>0</v>
      </c>
    </row>
    <row r="105">
      <c r="A105" s="1">
        <v>2016</v>
      </c>
      <c r="B105" s="1">
        <v>41</v>
      </c>
      <c r="C105" s="1">
        <v>51</v>
      </c>
      <c r="D105" t="s">
        <v>3</v>
      </c>
      <c r="E105" t="s">
        <v>6</v>
      </c>
      <c r="F105" s="1">
        <v>41051</v>
      </c>
      <c r="G105" s="1">
        <v>27</v>
      </c>
      <c r="H105" s="1">
        <v>0</v>
      </c>
      <c r="I105" t="s">
        <v>411</v>
      </c>
      <c r="J105" t="s">
        <v>276</v>
      </c>
      <c r="K105" s="1">
        <v>27000</v>
      </c>
      <c r="L105" s="1">
        <v>89</v>
      </c>
      <c r="M105" s="1"/>
      <c r="N105" s="1">
        <v>80100</v>
      </c>
      <c r="O105" s="1"/>
      <c r="P105" s="1">
        <v>1</v>
      </c>
      <c r="Q105" s="1">
        <v>0</v>
      </c>
    </row>
    <row r="106">
      <c r="A106" s="1">
        <v>2016</v>
      </c>
      <c r="B106" s="1">
        <v>41</v>
      </c>
      <c r="C106" s="1">
        <v>51</v>
      </c>
      <c r="D106" t="s">
        <v>3</v>
      </c>
      <c r="E106" t="s">
        <v>6</v>
      </c>
      <c r="F106" s="1">
        <v>41051</v>
      </c>
      <c r="G106" s="1">
        <v>28</v>
      </c>
      <c r="H106" s="1">
        <v>0</v>
      </c>
      <c r="I106" t="s">
        <v>411</v>
      </c>
      <c r="J106" t="s">
        <v>276</v>
      </c>
      <c r="K106" s="1">
        <v>28000</v>
      </c>
      <c r="L106" s="1">
        <v>429</v>
      </c>
      <c r="M106" s="1">
        <v>150</v>
      </c>
      <c r="N106" s="1">
        <v>5318000</v>
      </c>
      <c r="O106" s="1"/>
      <c r="P106" s="1">
        <v>1</v>
      </c>
      <c r="Q106" s="1">
        <v>0</v>
      </c>
    </row>
    <row r="107">
      <c r="A107" s="1">
        <v>2016</v>
      </c>
      <c r="B107" s="1">
        <v>41</v>
      </c>
      <c r="C107" s="1">
        <v>51</v>
      </c>
      <c r="D107" t="s">
        <v>3</v>
      </c>
      <c r="E107" t="s">
        <v>6</v>
      </c>
      <c r="F107" s="1">
        <v>41051</v>
      </c>
      <c r="G107" s="1">
        <v>30</v>
      </c>
      <c r="H107" s="1">
        <v>0</v>
      </c>
      <c r="I107" t="s">
        <v>411</v>
      </c>
      <c r="J107" t="s">
        <v>276</v>
      </c>
      <c r="K107" s="1">
        <v>30000</v>
      </c>
      <c r="L107" s="1">
        <v>493</v>
      </c>
      <c r="M107" s="1"/>
      <c r="N107" s="1">
        <v>3993300</v>
      </c>
      <c r="O107" s="1"/>
      <c r="P107" s="1">
        <v>1</v>
      </c>
      <c r="Q107" s="1">
        <v>0</v>
      </c>
    </row>
    <row r="108">
      <c r="A108" s="1">
        <v>2016</v>
      </c>
      <c r="B108" s="1">
        <v>41</v>
      </c>
      <c r="C108" s="1">
        <v>51</v>
      </c>
      <c r="D108" t="s">
        <v>3</v>
      </c>
      <c r="E108" t="s">
        <v>6</v>
      </c>
      <c r="F108" s="1">
        <v>41051</v>
      </c>
      <c r="G108" s="1">
        <v>31</v>
      </c>
      <c r="H108" s="1">
        <v>55</v>
      </c>
      <c r="I108" t="s">
        <v>45</v>
      </c>
      <c r="J108" t="s">
        <v>131</v>
      </c>
      <c r="K108" s="1">
        <v>31055</v>
      </c>
      <c r="L108" s="1">
        <v>121</v>
      </c>
      <c r="M108" s="1">
        <v>60</v>
      </c>
      <c r="N108" s="1">
        <v>1208000</v>
      </c>
      <c r="O108" s="1">
        <v>31055</v>
      </c>
      <c r="P108" s="1">
        <v>1</v>
      </c>
      <c r="Q108" s="1">
        <v>0</v>
      </c>
    </row>
    <row r="109">
      <c r="A109" s="1">
        <v>2016</v>
      </c>
      <c r="B109" s="1">
        <v>41</v>
      </c>
      <c r="C109" s="1">
        <v>51</v>
      </c>
      <c r="D109" t="s">
        <v>3</v>
      </c>
      <c r="E109" t="s">
        <v>6</v>
      </c>
      <c r="F109" s="1">
        <v>41051</v>
      </c>
      <c r="G109" s="1">
        <v>32</v>
      </c>
      <c r="H109" s="1">
        <v>3</v>
      </c>
      <c r="I109" t="s">
        <v>29</v>
      </c>
      <c r="J109" t="s">
        <v>112</v>
      </c>
      <c r="K109" s="1">
        <v>32003</v>
      </c>
      <c r="L109" s="1">
        <v>251</v>
      </c>
      <c r="M109" s="1">
        <v>139</v>
      </c>
      <c r="N109" s="1">
        <v>4369000</v>
      </c>
      <c r="O109" s="1">
        <v>32003</v>
      </c>
      <c r="P109" s="1">
        <v>1</v>
      </c>
      <c r="Q109" s="1">
        <v>0</v>
      </c>
    </row>
    <row r="110">
      <c r="A110" s="1">
        <v>2016</v>
      </c>
      <c r="B110" s="1">
        <v>41</v>
      </c>
      <c r="C110" s="1">
        <v>51</v>
      </c>
      <c r="D110" t="s">
        <v>3</v>
      </c>
      <c r="E110" t="s">
        <v>6</v>
      </c>
      <c r="F110" s="1">
        <v>41051</v>
      </c>
      <c r="G110" s="1">
        <v>34</v>
      </c>
      <c r="H110" s="1">
        <v>21</v>
      </c>
      <c r="I110" t="s">
        <v>46</v>
      </c>
      <c r="J110" t="s">
        <v>286</v>
      </c>
      <c r="K110" s="1">
        <v>34021</v>
      </c>
      <c r="L110" s="1">
        <v>53</v>
      </c>
      <c r="M110" s="1">
        <v>53</v>
      </c>
      <c r="N110" s="1">
        <v>636000</v>
      </c>
      <c r="O110" s="1">
        <v>34021</v>
      </c>
      <c r="P110" s="1">
        <v>1</v>
      </c>
      <c r="Q110" s="1">
        <v>0</v>
      </c>
    </row>
    <row r="111">
      <c r="A111" s="1">
        <v>2016</v>
      </c>
      <c r="B111" s="1">
        <v>41</v>
      </c>
      <c r="C111" s="1">
        <v>51</v>
      </c>
      <c r="D111" t="s">
        <v>3</v>
      </c>
      <c r="E111" t="s">
        <v>6</v>
      </c>
      <c r="F111" s="1">
        <v>41051</v>
      </c>
      <c r="G111" s="1">
        <v>35</v>
      </c>
      <c r="H111" s="1">
        <v>0</v>
      </c>
      <c r="I111" t="s">
        <v>411</v>
      </c>
      <c r="J111" t="s">
        <v>276</v>
      </c>
      <c r="K111" s="1">
        <v>35000</v>
      </c>
      <c r="L111" s="1">
        <v>327</v>
      </c>
      <c r="M111" s="1">
        <v>160</v>
      </c>
      <c r="N111" s="1">
        <v>15542940</v>
      </c>
      <c r="O111" s="1"/>
      <c r="P111" s="1">
        <v>1</v>
      </c>
      <c r="Q111" s="1">
        <v>0</v>
      </c>
    </row>
    <row r="112">
      <c r="A112" s="1">
        <v>2016</v>
      </c>
      <c r="B112" s="1">
        <v>41</v>
      </c>
      <c r="C112" s="1">
        <v>51</v>
      </c>
      <c r="D112" t="s">
        <v>3</v>
      </c>
      <c r="E112" t="s">
        <v>6</v>
      </c>
      <c r="F112" s="1">
        <v>41051</v>
      </c>
      <c r="G112" s="1">
        <v>35</v>
      </c>
      <c r="H112" s="1">
        <v>43</v>
      </c>
      <c r="I112" t="s">
        <v>30</v>
      </c>
      <c r="J112" t="s">
        <v>287</v>
      </c>
      <c r="K112" s="1">
        <v>35043</v>
      </c>
      <c r="L112" s="1">
        <v>34</v>
      </c>
      <c r="M112" s="1">
        <v>33</v>
      </c>
      <c r="N112" s="1">
        <v>408000</v>
      </c>
      <c r="O112" s="1">
        <v>35043</v>
      </c>
      <c r="P112" s="1">
        <v>1</v>
      </c>
      <c r="Q112" s="1">
        <v>0</v>
      </c>
    </row>
    <row r="113">
      <c r="A113" s="1">
        <v>2016</v>
      </c>
      <c r="B113" s="1">
        <v>41</v>
      </c>
      <c r="C113" s="1">
        <v>51</v>
      </c>
      <c r="D113" t="s">
        <v>3</v>
      </c>
      <c r="E113" t="s">
        <v>6</v>
      </c>
      <c r="F113" s="1">
        <v>41051</v>
      </c>
      <c r="G113" s="1">
        <v>36</v>
      </c>
      <c r="H113" s="1">
        <v>0</v>
      </c>
      <c r="I113" t="s">
        <v>411</v>
      </c>
      <c r="J113" t="s">
        <v>276</v>
      </c>
      <c r="K113" s="1">
        <v>36000</v>
      </c>
      <c r="L113" s="1">
        <v>62</v>
      </c>
      <c r="M113" s="1">
        <v>30</v>
      </c>
      <c r="N113" s="1">
        <v>2190000</v>
      </c>
      <c r="O113" s="1"/>
      <c r="P113" s="1">
        <v>1</v>
      </c>
      <c r="Q113" s="1">
        <v>0</v>
      </c>
    </row>
    <row r="114">
      <c r="A114" s="1">
        <v>2016</v>
      </c>
      <c r="B114" s="1">
        <v>41</v>
      </c>
      <c r="C114" s="1">
        <v>51</v>
      </c>
      <c r="D114" t="s">
        <v>3</v>
      </c>
      <c r="E114" t="s">
        <v>6</v>
      </c>
      <c r="F114" s="1">
        <v>41051</v>
      </c>
      <c r="G114" s="1">
        <v>36</v>
      </c>
      <c r="H114" s="1">
        <v>5</v>
      </c>
      <c r="I114" t="s">
        <v>31</v>
      </c>
      <c r="J114" t="s">
        <v>288</v>
      </c>
      <c r="K114" s="1">
        <v>36005</v>
      </c>
      <c r="L114" s="1">
        <v>250</v>
      </c>
      <c r="M114" s="1">
        <v>99</v>
      </c>
      <c r="N114" s="1">
        <v>10490000</v>
      </c>
      <c r="O114" s="1">
        <v>36005</v>
      </c>
      <c r="P114" s="1">
        <v>1</v>
      </c>
      <c r="Q114" s="1">
        <v>0</v>
      </c>
    </row>
    <row r="115">
      <c r="A115" s="1">
        <v>2016</v>
      </c>
      <c r="B115" s="1">
        <v>41</v>
      </c>
      <c r="C115" s="1">
        <v>51</v>
      </c>
      <c r="D115" t="s">
        <v>3</v>
      </c>
      <c r="E115" t="s">
        <v>6</v>
      </c>
      <c r="F115" s="1">
        <v>41051</v>
      </c>
      <c r="G115" s="1">
        <v>36</v>
      </c>
      <c r="H115" s="1">
        <v>27</v>
      </c>
      <c r="I115" t="s">
        <v>31</v>
      </c>
      <c r="J115" t="s">
        <v>289</v>
      </c>
      <c r="K115" s="1">
        <v>36027</v>
      </c>
      <c r="L115" s="1">
        <v>172</v>
      </c>
      <c r="M115" s="1"/>
      <c r="N115" s="1">
        <v>3571000</v>
      </c>
      <c r="O115" s="1">
        <v>36027</v>
      </c>
      <c r="P115" s="1">
        <v>1</v>
      </c>
      <c r="Q115" s="1">
        <v>0</v>
      </c>
    </row>
    <row r="116">
      <c r="A116" s="1">
        <v>2016</v>
      </c>
      <c r="B116" s="1">
        <v>41</v>
      </c>
      <c r="C116" s="1">
        <v>51</v>
      </c>
      <c r="D116" t="s">
        <v>3</v>
      </c>
      <c r="E116" t="s">
        <v>6</v>
      </c>
      <c r="F116" s="1">
        <v>41051</v>
      </c>
      <c r="G116" s="1">
        <v>36</v>
      </c>
      <c r="H116" s="1">
        <v>47</v>
      </c>
      <c r="I116" t="s">
        <v>31</v>
      </c>
      <c r="J116" t="s">
        <v>116</v>
      </c>
      <c r="K116" s="1">
        <v>36047</v>
      </c>
      <c r="L116" s="1">
        <v>646</v>
      </c>
      <c r="M116" s="1">
        <v>265</v>
      </c>
      <c r="N116" s="1">
        <v>27488010</v>
      </c>
      <c r="O116" s="1">
        <v>36047</v>
      </c>
      <c r="P116" s="1">
        <v>1</v>
      </c>
      <c r="Q116" s="1">
        <v>0</v>
      </c>
    </row>
    <row r="117">
      <c r="A117" s="1">
        <v>2016</v>
      </c>
      <c r="B117" s="1">
        <v>41</v>
      </c>
      <c r="C117" s="1">
        <v>51</v>
      </c>
      <c r="D117" t="s">
        <v>3</v>
      </c>
      <c r="E117" t="s">
        <v>6</v>
      </c>
      <c r="F117" s="1">
        <v>41051</v>
      </c>
      <c r="G117" s="1">
        <v>36</v>
      </c>
      <c r="H117" s="1">
        <v>109</v>
      </c>
      <c r="I117" t="s">
        <v>31</v>
      </c>
      <c r="J117" t="s">
        <v>290</v>
      </c>
      <c r="K117" s="1">
        <v>36109</v>
      </c>
      <c r="L117" s="1">
        <v>169</v>
      </c>
      <c r="M117" s="1">
        <v>105</v>
      </c>
      <c r="N117" s="1">
        <v>4870800</v>
      </c>
      <c r="O117" s="1">
        <v>36109</v>
      </c>
      <c r="P117" s="1">
        <v>1</v>
      </c>
      <c r="Q117" s="1">
        <v>0</v>
      </c>
    </row>
    <row r="118">
      <c r="A118" s="1">
        <v>2016</v>
      </c>
      <c r="B118" s="1">
        <v>41</v>
      </c>
      <c r="C118" s="1">
        <v>51</v>
      </c>
      <c r="D118" t="s">
        <v>3</v>
      </c>
      <c r="E118" t="s">
        <v>6</v>
      </c>
      <c r="F118" s="1">
        <v>41051</v>
      </c>
      <c r="G118" s="1">
        <v>37</v>
      </c>
      <c r="H118" s="1">
        <v>0</v>
      </c>
      <c r="I118" t="s">
        <v>411</v>
      </c>
      <c r="J118" t="s">
        <v>276</v>
      </c>
      <c r="K118" s="1">
        <v>37000</v>
      </c>
      <c r="L118" s="1">
        <v>214</v>
      </c>
      <c r="M118" s="1"/>
      <c r="N118" s="1">
        <v>9537000</v>
      </c>
      <c r="O118" s="1"/>
      <c r="P118" s="1">
        <v>1</v>
      </c>
      <c r="Q118" s="1">
        <v>0</v>
      </c>
    </row>
    <row r="119">
      <c r="A119" s="1">
        <v>2016</v>
      </c>
      <c r="B119" s="1">
        <v>41</v>
      </c>
      <c r="C119" s="1">
        <v>51</v>
      </c>
      <c r="D119" t="s">
        <v>3</v>
      </c>
      <c r="E119" t="s">
        <v>6</v>
      </c>
      <c r="F119" s="1">
        <v>41051</v>
      </c>
      <c r="G119" s="1">
        <v>37</v>
      </c>
      <c r="H119" s="1">
        <v>63</v>
      </c>
      <c r="I119" t="s">
        <v>32</v>
      </c>
      <c r="J119" t="s">
        <v>205</v>
      </c>
      <c r="K119" s="1">
        <v>37063</v>
      </c>
      <c r="L119" s="1">
        <v>307</v>
      </c>
      <c r="M119" s="1">
        <v>140</v>
      </c>
      <c r="N119" s="1">
        <v>8429000</v>
      </c>
      <c r="O119" s="1">
        <v>37063</v>
      </c>
      <c r="P119" s="1">
        <v>1</v>
      </c>
      <c r="Q119" s="1">
        <v>0</v>
      </c>
    </row>
    <row r="120">
      <c r="A120" s="1">
        <v>2016</v>
      </c>
      <c r="B120" s="1">
        <v>41</v>
      </c>
      <c r="C120" s="1">
        <v>51</v>
      </c>
      <c r="D120" t="s">
        <v>3</v>
      </c>
      <c r="E120" t="s">
        <v>6</v>
      </c>
      <c r="F120" s="1">
        <v>41051</v>
      </c>
      <c r="G120" s="1">
        <v>37</v>
      </c>
      <c r="H120" s="1">
        <v>81</v>
      </c>
      <c r="I120" t="s">
        <v>32</v>
      </c>
      <c r="J120" t="s">
        <v>291</v>
      </c>
      <c r="K120" s="1">
        <v>37081</v>
      </c>
      <c r="L120" s="1">
        <v>129</v>
      </c>
      <c r="M120" s="1">
        <v>83</v>
      </c>
      <c r="N120" s="1">
        <v>2596400</v>
      </c>
      <c r="O120" s="1">
        <v>37081</v>
      </c>
      <c r="P120" s="1">
        <v>1</v>
      </c>
      <c r="Q120" s="1">
        <v>0</v>
      </c>
    </row>
    <row r="121">
      <c r="A121" s="1">
        <v>2016</v>
      </c>
      <c r="B121" s="1">
        <v>41</v>
      </c>
      <c r="C121" s="1">
        <v>51</v>
      </c>
      <c r="D121" t="s">
        <v>3</v>
      </c>
      <c r="E121" t="s">
        <v>6</v>
      </c>
      <c r="F121" s="1">
        <v>41051</v>
      </c>
      <c r="G121" s="1">
        <v>37</v>
      </c>
      <c r="H121" s="1">
        <v>119</v>
      </c>
      <c r="I121" t="s">
        <v>32</v>
      </c>
      <c r="J121" t="s">
        <v>121</v>
      </c>
      <c r="K121" s="1">
        <v>37119</v>
      </c>
      <c r="L121" s="1">
        <v>126</v>
      </c>
      <c r="M121" s="1">
        <v>127</v>
      </c>
      <c r="N121" s="1">
        <v>7377000</v>
      </c>
      <c r="O121" s="1">
        <v>37119</v>
      </c>
      <c r="P121" s="1">
        <v>1</v>
      </c>
      <c r="Q121" s="1">
        <v>0</v>
      </c>
    </row>
    <row r="122">
      <c r="A122" s="1">
        <v>2016</v>
      </c>
      <c r="B122" s="1">
        <v>41</v>
      </c>
      <c r="C122" s="1">
        <v>51</v>
      </c>
      <c r="D122" t="s">
        <v>3</v>
      </c>
      <c r="E122" t="s">
        <v>6</v>
      </c>
      <c r="F122" s="1">
        <v>41051</v>
      </c>
      <c r="G122" s="1">
        <v>39</v>
      </c>
      <c r="H122" s="1">
        <v>61</v>
      </c>
      <c r="I122" t="s">
        <v>33</v>
      </c>
      <c r="J122" t="s">
        <v>208</v>
      </c>
      <c r="K122" s="1">
        <v>39061</v>
      </c>
      <c r="L122" s="1">
        <v>49</v>
      </c>
      <c r="M122" s="1">
        <v>48</v>
      </c>
      <c r="N122" s="1">
        <v>980000</v>
      </c>
      <c r="O122" s="1">
        <v>39061</v>
      </c>
      <c r="P122" s="1">
        <v>1</v>
      </c>
      <c r="Q122" s="1">
        <v>0</v>
      </c>
    </row>
    <row r="123">
      <c r="A123" s="1">
        <v>2016</v>
      </c>
      <c r="B123" s="1">
        <v>41</v>
      </c>
      <c r="C123" s="1">
        <v>51</v>
      </c>
      <c r="D123" t="s">
        <v>3</v>
      </c>
      <c r="E123" t="s">
        <v>6</v>
      </c>
      <c r="F123" s="1">
        <v>41051</v>
      </c>
      <c r="G123" s="1">
        <v>41</v>
      </c>
      <c r="H123" s="1">
        <v>0</v>
      </c>
      <c r="I123" t="s">
        <v>411</v>
      </c>
      <c r="J123" t="s">
        <v>276</v>
      </c>
      <c r="K123" s="1">
        <v>41000</v>
      </c>
      <c r="L123" s="1">
        <v>2897</v>
      </c>
      <c r="M123" s="1">
        <v>1430</v>
      </c>
      <c r="N123" s="1">
        <v>78499860</v>
      </c>
      <c r="O123" s="1"/>
      <c r="P123" s="1">
        <v>1</v>
      </c>
      <c r="Q123" s="1">
        <v>0</v>
      </c>
    </row>
    <row r="124">
      <c r="A124" s="1">
        <v>2016</v>
      </c>
      <c r="B124" s="1">
        <v>41</v>
      </c>
      <c r="C124" s="1">
        <v>51</v>
      </c>
      <c r="D124" t="s">
        <v>3</v>
      </c>
      <c r="E124" t="s">
        <v>6</v>
      </c>
      <c r="F124" s="1">
        <v>41051</v>
      </c>
      <c r="G124" s="1">
        <v>41</v>
      </c>
      <c r="H124" s="1">
        <v>5</v>
      </c>
      <c r="I124" t="s">
        <v>3</v>
      </c>
      <c r="J124" t="s">
        <v>125</v>
      </c>
      <c r="K124" s="1">
        <v>41005</v>
      </c>
      <c r="L124" s="1">
        <v>8479</v>
      </c>
      <c r="M124" s="1">
        <v>3895</v>
      </c>
      <c r="N124" s="1">
        <v>313129606</v>
      </c>
      <c r="O124" s="1">
        <v>41005</v>
      </c>
      <c r="P124" s="1">
        <v>1</v>
      </c>
      <c r="Q124" s="1">
        <v>0</v>
      </c>
    </row>
    <row r="125">
      <c r="A125" s="1">
        <v>2016</v>
      </c>
      <c r="B125" s="1">
        <v>41</v>
      </c>
      <c r="C125" s="1">
        <v>51</v>
      </c>
      <c r="D125" t="s">
        <v>3</v>
      </c>
      <c r="E125" t="s">
        <v>6</v>
      </c>
      <c r="F125" s="1">
        <v>41051</v>
      </c>
      <c r="G125" s="1">
        <v>41</v>
      </c>
      <c r="H125" s="1">
        <v>17</v>
      </c>
      <c r="I125" t="s">
        <v>3</v>
      </c>
      <c r="J125" t="s">
        <v>130</v>
      </c>
      <c r="K125" s="1">
        <v>41017</v>
      </c>
      <c r="L125" s="1">
        <v>165</v>
      </c>
      <c r="M125" s="1"/>
      <c r="N125" s="1">
        <v>495000</v>
      </c>
      <c r="O125" s="1">
        <v>41017</v>
      </c>
      <c r="P125" s="1">
        <v>1</v>
      </c>
      <c r="Q125" s="1">
        <v>0</v>
      </c>
    </row>
    <row r="126">
      <c r="A126" s="1">
        <v>2016</v>
      </c>
      <c r="B126" s="1">
        <v>41</v>
      </c>
      <c r="C126" s="1">
        <v>51</v>
      </c>
      <c r="D126" t="s">
        <v>3</v>
      </c>
      <c r="E126" t="s">
        <v>6</v>
      </c>
      <c r="F126" s="1">
        <v>41051</v>
      </c>
      <c r="G126" s="1">
        <v>41</v>
      </c>
      <c r="H126" s="1">
        <v>19</v>
      </c>
      <c r="I126" t="s">
        <v>3</v>
      </c>
      <c r="J126" t="s">
        <v>131</v>
      </c>
      <c r="K126" s="1">
        <v>41019</v>
      </c>
      <c r="L126" s="1">
        <v>151</v>
      </c>
      <c r="M126" s="1"/>
      <c r="N126" s="1">
        <v>1661000</v>
      </c>
      <c r="O126" s="1">
        <v>41019</v>
      </c>
      <c r="P126" s="1">
        <v>1</v>
      </c>
      <c r="Q126" s="1">
        <v>0</v>
      </c>
    </row>
    <row r="127">
      <c r="A127" s="1">
        <v>2016</v>
      </c>
      <c r="B127" s="1">
        <v>41</v>
      </c>
      <c r="C127" s="1">
        <v>51</v>
      </c>
      <c r="D127" t="s">
        <v>3</v>
      </c>
      <c r="E127" t="s">
        <v>6</v>
      </c>
      <c r="F127" s="1">
        <v>41051</v>
      </c>
      <c r="G127" s="1">
        <v>41</v>
      </c>
      <c r="H127" s="1">
        <v>29</v>
      </c>
      <c r="I127" t="s">
        <v>3</v>
      </c>
      <c r="J127" t="s">
        <v>133</v>
      </c>
      <c r="K127" s="1">
        <v>41029</v>
      </c>
      <c r="L127" s="1">
        <v>278</v>
      </c>
      <c r="M127" s="1"/>
      <c r="N127" s="1">
        <v>4032800</v>
      </c>
      <c r="O127" s="1">
        <v>41029</v>
      </c>
      <c r="P127" s="1">
        <v>1</v>
      </c>
      <c r="Q127" s="1">
        <v>0</v>
      </c>
    </row>
    <row r="128">
      <c r="A128" s="1">
        <v>2016</v>
      </c>
      <c r="B128" s="1">
        <v>41</v>
      </c>
      <c r="C128" s="1">
        <v>51</v>
      </c>
      <c r="D128" t="s">
        <v>3</v>
      </c>
      <c r="E128" t="s">
        <v>6</v>
      </c>
      <c r="F128" s="1">
        <v>41051</v>
      </c>
      <c r="G128" s="1">
        <v>41</v>
      </c>
      <c r="H128" s="1">
        <v>39</v>
      </c>
      <c r="I128" t="s">
        <v>3</v>
      </c>
      <c r="J128" t="s">
        <v>136</v>
      </c>
      <c r="K128" s="1">
        <v>41039</v>
      </c>
      <c r="L128" s="1">
        <v>1785</v>
      </c>
      <c r="M128" s="1">
        <v>575</v>
      </c>
      <c r="N128" s="1">
        <v>36000640</v>
      </c>
      <c r="O128" s="1">
        <v>41039</v>
      </c>
      <c r="P128" s="1">
        <v>1</v>
      </c>
      <c r="Q128" s="1">
        <v>0</v>
      </c>
    </row>
    <row r="129">
      <c r="A129" s="1">
        <v>2016</v>
      </c>
      <c r="B129" s="1">
        <v>41</v>
      </c>
      <c r="C129" s="1">
        <v>51</v>
      </c>
      <c r="D129" t="s">
        <v>3</v>
      </c>
      <c r="E129" t="s">
        <v>6</v>
      </c>
      <c r="F129" s="1">
        <v>41051</v>
      </c>
      <c r="G129" s="1">
        <v>41</v>
      </c>
      <c r="H129" s="1">
        <v>47</v>
      </c>
      <c r="I129" t="s">
        <v>3</v>
      </c>
      <c r="J129" t="s">
        <v>99</v>
      </c>
      <c r="K129" s="1">
        <v>41047</v>
      </c>
      <c r="L129" s="1">
        <v>717</v>
      </c>
      <c r="M129" s="1">
        <v>422</v>
      </c>
      <c r="N129" s="1">
        <v>20621200</v>
      </c>
      <c r="O129" s="1">
        <v>41047</v>
      </c>
      <c r="P129" s="1">
        <v>1</v>
      </c>
      <c r="Q129" s="1">
        <v>0</v>
      </c>
    </row>
    <row r="130">
      <c r="A130" s="1">
        <v>2016</v>
      </c>
      <c r="B130" s="1">
        <v>41</v>
      </c>
      <c r="C130" s="1">
        <v>51</v>
      </c>
      <c r="D130" t="s">
        <v>3</v>
      </c>
      <c r="E130" t="s">
        <v>6</v>
      </c>
      <c r="F130" s="1">
        <v>41051</v>
      </c>
      <c r="G130" s="1">
        <v>41</v>
      </c>
      <c r="H130" s="1">
        <v>51</v>
      </c>
      <c r="I130" t="s">
        <v>3</v>
      </c>
      <c r="J130" t="s">
        <v>6</v>
      </c>
      <c r="K130" s="1">
        <v>41051</v>
      </c>
      <c r="L130" s="1">
        <v>576083</v>
      </c>
      <c r="M130" s="1">
        <v>297534</v>
      </c>
      <c r="N130" s="1">
        <v>26250490371</v>
      </c>
      <c r="O130" s="1">
        <v>41051</v>
      </c>
      <c r="P130" s="1">
        <v>1</v>
      </c>
      <c r="Q130" s="1">
        <v>1</v>
      </c>
    </row>
    <row r="131">
      <c r="A131" s="1">
        <v>2016</v>
      </c>
      <c r="B131" s="1">
        <v>41</v>
      </c>
      <c r="C131" s="1">
        <v>51</v>
      </c>
      <c r="D131" t="s">
        <v>3</v>
      </c>
      <c r="E131" t="s">
        <v>6</v>
      </c>
      <c r="F131" s="1">
        <v>41051</v>
      </c>
      <c r="G131" s="1">
        <v>41</v>
      </c>
      <c r="H131" s="1">
        <v>67</v>
      </c>
      <c r="I131" t="s">
        <v>3</v>
      </c>
      <c r="J131" t="s">
        <v>143</v>
      </c>
      <c r="K131" s="1">
        <v>41067</v>
      </c>
      <c r="L131" s="1">
        <v>8310</v>
      </c>
      <c r="M131" s="1">
        <v>4029</v>
      </c>
      <c r="N131" s="1">
        <v>366682190</v>
      </c>
      <c r="O131" s="1">
        <v>41067</v>
      </c>
      <c r="P131" s="1">
        <v>1</v>
      </c>
      <c r="Q131" s="1">
        <v>0</v>
      </c>
    </row>
    <row r="132">
      <c r="A132" s="1">
        <v>2016</v>
      </c>
      <c r="B132" s="1">
        <v>41</v>
      </c>
      <c r="C132" s="1">
        <v>51</v>
      </c>
      <c r="D132" t="s">
        <v>3</v>
      </c>
      <c r="E132" t="s">
        <v>6</v>
      </c>
      <c r="F132" s="1">
        <v>41051</v>
      </c>
      <c r="G132" s="1">
        <v>42</v>
      </c>
      <c r="H132" s="1">
        <v>3</v>
      </c>
      <c r="I132" t="s">
        <v>34</v>
      </c>
      <c r="J132" t="s">
        <v>145</v>
      </c>
      <c r="K132" s="1">
        <v>42003</v>
      </c>
      <c r="L132" s="1">
        <v>88</v>
      </c>
      <c r="M132" s="1">
        <v>89</v>
      </c>
      <c r="N132" s="1">
        <v>1320000</v>
      </c>
      <c r="O132" s="1">
        <v>42003</v>
      </c>
      <c r="P132" s="1">
        <v>1</v>
      </c>
      <c r="Q132" s="1">
        <v>0</v>
      </c>
    </row>
    <row r="133">
      <c r="A133" s="1">
        <v>2016</v>
      </c>
      <c r="B133" s="1">
        <v>41</v>
      </c>
      <c r="C133" s="1">
        <v>51</v>
      </c>
      <c r="D133" t="s">
        <v>3</v>
      </c>
      <c r="E133" t="s">
        <v>6</v>
      </c>
      <c r="F133" s="1">
        <v>41051</v>
      </c>
      <c r="G133" s="1">
        <v>42</v>
      </c>
      <c r="H133" s="1">
        <v>45</v>
      </c>
      <c r="I133" t="s">
        <v>34</v>
      </c>
      <c r="J133" t="s">
        <v>292</v>
      </c>
      <c r="K133" s="1">
        <v>42045</v>
      </c>
      <c r="L133" s="1">
        <v>64</v>
      </c>
      <c r="M133" s="1"/>
      <c r="N133" s="1">
        <v>1280000</v>
      </c>
      <c r="O133" s="1">
        <v>42045</v>
      </c>
      <c r="P133" s="1">
        <v>1</v>
      </c>
      <c r="Q133" s="1">
        <v>0</v>
      </c>
    </row>
    <row r="134">
      <c r="A134" s="1">
        <v>2016</v>
      </c>
      <c r="B134" s="1">
        <v>41</v>
      </c>
      <c r="C134" s="1">
        <v>51</v>
      </c>
      <c r="D134" t="s">
        <v>3</v>
      </c>
      <c r="E134" t="s">
        <v>6</v>
      </c>
      <c r="F134" s="1">
        <v>41051</v>
      </c>
      <c r="G134" s="1">
        <v>42</v>
      </c>
      <c r="H134" s="1">
        <v>101</v>
      </c>
      <c r="I134" t="s">
        <v>34</v>
      </c>
      <c r="J134" t="s">
        <v>146</v>
      </c>
      <c r="K134" s="1">
        <v>42101</v>
      </c>
      <c r="L134" s="1">
        <v>409</v>
      </c>
      <c r="M134" s="1">
        <v>171</v>
      </c>
      <c r="N134" s="1">
        <v>2454000</v>
      </c>
      <c r="O134" s="1">
        <v>42101</v>
      </c>
      <c r="P134" s="1">
        <v>1</v>
      </c>
      <c r="Q134" s="1">
        <v>0</v>
      </c>
    </row>
    <row r="135">
      <c r="A135" s="1">
        <v>2016</v>
      </c>
      <c r="B135" s="1">
        <v>41</v>
      </c>
      <c r="C135" s="1">
        <v>51</v>
      </c>
      <c r="D135" t="s">
        <v>3</v>
      </c>
      <c r="E135" t="s">
        <v>6</v>
      </c>
      <c r="F135" s="1">
        <v>41051</v>
      </c>
      <c r="G135" s="1">
        <v>44</v>
      </c>
      <c r="H135" s="1">
        <v>7</v>
      </c>
      <c r="I135" t="s">
        <v>48</v>
      </c>
      <c r="J135" t="s">
        <v>212</v>
      </c>
      <c r="K135" s="1">
        <v>44007</v>
      </c>
      <c r="L135" s="1">
        <v>71</v>
      </c>
      <c r="M135" s="1">
        <v>71</v>
      </c>
      <c r="N135" s="1">
        <v>1562000</v>
      </c>
      <c r="O135" s="1">
        <v>44007</v>
      </c>
      <c r="P135" s="1">
        <v>1</v>
      </c>
      <c r="Q135" s="1">
        <v>0</v>
      </c>
    </row>
    <row r="136">
      <c r="A136" s="1">
        <v>2016</v>
      </c>
      <c r="B136" s="1">
        <v>41</v>
      </c>
      <c r="C136" s="1">
        <v>51</v>
      </c>
      <c r="D136" t="s">
        <v>3</v>
      </c>
      <c r="E136" t="s">
        <v>6</v>
      </c>
      <c r="F136" s="1">
        <v>41051</v>
      </c>
      <c r="G136" s="1">
        <v>45</v>
      </c>
      <c r="H136" s="1">
        <v>0</v>
      </c>
      <c r="I136" t="s">
        <v>411</v>
      </c>
      <c r="J136" t="s">
        <v>276</v>
      </c>
      <c r="K136" s="1">
        <v>45000</v>
      </c>
      <c r="L136" s="1">
        <v>125</v>
      </c>
      <c r="M136" s="1">
        <v>71</v>
      </c>
      <c r="N136" s="1">
        <v>2284000</v>
      </c>
      <c r="O136" s="1"/>
      <c r="P136" s="1">
        <v>1</v>
      </c>
      <c r="Q136" s="1">
        <v>0</v>
      </c>
    </row>
    <row r="137">
      <c r="A137" s="1">
        <v>2016</v>
      </c>
      <c r="B137" s="1">
        <v>41</v>
      </c>
      <c r="C137" s="1">
        <v>51</v>
      </c>
      <c r="D137" t="s">
        <v>3</v>
      </c>
      <c r="E137" t="s">
        <v>6</v>
      </c>
      <c r="F137" s="1">
        <v>41051</v>
      </c>
      <c r="G137" s="1">
        <v>47</v>
      </c>
      <c r="H137" s="1">
        <v>0</v>
      </c>
      <c r="I137" t="s">
        <v>411</v>
      </c>
      <c r="J137" t="s">
        <v>276</v>
      </c>
      <c r="K137" s="1">
        <v>47000</v>
      </c>
      <c r="L137" s="1">
        <v>189</v>
      </c>
      <c r="M137" s="1">
        <v>102</v>
      </c>
      <c r="N137" s="1">
        <v>3639900</v>
      </c>
      <c r="O137" s="1"/>
      <c r="P137" s="1">
        <v>1</v>
      </c>
      <c r="Q137" s="1">
        <v>0</v>
      </c>
    </row>
    <row r="138">
      <c r="A138" s="1">
        <v>2016</v>
      </c>
      <c r="B138" s="1">
        <v>41</v>
      </c>
      <c r="C138" s="1">
        <v>51</v>
      </c>
      <c r="D138" t="s">
        <v>3</v>
      </c>
      <c r="E138" t="s">
        <v>6</v>
      </c>
      <c r="F138" s="1">
        <v>41051</v>
      </c>
      <c r="G138" s="1">
        <v>47</v>
      </c>
      <c r="H138" s="1">
        <v>37</v>
      </c>
      <c r="I138" t="s">
        <v>35</v>
      </c>
      <c r="J138" t="s">
        <v>147</v>
      </c>
      <c r="K138" s="1">
        <v>47037</v>
      </c>
      <c r="L138" s="1">
        <v>304</v>
      </c>
      <c r="M138" s="1"/>
      <c r="N138" s="1">
        <v>11634600</v>
      </c>
      <c r="O138" s="1">
        <v>47037</v>
      </c>
      <c r="P138" s="1">
        <v>1</v>
      </c>
      <c r="Q138" s="1">
        <v>0</v>
      </c>
    </row>
    <row r="139">
      <c r="A139" s="1">
        <v>2016</v>
      </c>
      <c r="B139" s="1">
        <v>41</v>
      </c>
      <c r="C139" s="1">
        <v>51</v>
      </c>
      <c r="D139" t="s">
        <v>3</v>
      </c>
      <c r="E139" t="s">
        <v>6</v>
      </c>
      <c r="F139" s="1">
        <v>41051</v>
      </c>
      <c r="G139" s="1">
        <v>48</v>
      </c>
      <c r="H139" s="1">
        <v>85</v>
      </c>
      <c r="I139" t="s">
        <v>36</v>
      </c>
      <c r="J139" t="s">
        <v>216</v>
      </c>
      <c r="K139" s="1">
        <v>48085</v>
      </c>
      <c r="L139" s="1">
        <v>119</v>
      </c>
      <c r="M139" s="1">
        <v>58</v>
      </c>
      <c r="N139" s="1">
        <v>13050000</v>
      </c>
      <c r="O139" s="1">
        <v>48085</v>
      </c>
      <c r="P139" s="1">
        <v>1</v>
      </c>
      <c r="Q139" s="1">
        <v>0</v>
      </c>
    </row>
    <row r="140">
      <c r="A140" s="1">
        <v>2016</v>
      </c>
      <c r="B140" s="1">
        <v>41</v>
      </c>
      <c r="C140" s="1">
        <v>51</v>
      </c>
      <c r="D140" t="s">
        <v>3</v>
      </c>
      <c r="E140" t="s">
        <v>6</v>
      </c>
      <c r="F140" s="1">
        <v>41051</v>
      </c>
      <c r="G140" s="1">
        <v>48</v>
      </c>
      <c r="H140" s="1">
        <v>113</v>
      </c>
      <c r="I140" t="s">
        <v>36</v>
      </c>
      <c r="J140" t="s">
        <v>150</v>
      </c>
      <c r="K140" s="1">
        <v>48113</v>
      </c>
      <c r="L140" s="1">
        <v>213</v>
      </c>
      <c r="M140" s="1">
        <v>148</v>
      </c>
      <c r="N140" s="1">
        <v>2863200</v>
      </c>
      <c r="O140" s="1">
        <v>48113</v>
      </c>
      <c r="P140" s="1">
        <v>1</v>
      </c>
      <c r="Q140" s="1">
        <v>0</v>
      </c>
    </row>
    <row r="141">
      <c r="A141" s="1">
        <v>2016</v>
      </c>
      <c r="B141" s="1">
        <v>41</v>
      </c>
      <c r="C141" s="1">
        <v>51</v>
      </c>
      <c r="D141" t="s">
        <v>3</v>
      </c>
      <c r="E141" t="s">
        <v>6</v>
      </c>
      <c r="F141" s="1">
        <v>41051</v>
      </c>
      <c r="G141" s="1">
        <v>48</v>
      </c>
      <c r="H141" s="1">
        <v>439</v>
      </c>
      <c r="I141" t="s">
        <v>36</v>
      </c>
      <c r="J141" t="s">
        <v>152</v>
      </c>
      <c r="K141" s="1">
        <v>48439</v>
      </c>
      <c r="L141" s="1">
        <v>102</v>
      </c>
      <c r="M141" s="1"/>
      <c r="N141" s="1">
        <v>2142000</v>
      </c>
      <c r="O141" s="1">
        <v>48439</v>
      </c>
      <c r="P141" s="1">
        <v>1</v>
      </c>
      <c r="Q141" s="1">
        <v>0</v>
      </c>
    </row>
    <row r="142">
      <c r="A142" s="1">
        <v>2016</v>
      </c>
      <c r="B142" s="1">
        <v>41</v>
      </c>
      <c r="C142" s="1">
        <v>51</v>
      </c>
      <c r="D142" t="s">
        <v>3</v>
      </c>
      <c r="E142" t="s">
        <v>6</v>
      </c>
      <c r="F142" s="1">
        <v>41051</v>
      </c>
      <c r="G142" s="1">
        <v>48</v>
      </c>
      <c r="H142" s="1">
        <v>453</v>
      </c>
      <c r="I142" t="s">
        <v>36</v>
      </c>
      <c r="J142" t="s">
        <v>153</v>
      </c>
      <c r="K142" s="1">
        <v>48453</v>
      </c>
      <c r="L142" s="1">
        <v>141</v>
      </c>
      <c r="M142" s="1">
        <v>36</v>
      </c>
      <c r="N142" s="1">
        <v>1123200</v>
      </c>
      <c r="O142" s="1">
        <v>48453</v>
      </c>
      <c r="P142" s="1">
        <v>1</v>
      </c>
      <c r="Q142" s="1">
        <v>0</v>
      </c>
    </row>
    <row r="143">
      <c r="A143" s="1">
        <v>2016</v>
      </c>
      <c r="B143" s="1">
        <v>41</v>
      </c>
      <c r="C143" s="1">
        <v>51</v>
      </c>
      <c r="D143" t="s">
        <v>3</v>
      </c>
      <c r="E143" t="s">
        <v>6</v>
      </c>
      <c r="F143" s="1">
        <v>41051</v>
      </c>
      <c r="G143" s="1">
        <v>49</v>
      </c>
      <c r="H143" s="1">
        <v>35</v>
      </c>
      <c r="I143" t="s">
        <v>37</v>
      </c>
      <c r="J143" t="s">
        <v>154</v>
      </c>
      <c r="K143" s="1">
        <v>49035</v>
      </c>
      <c r="L143" s="1">
        <v>747</v>
      </c>
      <c r="M143" s="1">
        <v>330</v>
      </c>
      <c r="N143" s="1">
        <v>33284000</v>
      </c>
      <c r="O143" s="1">
        <v>49035</v>
      </c>
      <c r="P143" s="1">
        <v>1</v>
      </c>
      <c r="Q143" s="1">
        <v>0</v>
      </c>
    </row>
    <row r="144">
      <c r="A144" s="1">
        <v>2016</v>
      </c>
      <c r="B144" s="1">
        <v>41</v>
      </c>
      <c r="C144" s="1">
        <v>51</v>
      </c>
      <c r="D144" t="s">
        <v>3</v>
      </c>
      <c r="E144" t="s">
        <v>6</v>
      </c>
      <c r="F144" s="1">
        <v>41051</v>
      </c>
      <c r="G144" s="1">
        <v>49</v>
      </c>
      <c r="H144" s="1">
        <v>49</v>
      </c>
      <c r="I144" t="s">
        <v>37</v>
      </c>
      <c r="J144" t="s">
        <v>219</v>
      </c>
      <c r="K144" s="1">
        <v>49049</v>
      </c>
      <c r="L144" s="1">
        <v>117</v>
      </c>
      <c r="M144" s="1"/>
      <c r="N144" s="1">
        <v>1333800</v>
      </c>
      <c r="O144" s="1">
        <v>49049</v>
      </c>
      <c r="P144" s="1">
        <v>1</v>
      </c>
      <c r="Q144" s="1">
        <v>0</v>
      </c>
    </row>
    <row r="145">
      <c r="A145" s="1">
        <v>2016</v>
      </c>
      <c r="B145" s="1">
        <v>41</v>
      </c>
      <c r="C145" s="1">
        <v>51</v>
      </c>
      <c r="D145" t="s">
        <v>3</v>
      </c>
      <c r="E145" t="s">
        <v>6</v>
      </c>
      <c r="F145" s="1">
        <v>41051</v>
      </c>
      <c r="G145" s="1">
        <v>51</v>
      </c>
      <c r="H145" s="1">
        <v>0</v>
      </c>
      <c r="I145" t="s">
        <v>411</v>
      </c>
      <c r="J145" t="s">
        <v>276</v>
      </c>
      <c r="K145" s="1">
        <v>51000</v>
      </c>
      <c r="L145" s="1">
        <v>43</v>
      </c>
      <c r="M145" s="1">
        <v>44</v>
      </c>
      <c r="N145" s="1">
        <v>258000</v>
      </c>
      <c r="O145" s="1"/>
      <c r="P145" s="1">
        <v>1</v>
      </c>
      <c r="Q145" s="1">
        <v>0</v>
      </c>
    </row>
    <row r="146">
      <c r="A146" s="1">
        <v>2016</v>
      </c>
      <c r="B146" s="1">
        <v>41</v>
      </c>
      <c r="C146" s="1">
        <v>51</v>
      </c>
      <c r="D146" t="s">
        <v>3</v>
      </c>
      <c r="E146" t="s">
        <v>6</v>
      </c>
      <c r="F146" s="1">
        <v>41051</v>
      </c>
      <c r="G146" s="1">
        <v>51</v>
      </c>
      <c r="H146" s="1">
        <v>700</v>
      </c>
      <c r="I146" t="s">
        <v>39</v>
      </c>
      <c r="J146" t="s">
        <v>293</v>
      </c>
      <c r="K146" s="1">
        <v>51700</v>
      </c>
      <c r="L146" s="1">
        <v>87</v>
      </c>
      <c r="M146" s="1">
        <v>86</v>
      </c>
      <c r="N146" s="1">
        <v>870000</v>
      </c>
      <c r="O146" s="1">
        <v>51700</v>
      </c>
      <c r="P146" s="1">
        <v>1</v>
      </c>
      <c r="Q146" s="1">
        <v>0</v>
      </c>
    </row>
    <row r="147">
      <c r="A147" s="1">
        <v>2016</v>
      </c>
      <c r="B147" s="1">
        <v>41</v>
      </c>
      <c r="C147" s="1">
        <v>51</v>
      </c>
      <c r="D147" t="s">
        <v>3</v>
      </c>
      <c r="E147" t="s">
        <v>6</v>
      </c>
      <c r="F147" s="1">
        <v>41051</v>
      </c>
      <c r="G147" s="1">
        <v>51</v>
      </c>
      <c r="H147" s="1">
        <v>810</v>
      </c>
      <c r="I147" t="s">
        <v>39</v>
      </c>
      <c r="J147" t="s">
        <v>294</v>
      </c>
      <c r="K147" s="1">
        <v>51810</v>
      </c>
      <c r="L147" s="1">
        <v>69</v>
      </c>
      <c r="M147" s="1">
        <v>69</v>
      </c>
      <c r="N147" s="1">
        <v>0</v>
      </c>
      <c r="O147" s="1">
        <v>51810</v>
      </c>
      <c r="P147" s="1">
        <v>1</v>
      </c>
      <c r="Q147" s="1">
        <v>0</v>
      </c>
    </row>
    <row r="148">
      <c r="A148" s="1">
        <v>2016</v>
      </c>
      <c r="B148" s="1">
        <v>41</v>
      </c>
      <c r="C148" s="1">
        <v>51</v>
      </c>
      <c r="D148" t="s">
        <v>3</v>
      </c>
      <c r="E148" t="s">
        <v>6</v>
      </c>
      <c r="F148" s="1">
        <v>41051</v>
      </c>
      <c r="G148" s="1">
        <v>53</v>
      </c>
      <c r="H148" s="1">
        <v>0</v>
      </c>
      <c r="I148" t="s">
        <v>411</v>
      </c>
      <c r="J148" t="s">
        <v>276</v>
      </c>
      <c r="K148" s="1">
        <v>53000</v>
      </c>
      <c r="L148" s="1">
        <v>689</v>
      </c>
      <c r="M148" s="1">
        <v>353</v>
      </c>
      <c r="N148" s="1">
        <v>17032400</v>
      </c>
      <c r="O148" s="1"/>
      <c r="P148" s="1">
        <v>1</v>
      </c>
      <c r="Q148" s="1">
        <v>0</v>
      </c>
    </row>
    <row r="149">
      <c r="A149" s="1">
        <v>2016</v>
      </c>
      <c r="B149" s="1">
        <v>41</v>
      </c>
      <c r="C149" s="1">
        <v>51</v>
      </c>
      <c r="D149" t="s">
        <v>3</v>
      </c>
      <c r="E149" t="s">
        <v>6</v>
      </c>
      <c r="F149" s="1">
        <v>41051</v>
      </c>
      <c r="G149" s="1">
        <v>53</v>
      </c>
      <c r="H149" s="1">
        <v>11</v>
      </c>
      <c r="I149" t="s">
        <v>40</v>
      </c>
      <c r="J149" t="s">
        <v>112</v>
      </c>
      <c r="K149" s="1">
        <v>53011</v>
      </c>
      <c r="L149" s="1">
        <v>5286</v>
      </c>
      <c r="M149" s="1">
        <v>2453</v>
      </c>
      <c r="N149" s="1">
        <v>152070680</v>
      </c>
      <c r="O149" s="1">
        <v>53011</v>
      </c>
      <c r="P149" s="1">
        <v>1</v>
      </c>
      <c r="Q149" s="1">
        <v>0</v>
      </c>
    </row>
    <row r="150">
      <c r="A150" s="1">
        <v>2016</v>
      </c>
      <c r="B150" s="1">
        <v>41</v>
      </c>
      <c r="C150" s="1">
        <v>51</v>
      </c>
      <c r="D150" t="s">
        <v>3</v>
      </c>
      <c r="E150" t="s">
        <v>6</v>
      </c>
      <c r="F150" s="1">
        <v>41051</v>
      </c>
      <c r="G150" s="1">
        <v>53</v>
      </c>
      <c r="H150" s="1">
        <v>33</v>
      </c>
      <c r="I150" t="s">
        <v>40</v>
      </c>
      <c r="J150" t="s">
        <v>160</v>
      </c>
      <c r="K150" s="1">
        <v>53033</v>
      </c>
      <c r="L150" s="1">
        <v>514</v>
      </c>
      <c r="M150" s="1">
        <v>215</v>
      </c>
      <c r="N150" s="1">
        <v>6278000</v>
      </c>
      <c r="O150" s="1">
        <v>53033</v>
      </c>
      <c r="P150" s="1">
        <v>1</v>
      </c>
      <c r="Q150" s="1">
        <v>0</v>
      </c>
    </row>
    <row r="151">
      <c r="A151" s="1">
        <v>2016</v>
      </c>
      <c r="B151" s="1">
        <v>41</v>
      </c>
      <c r="C151" s="1">
        <v>51</v>
      </c>
      <c r="D151" t="s">
        <v>3</v>
      </c>
      <c r="E151" t="s">
        <v>6</v>
      </c>
      <c r="F151" s="1">
        <v>41051</v>
      </c>
      <c r="G151" s="1">
        <v>53</v>
      </c>
      <c r="H151" s="1">
        <v>35</v>
      </c>
      <c r="I151" t="s">
        <v>40</v>
      </c>
      <c r="J151" t="s">
        <v>161</v>
      </c>
      <c r="K151" s="1">
        <v>53035</v>
      </c>
      <c r="L151" s="1">
        <v>233</v>
      </c>
      <c r="M151" s="1">
        <v>69</v>
      </c>
      <c r="N151" s="1">
        <v>3685000</v>
      </c>
      <c r="O151" s="1">
        <v>53035</v>
      </c>
      <c r="P151" s="1">
        <v>1</v>
      </c>
      <c r="Q151" s="1">
        <v>0</v>
      </c>
    </row>
    <row r="152">
      <c r="A152" s="1">
        <v>2016</v>
      </c>
      <c r="B152" s="1">
        <v>41</v>
      </c>
      <c r="C152" s="1">
        <v>51</v>
      </c>
      <c r="D152" t="s">
        <v>3</v>
      </c>
      <c r="E152" t="s">
        <v>6</v>
      </c>
      <c r="F152" s="1">
        <v>41051</v>
      </c>
      <c r="G152" s="1">
        <v>53</v>
      </c>
      <c r="H152" s="1">
        <v>61</v>
      </c>
      <c r="I152" t="s">
        <v>40</v>
      </c>
      <c r="J152" t="s">
        <v>167</v>
      </c>
      <c r="K152" s="1">
        <v>53061</v>
      </c>
      <c r="L152" s="1">
        <v>114</v>
      </c>
      <c r="M152" s="1">
        <v>115</v>
      </c>
      <c r="N152" s="1">
        <v>7980000</v>
      </c>
      <c r="O152" s="1">
        <v>53061</v>
      </c>
      <c r="P152" s="1">
        <v>1</v>
      </c>
      <c r="Q152" s="1">
        <v>0</v>
      </c>
    </row>
    <row r="153">
      <c r="A153" s="1">
        <v>2016</v>
      </c>
      <c r="B153" s="1">
        <v>41</v>
      </c>
      <c r="C153" s="1">
        <v>51</v>
      </c>
      <c r="D153" t="s">
        <v>3</v>
      </c>
      <c r="E153" t="s">
        <v>6</v>
      </c>
      <c r="F153" s="1">
        <v>41051</v>
      </c>
      <c r="G153" s="1">
        <v>53</v>
      </c>
      <c r="H153" s="1">
        <v>63</v>
      </c>
      <c r="I153" t="s">
        <v>40</v>
      </c>
      <c r="J153" t="s">
        <v>168</v>
      </c>
      <c r="K153" s="1">
        <v>53063</v>
      </c>
      <c r="L153" s="1">
        <v>131</v>
      </c>
      <c r="M153" s="1"/>
      <c r="N153" s="1">
        <v>5240000</v>
      </c>
      <c r="O153" s="1">
        <v>53063</v>
      </c>
      <c r="P153" s="1">
        <v>1</v>
      </c>
      <c r="Q153" s="1">
        <v>0</v>
      </c>
    </row>
    <row r="154">
      <c r="A154" s="1">
        <v>2016</v>
      </c>
      <c r="B154" s="1">
        <v>41</v>
      </c>
      <c r="C154" s="1">
        <v>51</v>
      </c>
      <c r="D154" t="s">
        <v>3</v>
      </c>
      <c r="E154" t="s">
        <v>6</v>
      </c>
      <c r="F154" s="1">
        <v>41051</v>
      </c>
      <c r="G154" s="1">
        <v>53</v>
      </c>
      <c r="H154" s="1">
        <v>67</v>
      </c>
      <c r="I154" t="s">
        <v>40</v>
      </c>
      <c r="J154" t="s">
        <v>169</v>
      </c>
      <c r="K154" s="1">
        <v>53067</v>
      </c>
      <c r="L154" s="1">
        <v>419</v>
      </c>
      <c r="M154" s="1">
        <v>419</v>
      </c>
      <c r="N154" s="1">
        <v>21788000</v>
      </c>
      <c r="O154" s="1">
        <v>53067</v>
      </c>
      <c r="P154" s="1">
        <v>1</v>
      </c>
      <c r="Q154" s="1">
        <v>0</v>
      </c>
    </row>
    <row r="155">
      <c r="A155" s="1">
        <v>2016</v>
      </c>
      <c r="B155" s="1">
        <v>41</v>
      </c>
      <c r="C155" s="1">
        <v>51</v>
      </c>
      <c r="D155" t="s">
        <v>3</v>
      </c>
      <c r="E155" t="s">
        <v>6</v>
      </c>
      <c r="F155" s="1">
        <v>41051</v>
      </c>
      <c r="G155" s="1">
        <v>55</v>
      </c>
      <c r="H155" s="1">
        <v>25</v>
      </c>
      <c r="I155" t="s">
        <v>41</v>
      </c>
      <c r="J155" t="s">
        <v>173</v>
      </c>
      <c r="K155" s="1">
        <v>55025</v>
      </c>
      <c r="L155" s="1">
        <v>45</v>
      </c>
      <c r="M155" s="1"/>
      <c r="N155" s="1">
        <v>9450000</v>
      </c>
      <c r="O155" s="1">
        <v>55025</v>
      </c>
      <c r="P155" s="1">
        <v>1</v>
      </c>
      <c r="Q155" s="1">
        <v>0</v>
      </c>
    </row>
    <row r="156">
      <c r="A156" s="1">
        <v>2017</v>
      </c>
      <c r="B156" s="1">
        <v>41</v>
      </c>
      <c r="C156" s="1">
        <v>51</v>
      </c>
      <c r="D156" t="s">
        <v>3</v>
      </c>
      <c r="E156" t="s">
        <v>6</v>
      </c>
      <c r="F156" s="1">
        <v>41051</v>
      </c>
      <c r="G156" s="1">
        <v>4</v>
      </c>
      <c r="H156" s="1">
        <v>0</v>
      </c>
      <c r="I156" t="s">
        <v>411</v>
      </c>
      <c r="J156" t="s">
        <v>276</v>
      </c>
      <c r="K156" s="1">
        <v>4000</v>
      </c>
      <c r="L156" s="1">
        <v>164</v>
      </c>
      <c r="M156" s="1">
        <v>126</v>
      </c>
      <c r="N156" s="1">
        <v>4328200</v>
      </c>
      <c r="O156" s="1"/>
      <c r="P156" s="1">
        <v>1</v>
      </c>
      <c r="Q156" s="1">
        <v>0</v>
      </c>
    </row>
    <row r="157">
      <c r="A157" s="1">
        <v>2017</v>
      </c>
      <c r="B157" s="1">
        <v>41</v>
      </c>
      <c r="C157" s="1">
        <v>51</v>
      </c>
      <c r="D157" t="s">
        <v>3</v>
      </c>
      <c r="E157" t="s">
        <v>6</v>
      </c>
      <c r="F157" s="1">
        <v>41051</v>
      </c>
      <c r="G157" s="1">
        <v>4</v>
      </c>
      <c r="H157" s="1">
        <v>13</v>
      </c>
      <c r="I157" t="s">
        <v>10</v>
      </c>
      <c r="J157" t="s">
        <v>53</v>
      </c>
      <c r="K157" s="1">
        <v>4013</v>
      </c>
      <c r="L157" s="1">
        <v>504</v>
      </c>
      <c r="M157" s="1">
        <v>271</v>
      </c>
      <c r="N157" s="1">
        <v>18432900</v>
      </c>
      <c r="O157" s="1">
        <v>4013</v>
      </c>
      <c r="P157" s="1">
        <v>1</v>
      </c>
      <c r="Q157" s="1">
        <v>0</v>
      </c>
    </row>
    <row r="158">
      <c r="A158" s="1">
        <v>2017</v>
      </c>
      <c r="B158" s="1">
        <v>41</v>
      </c>
      <c r="C158" s="1">
        <v>51</v>
      </c>
      <c r="D158" t="s">
        <v>3</v>
      </c>
      <c r="E158" t="s">
        <v>6</v>
      </c>
      <c r="F158" s="1">
        <v>41051</v>
      </c>
      <c r="G158" s="1">
        <v>4</v>
      </c>
      <c r="H158" s="1">
        <v>19</v>
      </c>
      <c r="I158" t="s">
        <v>10</v>
      </c>
      <c r="J158" t="s">
        <v>54</v>
      </c>
      <c r="K158" s="1">
        <v>4019</v>
      </c>
      <c r="L158" s="1">
        <v>113</v>
      </c>
      <c r="M158" s="1">
        <v>59</v>
      </c>
      <c r="N158" s="1">
        <v>3440000</v>
      </c>
      <c r="O158" s="1">
        <v>4019</v>
      </c>
      <c r="P158" s="1">
        <v>1</v>
      </c>
      <c r="Q158" s="1">
        <v>0</v>
      </c>
    </row>
    <row r="159">
      <c r="A159" s="1">
        <v>2017</v>
      </c>
      <c r="B159" s="1">
        <v>41</v>
      </c>
      <c r="C159" s="1">
        <v>51</v>
      </c>
      <c r="D159" t="s">
        <v>3</v>
      </c>
      <c r="E159" t="s">
        <v>6</v>
      </c>
      <c r="F159" s="1">
        <v>41051</v>
      </c>
      <c r="G159" s="1">
        <v>6</v>
      </c>
      <c r="H159" s="1">
        <v>0</v>
      </c>
      <c r="I159" t="s">
        <v>411</v>
      </c>
      <c r="J159" t="s">
        <v>276</v>
      </c>
      <c r="K159" s="1">
        <v>6000</v>
      </c>
      <c r="L159" s="1">
        <v>110</v>
      </c>
      <c r="M159" s="1">
        <v>111</v>
      </c>
      <c r="N159" s="1">
        <v>5830000</v>
      </c>
      <c r="O159" s="1"/>
      <c r="P159" s="1">
        <v>1</v>
      </c>
      <c r="Q159" s="1">
        <v>0</v>
      </c>
    </row>
    <row r="160">
      <c r="A160" s="1">
        <v>2017</v>
      </c>
      <c r="B160" s="1">
        <v>41</v>
      </c>
      <c r="C160" s="1">
        <v>51</v>
      </c>
      <c r="D160" t="s">
        <v>3</v>
      </c>
      <c r="E160" t="s">
        <v>6</v>
      </c>
      <c r="F160" s="1">
        <v>41051</v>
      </c>
      <c r="G160" s="1">
        <v>6</v>
      </c>
      <c r="H160" s="1">
        <v>1</v>
      </c>
      <c r="I160" t="s">
        <v>11</v>
      </c>
      <c r="J160" t="s">
        <v>56</v>
      </c>
      <c r="K160" s="1">
        <v>6001</v>
      </c>
      <c r="L160" s="1">
        <v>155</v>
      </c>
      <c r="M160" s="1">
        <v>64</v>
      </c>
      <c r="N160" s="1">
        <v>9282200</v>
      </c>
      <c r="O160" s="1">
        <v>6001</v>
      </c>
      <c r="P160" s="1">
        <v>1</v>
      </c>
      <c r="Q160" s="1">
        <v>0</v>
      </c>
    </row>
    <row r="161">
      <c r="A161" s="1">
        <v>2017</v>
      </c>
      <c r="B161" s="1">
        <v>41</v>
      </c>
      <c r="C161" s="1">
        <v>51</v>
      </c>
      <c r="D161" t="s">
        <v>3</v>
      </c>
      <c r="E161" t="s">
        <v>6</v>
      </c>
      <c r="F161" s="1">
        <v>41051</v>
      </c>
      <c r="G161" s="1">
        <v>6</v>
      </c>
      <c r="H161" s="1">
        <v>13</v>
      </c>
      <c r="I161" t="s">
        <v>11</v>
      </c>
      <c r="J161" t="s">
        <v>57</v>
      </c>
      <c r="K161" s="1">
        <v>6013</v>
      </c>
      <c r="L161" s="1">
        <v>114</v>
      </c>
      <c r="M161" s="1">
        <v>57</v>
      </c>
      <c r="N161" s="1">
        <v>9891920</v>
      </c>
      <c r="O161" s="1">
        <v>6013</v>
      </c>
      <c r="P161" s="1">
        <v>1</v>
      </c>
      <c r="Q161" s="1">
        <v>0</v>
      </c>
    </row>
    <row r="162">
      <c r="A162" s="1">
        <v>2017</v>
      </c>
      <c r="B162" s="1">
        <v>41</v>
      </c>
      <c r="C162" s="1">
        <v>51</v>
      </c>
      <c r="D162" t="s">
        <v>3</v>
      </c>
      <c r="E162" t="s">
        <v>6</v>
      </c>
      <c r="F162" s="1">
        <v>41051</v>
      </c>
      <c r="G162" s="1">
        <v>6</v>
      </c>
      <c r="H162" s="1">
        <v>23</v>
      </c>
      <c r="I162" t="s">
        <v>11</v>
      </c>
      <c r="J162" t="s">
        <v>59</v>
      </c>
      <c r="K162" s="1">
        <v>6023</v>
      </c>
      <c r="L162" s="1">
        <v>273</v>
      </c>
      <c r="M162" s="1">
        <v>85</v>
      </c>
      <c r="N162" s="1">
        <v>3936480</v>
      </c>
      <c r="O162" s="1">
        <v>6023</v>
      </c>
      <c r="P162" s="1">
        <v>1</v>
      </c>
      <c r="Q162" s="1">
        <v>0</v>
      </c>
    </row>
    <row r="163">
      <c r="A163" s="1">
        <v>2017</v>
      </c>
      <c r="B163" s="1">
        <v>41</v>
      </c>
      <c r="C163" s="1">
        <v>51</v>
      </c>
      <c r="D163" t="s">
        <v>3</v>
      </c>
      <c r="E163" t="s">
        <v>6</v>
      </c>
      <c r="F163" s="1">
        <v>41051</v>
      </c>
      <c r="G163" s="1">
        <v>6</v>
      </c>
      <c r="H163" s="1">
        <v>37</v>
      </c>
      <c r="I163" t="s">
        <v>11</v>
      </c>
      <c r="J163" t="s">
        <v>61</v>
      </c>
      <c r="K163" s="1">
        <v>6037</v>
      </c>
      <c r="L163" s="1">
        <v>830</v>
      </c>
      <c r="M163" s="1">
        <v>276</v>
      </c>
      <c r="N163" s="1">
        <v>19480400</v>
      </c>
      <c r="O163" s="1">
        <v>6037</v>
      </c>
      <c r="P163" s="1">
        <v>1</v>
      </c>
      <c r="Q163" s="1">
        <v>0</v>
      </c>
    </row>
    <row r="164">
      <c r="A164" s="1">
        <v>2017</v>
      </c>
      <c r="B164" s="1">
        <v>41</v>
      </c>
      <c r="C164" s="1">
        <v>51</v>
      </c>
      <c r="D164" t="s">
        <v>3</v>
      </c>
      <c r="E164" t="s">
        <v>6</v>
      </c>
      <c r="F164" s="1">
        <v>41051</v>
      </c>
      <c r="G164" s="1">
        <v>6</v>
      </c>
      <c r="H164" s="1">
        <v>59</v>
      </c>
      <c r="I164" t="s">
        <v>11</v>
      </c>
      <c r="J164" t="s">
        <v>64</v>
      </c>
      <c r="K164" s="1">
        <v>6059</v>
      </c>
      <c r="L164" s="1">
        <v>88</v>
      </c>
      <c r="M164" s="1"/>
      <c r="N164" s="1">
        <v>7858400</v>
      </c>
      <c r="O164" s="1">
        <v>6059</v>
      </c>
      <c r="P164" s="1">
        <v>1</v>
      </c>
      <c r="Q164" s="1">
        <v>0</v>
      </c>
    </row>
    <row r="165">
      <c r="A165" s="1">
        <v>2017</v>
      </c>
      <c r="B165" s="1">
        <v>41</v>
      </c>
      <c r="C165" s="1">
        <v>51</v>
      </c>
      <c r="D165" t="s">
        <v>3</v>
      </c>
      <c r="E165" t="s">
        <v>6</v>
      </c>
      <c r="F165" s="1">
        <v>41051</v>
      </c>
      <c r="G165" s="1">
        <v>6</v>
      </c>
      <c r="H165" s="1">
        <v>65</v>
      </c>
      <c r="I165" t="s">
        <v>11</v>
      </c>
      <c r="J165" t="s">
        <v>66</v>
      </c>
      <c r="K165" s="1">
        <v>6065</v>
      </c>
      <c r="L165" s="1">
        <v>522</v>
      </c>
      <c r="M165" s="1">
        <v>195</v>
      </c>
      <c r="N165" s="1">
        <v>57154000</v>
      </c>
      <c r="O165" s="1">
        <v>6065</v>
      </c>
      <c r="P165" s="1">
        <v>1</v>
      </c>
      <c r="Q165" s="1">
        <v>0</v>
      </c>
    </row>
    <row r="166">
      <c r="A166" s="1">
        <v>2017</v>
      </c>
      <c r="B166" s="1">
        <v>41</v>
      </c>
      <c r="C166" s="1">
        <v>51</v>
      </c>
      <c r="D166" t="s">
        <v>3</v>
      </c>
      <c r="E166" t="s">
        <v>6</v>
      </c>
      <c r="F166" s="1">
        <v>41051</v>
      </c>
      <c r="G166" s="1">
        <v>6</v>
      </c>
      <c r="H166" s="1">
        <v>67</v>
      </c>
      <c r="I166" t="s">
        <v>11</v>
      </c>
      <c r="J166" t="s">
        <v>67</v>
      </c>
      <c r="K166" s="1">
        <v>6067</v>
      </c>
      <c r="L166" s="1">
        <v>360</v>
      </c>
      <c r="M166" s="1"/>
      <c r="N166" s="1">
        <v>10836000</v>
      </c>
      <c r="O166" s="1">
        <v>6067</v>
      </c>
      <c r="P166" s="1">
        <v>1</v>
      </c>
      <c r="Q166" s="1">
        <v>0</v>
      </c>
    </row>
    <row r="167">
      <c r="A167" s="1">
        <v>2017</v>
      </c>
      <c r="B167" s="1">
        <v>41</v>
      </c>
      <c r="C167" s="1">
        <v>51</v>
      </c>
      <c r="D167" t="s">
        <v>3</v>
      </c>
      <c r="E167" t="s">
        <v>6</v>
      </c>
      <c r="F167" s="1">
        <v>41051</v>
      </c>
      <c r="G167" s="1">
        <v>6</v>
      </c>
      <c r="H167" s="1">
        <v>73</v>
      </c>
      <c r="I167" t="s">
        <v>11</v>
      </c>
      <c r="J167" t="s">
        <v>69</v>
      </c>
      <c r="K167" s="1">
        <v>6073</v>
      </c>
      <c r="L167" s="1">
        <v>960</v>
      </c>
      <c r="M167" s="1">
        <v>495</v>
      </c>
      <c r="N167" s="1">
        <v>50290950</v>
      </c>
      <c r="O167" s="1">
        <v>6073</v>
      </c>
      <c r="P167" s="1">
        <v>1</v>
      </c>
      <c r="Q167" s="1">
        <v>0</v>
      </c>
    </row>
    <row r="168">
      <c r="A168" s="1">
        <v>2017</v>
      </c>
      <c r="B168" s="1">
        <v>41</v>
      </c>
      <c r="C168" s="1">
        <v>51</v>
      </c>
      <c r="D168" t="s">
        <v>3</v>
      </c>
      <c r="E168" t="s">
        <v>6</v>
      </c>
      <c r="F168" s="1">
        <v>41051</v>
      </c>
      <c r="G168" s="1">
        <v>6</v>
      </c>
      <c r="H168" s="1">
        <v>75</v>
      </c>
      <c r="I168" t="s">
        <v>11</v>
      </c>
      <c r="J168" t="s">
        <v>70</v>
      </c>
      <c r="K168" s="1">
        <v>6075</v>
      </c>
      <c r="L168" s="1">
        <v>300</v>
      </c>
      <c r="M168" s="1">
        <v>217</v>
      </c>
      <c r="N168" s="1">
        <v>42340000</v>
      </c>
      <c r="O168" s="1">
        <v>6075</v>
      </c>
      <c r="P168" s="1">
        <v>1</v>
      </c>
      <c r="Q168" s="1">
        <v>0</v>
      </c>
    </row>
    <row r="169">
      <c r="A169" s="1">
        <v>2017</v>
      </c>
      <c r="B169" s="1">
        <v>41</v>
      </c>
      <c r="C169" s="1">
        <v>51</v>
      </c>
      <c r="D169" t="s">
        <v>3</v>
      </c>
      <c r="E169" t="s">
        <v>6</v>
      </c>
      <c r="F169" s="1">
        <v>41051</v>
      </c>
      <c r="G169" s="1">
        <v>6</v>
      </c>
      <c r="H169" s="1">
        <v>81</v>
      </c>
      <c r="I169" t="s">
        <v>11</v>
      </c>
      <c r="J169" t="s">
        <v>72</v>
      </c>
      <c r="K169" s="1">
        <v>6081</v>
      </c>
      <c r="L169" s="1">
        <v>109</v>
      </c>
      <c r="M169" s="1"/>
      <c r="N169" s="1">
        <v>545000</v>
      </c>
      <c r="O169" s="1">
        <v>6081</v>
      </c>
      <c r="P169" s="1">
        <v>1</v>
      </c>
      <c r="Q169" s="1">
        <v>0</v>
      </c>
    </row>
    <row r="170">
      <c r="A170" s="1">
        <v>2017</v>
      </c>
      <c r="B170" s="1">
        <v>41</v>
      </c>
      <c r="C170" s="1">
        <v>51</v>
      </c>
      <c r="D170" t="s">
        <v>3</v>
      </c>
      <c r="E170" t="s">
        <v>6</v>
      </c>
      <c r="F170" s="1">
        <v>41051</v>
      </c>
      <c r="G170" s="1">
        <v>6</v>
      </c>
      <c r="H170" s="1">
        <v>85</v>
      </c>
      <c r="I170" t="s">
        <v>11</v>
      </c>
      <c r="J170" t="s">
        <v>74</v>
      </c>
      <c r="K170" s="1">
        <v>6085</v>
      </c>
      <c r="L170" s="1">
        <v>104</v>
      </c>
      <c r="M170" s="1">
        <v>103</v>
      </c>
      <c r="N170" s="1">
        <v>11648000</v>
      </c>
      <c r="O170" s="1">
        <v>6085</v>
      </c>
      <c r="P170" s="1">
        <v>1</v>
      </c>
      <c r="Q170" s="1">
        <v>0</v>
      </c>
    </row>
    <row r="171">
      <c r="A171" s="1">
        <v>2017</v>
      </c>
      <c r="B171" s="1">
        <v>41</v>
      </c>
      <c r="C171" s="1">
        <v>51</v>
      </c>
      <c r="D171" t="s">
        <v>3</v>
      </c>
      <c r="E171" t="s">
        <v>6</v>
      </c>
      <c r="F171" s="1">
        <v>41051</v>
      </c>
      <c r="G171" s="1">
        <v>6</v>
      </c>
      <c r="H171" s="1">
        <v>97</v>
      </c>
      <c r="I171" t="s">
        <v>11</v>
      </c>
      <c r="J171" t="s">
        <v>77</v>
      </c>
      <c r="K171" s="1">
        <v>6097</v>
      </c>
      <c r="L171" s="1">
        <v>104</v>
      </c>
      <c r="M171" s="1">
        <v>103</v>
      </c>
      <c r="N171" s="1">
        <v>6968000</v>
      </c>
      <c r="O171" s="1">
        <v>6097</v>
      </c>
      <c r="P171" s="1">
        <v>1</v>
      </c>
      <c r="Q171" s="1">
        <v>0</v>
      </c>
    </row>
    <row r="172">
      <c r="A172" s="1">
        <v>2017</v>
      </c>
      <c r="B172" s="1">
        <v>41</v>
      </c>
      <c r="C172" s="1">
        <v>51</v>
      </c>
      <c r="D172" t="s">
        <v>3</v>
      </c>
      <c r="E172" t="s">
        <v>6</v>
      </c>
      <c r="F172" s="1">
        <v>41051</v>
      </c>
      <c r="G172" s="1">
        <v>8</v>
      </c>
      <c r="H172" s="1">
        <v>0</v>
      </c>
      <c r="I172" t="s">
        <v>411</v>
      </c>
      <c r="J172" t="s">
        <v>276</v>
      </c>
      <c r="K172" s="1">
        <v>8000</v>
      </c>
      <c r="L172" s="1">
        <v>1079</v>
      </c>
      <c r="M172" s="1">
        <v>570</v>
      </c>
      <c r="N172" s="1">
        <v>35267500</v>
      </c>
      <c r="O172" s="1"/>
      <c r="P172" s="1">
        <v>1</v>
      </c>
      <c r="Q172" s="1">
        <v>0</v>
      </c>
    </row>
    <row r="173">
      <c r="A173" s="1">
        <v>2017</v>
      </c>
      <c r="B173" s="1">
        <v>41</v>
      </c>
      <c r="C173" s="1">
        <v>51</v>
      </c>
      <c r="D173" t="s">
        <v>3</v>
      </c>
      <c r="E173" t="s">
        <v>6</v>
      </c>
      <c r="F173" s="1">
        <v>41051</v>
      </c>
      <c r="G173" s="1">
        <v>9</v>
      </c>
      <c r="H173" s="1">
        <v>3</v>
      </c>
      <c r="I173" t="s">
        <v>13</v>
      </c>
      <c r="J173" t="s">
        <v>182</v>
      </c>
      <c r="K173" s="1">
        <v>9003</v>
      </c>
      <c r="L173" s="1">
        <v>99</v>
      </c>
      <c r="M173" s="1"/>
      <c r="N173" s="1">
        <v>1386000</v>
      </c>
      <c r="O173" s="1">
        <v>9003</v>
      </c>
      <c r="P173" s="1">
        <v>1</v>
      </c>
      <c r="Q173" s="1">
        <v>0</v>
      </c>
    </row>
    <row r="174">
      <c r="A174" s="1">
        <v>2017</v>
      </c>
      <c r="B174" s="1">
        <v>41</v>
      </c>
      <c r="C174" s="1">
        <v>51</v>
      </c>
      <c r="D174" t="s">
        <v>3</v>
      </c>
      <c r="E174" t="s">
        <v>6</v>
      </c>
      <c r="F174" s="1">
        <v>41051</v>
      </c>
      <c r="G174" s="1">
        <v>12</v>
      </c>
      <c r="H174" s="1">
        <v>0</v>
      </c>
      <c r="I174" t="s">
        <v>411</v>
      </c>
      <c r="J174" t="s">
        <v>276</v>
      </c>
      <c r="K174" s="1">
        <v>12000</v>
      </c>
      <c r="L174" s="1">
        <v>70</v>
      </c>
      <c r="M174" s="1">
        <v>70</v>
      </c>
      <c r="N174" s="1">
        <v>3486000</v>
      </c>
      <c r="O174" s="1"/>
      <c r="P174" s="1">
        <v>1</v>
      </c>
      <c r="Q174" s="1">
        <v>0</v>
      </c>
    </row>
    <row r="175">
      <c r="A175" s="1">
        <v>2017</v>
      </c>
      <c r="B175" s="1">
        <v>41</v>
      </c>
      <c r="C175" s="1">
        <v>51</v>
      </c>
      <c r="D175" t="s">
        <v>3</v>
      </c>
      <c r="E175" t="s">
        <v>6</v>
      </c>
      <c r="F175" s="1">
        <v>41051</v>
      </c>
      <c r="G175" s="1">
        <v>12</v>
      </c>
      <c r="H175" s="1">
        <v>21</v>
      </c>
      <c r="I175" t="s">
        <v>15</v>
      </c>
      <c r="J175" t="s">
        <v>295</v>
      </c>
      <c r="K175" s="1">
        <v>12021</v>
      </c>
      <c r="L175" s="1">
        <v>69</v>
      </c>
      <c r="M175" s="1">
        <v>32</v>
      </c>
      <c r="N175" s="1">
        <v>1932000</v>
      </c>
      <c r="O175" s="1">
        <v>12021</v>
      </c>
      <c r="P175" s="1">
        <v>1</v>
      </c>
      <c r="Q175" s="1">
        <v>0</v>
      </c>
    </row>
    <row r="176">
      <c r="A176" s="1">
        <v>2017</v>
      </c>
      <c r="B176" s="1">
        <v>41</v>
      </c>
      <c r="C176" s="1">
        <v>51</v>
      </c>
      <c r="D176" t="s">
        <v>3</v>
      </c>
      <c r="E176" t="s">
        <v>6</v>
      </c>
      <c r="F176" s="1">
        <v>41051</v>
      </c>
      <c r="G176" s="1">
        <v>12</v>
      </c>
      <c r="H176" s="1">
        <v>57</v>
      </c>
      <c r="I176" t="s">
        <v>15</v>
      </c>
      <c r="J176" t="s">
        <v>86</v>
      </c>
      <c r="K176" s="1">
        <v>12057</v>
      </c>
      <c r="L176" s="1">
        <v>129</v>
      </c>
      <c r="M176" s="1"/>
      <c r="N176" s="1">
        <v>2580000</v>
      </c>
      <c r="O176" s="1">
        <v>12057</v>
      </c>
      <c r="P176" s="1">
        <v>1</v>
      </c>
      <c r="Q176" s="1">
        <v>0</v>
      </c>
    </row>
    <row r="177">
      <c r="A177" s="1">
        <v>2017</v>
      </c>
      <c r="B177" s="1">
        <v>41</v>
      </c>
      <c r="C177" s="1">
        <v>51</v>
      </c>
      <c r="D177" t="s">
        <v>3</v>
      </c>
      <c r="E177" t="s">
        <v>6</v>
      </c>
      <c r="F177" s="1">
        <v>41051</v>
      </c>
      <c r="G177" s="1">
        <v>12</v>
      </c>
      <c r="H177" s="1">
        <v>101</v>
      </c>
      <c r="I177" t="s">
        <v>15</v>
      </c>
      <c r="J177" t="s">
        <v>249</v>
      </c>
      <c r="K177" s="1">
        <v>12101</v>
      </c>
      <c r="L177" s="1">
        <v>78</v>
      </c>
      <c r="M177" s="1"/>
      <c r="N177" s="1">
        <v>0</v>
      </c>
      <c r="O177" s="1">
        <v>12101</v>
      </c>
      <c r="P177" s="1">
        <v>1</v>
      </c>
      <c r="Q177" s="1">
        <v>0</v>
      </c>
    </row>
    <row r="178">
      <c r="A178" s="1">
        <v>2017</v>
      </c>
      <c r="B178" s="1">
        <v>41</v>
      </c>
      <c r="C178" s="1">
        <v>51</v>
      </c>
      <c r="D178" t="s">
        <v>3</v>
      </c>
      <c r="E178" t="s">
        <v>6</v>
      </c>
      <c r="F178" s="1">
        <v>41051</v>
      </c>
      <c r="G178" s="1">
        <v>13</v>
      </c>
      <c r="H178" s="1">
        <v>0</v>
      </c>
      <c r="I178" t="s">
        <v>411</v>
      </c>
      <c r="J178" t="s">
        <v>276</v>
      </c>
      <c r="K178" s="1">
        <v>13000</v>
      </c>
      <c r="L178" s="1">
        <v>214</v>
      </c>
      <c r="M178" s="1">
        <v>108</v>
      </c>
      <c r="N178" s="1">
        <v>2210100</v>
      </c>
      <c r="O178" s="1"/>
      <c r="P178" s="1">
        <v>1</v>
      </c>
      <c r="Q178" s="1">
        <v>0</v>
      </c>
    </row>
    <row r="179">
      <c r="A179" s="1">
        <v>2017</v>
      </c>
      <c r="B179" s="1">
        <v>41</v>
      </c>
      <c r="C179" s="1">
        <v>51</v>
      </c>
      <c r="D179" t="s">
        <v>3</v>
      </c>
      <c r="E179" t="s">
        <v>6</v>
      </c>
      <c r="F179" s="1">
        <v>41051</v>
      </c>
      <c r="G179" s="1">
        <v>15</v>
      </c>
      <c r="H179" s="1">
        <v>3</v>
      </c>
      <c r="I179" t="s">
        <v>17</v>
      </c>
      <c r="J179" t="s">
        <v>93</v>
      </c>
      <c r="K179" s="1">
        <v>15003</v>
      </c>
      <c r="L179" s="1">
        <v>70</v>
      </c>
      <c r="M179" s="1">
        <v>70</v>
      </c>
      <c r="N179" s="1">
        <v>4200000</v>
      </c>
      <c r="O179" s="1">
        <v>15003</v>
      </c>
      <c r="P179" s="1">
        <v>1</v>
      </c>
      <c r="Q179" s="1">
        <v>0</v>
      </c>
    </row>
    <row r="180">
      <c r="A180" s="1">
        <v>2017</v>
      </c>
      <c r="B180" s="1">
        <v>41</v>
      </c>
      <c r="C180" s="1">
        <v>51</v>
      </c>
      <c r="D180" t="s">
        <v>3</v>
      </c>
      <c r="E180" t="s">
        <v>6</v>
      </c>
      <c r="F180" s="1">
        <v>41051</v>
      </c>
      <c r="G180" s="1">
        <v>16</v>
      </c>
      <c r="H180" s="1">
        <v>0</v>
      </c>
      <c r="I180" t="s">
        <v>411</v>
      </c>
      <c r="J180" t="s">
        <v>276</v>
      </c>
      <c r="K180" s="1">
        <v>16000</v>
      </c>
      <c r="L180" s="1">
        <v>1240</v>
      </c>
      <c r="M180" s="1">
        <v>558</v>
      </c>
      <c r="N180" s="1">
        <v>25031200</v>
      </c>
      <c r="O180" s="1"/>
      <c r="P180" s="1">
        <v>1</v>
      </c>
      <c r="Q180" s="1">
        <v>0</v>
      </c>
    </row>
    <row r="181">
      <c r="A181" s="1">
        <v>2017</v>
      </c>
      <c r="B181" s="1">
        <v>41</v>
      </c>
      <c r="C181" s="1">
        <v>51</v>
      </c>
      <c r="D181" t="s">
        <v>3</v>
      </c>
      <c r="E181" t="s">
        <v>6</v>
      </c>
      <c r="F181" s="1">
        <v>41051</v>
      </c>
      <c r="G181" s="1">
        <v>17</v>
      </c>
      <c r="H181" s="1">
        <v>31</v>
      </c>
      <c r="I181" t="s">
        <v>19</v>
      </c>
      <c r="J181" t="s">
        <v>98</v>
      </c>
      <c r="K181" s="1">
        <v>17031</v>
      </c>
      <c r="L181" s="1">
        <v>655</v>
      </c>
      <c r="M181" s="1">
        <v>257</v>
      </c>
      <c r="N181" s="1">
        <v>29099200</v>
      </c>
      <c r="O181" s="1">
        <v>17031</v>
      </c>
      <c r="P181" s="1">
        <v>1</v>
      </c>
      <c r="Q181" s="1">
        <v>0</v>
      </c>
    </row>
    <row r="182">
      <c r="A182" s="1">
        <v>2017</v>
      </c>
      <c r="B182" s="1">
        <v>41</v>
      </c>
      <c r="C182" s="1">
        <v>51</v>
      </c>
      <c r="D182" t="s">
        <v>3</v>
      </c>
      <c r="E182" t="s">
        <v>6</v>
      </c>
      <c r="F182" s="1">
        <v>41051</v>
      </c>
      <c r="G182" s="1">
        <v>22</v>
      </c>
      <c r="H182" s="1">
        <v>71</v>
      </c>
      <c r="I182" t="s">
        <v>22</v>
      </c>
      <c r="J182" t="s">
        <v>101</v>
      </c>
      <c r="K182" s="1">
        <v>22071</v>
      </c>
      <c r="L182" s="1">
        <v>57</v>
      </c>
      <c r="M182" s="1">
        <v>58</v>
      </c>
      <c r="N182" s="1">
        <v>114000</v>
      </c>
      <c r="O182" s="1">
        <v>22071</v>
      </c>
      <c r="P182" s="1">
        <v>1</v>
      </c>
      <c r="Q182" s="1">
        <v>0</v>
      </c>
    </row>
    <row r="183">
      <c r="A183" s="1">
        <v>2017</v>
      </c>
      <c r="B183" s="1">
        <v>41</v>
      </c>
      <c r="C183" s="1">
        <v>51</v>
      </c>
      <c r="D183" t="s">
        <v>3</v>
      </c>
      <c r="E183" t="s">
        <v>6</v>
      </c>
      <c r="F183" s="1">
        <v>41051</v>
      </c>
      <c r="G183" s="1">
        <v>23</v>
      </c>
      <c r="H183" s="1">
        <v>0</v>
      </c>
      <c r="I183" t="s">
        <v>411</v>
      </c>
      <c r="J183" t="s">
        <v>276</v>
      </c>
      <c r="K183" s="1">
        <v>23000</v>
      </c>
      <c r="L183" s="1">
        <v>312</v>
      </c>
      <c r="M183" s="1">
        <v>122</v>
      </c>
      <c r="N183" s="1">
        <v>12506000</v>
      </c>
      <c r="O183" s="1"/>
      <c r="P183" s="1">
        <v>1</v>
      </c>
      <c r="Q183" s="1">
        <v>0</v>
      </c>
    </row>
    <row r="184">
      <c r="A184" s="1">
        <v>2017</v>
      </c>
      <c r="B184" s="1">
        <v>41</v>
      </c>
      <c r="C184" s="1">
        <v>51</v>
      </c>
      <c r="D184" t="s">
        <v>3</v>
      </c>
      <c r="E184" t="s">
        <v>6</v>
      </c>
      <c r="F184" s="1">
        <v>41051</v>
      </c>
      <c r="G184" s="1">
        <v>25</v>
      </c>
      <c r="H184" s="1">
        <v>0</v>
      </c>
      <c r="I184" t="s">
        <v>411</v>
      </c>
      <c r="J184" t="s">
        <v>276</v>
      </c>
      <c r="K184" s="1">
        <v>25000</v>
      </c>
      <c r="L184" s="1">
        <v>82</v>
      </c>
      <c r="M184" s="1"/>
      <c r="N184" s="1">
        <v>246000</v>
      </c>
      <c r="O184" s="1"/>
      <c r="P184" s="1">
        <v>1</v>
      </c>
      <c r="Q184" s="1">
        <v>0</v>
      </c>
    </row>
    <row r="185">
      <c r="A185" s="1">
        <v>2017</v>
      </c>
      <c r="B185" s="1">
        <v>41</v>
      </c>
      <c r="C185" s="1">
        <v>51</v>
      </c>
      <c r="D185" t="s">
        <v>3</v>
      </c>
      <c r="E185" t="s">
        <v>6</v>
      </c>
      <c r="F185" s="1">
        <v>41051</v>
      </c>
      <c r="G185" s="1">
        <v>25</v>
      </c>
      <c r="H185" s="1">
        <v>25</v>
      </c>
      <c r="I185" t="s">
        <v>25</v>
      </c>
      <c r="J185" t="s">
        <v>105</v>
      </c>
      <c r="K185" s="1">
        <v>25025</v>
      </c>
      <c r="L185" s="1">
        <v>28</v>
      </c>
      <c r="M185" s="1"/>
      <c r="N185" s="1">
        <v>11200</v>
      </c>
      <c r="O185" s="1">
        <v>25025</v>
      </c>
      <c r="P185" s="1">
        <v>1</v>
      </c>
      <c r="Q185" s="1">
        <v>0</v>
      </c>
    </row>
    <row r="186">
      <c r="A186" s="1">
        <v>2017</v>
      </c>
      <c r="B186" s="1">
        <v>41</v>
      </c>
      <c r="C186" s="1">
        <v>51</v>
      </c>
      <c r="D186" t="s">
        <v>3</v>
      </c>
      <c r="E186" t="s">
        <v>6</v>
      </c>
      <c r="F186" s="1">
        <v>41051</v>
      </c>
      <c r="G186" s="1">
        <v>26</v>
      </c>
      <c r="H186" s="1">
        <v>147</v>
      </c>
      <c r="I186" t="s">
        <v>26</v>
      </c>
      <c r="J186" t="s">
        <v>296</v>
      </c>
      <c r="K186" s="1">
        <v>26147</v>
      </c>
      <c r="L186" s="1">
        <v>96</v>
      </c>
      <c r="M186" s="1">
        <v>97</v>
      </c>
      <c r="N186" s="1">
        <v>5184000</v>
      </c>
      <c r="O186" s="1">
        <v>26147</v>
      </c>
      <c r="P186" s="1">
        <v>1</v>
      </c>
      <c r="Q186" s="1">
        <v>0</v>
      </c>
    </row>
    <row r="187">
      <c r="A187" s="1">
        <v>2017</v>
      </c>
      <c r="B187" s="1">
        <v>41</v>
      </c>
      <c r="C187" s="1">
        <v>51</v>
      </c>
      <c r="D187" t="s">
        <v>3</v>
      </c>
      <c r="E187" t="s">
        <v>6</v>
      </c>
      <c r="F187" s="1">
        <v>41051</v>
      </c>
      <c r="G187" s="1">
        <v>27</v>
      </c>
      <c r="H187" s="1">
        <v>123</v>
      </c>
      <c r="I187" t="s">
        <v>27</v>
      </c>
      <c r="J187" t="s">
        <v>108</v>
      </c>
      <c r="K187" s="1">
        <v>27123</v>
      </c>
      <c r="L187" s="1">
        <v>88</v>
      </c>
      <c r="M187" s="1">
        <v>88</v>
      </c>
      <c r="N187" s="1">
        <v>475200</v>
      </c>
      <c r="O187" s="1">
        <v>27123</v>
      </c>
      <c r="P187" s="1">
        <v>1</v>
      </c>
      <c r="Q187" s="1">
        <v>0</v>
      </c>
    </row>
    <row r="188">
      <c r="A188" s="1">
        <v>2017</v>
      </c>
      <c r="B188" s="1">
        <v>41</v>
      </c>
      <c r="C188" s="1">
        <v>51</v>
      </c>
      <c r="D188" t="s">
        <v>3</v>
      </c>
      <c r="E188" t="s">
        <v>6</v>
      </c>
      <c r="F188" s="1">
        <v>41051</v>
      </c>
      <c r="G188" s="1">
        <v>29</v>
      </c>
      <c r="H188" s="1">
        <v>189</v>
      </c>
      <c r="I188" t="s">
        <v>44</v>
      </c>
      <c r="J188" t="s">
        <v>197</v>
      </c>
      <c r="K188" s="1">
        <v>29189</v>
      </c>
      <c r="L188" s="1">
        <v>152</v>
      </c>
      <c r="M188" s="1">
        <v>86</v>
      </c>
      <c r="N188" s="1">
        <v>11635000</v>
      </c>
      <c r="O188" s="1">
        <v>29189</v>
      </c>
      <c r="P188" s="1">
        <v>1</v>
      </c>
      <c r="Q188" s="1">
        <v>0</v>
      </c>
    </row>
    <row r="189">
      <c r="A189" s="1">
        <v>2017</v>
      </c>
      <c r="B189" s="1">
        <v>41</v>
      </c>
      <c r="C189" s="1">
        <v>51</v>
      </c>
      <c r="D189" t="s">
        <v>3</v>
      </c>
      <c r="E189" t="s">
        <v>6</v>
      </c>
      <c r="F189" s="1">
        <v>41051</v>
      </c>
      <c r="G189" s="1">
        <v>31</v>
      </c>
      <c r="H189" s="1">
        <v>55</v>
      </c>
      <c r="I189" t="s">
        <v>45</v>
      </c>
      <c r="J189" t="s">
        <v>131</v>
      </c>
      <c r="K189" s="1">
        <v>31055</v>
      </c>
      <c r="L189" s="1">
        <v>294</v>
      </c>
      <c r="M189" s="1">
        <v>190</v>
      </c>
      <c r="N189" s="1">
        <v>32470000</v>
      </c>
      <c r="O189" s="1">
        <v>31055</v>
      </c>
      <c r="P189" s="1">
        <v>1</v>
      </c>
      <c r="Q189" s="1">
        <v>0</v>
      </c>
    </row>
    <row r="190">
      <c r="A190" s="1">
        <v>2017</v>
      </c>
      <c r="B190" s="1">
        <v>41</v>
      </c>
      <c r="C190" s="1">
        <v>51</v>
      </c>
      <c r="D190" t="s">
        <v>3</v>
      </c>
      <c r="E190" t="s">
        <v>6</v>
      </c>
      <c r="F190" s="1">
        <v>41051</v>
      </c>
      <c r="G190" s="1">
        <v>32</v>
      </c>
      <c r="H190" s="1">
        <v>0</v>
      </c>
      <c r="I190" t="s">
        <v>411</v>
      </c>
      <c r="J190" t="s">
        <v>276</v>
      </c>
      <c r="K190" s="1">
        <v>32000</v>
      </c>
      <c r="L190" s="1">
        <v>577</v>
      </c>
      <c r="M190" s="1"/>
      <c r="N190" s="1">
        <v>12117000</v>
      </c>
      <c r="O190" s="1"/>
      <c r="P190" s="1">
        <v>1</v>
      </c>
      <c r="Q190" s="1">
        <v>0</v>
      </c>
    </row>
    <row r="191">
      <c r="A191" s="1">
        <v>2017</v>
      </c>
      <c r="B191" s="1">
        <v>41</v>
      </c>
      <c r="C191" s="1">
        <v>51</v>
      </c>
      <c r="D191" t="s">
        <v>3</v>
      </c>
      <c r="E191" t="s">
        <v>6</v>
      </c>
      <c r="F191" s="1">
        <v>41051</v>
      </c>
      <c r="G191" s="1">
        <v>32</v>
      </c>
      <c r="H191" s="1">
        <v>3</v>
      </c>
      <c r="I191" t="s">
        <v>29</v>
      </c>
      <c r="J191" t="s">
        <v>112</v>
      </c>
      <c r="K191" s="1">
        <v>32003</v>
      </c>
      <c r="L191" s="1">
        <v>233</v>
      </c>
      <c r="M191" s="1">
        <v>53</v>
      </c>
      <c r="N191" s="1">
        <v>1425200</v>
      </c>
      <c r="O191" s="1">
        <v>32003</v>
      </c>
      <c r="P191" s="1">
        <v>1</v>
      </c>
      <c r="Q191" s="1">
        <v>0</v>
      </c>
    </row>
    <row r="192">
      <c r="A192" s="1">
        <v>2017</v>
      </c>
      <c r="B192" s="1">
        <v>41</v>
      </c>
      <c r="C192" s="1">
        <v>51</v>
      </c>
      <c r="D192" t="s">
        <v>3</v>
      </c>
      <c r="E192" t="s">
        <v>6</v>
      </c>
      <c r="F192" s="1">
        <v>41051</v>
      </c>
      <c r="G192" s="1">
        <v>34</v>
      </c>
      <c r="H192" s="1">
        <v>21</v>
      </c>
      <c r="I192" t="s">
        <v>46</v>
      </c>
      <c r="J192" t="s">
        <v>286</v>
      </c>
      <c r="K192" s="1">
        <v>34021</v>
      </c>
      <c r="L192" s="1">
        <v>78</v>
      </c>
      <c r="M192" s="1"/>
      <c r="N192" s="1">
        <v>20280</v>
      </c>
      <c r="O192" s="1">
        <v>34021</v>
      </c>
      <c r="P192" s="1">
        <v>1</v>
      </c>
      <c r="Q192" s="1">
        <v>0</v>
      </c>
    </row>
    <row r="193">
      <c r="A193" s="1">
        <v>2017</v>
      </c>
      <c r="B193" s="1">
        <v>41</v>
      </c>
      <c r="C193" s="1">
        <v>51</v>
      </c>
      <c r="D193" t="s">
        <v>3</v>
      </c>
      <c r="E193" t="s">
        <v>6</v>
      </c>
      <c r="F193" s="1">
        <v>41051</v>
      </c>
      <c r="G193" s="1">
        <v>34</v>
      </c>
      <c r="H193" s="1">
        <v>23</v>
      </c>
      <c r="I193" t="s">
        <v>46</v>
      </c>
      <c r="J193" t="s">
        <v>104</v>
      </c>
      <c r="K193" s="1">
        <v>34023</v>
      </c>
      <c r="L193" s="1">
        <v>70</v>
      </c>
      <c r="M193" s="1"/>
      <c r="N193" s="1">
        <v>3500000</v>
      </c>
      <c r="O193" s="1">
        <v>34023</v>
      </c>
      <c r="P193" s="1">
        <v>1</v>
      </c>
      <c r="Q193" s="1">
        <v>0</v>
      </c>
    </row>
    <row r="194">
      <c r="A194" s="1">
        <v>2017</v>
      </c>
      <c r="B194" s="1">
        <v>41</v>
      </c>
      <c r="C194" s="1">
        <v>51</v>
      </c>
      <c r="D194" t="s">
        <v>3</v>
      </c>
      <c r="E194" t="s">
        <v>6</v>
      </c>
      <c r="F194" s="1">
        <v>41051</v>
      </c>
      <c r="G194" s="1">
        <v>36</v>
      </c>
      <c r="H194" s="1">
        <v>0</v>
      </c>
      <c r="I194" t="s">
        <v>411</v>
      </c>
      <c r="J194" t="s">
        <v>276</v>
      </c>
      <c r="K194" s="1">
        <v>36000</v>
      </c>
      <c r="L194" s="1">
        <v>146</v>
      </c>
      <c r="M194" s="1">
        <v>68</v>
      </c>
      <c r="N194" s="1">
        <v>9594800</v>
      </c>
      <c r="O194" s="1"/>
      <c r="P194" s="1">
        <v>1</v>
      </c>
      <c r="Q194" s="1">
        <v>0</v>
      </c>
    </row>
    <row r="195">
      <c r="A195" s="1">
        <v>2017</v>
      </c>
      <c r="B195" s="1">
        <v>41</v>
      </c>
      <c r="C195" s="1">
        <v>51</v>
      </c>
      <c r="D195" t="s">
        <v>3</v>
      </c>
      <c r="E195" t="s">
        <v>6</v>
      </c>
      <c r="F195" s="1">
        <v>41051</v>
      </c>
      <c r="G195" s="1">
        <v>36</v>
      </c>
      <c r="H195" s="1">
        <v>47</v>
      </c>
      <c r="I195" t="s">
        <v>31</v>
      </c>
      <c r="J195" t="s">
        <v>116</v>
      </c>
      <c r="K195" s="1">
        <v>36047</v>
      </c>
      <c r="L195" s="1">
        <v>440</v>
      </c>
      <c r="M195" s="1">
        <v>292</v>
      </c>
      <c r="N195" s="1">
        <v>28983440</v>
      </c>
      <c r="O195" s="1">
        <v>36047</v>
      </c>
      <c r="P195" s="1">
        <v>1</v>
      </c>
      <c r="Q195" s="1">
        <v>0</v>
      </c>
    </row>
    <row r="196">
      <c r="A196" s="1">
        <v>2017</v>
      </c>
      <c r="B196" s="1">
        <v>41</v>
      </c>
      <c r="C196" s="1">
        <v>51</v>
      </c>
      <c r="D196" t="s">
        <v>3</v>
      </c>
      <c r="E196" t="s">
        <v>6</v>
      </c>
      <c r="F196" s="1">
        <v>41051</v>
      </c>
      <c r="G196" s="1">
        <v>36</v>
      </c>
      <c r="H196" s="1">
        <v>55</v>
      </c>
      <c r="I196" t="s">
        <v>31</v>
      </c>
      <c r="J196" t="s">
        <v>203</v>
      </c>
      <c r="K196" s="1">
        <v>36055</v>
      </c>
      <c r="L196" s="1">
        <v>63</v>
      </c>
      <c r="M196" s="1">
        <v>64</v>
      </c>
      <c r="N196" s="1">
        <v>10080000</v>
      </c>
      <c r="O196" s="1">
        <v>36055</v>
      </c>
      <c r="P196" s="1">
        <v>1</v>
      </c>
      <c r="Q196" s="1">
        <v>0</v>
      </c>
    </row>
    <row r="197">
      <c r="A197" s="1">
        <v>2017</v>
      </c>
      <c r="B197" s="1">
        <v>41</v>
      </c>
      <c r="C197" s="1">
        <v>51</v>
      </c>
      <c r="D197" t="s">
        <v>3</v>
      </c>
      <c r="E197" t="s">
        <v>6</v>
      </c>
      <c r="F197" s="1">
        <v>41051</v>
      </c>
      <c r="G197" s="1">
        <v>37</v>
      </c>
      <c r="H197" s="1">
        <v>0</v>
      </c>
      <c r="I197" t="s">
        <v>411</v>
      </c>
      <c r="J197" t="s">
        <v>276</v>
      </c>
      <c r="K197" s="1">
        <v>37000</v>
      </c>
      <c r="L197" s="1">
        <v>274</v>
      </c>
      <c r="M197" s="1">
        <v>140</v>
      </c>
      <c r="N197" s="1">
        <v>3714000</v>
      </c>
      <c r="O197" s="1"/>
      <c r="P197" s="1">
        <v>1</v>
      </c>
      <c r="Q197" s="1">
        <v>0</v>
      </c>
    </row>
    <row r="198">
      <c r="A198" s="1">
        <v>2017</v>
      </c>
      <c r="B198" s="1">
        <v>41</v>
      </c>
      <c r="C198" s="1">
        <v>51</v>
      </c>
      <c r="D198" t="s">
        <v>3</v>
      </c>
      <c r="E198" t="s">
        <v>6</v>
      </c>
      <c r="F198" s="1">
        <v>41051</v>
      </c>
      <c r="G198" s="1">
        <v>39</v>
      </c>
      <c r="H198" s="1">
        <v>0</v>
      </c>
      <c r="I198" t="s">
        <v>411</v>
      </c>
      <c r="J198" t="s">
        <v>276</v>
      </c>
      <c r="K198" s="1">
        <v>39000</v>
      </c>
      <c r="L198" s="1">
        <v>27</v>
      </c>
      <c r="M198" s="1"/>
      <c r="N198" s="1">
        <v>202500</v>
      </c>
      <c r="O198" s="1"/>
      <c r="P198" s="1">
        <v>1</v>
      </c>
      <c r="Q198" s="1">
        <v>0</v>
      </c>
    </row>
    <row r="199">
      <c r="A199" s="1">
        <v>2017</v>
      </c>
      <c r="B199" s="1">
        <v>41</v>
      </c>
      <c r="C199" s="1">
        <v>51</v>
      </c>
      <c r="D199" t="s">
        <v>3</v>
      </c>
      <c r="E199" t="s">
        <v>6</v>
      </c>
      <c r="F199" s="1">
        <v>41051</v>
      </c>
      <c r="G199" s="1">
        <v>39</v>
      </c>
      <c r="H199" s="1">
        <v>35</v>
      </c>
      <c r="I199" t="s">
        <v>33</v>
      </c>
      <c r="J199" t="s">
        <v>207</v>
      </c>
      <c r="K199" s="1">
        <v>39035</v>
      </c>
      <c r="L199" s="1">
        <v>507</v>
      </c>
      <c r="M199" s="1">
        <v>294</v>
      </c>
      <c r="N199" s="1">
        <v>16922000</v>
      </c>
      <c r="O199" s="1">
        <v>39035</v>
      </c>
      <c r="P199" s="1">
        <v>1</v>
      </c>
      <c r="Q199" s="1">
        <v>0</v>
      </c>
    </row>
    <row r="200">
      <c r="A200" s="1">
        <v>2017</v>
      </c>
      <c r="B200" s="1">
        <v>41</v>
      </c>
      <c r="C200" s="1">
        <v>51</v>
      </c>
      <c r="D200" t="s">
        <v>3</v>
      </c>
      <c r="E200" t="s">
        <v>6</v>
      </c>
      <c r="F200" s="1">
        <v>41051</v>
      </c>
      <c r="G200" s="1">
        <v>40</v>
      </c>
      <c r="H200" s="1">
        <v>109</v>
      </c>
      <c r="I200" t="s">
        <v>47</v>
      </c>
      <c r="J200" t="s">
        <v>209</v>
      </c>
      <c r="K200" s="1">
        <v>40109</v>
      </c>
      <c r="L200" s="1">
        <v>759</v>
      </c>
      <c r="M200" s="1">
        <v>758</v>
      </c>
      <c r="N200" s="1">
        <v>9259800</v>
      </c>
      <c r="O200" s="1">
        <v>40109</v>
      </c>
      <c r="P200" s="1">
        <v>1</v>
      </c>
      <c r="Q200" s="1">
        <v>0</v>
      </c>
    </row>
    <row r="201">
      <c r="A201" s="1">
        <v>2017</v>
      </c>
      <c r="B201" s="1">
        <v>41</v>
      </c>
      <c r="C201" s="1">
        <v>51</v>
      </c>
      <c r="D201" t="s">
        <v>3</v>
      </c>
      <c r="E201" t="s">
        <v>6</v>
      </c>
      <c r="F201" s="1">
        <v>41051</v>
      </c>
      <c r="G201" s="1">
        <v>41</v>
      </c>
      <c r="H201" s="1">
        <v>0</v>
      </c>
      <c r="I201" t="s">
        <v>411</v>
      </c>
      <c r="J201" t="s">
        <v>276</v>
      </c>
      <c r="K201" s="1">
        <v>41000</v>
      </c>
      <c r="L201" s="1">
        <v>2076</v>
      </c>
      <c r="M201" s="1">
        <v>1149</v>
      </c>
      <c r="N201" s="1">
        <v>76173900</v>
      </c>
      <c r="O201" s="1"/>
      <c r="P201" s="1">
        <v>1</v>
      </c>
      <c r="Q201" s="1">
        <v>0</v>
      </c>
    </row>
    <row r="202">
      <c r="A202" s="1">
        <v>2017</v>
      </c>
      <c r="B202" s="1">
        <v>41</v>
      </c>
      <c r="C202" s="1">
        <v>51</v>
      </c>
      <c r="D202" t="s">
        <v>3</v>
      </c>
      <c r="E202" t="s">
        <v>6</v>
      </c>
      <c r="F202" s="1">
        <v>41051</v>
      </c>
      <c r="G202" s="1">
        <v>41</v>
      </c>
      <c r="H202" s="1">
        <v>5</v>
      </c>
      <c r="I202" t="s">
        <v>3</v>
      </c>
      <c r="J202" t="s">
        <v>125</v>
      </c>
      <c r="K202" s="1">
        <v>41005</v>
      </c>
      <c r="L202" s="1">
        <v>8534</v>
      </c>
      <c r="M202" s="1">
        <v>3772</v>
      </c>
      <c r="N202" s="1">
        <v>468809720</v>
      </c>
      <c r="O202" s="1">
        <v>41005</v>
      </c>
      <c r="P202" s="1">
        <v>1</v>
      </c>
      <c r="Q202" s="1">
        <v>0</v>
      </c>
    </row>
    <row r="203">
      <c r="A203" s="1">
        <v>2017</v>
      </c>
      <c r="B203" s="1">
        <v>41</v>
      </c>
      <c r="C203" s="1">
        <v>51</v>
      </c>
      <c r="D203" t="s">
        <v>3</v>
      </c>
      <c r="E203" t="s">
        <v>6</v>
      </c>
      <c r="F203" s="1">
        <v>41051</v>
      </c>
      <c r="G203" s="1">
        <v>41</v>
      </c>
      <c r="H203" s="1">
        <v>17</v>
      </c>
      <c r="I203" t="s">
        <v>3</v>
      </c>
      <c r="J203" t="s">
        <v>130</v>
      </c>
      <c r="K203" s="1">
        <v>41017</v>
      </c>
      <c r="L203" s="1">
        <v>227</v>
      </c>
      <c r="M203" s="1">
        <v>110</v>
      </c>
      <c r="N203" s="1">
        <v>9705000</v>
      </c>
      <c r="O203" s="1">
        <v>41017</v>
      </c>
      <c r="P203" s="1">
        <v>1</v>
      </c>
      <c r="Q203" s="1">
        <v>0</v>
      </c>
    </row>
    <row r="204">
      <c r="A204" s="1">
        <v>2017</v>
      </c>
      <c r="B204" s="1">
        <v>41</v>
      </c>
      <c r="C204" s="1">
        <v>51</v>
      </c>
      <c r="D204" t="s">
        <v>3</v>
      </c>
      <c r="E204" t="s">
        <v>6</v>
      </c>
      <c r="F204" s="1">
        <v>41051</v>
      </c>
      <c r="G204" s="1">
        <v>41</v>
      </c>
      <c r="H204" s="1">
        <v>19</v>
      </c>
      <c r="I204" t="s">
        <v>3</v>
      </c>
      <c r="J204" t="s">
        <v>131</v>
      </c>
      <c r="K204" s="1">
        <v>41019</v>
      </c>
      <c r="L204" s="1">
        <v>124</v>
      </c>
      <c r="M204" s="1">
        <v>124</v>
      </c>
      <c r="N204" s="1">
        <v>2728000</v>
      </c>
      <c r="O204" s="1">
        <v>41019</v>
      </c>
      <c r="P204" s="1">
        <v>1</v>
      </c>
      <c r="Q204" s="1">
        <v>0</v>
      </c>
    </row>
    <row r="205">
      <c r="A205" s="1">
        <v>2017</v>
      </c>
      <c r="B205" s="1">
        <v>41</v>
      </c>
      <c r="C205" s="1">
        <v>51</v>
      </c>
      <c r="D205" t="s">
        <v>3</v>
      </c>
      <c r="E205" t="s">
        <v>6</v>
      </c>
      <c r="F205" s="1">
        <v>41051</v>
      </c>
      <c r="G205" s="1">
        <v>41</v>
      </c>
      <c r="H205" s="1">
        <v>29</v>
      </c>
      <c r="I205" t="s">
        <v>3</v>
      </c>
      <c r="J205" t="s">
        <v>133</v>
      </c>
      <c r="K205" s="1">
        <v>41029</v>
      </c>
      <c r="L205" s="1">
        <v>363</v>
      </c>
      <c r="M205" s="1"/>
      <c r="N205" s="1">
        <v>5082000</v>
      </c>
      <c r="O205" s="1">
        <v>41029</v>
      </c>
      <c r="P205" s="1">
        <v>1</v>
      </c>
      <c r="Q205" s="1">
        <v>0</v>
      </c>
    </row>
    <row r="206">
      <c r="A206" s="1">
        <v>2017</v>
      </c>
      <c r="B206" s="1">
        <v>41</v>
      </c>
      <c r="C206" s="1">
        <v>51</v>
      </c>
      <c r="D206" t="s">
        <v>3</v>
      </c>
      <c r="E206" t="s">
        <v>6</v>
      </c>
      <c r="F206" s="1">
        <v>41051</v>
      </c>
      <c r="G206" s="1">
        <v>41</v>
      </c>
      <c r="H206" s="1">
        <v>39</v>
      </c>
      <c r="I206" t="s">
        <v>3</v>
      </c>
      <c r="J206" t="s">
        <v>136</v>
      </c>
      <c r="K206" s="1">
        <v>41039</v>
      </c>
      <c r="L206" s="1">
        <v>79</v>
      </c>
      <c r="M206" s="1"/>
      <c r="N206" s="1">
        <v>395000</v>
      </c>
      <c r="O206" s="1">
        <v>41039</v>
      </c>
      <c r="P206" s="1">
        <v>1</v>
      </c>
      <c r="Q206" s="1">
        <v>0</v>
      </c>
    </row>
    <row r="207">
      <c r="A207" s="1">
        <v>2017</v>
      </c>
      <c r="B207" s="1">
        <v>41</v>
      </c>
      <c r="C207" s="1">
        <v>51</v>
      </c>
      <c r="D207" t="s">
        <v>3</v>
      </c>
      <c r="E207" t="s">
        <v>6</v>
      </c>
      <c r="F207" s="1">
        <v>41051</v>
      </c>
      <c r="G207" s="1">
        <v>41</v>
      </c>
      <c r="H207" s="1">
        <v>47</v>
      </c>
      <c r="I207" t="s">
        <v>3</v>
      </c>
      <c r="J207" t="s">
        <v>99</v>
      </c>
      <c r="K207" s="1">
        <v>41047</v>
      </c>
      <c r="L207" s="1">
        <v>692</v>
      </c>
      <c r="M207" s="1">
        <v>286</v>
      </c>
      <c r="N207" s="1">
        <v>23822400</v>
      </c>
      <c r="O207" s="1">
        <v>41047</v>
      </c>
      <c r="P207" s="1">
        <v>1</v>
      </c>
      <c r="Q207" s="1">
        <v>0</v>
      </c>
    </row>
    <row r="208">
      <c r="A208" s="1">
        <v>2017</v>
      </c>
      <c r="B208" s="1">
        <v>41</v>
      </c>
      <c r="C208" s="1">
        <v>51</v>
      </c>
      <c r="D208" t="s">
        <v>3</v>
      </c>
      <c r="E208" t="s">
        <v>6</v>
      </c>
      <c r="F208" s="1">
        <v>41051</v>
      </c>
      <c r="G208" s="1">
        <v>41</v>
      </c>
      <c r="H208" s="1">
        <v>51</v>
      </c>
      <c r="I208" t="s">
        <v>3</v>
      </c>
      <c r="J208" t="s">
        <v>6</v>
      </c>
      <c r="K208" s="1">
        <v>41051</v>
      </c>
      <c r="L208" s="1">
        <v>581400</v>
      </c>
      <c r="M208" s="1">
        <v>299971</v>
      </c>
      <c r="N208" s="1">
        <v>26819594030</v>
      </c>
      <c r="O208" s="1">
        <v>41051</v>
      </c>
      <c r="P208" s="1">
        <v>1</v>
      </c>
      <c r="Q208" s="1">
        <v>1</v>
      </c>
    </row>
    <row r="209">
      <c r="A209" s="1">
        <v>2017</v>
      </c>
      <c r="B209" s="1">
        <v>41</v>
      </c>
      <c r="C209" s="1">
        <v>51</v>
      </c>
      <c r="D209" t="s">
        <v>3</v>
      </c>
      <c r="E209" t="s">
        <v>6</v>
      </c>
      <c r="F209" s="1">
        <v>41051</v>
      </c>
      <c r="G209" s="1">
        <v>41</v>
      </c>
      <c r="H209" s="1">
        <v>67</v>
      </c>
      <c r="I209" t="s">
        <v>3</v>
      </c>
      <c r="J209" t="s">
        <v>143</v>
      </c>
      <c r="K209" s="1">
        <v>41067</v>
      </c>
      <c r="L209" s="1">
        <v>6627</v>
      </c>
      <c r="M209" s="1">
        <v>3252</v>
      </c>
      <c r="N209" s="1">
        <v>316185170</v>
      </c>
      <c r="O209" s="1">
        <v>41067</v>
      </c>
      <c r="P209" s="1">
        <v>1</v>
      </c>
      <c r="Q209" s="1">
        <v>0</v>
      </c>
    </row>
    <row r="210">
      <c r="A210" s="1">
        <v>2017</v>
      </c>
      <c r="B210" s="1">
        <v>41</v>
      </c>
      <c r="C210" s="1">
        <v>51</v>
      </c>
      <c r="D210" t="s">
        <v>3</v>
      </c>
      <c r="E210" t="s">
        <v>6</v>
      </c>
      <c r="F210" s="1">
        <v>41051</v>
      </c>
      <c r="G210" s="1">
        <v>48</v>
      </c>
      <c r="H210" s="1">
        <v>0</v>
      </c>
      <c r="I210" t="s">
        <v>411</v>
      </c>
      <c r="J210" t="s">
        <v>276</v>
      </c>
      <c r="K210" s="1">
        <v>48000</v>
      </c>
      <c r="L210" s="1">
        <v>224</v>
      </c>
      <c r="M210" s="1">
        <v>163</v>
      </c>
      <c r="N210" s="1">
        <v>12527200</v>
      </c>
      <c r="O210" s="1"/>
      <c r="P210" s="1">
        <v>1</v>
      </c>
      <c r="Q210" s="1">
        <v>0</v>
      </c>
    </row>
    <row r="211">
      <c r="A211" s="1">
        <v>2017</v>
      </c>
      <c r="B211" s="1">
        <v>41</v>
      </c>
      <c r="C211" s="1">
        <v>51</v>
      </c>
      <c r="D211" t="s">
        <v>3</v>
      </c>
      <c r="E211" t="s">
        <v>6</v>
      </c>
      <c r="F211" s="1">
        <v>41051</v>
      </c>
      <c r="G211" s="1">
        <v>48</v>
      </c>
      <c r="H211" s="1">
        <v>215</v>
      </c>
      <c r="I211" t="s">
        <v>36</v>
      </c>
      <c r="J211" t="s">
        <v>297</v>
      </c>
      <c r="K211" s="1">
        <v>48215</v>
      </c>
      <c r="L211" s="1">
        <v>130</v>
      </c>
      <c r="M211" s="1">
        <v>81</v>
      </c>
      <c r="N211" s="1">
        <v>9720000</v>
      </c>
      <c r="O211" s="1">
        <v>48215</v>
      </c>
      <c r="P211" s="1">
        <v>1</v>
      </c>
      <c r="Q211" s="1">
        <v>0</v>
      </c>
    </row>
    <row r="212">
      <c r="A212" s="1">
        <v>2017</v>
      </c>
      <c r="B212" s="1">
        <v>41</v>
      </c>
      <c r="C212" s="1">
        <v>51</v>
      </c>
      <c r="D212" t="s">
        <v>3</v>
      </c>
      <c r="E212" t="s">
        <v>6</v>
      </c>
      <c r="F212" s="1">
        <v>41051</v>
      </c>
      <c r="G212" s="1">
        <v>48</v>
      </c>
      <c r="H212" s="1">
        <v>339</v>
      </c>
      <c r="I212" t="s">
        <v>36</v>
      </c>
      <c r="J212" t="s">
        <v>103</v>
      </c>
      <c r="K212" s="1">
        <v>48339</v>
      </c>
      <c r="L212" s="1">
        <v>265</v>
      </c>
      <c r="M212" s="1"/>
      <c r="N212" s="1">
        <v>10600000</v>
      </c>
      <c r="O212" s="1">
        <v>48339</v>
      </c>
      <c r="P212" s="1">
        <v>1</v>
      </c>
      <c r="Q212" s="1">
        <v>0</v>
      </c>
    </row>
    <row r="213">
      <c r="A213" s="1">
        <v>2017</v>
      </c>
      <c r="B213" s="1">
        <v>41</v>
      </c>
      <c r="C213" s="1">
        <v>51</v>
      </c>
      <c r="D213" t="s">
        <v>3</v>
      </c>
      <c r="E213" t="s">
        <v>6</v>
      </c>
      <c r="F213" s="1">
        <v>41051</v>
      </c>
      <c r="G213" s="1">
        <v>48</v>
      </c>
      <c r="H213" s="1">
        <v>355</v>
      </c>
      <c r="I213" t="s">
        <v>36</v>
      </c>
      <c r="J213" t="s">
        <v>298</v>
      </c>
      <c r="K213" s="1">
        <v>48355</v>
      </c>
      <c r="L213" s="1">
        <v>180</v>
      </c>
      <c r="M213" s="1"/>
      <c r="N213" s="1">
        <v>7560000</v>
      </c>
      <c r="O213" s="1">
        <v>48355</v>
      </c>
      <c r="P213" s="1">
        <v>1</v>
      </c>
      <c r="Q213" s="1">
        <v>0</v>
      </c>
    </row>
    <row r="214">
      <c r="A214" s="1">
        <v>2017</v>
      </c>
      <c r="B214" s="1">
        <v>41</v>
      </c>
      <c r="C214" s="1">
        <v>51</v>
      </c>
      <c r="D214" t="s">
        <v>3</v>
      </c>
      <c r="E214" t="s">
        <v>6</v>
      </c>
      <c r="F214" s="1">
        <v>41051</v>
      </c>
      <c r="G214" s="1">
        <v>48</v>
      </c>
      <c r="H214" s="1">
        <v>453</v>
      </c>
      <c r="I214" t="s">
        <v>36</v>
      </c>
      <c r="J214" t="s">
        <v>153</v>
      </c>
      <c r="K214" s="1">
        <v>48453</v>
      </c>
      <c r="L214" s="1">
        <v>365</v>
      </c>
      <c r="M214" s="1">
        <v>92</v>
      </c>
      <c r="N214" s="1">
        <v>6668000</v>
      </c>
      <c r="O214" s="1">
        <v>48453</v>
      </c>
      <c r="P214" s="1">
        <v>1</v>
      </c>
      <c r="Q214" s="1">
        <v>0</v>
      </c>
    </row>
    <row r="215">
      <c r="A215" s="1">
        <v>2017</v>
      </c>
      <c r="B215" s="1">
        <v>41</v>
      </c>
      <c r="C215" s="1">
        <v>51</v>
      </c>
      <c r="D215" t="s">
        <v>3</v>
      </c>
      <c r="E215" t="s">
        <v>6</v>
      </c>
      <c r="F215" s="1">
        <v>41051</v>
      </c>
      <c r="G215" s="1">
        <v>51</v>
      </c>
      <c r="H215" s="1">
        <v>0</v>
      </c>
      <c r="I215" t="s">
        <v>411</v>
      </c>
      <c r="J215" t="s">
        <v>276</v>
      </c>
      <c r="K215" s="1">
        <v>51000</v>
      </c>
      <c r="L215" s="1">
        <v>105</v>
      </c>
      <c r="M215" s="1">
        <v>46</v>
      </c>
      <c r="N215" s="1">
        <v>4114500</v>
      </c>
      <c r="O215" s="1"/>
      <c r="P215" s="1">
        <v>1</v>
      </c>
      <c r="Q215" s="1">
        <v>0</v>
      </c>
    </row>
    <row r="216">
      <c r="A216" s="1">
        <v>2017</v>
      </c>
      <c r="B216" s="1">
        <v>41</v>
      </c>
      <c r="C216" s="1">
        <v>51</v>
      </c>
      <c r="D216" t="s">
        <v>3</v>
      </c>
      <c r="E216" t="s">
        <v>6</v>
      </c>
      <c r="F216" s="1">
        <v>41051</v>
      </c>
      <c r="G216" s="1">
        <v>53</v>
      </c>
      <c r="H216" s="1">
        <v>0</v>
      </c>
      <c r="I216" t="s">
        <v>411</v>
      </c>
      <c r="J216" t="s">
        <v>276</v>
      </c>
      <c r="K216" s="1">
        <v>53000</v>
      </c>
      <c r="L216" s="1">
        <v>1219</v>
      </c>
      <c r="M216" s="1">
        <v>512</v>
      </c>
      <c r="N216" s="1">
        <v>57705300</v>
      </c>
      <c r="O216" s="1"/>
      <c r="P216" s="1">
        <v>1</v>
      </c>
      <c r="Q216" s="1">
        <v>0</v>
      </c>
    </row>
    <row r="217">
      <c r="A217" s="1">
        <v>2017</v>
      </c>
      <c r="B217" s="1">
        <v>41</v>
      </c>
      <c r="C217" s="1">
        <v>51</v>
      </c>
      <c r="D217" t="s">
        <v>3</v>
      </c>
      <c r="E217" t="s">
        <v>6</v>
      </c>
      <c r="F217" s="1">
        <v>41051</v>
      </c>
      <c r="G217" s="1">
        <v>53</v>
      </c>
      <c r="H217" s="1">
        <v>11</v>
      </c>
      <c r="I217" t="s">
        <v>40</v>
      </c>
      <c r="J217" t="s">
        <v>112</v>
      </c>
      <c r="K217" s="1">
        <v>53011</v>
      </c>
      <c r="L217" s="1">
        <v>3815</v>
      </c>
      <c r="M217" s="1">
        <v>2115</v>
      </c>
      <c r="N217" s="1">
        <v>197050800</v>
      </c>
      <c r="O217" s="1">
        <v>53011</v>
      </c>
      <c r="P217" s="1">
        <v>1</v>
      </c>
      <c r="Q217" s="1">
        <v>0</v>
      </c>
    </row>
    <row r="218">
      <c r="A218" s="1">
        <v>2017</v>
      </c>
      <c r="B218" s="1">
        <v>41</v>
      </c>
      <c r="C218" s="1">
        <v>51</v>
      </c>
      <c r="D218" t="s">
        <v>3</v>
      </c>
      <c r="E218" t="s">
        <v>6</v>
      </c>
      <c r="F218" s="1">
        <v>41051</v>
      </c>
      <c r="G218" s="1">
        <v>53</v>
      </c>
      <c r="H218" s="1">
        <v>33</v>
      </c>
      <c r="I218" t="s">
        <v>40</v>
      </c>
      <c r="J218" t="s">
        <v>160</v>
      </c>
      <c r="K218" s="1">
        <v>53033</v>
      </c>
      <c r="L218" s="1">
        <v>910</v>
      </c>
      <c r="M218" s="1">
        <v>534</v>
      </c>
      <c r="N218" s="1">
        <v>69009000</v>
      </c>
      <c r="O218" s="1">
        <v>53033</v>
      </c>
      <c r="P218" s="1">
        <v>1</v>
      </c>
      <c r="Q218" s="1">
        <v>0</v>
      </c>
    </row>
    <row r="219">
      <c r="A219" s="1">
        <v>2017</v>
      </c>
      <c r="B219" s="1">
        <v>41</v>
      </c>
      <c r="C219" s="1">
        <v>51</v>
      </c>
      <c r="D219" t="s">
        <v>3</v>
      </c>
      <c r="E219" t="s">
        <v>6</v>
      </c>
      <c r="F219" s="1">
        <v>41051</v>
      </c>
      <c r="G219" s="1">
        <v>53</v>
      </c>
      <c r="H219" s="1">
        <v>35</v>
      </c>
      <c r="I219" t="s">
        <v>40</v>
      </c>
      <c r="J219" t="s">
        <v>161</v>
      </c>
      <c r="K219" s="1">
        <v>53035</v>
      </c>
      <c r="L219" s="1">
        <v>114</v>
      </c>
      <c r="M219" s="1">
        <v>52</v>
      </c>
      <c r="N219" s="1">
        <v>13120000</v>
      </c>
      <c r="O219" s="1">
        <v>53035</v>
      </c>
      <c r="P219" s="1">
        <v>1</v>
      </c>
      <c r="Q219" s="1">
        <v>0</v>
      </c>
    </row>
    <row r="220">
      <c r="A220" s="1">
        <v>2017</v>
      </c>
      <c r="B220" s="1">
        <v>41</v>
      </c>
      <c r="C220" s="1">
        <v>51</v>
      </c>
      <c r="D220" t="s">
        <v>3</v>
      </c>
      <c r="E220" t="s">
        <v>6</v>
      </c>
      <c r="F220" s="1">
        <v>41051</v>
      </c>
      <c r="G220" s="1">
        <v>53</v>
      </c>
      <c r="H220" s="1">
        <v>53</v>
      </c>
      <c r="I220" t="s">
        <v>40</v>
      </c>
      <c r="J220" t="s">
        <v>165</v>
      </c>
      <c r="K220" s="1">
        <v>53053</v>
      </c>
      <c r="L220" s="1">
        <v>319</v>
      </c>
      <c r="M220" s="1">
        <v>320</v>
      </c>
      <c r="N220" s="1">
        <v>4954400</v>
      </c>
      <c r="O220" s="1">
        <v>53053</v>
      </c>
      <c r="P220" s="1">
        <v>1</v>
      </c>
      <c r="Q220" s="1">
        <v>0</v>
      </c>
    </row>
    <row r="221">
      <c r="A221" s="1">
        <v>2017</v>
      </c>
      <c r="B221" s="1">
        <v>41</v>
      </c>
      <c r="C221" s="1">
        <v>51</v>
      </c>
      <c r="D221" t="s">
        <v>3</v>
      </c>
      <c r="E221" t="s">
        <v>6</v>
      </c>
      <c r="F221" s="1">
        <v>41051</v>
      </c>
      <c r="G221" s="1">
        <v>53</v>
      </c>
      <c r="H221" s="1">
        <v>61</v>
      </c>
      <c r="I221" t="s">
        <v>40</v>
      </c>
      <c r="J221" t="s">
        <v>167</v>
      </c>
      <c r="K221" s="1">
        <v>53061</v>
      </c>
      <c r="L221" s="1">
        <v>109</v>
      </c>
      <c r="M221" s="1"/>
      <c r="N221" s="1">
        <v>5210200</v>
      </c>
      <c r="O221" s="1">
        <v>53061</v>
      </c>
      <c r="P221" s="1">
        <v>1</v>
      </c>
      <c r="Q221" s="1">
        <v>0</v>
      </c>
    </row>
    <row r="222">
      <c r="A222" s="1">
        <v>2017</v>
      </c>
      <c r="B222" s="1">
        <v>41</v>
      </c>
      <c r="C222" s="1">
        <v>51</v>
      </c>
      <c r="D222" t="s">
        <v>3</v>
      </c>
      <c r="E222" t="s">
        <v>6</v>
      </c>
      <c r="F222" s="1">
        <v>41051</v>
      </c>
      <c r="G222" s="1">
        <v>53</v>
      </c>
      <c r="H222" s="1">
        <v>67</v>
      </c>
      <c r="I222" t="s">
        <v>40</v>
      </c>
      <c r="J222" t="s">
        <v>169</v>
      </c>
      <c r="K222" s="1">
        <v>53067</v>
      </c>
      <c r="L222" s="1">
        <v>212</v>
      </c>
      <c r="M222" s="1">
        <v>213</v>
      </c>
      <c r="N222" s="1">
        <v>12084000</v>
      </c>
      <c r="O222" s="1">
        <v>53067</v>
      </c>
      <c r="P222" s="1">
        <v>1</v>
      </c>
      <c r="Q222" s="1">
        <v>0</v>
      </c>
    </row>
    <row r="223">
      <c r="A223" s="1">
        <v>2017</v>
      </c>
      <c r="B223" s="1">
        <v>41</v>
      </c>
      <c r="C223" s="1">
        <v>51</v>
      </c>
      <c r="D223" t="s">
        <v>3</v>
      </c>
      <c r="E223" t="s">
        <v>6</v>
      </c>
      <c r="F223" s="1">
        <v>41051</v>
      </c>
      <c r="G223" s="1">
        <v>55</v>
      </c>
      <c r="H223" s="1">
        <v>25</v>
      </c>
      <c r="I223" t="s">
        <v>41</v>
      </c>
      <c r="J223" t="s">
        <v>173</v>
      </c>
      <c r="K223" s="1">
        <v>55025</v>
      </c>
      <c r="L223" s="1">
        <v>357</v>
      </c>
      <c r="M223" s="1">
        <v>192</v>
      </c>
      <c r="N223" s="1">
        <v>37009920</v>
      </c>
      <c r="O223" s="1">
        <v>55025</v>
      </c>
      <c r="P223" s="1">
        <v>1</v>
      </c>
      <c r="Q223" s="1">
        <v>0</v>
      </c>
    </row>
    <row r="224">
      <c r="A224" s="1">
        <v>2017</v>
      </c>
      <c r="B224" s="1">
        <v>41</v>
      </c>
      <c r="C224" s="1">
        <v>51</v>
      </c>
      <c r="D224" t="s">
        <v>3</v>
      </c>
      <c r="E224" t="s">
        <v>6</v>
      </c>
      <c r="F224" s="1">
        <v>41051</v>
      </c>
      <c r="G224" s="1">
        <v>55</v>
      </c>
      <c r="H224" s="1">
        <v>79</v>
      </c>
      <c r="I224" t="s">
        <v>41</v>
      </c>
      <c r="J224" t="s">
        <v>174</v>
      </c>
      <c r="K224" s="1">
        <v>55079</v>
      </c>
      <c r="L224" s="1">
        <v>376</v>
      </c>
      <c r="M224" s="1">
        <v>189</v>
      </c>
      <c r="N224" s="1">
        <v>28419000</v>
      </c>
      <c r="O224" s="1">
        <v>55079</v>
      </c>
      <c r="P224" s="1">
        <v>1</v>
      </c>
      <c r="Q224" s="1">
        <v>0</v>
      </c>
    </row>
    <row r="225">
      <c r="A225" s="1">
        <v>2017</v>
      </c>
      <c r="B225" s="1">
        <v>41</v>
      </c>
      <c r="C225" s="1">
        <v>51</v>
      </c>
      <c r="D225" t="s">
        <v>3</v>
      </c>
      <c r="E225" t="s">
        <v>6</v>
      </c>
      <c r="F225" s="1">
        <v>41051</v>
      </c>
      <c r="G225" s="1">
        <v>56</v>
      </c>
      <c r="H225" s="1">
        <v>0</v>
      </c>
      <c r="I225" t="s">
        <v>411</v>
      </c>
      <c r="J225" t="s">
        <v>276</v>
      </c>
      <c r="K225" s="1">
        <v>56000</v>
      </c>
      <c r="L225" s="1">
        <v>86</v>
      </c>
      <c r="M225" s="1"/>
      <c r="N225" s="1">
        <v>258000</v>
      </c>
      <c r="O225" s="1"/>
      <c r="P225" s="1">
        <v>1</v>
      </c>
      <c r="Q225" s="1">
        <v>0</v>
      </c>
    </row>
    <row r="226">
      <c r="A226" s="1">
        <v>2018</v>
      </c>
      <c r="B226" s="1">
        <v>41</v>
      </c>
      <c r="C226" s="1">
        <v>51</v>
      </c>
      <c r="D226" t="s">
        <v>3</v>
      </c>
      <c r="E226" t="s">
        <v>6</v>
      </c>
      <c r="F226" s="1">
        <v>41051</v>
      </c>
      <c r="G226" s="1">
        <v>2</v>
      </c>
      <c r="H226" s="1">
        <v>0</v>
      </c>
      <c r="I226" t="s">
        <v>411</v>
      </c>
      <c r="J226" t="s">
        <v>276</v>
      </c>
      <c r="K226" s="1">
        <v>2000</v>
      </c>
      <c r="L226" s="1">
        <v>453</v>
      </c>
      <c r="M226" s="1">
        <v>123</v>
      </c>
      <c r="N226" s="1">
        <v>22881100</v>
      </c>
      <c r="O226" s="1"/>
      <c r="P226" s="1">
        <v>1</v>
      </c>
      <c r="Q226" s="1">
        <v>0</v>
      </c>
    </row>
    <row r="227">
      <c r="A227" s="1">
        <v>2018</v>
      </c>
      <c r="B227" s="1">
        <v>41</v>
      </c>
      <c r="C227" s="1">
        <v>51</v>
      </c>
      <c r="D227" t="s">
        <v>3</v>
      </c>
      <c r="E227" t="s">
        <v>6</v>
      </c>
      <c r="F227" s="1">
        <v>41051</v>
      </c>
      <c r="G227" s="1">
        <v>4</v>
      </c>
      <c r="H227" s="1">
        <v>5</v>
      </c>
      <c r="I227" t="s">
        <v>10</v>
      </c>
      <c r="J227" t="s">
        <v>175</v>
      </c>
      <c r="K227" s="1">
        <v>4005</v>
      </c>
      <c r="L227" s="1">
        <v>60</v>
      </c>
      <c r="M227" s="1">
        <v>61</v>
      </c>
      <c r="N227" s="1">
        <v>1140000</v>
      </c>
      <c r="O227" s="1">
        <v>4005</v>
      </c>
      <c r="P227" s="1">
        <v>1</v>
      </c>
      <c r="Q227" s="1">
        <v>0</v>
      </c>
    </row>
    <row r="228">
      <c r="A228" s="1">
        <v>2018</v>
      </c>
      <c r="B228" s="1">
        <v>41</v>
      </c>
      <c r="C228" s="1">
        <v>51</v>
      </c>
      <c r="D228" t="s">
        <v>3</v>
      </c>
      <c r="E228" t="s">
        <v>6</v>
      </c>
      <c r="F228" s="1">
        <v>41051</v>
      </c>
      <c r="G228" s="1">
        <v>4</v>
      </c>
      <c r="H228" s="1">
        <v>13</v>
      </c>
      <c r="I228" t="s">
        <v>10</v>
      </c>
      <c r="J228" t="s">
        <v>53</v>
      </c>
      <c r="K228" s="1">
        <v>4013</v>
      </c>
      <c r="L228" s="1">
        <v>1192</v>
      </c>
      <c r="M228" s="1">
        <v>540</v>
      </c>
      <c r="N228" s="1">
        <v>87139600</v>
      </c>
      <c r="O228" s="1">
        <v>4013</v>
      </c>
      <c r="P228" s="1">
        <v>1</v>
      </c>
      <c r="Q228" s="1">
        <v>0</v>
      </c>
    </row>
    <row r="229">
      <c r="A229" s="1">
        <v>2018</v>
      </c>
      <c r="B229" s="1">
        <v>41</v>
      </c>
      <c r="C229" s="1">
        <v>51</v>
      </c>
      <c r="D229" t="s">
        <v>3</v>
      </c>
      <c r="E229" t="s">
        <v>6</v>
      </c>
      <c r="F229" s="1">
        <v>41051</v>
      </c>
      <c r="G229" s="1">
        <v>4</v>
      </c>
      <c r="H229" s="1">
        <v>19</v>
      </c>
      <c r="I229" t="s">
        <v>10</v>
      </c>
      <c r="J229" t="s">
        <v>54</v>
      </c>
      <c r="K229" s="1">
        <v>4019</v>
      </c>
      <c r="L229" s="1">
        <v>194</v>
      </c>
      <c r="M229" s="1">
        <v>120</v>
      </c>
      <c r="N229" s="1">
        <v>4689600</v>
      </c>
      <c r="O229" s="1">
        <v>4019</v>
      </c>
      <c r="P229" s="1">
        <v>1</v>
      </c>
      <c r="Q229" s="1">
        <v>0</v>
      </c>
    </row>
    <row r="230">
      <c r="A230" s="1">
        <v>2018</v>
      </c>
      <c r="B230" s="1">
        <v>41</v>
      </c>
      <c r="C230" s="1">
        <v>51</v>
      </c>
      <c r="D230" t="s">
        <v>3</v>
      </c>
      <c r="E230" t="s">
        <v>6</v>
      </c>
      <c r="F230" s="1">
        <v>41051</v>
      </c>
      <c r="G230" s="1">
        <v>5</v>
      </c>
      <c r="H230" s="1">
        <v>7</v>
      </c>
      <c r="I230" t="s">
        <v>272</v>
      </c>
      <c r="J230" t="s">
        <v>124</v>
      </c>
      <c r="K230" s="1">
        <v>5007</v>
      </c>
      <c r="L230" s="1">
        <v>91</v>
      </c>
      <c r="M230" s="1"/>
      <c r="N230" s="1">
        <v>800800</v>
      </c>
      <c r="O230" s="1">
        <v>5007</v>
      </c>
      <c r="P230" s="1">
        <v>1</v>
      </c>
      <c r="Q230" s="1">
        <v>0</v>
      </c>
    </row>
    <row r="231">
      <c r="A231" s="1">
        <v>2018</v>
      </c>
      <c r="B231" s="1">
        <v>41</v>
      </c>
      <c r="C231" s="1">
        <v>51</v>
      </c>
      <c r="D231" t="s">
        <v>3</v>
      </c>
      <c r="E231" t="s">
        <v>6</v>
      </c>
      <c r="F231" s="1">
        <v>41051</v>
      </c>
      <c r="G231" s="1">
        <v>6</v>
      </c>
      <c r="H231" s="1">
        <v>1</v>
      </c>
      <c r="I231" t="s">
        <v>11</v>
      </c>
      <c r="J231" t="s">
        <v>56</v>
      </c>
      <c r="K231" s="1">
        <v>6001</v>
      </c>
      <c r="L231" s="1">
        <v>586</v>
      </c>
      <c r="M231" s="1">
        <v>191</v>
      </c>
      <c r="N231" s="1">
        <v>16412900</v>
      </c>
      <c r="O231" s="1">
        <v>6001</v>
      </c>
      <c r="P231" s="1">
        <v>1</v>
      </c>
      <c r="Q231" s="1">
        <v>0</v>
      </c>
    </row>
    <row r="232">
      <c r="A232" s="1">
        <v>2018</v>
      </c>
      <c r="B232" s="1">
        <v>41</v>
      </c>
      <c r="C232" s="1">
        <v>51</v>
      </c>
      <c r="D232" t="s">
        <v>3</v>
      </c>
      <c r="E232" t="s">
        <v>6</v>
      </c>
      <c r="F232" s="1">
        <v>41051</v>
      </c>
      <c r="G232" s="1">
        <v>6</v>
      </c>
      <c r="H232" s="1">
        <v>13</v>
      </c>
      <c r="I232" t="s">
        <v>11</v>
      </c>
      <c r="J232" t="s">
        <v>57</v>
      </c>
      <c r="K232" s="1">
        <v>6013</v>
      </c>
      <c r="L232" s="1">
        <v>203</v>
      </c>
      <c r="M232" s="1">
        <v>102</v>
      </c>
      <c r="N232" s="1">
        <v>12012500</v>
      </c>
      <c r="O232" s="1">
        <v>6013</v>
      </c>
      <c r="P232" s="1">
        <v>1</v>
      </c>
      <c r="Q232" s="1">
        <v>0</v>
      </c>
    </row>
    <row r="233">
      <c r="A233" s="1">
        <v>2018</v>
      </c>
      <c r="B233" s="1">
        <v>41</v>
      </c>
      <c r="C233" s="1">
        <v>51</v>
      </c>
      <c r="D233" t="s">
        <v>3</v>
      </c>
      <c r="E233" t="s">
        <v>6</v>
      </c>
      <c r="F233" s="1">
        <v>41051</v>
      </c>
      <c r="G233" s="1">
        <v>6</v>
      </c>
      <c r="H233" s="1">
        <v>17</v>
      </c>
      <c r="I233" t="s">
        <v>11</v>
      </c>
      <c r="J233" t="s">
        <v>229</v>
      </c>
      <c r="K233" s="1">
        <v>6017</v>
      </c>
      <c r="L233" s="1">
        <v>79</v>
      </c>
      <c r="M233" s="1"/>
      <c r="N233" s="1">
        <v>189600</v>
      </c>
      <c r="O233" s="1">
        <v>6017</v>
      </c>
      <c r="P233" s="1">
        <v>1</v>
      </c>
      <c r="Q233" s="1">
        <v>0</v>
      </c>
    </row>
    <row r="234">
      <c r="A234" s="1">
        <v>2018</v>
      </c>
      <c r="B234" s="1">
        <v>41</v>
      </c>
      <c r="C234" s="1">
        <v>51</v>
      </c>
      <c r="D234" t="s">
        <v>3</v>
      </c>
      <c r="E234" t="s">
        <v>6</v>
      </c>
      <c r="F234" s="1">
        <v>41051</v>
      </c>
      <c r="G234" s="1">
        <v>6</v>
      </c>
      <c r="H234" s="1">
        <v>19</v>
      </c>
      <c r="I234" t="s">
        <v>11</v>
      </c>
      <c r="J234" t="s">
        <v>58</v>
      </c>
      <c r="K234" s="1">
        <v>6019</v>
      </c>
      <c r="L234" s="1">
        <v>511</v>
      </c>
      <c r="M234" s="1">
        <v>209</v>
      </c>
      <c r="N234" s="1">
        <v>32055000</v>
      </c>
      <c r="O234" s="1">
        <v>6019</v>
      </c>
      <c r="P234" s="1">
        <v>1</v>
      </c>
      <c r="Q234" s="1">
        <v>0</v>
      </c>
    </row>
    <row r="235">
      <c r="A235" s="1">
        <v>2018</v>
      </c>
      <c r="B235" s="1">
        <v>41</v>
      </c>
      <c r="C235" s="1">
        <v>51</v>
      </c>
      <c r="D235" t="s">
        <v>3</v>
      </c>
      <c r="E235" t="s">
        <v>6</v>
      </c>
      <c r="F235" s="1">
        <v>41051</v>
      </c>
      <c r="G235" s="1">
        <v>6</v>
      </c>
      <c r="H235" s="1">
        <v>23</v>
      </c>
      <c r="I235" t="s">
        <v>11</v>
      </c>
      <c r="J235" t="s">
        <v>59</v>
      </c>
      <c r="K235" s="1">
        <v>6023</v>
      </c>
      <c r="L235" s="1">
        <v>106</v>
      </c>
      <c r="M235" s="1"/>
      <c r="N235" s="1">
        <v>1340160</v>
      </c>
      <c r="O235" s="1">
        <v>6023</v>
      </c>
      <c r="P235" s="1">
        <v>1</v>
      </c>
      <c r="Q235" s="1">
        <v>0</v>
      </c>
    </row>
    <row r="236">
      <c r="A236" s="1">
        <v>2018</v>
      </c>
      <c r="B236" s="1">
        <v>41</v>
      </c>
      <c r="C236" s="1">
        <v>51</v>
      </c>
      <c r="D236" t="s">
        <v>3</v>
      </c>
      <c r="E236" t="s">
        <v>6</v>
      </c>
      <c r="F236" s="1">
        <v>41051</v>
      </c>
      <c r="G236" s="1">
        <v>6</v>
      </c>
      <c r="H236" s="1">
        <v>29</v>
      </c>
      <c r="I236" t="s">
        <v>11</v>
      </c>
      <c r="J236" t="s">
        <v>60</v>
      </c>
      <c r="K236" s="1">
        <v>6029</v>
      </c>
      <c r="L236" s="1">
        <v>389</v>
      </c>
      <c r="M236" s="1">
        <v>149</v>
      </c>
      <c r="N236" s="1">
        <v>11814200</v>
      </c>
      <c r="O236" s="1">
        <v>6029</v>
      </c>
      <c r="P236" s="1">
        <v>1</v>
      </c>
      <c r="Q236" s="1">
        <v>0</v>
      </c>
    </row>
    <row r="237">
      <c r="A237" s="1">
        <v>2018</v>
      </c>
      <c r="B237" s="1">
        <v>41</v>
      </c>
      <c r="C237" s="1">
        <v>51</v>
      </c>
      <c r="D237" t="s">
        <v>3</v>
      </c>
      <c r="E237" t="s">
        <v>6</v>
      </c>
      <c r="F237" s="1">
        <v>41051</v>
      </c>
      <c r="G237" s="1">
        <v>6</v>
      </c>
      <c r="H237" s="1">
        <v>37</v>
      </c>
      <c r="I237" t="s">
        <v>11</v>
      </c>
      <c r="J237" t="s">
        <v>61</v>
      </c>
      <c r="K237" s="1">
        <v>6037</v>
      </c>
      <c r="L237" s="1">
        <v>816</v>
      </c>
      <c r="M237" s="1">
        <v>316</v>
      </c>
      <c r="N237" s="1">
        <v>39051400</v>
      </c>
      <c r="O237" s="1">
        <v>6037</v>
      </c>
      <c r="P237" s="1">
        <v>1</v>
      </c>
      <c r="Q237" s="1">
        <v>0</v>
      </c>
    </row>
    <row r="238">
      <c r="A238" s="1">
        <v>2018</v>
      </c>
      <c r="B238" s="1">
        <v>41</v>
      </c>
      <c r="C238" s="1">
        <v>51</v>
      </c>
      <c r="D238" t="s">
        <v>3</v>
      </c>
      <c r="E238" t="s">
        <v>6</v>
      </c>
      <c r="F238" s="1">
        <v>41051</v>
      </c>
      <c r="G238" s="1">
        <v>6</v>
      </c>
      <c r="H238" s="1">
        <v>41</v>
      </c>
      <c r="I238" t="s">
        <v>11</v>
      </c>
      <c r="J238" t="s">
        <v>62</v>
      </c>
      <c r="K238" s="1">
        <v>6041</v>
      </c>
      <c r="L238" s="1">
        <v>160</v>
      </c>
      <c r="M238" s="1"/>
      <c r="N238" s="1">
        <v>3008960</v>
      </c>
      <c r="O238" s="1">
        <v>6041</v>
      </c>
      <c r="P238" s="1">
        <v>1</v>
      </c>
      <c r="Q238" s="1">
        <v>0</v>
      </c>
    </row>
    <row r="239">
      <c r="A239" s="1">
        <v>2018</v>
      </c>
      <c r="B239" s="1">
        <v>41</v>
      </c>
      <c r="C239" s="1">
        <v>51</v>
      </c>
      <c r="D239" t="s">
        <v>3</v>
      </c>
      <c r="E239" t="s">
        <v>6</v>
      </c>
      <c r="F239" s="1">
        <v>41051</v>
      </c>
      <c r="G239" s="1">
        <v>6</v>
      </c>
      <c r="H239" s="1">
        <v>55</v>
      </c>
      <c r="I239" t="s">
        <v>11</v>
      </c>
      <c r="J239" t="s">
        <v>299</v>
      </c>
      <c r="K239" s="1">
        <v>6055</v>
      </c>
      <c r="L239" s="1">
        <v>310</v>
      </c>
      <c r="M239" s="1"/>
      <c r="N239" s="1">
        <v>4201500</v>
      </c>
      <c r="O239" s="1">
        <v>6055</v>
      </c>
      <c r="P239" s="1">
        <v>1</v>
      </c>
      <c r="Q239" s="1">
        <v>0</v>
      </c>
    </row>
    <row r="240">
      <c r="A240" s="1">
        <v>2018</v>
      </c>
      <c r="B240" s="1">
        <v>41</v>
      </c>
      <c r="C240" s="1">
        <v>51</v>
      </c>
      <c r="D240" t="s">
        <v>3</v>
      </c>
      <c r="E240" t="s">
        <v>6</v>
      </c>
      <c r="F240" s="1">
        <v>41051</v>
      </c>
      <c r="G240" s="1">
        <v>6</v>
      </c>
      <c r="H240" s="1">
        <v>65</v>
      </c>
      <c r="I240" t="s">
        <v>11</v>
      </c>
      <c r="J240" t="s">
        <v>66</v>
      </c>
      <c r="K240" s="1">
        <v>6065</v>
      </c>
      <c r="L240" s="1">
        <v>263</v>
      </c>
      <c r="M240" s="1">
        <v>264</v>
      </c>
      <c r="N240" s="1">
        <v>11775000</v>
      </c>
      <c r="O240" s="1">
        <v>6065</v>
      </c>
      <c r="P240" s="1">
        <v>1</v>
      </c>
      <c r="Q240" s="1">
        <v>0</v>
      </c>
    </row>
    <row r="241">
      <c r="A241" s="1">
        <v>2018</v>
      </c>
      <c r="B241" s="1">
        <v>41</v>
      </c>
      <c r="C241" s="1">
        <v>51</v>
      </c>
      <c r="D241" t="s">
        <v>3</v>
      </c>
      <c r="E241" t="s">
        <v>6</v>
      </c>
      <c r="F241" s="1">
        <v>41051</v>
      </c>
      <c r="G241" s="1">
        <v>6</v>
      </c>
      <c r="H241" s="1">
        <v>67</v>
      </c>
      <c r="I241" t="s">
        <v>11</v>
      </c>
      <c r="J241" t="s">
        <v>67</v>
      </c>
      <c r="K241" s="1">
        <v>6067</v>
      </c>
      <c r="L241" s="1">
        <v>71</v>
      </c>
      <c r="M241" s="1"/>
      <c r="N241" s="1">
        <v>5680000</v>
      </c>
      <c r="O241" s="1">
        <v>6067</v>
      </c>
      <c r="P241" s="1">
        <v>1</v>
      </c>
      <c r="Q241" s="1">
        <v>0</v>
      </c>
    </row>
    <row r="242">
      <c r="A242" s="1">
        <v>2018</v>
      </c>
      <c r="B242" s="1">
        <v>41</v>
      </c>
      <c r="C242" s="1">
        <v>51</v>
      </c>
      <c r="D242" t="s">
        <v>3</v>
      </c>
      <c r="E242" t="s">
        <v>6</v>
      </c>
      <c r="F242" s="1">
        <v>41051</v>
      </c>
      <c r="G242" s="1">
        <v>6</v>
      </c>
      <c r="H242" s="1">
        <v>73</v>
      </c>
      <c r="I242" t="s">
        <v>11</v>
      </c>
      <c r="J242" t="s">
        <v>69</v>
      </c>
      <c r="K242" s="1">
        <v>6073</v>
      </c>
      <c r="L242" s="1">
        <v>905</v>
      </c>
      <c r="M242" s="1">
        <v>422</v>
      </c>
      <c r="N242" s="1">
        <v>35176400</v>
      </c>
      <c r="O242" s="1">
        <v>6073</v>
      </c>
      <c r="P242" s="1">
        <v>1</v>
      </c>
      <c r="Q242" s="1">
        <v>0</v>
      </c>
    </row>
    <row r="243">
      <c r="A243" s="1">
        <v>2018</v>
      </c>
      <c r="B243" s="1">
        <v>41</v>
      </c>
      <c r="C243" s="1">
        <v>51</v>
      </c>
      <c r="D243" t="s">
        <v>3</v>
      </c>
      <c r="E243" t="s">
        <v>6</v>
      </c>
      <c r="F243" s="1">
        <v>41051</v>
      </c>
      <c r="G243" s="1">
        <v>6</v>
      </c>
      <c r="H243" s="1">
        <v>75</v>
      </c>
      <c r="I243" t="s">
        <v>11</v>
      </c>
      <c r="J243" t="s">
        <v>70</v>
      </c>
      <c r="K243" s="1">
        <v>6075</v>
      </c>
      <c r="L243" s="1">
        <v>699</v>
      </c>
      <c r="M243" s="1">
        <v>402</v>
      </c>
      <c r="N243" s="1">
        <v>90937000</v>
      </c>
      <c r="O243" s="1">
        <v>6075</v>
      </c>
      <c r="P243" s="1">
        <v>1</v>
      </c>
      <c r="Q243" s="1">
        <v>0</v>
      </c>
    </row>
    <row r="244">
      <c r="A244" s="1">
        <v>2018</v>
      </c>
      <c r="B244" s="1">
        <v>41</v>
      </c>
      <c r="C244" s="1">
        <v>51</v>
      </c>
      <c r="D244" t="s">
        <v>3</v>
      </c>
      <c r="E244" t="s">
        <v>6</v>
      </c>
      <c r="F244" s="1">
        <v>41051</v>
      </c>
      <c r="G244" s="1">
        <v>6</v>
      </c>
      <c r="H244" s="1">
        <v>85</v>
      </c>
      <c r="I244" t="s">
        <v>11</v>
      </c>
      <c r="J244" t="s">
        <v>74</v>
      </c>
      <c r="K244" s="1">
        <v>6085</v>
      </c>
      <c r="L244" s="1">
        <v>510</v>
      </c>
      <c r="M244" s="1"/>
      <c r="N244" s="1">
        <v>18798000</v>
      </c>
      <c r="O244" s="1">
        <v>6085</v>
      </c>
      <c r="P244" s="1">
        <v>1</v>
      </c>
      <c r="Q244" s="1">
        <v>0</v>
      </c>
    </row>
    <row r="245">
      <c r="A245" s="1">
        <v>2018</v>
      </c>
      <c r="B245" s="1">
        <v>41</v>
      </c>
      <c r="C245" s="1">
        <v>51</v>
      </c>
      <c r="D245" t="s">
        <v>3</v>
      </c>
      <c r="E245" t="s">
        <v>6</v>
      </c>
      <c r="F245" s="1">
        <v>41051</v>
      </c>
      <c r="G245" s="1">
        <v>6</v>
      </c>
      <c r="H245" s="1">
        <v>111</v>
      </c>
      <c r="I245" t="s">
        <v>11</v>
      </c>
      <c r="J245" t="s">
        <v>78</v>
      </c>
      <c r="K245" s="1">
        <v>6111</v>
      </c>
      <c r="L245" s="1">
        <v>167</v>
      </c>
      <c r="M245" s="1">
        <v>58</v>
      </c>
      <c r="N245" s="1">
        <v>23632800</v>
      </c>
      <c r="O245" s="1">
        <v>6111</v>
      </c>
      <c r="P245" s="1">
        <v>1</v>
      </c>
      <c r="Q245" s="1">
        <v>0</v>
      </c>
    </row>
    <row r="246">
      <c r="A246" s="1">
        <v>2018</v>
      </c>
      <c r="B246" s="1">
        <v>41</v>
      </c>
      <c r="C246" s="1">
        <v>51</v>
      </c>
      <c r="D246" t="s">
        <v>3</v>
      </c>
      <c r="E246" t="s">
        <v>6</v>
      </c>
      <c r="F246" s="1">
        <v>41051</v>
      </c>
      <c r="G246" s="1">
        <v>8</v>
      </c>
      <c r="H246" s="1">
        <v>0</v>
      </c>
      <c r="I246" t="s">
        <v>411</v>
      </c>
      <c r="J246" t="s">
        <v>276</v>
      </c>
      <c r="K246" s="1">
        <v>8000</v>
      </c>
      <c r="L246" s="1">
        <v>479</v>
      </c>
      <c r="M246" s="1">
        <v>318</v>
      </c>
      <c r="N246" s="1">
        <v>30579000</v>
      </c>
      <c r="O246" s="1"/>
      <c r="P246" s="1">
        <v>1</v>
      </c>
      <c r="Q246" s="1">
        <v>0</v>
      </c>
    </row>
    <row r="247">
      <c r="A247" s="1">
        <v>2018</v>
      </c>
      <c r="B247" s="1">
        <v>41</v>
      </c>
      <c r="C247" s="1">
        <v>51</v>
      </c>
      <c r="D247" t="s">
        <v>3</v>
      </c>
      <c r="E247" t="s">
        <v>6</v>
      </c>
      <c r="F247" s="1">
        <v>41051</v>
      </c>
      <c r="G247" s="1">
        <v>8</v>
      </c>
      <c r="H247" s="1">
        <v>69</v>
      </c>
      <c r="I247" t="s">
        <v>12</v>
      </c>
      <c r="J247" t="s">
        <v>84</v>
      </c>
      <c r="K247" s="1">
        <v>8069</v>
      </c>
      <c r="L247" s="1">
        <v>106</v>
      </c>
      <c r="M247" s="1">
        <v>45</v>
      </c>
      <c r="N247" s="1">
        <v>10810000</v>
      </c>
      <c r="O247" s="1">
        <v>8069</v>
      </c>
      <c r="P247" s="1">
        <v>1</v>
      </c>
      <c r="Q247" s="1">
        <v>0</v>
      </c>
    </row>
    <row r="248">
      <c r="A248" s="1">
        <v>2018</v>
      </c>
      <c r="B248" s="1">
        <v>41</v>
      </c>
      <c r="C248" s="1">
        <v>51</v>
      </c>
      <c r="D248" t="s">
        <v>3</v>
      </c>
      <c r="E248" t="s">
        <v>6</v>
      </c>
      <c r="F248" s="1">
        <v>41051</v>
      </c>
      <c r="G248" s="1">
        <v>11</v>
      </c>
      <c r="H248" s="1">
        <v>1</v>
      </c>
      <c r="I248" t="s">
        <v>14</v>
      </c>
      <c r="J248" t="s">
        <v>14</v>
      </c>
      <c r="K248" s="1">
        <v>11001</v>
      </c>
      <c r="L248" s="1">
        <v>117</v>
      </c>
      <c r="M248" s="1"/>
      <c r="N248" s="1">
        <v>6177600</v>
      </c>
      <c r="O248" s="1">
        <v>11001</v>
      </c>
      <c r="P248" s="1">
        <v>1</v>
      </c>
      <c r="Q248" s="1">
        <v>0</v>
      </c>
    </row>
    <row r="249">
      <c r="A249" s="1">
        <v>2018</v>
      </c>
      <c r="B249" s="1">
        <v>41</v>
      </c>
      <c r="C249" s="1">
        <v>51</v>
      </c>
      <c r="D249" t="s">
        <v>3</v>
      </c>
      <c r="E249" t="s">
        <v>6</v>
      </c>
      <c r="F249" s="1">
        <v>41051</v>
      </c>
      <c r="G249" s="1">
        <v>12</v>
      </c>
      <c r="H249" s="1">
        <v>0</v>
      </c>
      <c r="I249" t="s">
        <v>411</v>
      </c>
      <c r="J249" t="s">
        <v>276</v>
      </c>
      <c r="K249" s="1">
        <v>12000</v>
      </c>
      <c r="L249" s="1">
        <v>156</v>
      </c>
      <c r="M249" s="1">
        <v>42</v>
      </c>
      <c r="N249" s="1">
        <v>9738000</v>
      </c>
      <c r="O249" s="1"/>
      <c r="P249" s="1">
        <v>1</v>
      </c>
      <c r="Q249" s="1">
        <v>0</v>
      </c>
    </row>
    <row r="250">
      <c r="A250" s="1">
        <v>2018</v>
      </c>
      <c r="B250" s="1">
        <v>41</v>
      </c>
      <c r="C250" s="1">
        <v>51</v>
      </c>
      <c r="D250" t="s">
        <v>3</v>
      </c>
      <c r="E250" t="s">
        <v>6</v>
      </c>
      <c r="F250" s="1">
        <v>41051</v>
      </c>
      <c r="G250" s="1">
        <v>12</v>
      </c>
      <c r="H250" s="1">
        <v>9</v>
      </c>
      <c r="I250" t="s">
        <v>15</v>
      </c>
      <c r="J250" t="s">
        <v>277</v>
      </c>
      <c r="K250" s="1">
        <v>12009</v>
      </c>
      <c r="L250" s="1">
        <v>98</v>
      </c>
      <c r="M250" s="1"/>
      <c r="N250" s="1">
        <v>450800</v>
      </c>
      <c r="O250" s="1">
        <v>12009</v>
      </c>
      <c r="P250" s="1">
        <v>1</v>
      </c>
      <c r="Q250" s="1">
        <v>0</v>
      </c>
    </row>
    <row r="251">
      <c r="A251" s="1">
        <v>2018</v>
      </c>
      <c r="B251" s="1">
        <v>41</v>
      </c>
      <c r="C251" s="1">
        <v>51</v>
      </c>
      <c r="D251" t="s">
        <v>3</v>
      </c>
      <c r="E251" t="s">
        <v>6</v>
      </c>
      <c r="F251" s="1">
        <v>41051</v>
      </c>
      <c r="G251" s="1">
        <v>12</v>
      </c>
      <c r="H251" s="1">
        <v>11</v>
      </c>
      <c r="I251" t="s">
        <v>15</v>
      </c>
      <c r="J251" t="s">
        <v>183</v>
      </c>
      <c r="K251" s="1">
        <v>12011</v>
      </c>
      <c r="L251" s="1">
        <v>835</v>
      </c>
      <c r="M251" s="1">
        <v>344</v>
      </c>
      <c r="N251" s="1">
        <v>17486400</v>
      </c>
      <c r="O251" s="1">
        <v>12011</v>
      </c>
      <c r="P251" s="1">
        <v>1</v>
      </c>
      <c r="Q251" s="1">
        <v>0</v>
      </c>
    </row>
    <row r="252">
      <c r="A252" s="1">
        <v>2018</v>
      </c>
      <c r="B252" s="1">
        <v>41</v>
      </c>
      <c r="C252" s="1">
        <v>51</v>
      </c>
      <c r="D252" t="s">
        <v>3</v>
      </c>
      <c r="E252" t="s">
        <v>6</v>
      </c>
      <c r="F252" s="1">
        <v>41051</v>
      </c>
      <c r="G252" s="1">
        <v>13</v>
      </c>
      <c r="H252" s="1">
        <v>67</v>
      </c>
      <c r="I252" t="s">
        <v>16</v>
      </c>
      <c r="J252" t="s">
        <v>243</v>
      </c>
      <c r="K252" s="1">
        <v>13067</v>
      </c>
      <c r="L252" s="1">
        <v>316</v>
      </c>
      <c r="M252" s="1">
        <v>316</v>
      </c>
      <c r="N252" s="1">
        <v>0</v>
      </c>
      <c r="O252" s="1">
        <v>13067</v>
      </c>
      <c r="P252" s="1">
        <v>1</v>
      </c>
      <c r="Q252" s="1">
        <v>0</v>
      </c>
    </row>
    <row r="253">
      <c r="A253" s="1">
        <v>2018</v>
      </c>
      <c r="B253" s="1">
        <v>41</v>
      </c>
      <c r="C253" s="1">
        <v>51</v>
      </c>
      <c r="D253" t="s">
        <v>3</v>
      </c>
      <c r="E253" t="s">
        <v>6</v>
      </c>
      <c r="F253" s="1">
        <v>41051</v>
      </c>
      <c r="G253" s="1">
        <v>15</v>
      </c>
      <c r="H253" s="1">
        <v>0</v>
      </c>
      <c r="I253" t="s">
        <v>411</v>
      </c>
      <c r="J253" t="s">
        <v>276</v>
      </c>
      <c r="K253" s="1">
        <v>15000</v>
      </c>
      <c r="L253" s="1">
        <v>71</v>
      </c>
      <c r="M253" s="1">
        <v>23</v>
      </c>
      <c r="N253" s="1">
        <v>12408000</v>
      </c>
      <c r="O253" s="1"/>
      <c r="P253" s="1">
        <v>1</v>
      </c>
      <c r="Q253" s="1">
        <v>0</v>
      </c>
    </row>
    <row r="254">
      <c r="A254" s="1">
        <v>2018</v>
      </c>
      <c r="B254" s="1">
        <v>41</v>
      </c>
      <c r="C254" s="1">
        <v>51</v>
      </c>
      <c r="D254" t="s">
        <v>3</v>
      </c>
      <c r="E254" t="s">
        <v>6</v>
      </c>
      <c r="F254" s="1">
        <v>41051</v>
      </c>
      <c r="G254" s="1">
        <v>16</v>
      </c>
      <c r="H254" s="1">
        <v>0</v>
      </c>
      <c r="I254" t="s">
        <v>411</v>
      </c>
      <c r="J254" t="s">
        <v>276</v>
      </c>
      <c r="K254" s="1">
        <v>16000</v>
      </c>
      <c r="L254" s="1">
        <v>325</v>
      </c>
      <c r="M254" s="1">
        <v>176</v>
      </c>
      <c r="N254" s="1">
        <v>11795000</v>
      </c>
      <c r="O254" s="1"/>
      <c r="P254" s="1">
        <v>1</v>
      </c>
      <c r="Q254" s="1">
        <v>0</v>
      </c>
    </row>
    <row r="255">
      <c r="A255" s="1">
        <v>2018</v>
      </c>
      <c r="B255" s="1">
        <v>41</v>
      </c>
      <c r="C255" s="1">
        <v>51</v>
      </c>
      <c r="D255" t="s">
        <v>3</v>
      </c>
      <c r="E255" t="s">
        <v>6</v>
      </c>
      <c r="F255" s="1">
        <v>41051</v>
      </c>
      <c r="G255" s="1">
        <v>17</v>
      </c>
      <c r="H255" s="1">
        <v>31</v>
      </c>
      <c r="I255" t="s">
        <v>19</v>
      </c>
      <c r="J255" t="s">
        <v>98</v>
      </c>
      <c r="K255" s="1">
        <v>17031</v>
      </c>
      <c r="L255" s="1">
        <v>78</v>
      </c>
      <c r="M255" s="1"/>
      <c r="N255" s="1">
        <v>5655000</v>
      </c>
      <c r="O255" s="1">
        <v>17031</v>
      </c>
      <c r="P255" s="1">
        <v>1</v>
      </c>
      <c r="Q255" s="1">
        <v>0</v>
      </c>
    </row>
    <row r="256">
      <c r="A256" s="1">
        <v>2018</v>
      </c>
      <c r="B256" s="1">
        <v>41</v>
      </c>
      <c r="C256" s="1">
        <v>51</v>
      </c>
      <c r="D256" t="s">
        <v>3</v>
      </c>
      <c r="E256" t="s">
        <v>6</v>
      </c>
      <c r="F256" s="1">
        <v>41051</v>
      </c>
      <c r="G256" s="1">
        <v>17</v>
      </c>
      <c r="H256" s="1">
        <v>43</v>
      </c>
      <c r="I256" t="s">
        <v>19</v>
      </c>
      <c r="J256" t="s">
        <v>187</v>
      </c>
      <c r="K256" s="1">
        <v>17043</v>
      </c>
      <c r="L256" s="1">
        <v>64</v>
      </c>
      <c r="M256" s="1">
        <v>63</v>
      </c>
      <c r="N256" s="1">
        <v>0</v>
      </c>
      <c r="O256" s="1">
        <v>17043</v>
      </c>
      <c r="P256" s="1">
        <v>1</v>
      </c>
      <c r="Q256" s="1">
        <v>0</v>
      </c>
    </row>
    <row r="257">
      <c r="A257" s="1">
        <v>2018</v>
      </c>
      <c r="B257" s="1">
        <v>41</v>
      </c>
      <c r="C257" s="1">
        <v>51</v>
      </c>
      <c r="D257" t="s">
        <v>3</v>
      </c>
      <c r="E257" t="s">
        <v>6</v>
      </c>
      <c r="F257" s="1">
        <v>41051</v>
      </c>
      <c r="G257" s="1">
        <v>21</v>
      </c>
      <c r="H257" s="1">
        <v>0</v>
      </c>
      <c r="I257" t="s">
        <v>411</v>
      </c>
      <c r="J257" t="s">
        <v>276</v>
      </c>
      <c r="K257" s="1">
        <v>21000</v>
      </c>
      <c r="L257" s="1">
        <v>155</v>
      </c>
      <c r="M257" s="1">
        <v>155</v>
      </c>
      <c r="N257" s="1">
        <v>0</v>
      </c>
      <c r="O257" s="1"/>
      <c r="P257" s="1">
        <v>1</v>
      </c>
      <c r="Q257" s="1">
        <v>0</v>
      </c>
    </row>
    <row r="258">
      <c r="A258" s="1">
        <v>2018</v>
      </c>
      <c r="B258" s="1">
        <v>41</v>
      </c>
      <c r="C258" s="1">
        <v>51</v>
      </c>
      <c r="D258" t="s">
        <v>3</v>
      </c>
      <c r="E258" t="s">
        <v>6</v>
      </c>
      <c r="F258" s="1">
        <v>41051</v>
      </c>
      <c r="G258" s="1">
        <v>22</v>
      </c>
      <c r="H258" s="1">
        <v>0</v>
      </c>
      <c r="I258" t="s">
        <v>411</v>
      </c>
      <c r="J258" t="s">
        <v>276</v>
      </c>
      <c r="K258" s="1">
        <v>22000</v>
      </c>
      <c r="L258" s="1">
        <v>197</v>
      </c>
      <c r="M258" s="1"/>
      <c r="N258" s="1">
        <v>6341200</v>
      </c>
      <c r="O258" s="1"/>
      <c r="P258" s="1">
        <v>1</v>
      </c>
      <c r="Q258" s="1">
        <v>0</v>
      </c>
    </row>
    <row r="259">
      <c r="A259" s="1">
        <v>2018</v>
      </c>
      <c r="B259" s="1">
        <v>41</v>
      </c>
      <c r="C259" s="1">
        <v>51</v>
      </c>
      <c r="D259" t="s">
        <v>3</v>
      </c>
      <c r="E259" t="s">
        <v>6</v>
      </c>
      <c r="F259" s="1">
        <v>41051</v>
      </c>
      <c r="G259" s="1">
        <v>22</v>
      </c>
      <c r="H259" s="1">
        <v>71</v>
      </c>
      <c r="I259" t="s">
        <v>22</v>
      </c>
      <c r="J259" t="s">
        <v>101</v>
      </c>
      <c r="K259" s="1">
        <v>22071</v>
      </c>
      <c r="L259" s="1">
        <v>173</v>
      </c>
      <c r="M259" s="1">
        <v>92</v>
      </c>
      <c r="N259" s="1">
        <v>10275100</v>
      </c>
      <c r="O259" s="1">
        <v>22071</v>
      </c>
      <c r="P259" s="1">
        <v>1</v>
      </c>
      <c r="Q259" s="1">
        <v>0</v>
      </c>
    </row>
    <row r="260">
      <c r="A260" s="1">
        <v>2018</v>
      </c>
      <c r="B260" s="1">
        <v>41</v>
      </c>
      <c r="C260" s="1">
        <v>51</v>
      </c>
      <c r="D260" t="s">
        <v>3</v>
      </c>
      <c r="E260" t="s">
        <v>6</v>
      </c>
      <c r="F260" s="1">
        <v>41051</v>
      </c>
      <c r="G260" s="1">
        <v>25</v>
      </c>
      <c r="H260" s="1">
        <v>0</v>
      </c>
      <c r="I260" t="s">
        <v>411</v>
      </c>
      <c r="J260" t="s">
        <v>276</v>
      </c>
      <c r="K260" s="1">
        <v>25000</v>
      </c>
      <c r="L260" s="1">
        <v>118</v>
      </c>
      <c r="M260" s="1"/>
      <c r="N260" s="1">
        <v>4130000</v>
      </c>
      <c r="O260" s="1"/>
      <c r="P260" s="1">
        <v>1</v>
      </c>
      <c r="Q260" s="1">
        <v>0</v>
      </c>
    </row>
    <row r="261">
      <c r="A261" s="1">
        <v>2018</v>
      </c>
      <c r="B261" s="1">
        <v>41</v>
      </c>
      <c r="C261" s="1">
        <v>51</v>
      </c>
      <c r="D261" t="s">
        <v>3</v>
      </c>
      <c r="E261" t="s">
        <v>6</v>
      </c>
      <c r="F261" s="1">
        <v>41051</v>
      </c>
      <c r="G261" s="1">
        <v>26</v>
      </c>
      <c r="H261" s="1">
        <v>0</v>
      </c>
      <c r="I261" t="s">
        <v>411</v>
      </c>
      <c r="J261" t="s">
        <v>276</v>
      </c>
      <c r="K261" s="1">
        <v>26000</v>
      </c>
      <c r="L261" s="1">
        <v>25</v>
      </c>
      <c r="M261" s="1"/>
      <c r="N261" s="1">
        <v>750000</v>
      </c>
      <c r="O261" s="1"/>
      <c r="P261" s="1">
        <v>1</v>
      </c>
      <c r="Q261" s="1">
        <v>0</v>
      </c>
    </row>
    <row r="262">
      <c r="A262" s="1">
        <v>2018</v>
      </c>
      <c r="B262" s="1">
        <v>41</v>
      </c>
      <c r="C262" s="1">
        <v>51</v>
      </c>
      <c r="D262" t="s">
        <v>3</v>
      </c>
      <c r="E262" t="s">
        <v>6</v>
      </c>
      <c r="F262" s="1">
        <v>41051</v>
      </c>
      <c r="G262" s="1">
        <v>26</v>
      </c>
      <c r="H262" s="1">
        <v>99</v>
      </c>
      <c r="I262" t="s">
        <v>26</v>
      </c>
      <c r="J262" t="s">
        <v>300</v>
      </c>
      <c r="K262" s="1">
        <v>26099</v>
      </c>
      <c r="L262" s="1">
        <v>178</v>
      </c>
      <c r="M262" s="1">
        <v>70</v>
      </c>
      <c r="N262" s="1">
        <v>4557000</v>
      </c>
      <c r="O262" s="1">
        <v>26099</v>
      </c>
      <c r="P262" s="1">
        <v>1</v>
      </c>
      <c r="Q262" s="1">
        <v>0</v>
      </c>
    </row>
    <row r="263">
      <c r="A263" s="1">
        <v>2018</v>
      </c>
      <c r="B263" s="1">
        <v>41</v>
      </c>
      <c r="C263" s="1">
        <v>51</v>
      </c>
      <c r="D263" t="s">
        <v>3</v>
      </c>
      <c r="E263" t="s">
        <v>6</v>
      </c>
      <c r="F263" s="1">
        <v>41051</v>
      </c>
      <c r="G263" s="1">
        <v>30</v>
      </c>
      <c r="H263" s="1">
        <v>0</v>
      </c>
      <c r="I263" t="s">
        <v>411</v>
      </c>
      <c r="J263" t="s">
        <v>276</v>
      </c>
      <c r="K263" s="1">
        <v>30000</v>
      </c>
      <c r="L263" s="1">
        <v>224</v>
      </c>
      <c r="M263" s="1">
        <v>63</v>
      </c>
      <c r="N263" s="1">
        <v>16474220</v>
      </c>
      <c r="O263" s="1"/>
      <c r="P263" s="1">
        <v>1</v>
      </c>
      <c r="Q263" s="1">
        <v>0</v>
      </c>
    </row>
    <row r="264">
      <c r="A264" s="1">
        <v>2018</v>
      </c>
      <c r="B264" s="1">
        <v>41</v>
      </c>
      <c r="C264" s="1">
        <v>51</v>
      </c>
      <c r="D264" t="s">
        <v>3</v>
      </c>
      <c r="E264" t="s">
        <v>6</v>
      </c>
      <c r="F264" s="1">
        <v>41051</v>
      </c>
      <c r="G264" s="1">
        <v>32</v>
      </c>
      <c r="H264" s="1">
        <v>3</v>
      </c>
      <c r="I264" t="s">
        <v>29</v>
      </c>
      <c r="J264" t="s">
        <v>112</v>
      </c>
      <c r="K264" s="1">
        <v>32003</v>
      </c>
      <c r="L264" s="1">
        <v>69</v>
      </c>
      <c r="M264" s="1">
        <v>69</v>
      </c>
      <c r="N264" s="1">
        <v>2063100</v>
      </c>
      <c r="O264" s="1">
        <v>32003</v>
      </c>
      <c r="P264" s="1">
        <v>1</v>
      </c>
      <c r="Q264" s="1">
        <v>0</v>
      </c>
    </row>
    <row r="265">
      <c r="A265" s="1">
        <v>2018</v>
      </c>
      <c r="B265" s="1">
        <v>41</v>
      </c>
      <c r="C265" s="1">
        <v>51</v>
      </c>
      <c r="D265" t="s">
        <v>3</v>
      </c>
      <c r="E265" t="s">
        <v>6</v>
      </c>
      <c r="F265" s="1">
        <v>41051</v>
      </c>
      <c r="G265" s="1">
        <v>32</v>
      </c>
      <c r="H265" s="1">
        <v>31</v>
      </c>
      <c r="I265" t="s">
        <v>29</v>
      </c>
      <c r="J265" t="s">
        <v>113</v>
      </c>
      <c r="K265" s="1">
        <v>32031</v>
      </c>
      <c r="L265" s="1">
        <v>316</v>
      </c>
      <c r="M265" s="1">
        <v>223</v>
      </c>
      <c r="N265" s="1">
        <v>9212600</v>
      </c>
      <c r="O265" s="1">
        <v>32031</v>
      </c>
      <c r="P265" s="1">
        <v>1</v>
      </c>
      <c r="Q265" s="1">
        <v>0</v>
      </c>
    </row>
    <row r="266">
      <c r="A266" s="1">
        <v>2018</v>
      </c>
      <c r="B266" s="1">
        <v>41</v>
      </c>
      <c r="C266" s="1">
        <v>51</v>
      </c>
      <c r="D266" t="s">
        <v>3</v>
      </c>
      <c r="E266" t="s">
        <v>6</v>
      </c>
      <c r="F266" s="1">
        <v>41051</v>
      </c>
      <c r="G266" s="1">
        <v>33</v>
      </c>
      <c r="H266" s="1">
        <v>0</v>
      </c>
      <c r="I266" t="s">
        <v>411</v>
      </c>
      <c r="J266" t="s">
        <v>276</v>
      </c>
      <c r="K266" s="1">
        <v>33000</v>
      </c>
      <c r="L266" s="1">
        <v>314</v>
      </c>
      <c r="M266" s="1">
        <v>128</v>
      </c>
      <c r="N266" s="1">
        <v>17197800</v>
      </c>
      <c r="O266" s="1"/>
      <c r="P266" s="1">
        <v>1</v>
      </c>
      <c r="Q266" s="1">
        <v>0</v>
      </c>
    </row>
    <row r="267">
      <c r="A267" s="1">
        <v>2018</v>
      </c>
      <c r="B267" s="1">
        <v>41</v>
      </c>
      <c r="C267" s="1">
        <v>51</v>
      </c>
      <c r="D267" t="s">
        <v>3</v>
      </c>
      <c r="E267" t="s">
        <v>6</v>
      </c>
      <c r="F267" s="1">
        <v>41051</v>
      </c>
      <c r="G267" s="1">
        <v>35</v>
      </c>
      <c r="H267" s="1">
        <v>0</v>
      </c>
      <c r="I267" t="s">
        <v>411</v>
      </c>
      <c r="J267" t="s">
        <v>276</v>
      </c>
      <c r="K267" s="1">
        <v>35000</v>
      </c>
      <c r="L267" s="1">
        <v>231</v>
      </c>
      <c r="M267" s="1">
        <v>176</v>
      </c>
      <c r="N267" s="1">
        <v>16284500</v>
      </c>
      <c r="O267" s="1"/>
      <c r="P267" s="1">
        <v>1</v>
      </c>
      <c r="Q267" s="1">
        <v>0</v>
      </c>
    </row>
    <row r="268">
      <c r="A268" s="1">
        <v>2018</v>
      </c>
      <c r="B268" s="1">
        <v>41</v>
      </c>
      <c r="C268" s="1">
        <v>51</v>
      </c>
      <c r="D268" t="s">
        <v>3</v>
      </c>
      <c r="E268" t="s">
        <v>6</v>
      </c>
      <c r="F268" s="1">
        <v>41051</v>
      </c>
      <c r="G268" s="1">
        <v>35</v>
      </c>
      <c r="H268" s="1">
        <v>13</v>
      </c>
      <c r="I268" t="s">
        <v>30</v>
      </c>
      <c r="J268" t="s">
        <v>301</v>
      </c>
      <c r="K268" s="1">
        <v>35013</v>
      </c>
      <c r="L268" s="1">
        <v>78</v>
      </c>
      <c r="M268" s="1">
        <v>78</v>
      </c>
      <c r="N268" s="1">
        <v>5538000</v>
      </c>
      <c r="O268" s="1">
        <v>35013</v>
      </c>
      <c r="P268" s="1">
        <v>1</v>
      </c>
      <c r="Q268" s="1">
        <v>0</v>
      </c>
    </row>
    <row r="269">
      <c r="A269" s="1">
        <v>2018</v>
      </c>
      <c r="B269" s="1">
        <v>41</v>
      </c>
      <c r="C269" s="1">
        <v>51</v>
      </c>
      <c r="D269" t="s">
        <v>3</v>
      </c>
      <c r="E269" t="s">
        <v>6</v>
      </c>
      <c r="F269" s="1">
        <v>41051</v>
      </c>
      <c r="G269" s="1">
        <v>36</v>
      </c>
      <c r="H269" s="1">
        <v>47</v>
      </c>
      <c r="I269" t="s">
        <v>31</v>
      </c>
      <c r="J269" t="s">
        <v>116</v>
      </c>
      <c r="K269" s="1">
        <v>36047</v>
      </c>
      <c r="L269" s="1">
        <v>399</v>
      </c>
      <c r="M269" s="1">
        <v>335</v>
      </c>
      <c r="N269" s="1">
        <v>36983000</v>
      </c>
      <c r="O269" s="1">
        <v>36047</v>
      </c>
      <c r="P269" s="1">
        <v>1</v>
      </c>
      <c r="Q269" s="1">
        <v>0</v>
      </c>
    </row>
    <row r="270">
      <c r="A270" s="1">
        <v>2018</v>
      </c>
      <c r="B270" s="1">
        <v>41</v>
      </c>
      <c r="C270" s="1">
        <v>51</v>
      </c>
      <c r="D270" t="s">
        <v>3</v>
      </c>
      <c r="E270" t="s">
        <v>6</v>
      </c>
      <c r="F270" s="1">
        <v>41051</v>
      </c>
      <c r="G270" s="1">
        <v>36</v>
      </c>
      <c r="H270" s="1">
        <v>61</v>
      </c>
      <c r="I270" t="s">
        <v>31</v>
      </c>
      <c r="J270" t="s">
        <v>117</v>
      </c>
      <c r="K270" s="1">
        <v>36061</v>
      </c>
      <c r="L270" s="1">
        <v>280</v>
      </c>
      <c r="M270" s="1">
        <v>114</v>
      </c>
      <c r="N270" s="1">
        <v>9800000</v>
      </c>
      <c r="O270" s="1">
        <v>36061</v>
      </c>
      <c r="P270" s="1">
        <v>1</v>
      </c>
      <c r="Q270" s="1">
        <v>0</v>
      </c>
    </row>
    <row r="271">
      <c r="A271" s="1">
        <v>2018</v>
      </c>
      <c r="B271" s="1">
        <v>41</v>
      </c>
      <c r="C271" s="1">
        <v>51</v>
      </c>
      <c r="D271" t="s">
        <v>3</v>
      </c>
      <c r="E271" t="s">
        <v>6</v>
      </c>
      <c r="F271" s="1">
        <v>41051</v>
      </c>
      <c r="G271" s="1">
        <v>37</v>
      </c>
      <c r="H271" s="1">
        <v>0</v>
      </c>
      <c r="I271" t="s">
        <v>411</v>
      </c>
      <c r="J271" t="s">
        <v>276</v>
      </c>
      <c r="K271" s="1">
        <v>37000</v>
      </c>
      <c r="L271" s="1">
        <v>96</v>
      </c>
      <c r="M271" s="1">
        <v>43</v>
      </c>
      <c r="N271" s="1">
        <v>780000</v>
      </c>
      <c r="O271" s="1"/>
      <c r="P271" s="1">
        <v>1</v>
      </c>
      <c r="Q271" s="1">
        <v>0</v>
      </c>
    </row>
    <row r="272">
      <c r="A272" s="1">
        <v>2018</v>
      </c>
      <c r="B272" s="1">
        <v>41</v>
      </c>
      <c r="C272" s="1">
        <v>51</v>
      </c>
      <c r="D272" t="s">
        <v>3</v>
      </c>
      <c r="E272" t="s">
        <v>6</v>
      </c>
      <c r="F272" s="1">
        <v>41051</v>
      </c>
      <c r="G272" s="1">
        <v>37</v>
      </c>
      <c r="H272" s="1">
        <v>81</v>
      </c>
      <c r="I272" t="s">
        <v>32</v>
      </c>
      <c r="J272" t="s">
        <v>291</v>
      </c>
      <c r="K272" s="1">
        <v>37081</v>
      </c>
      <c r="L272" s="1">
        <v>224</v>
      </c>
      <c r="M272" s="1">
        <v>52</v>
      </c>
      <c r="N272" s="1">
        <v>2508300</v>
      </c>
      <c r="O272" s="1">
        <v>37081</v>
      </c>
      <c r="P272" s="1">
        <v>1</v>
      </c>
      <c r="Q272" s="1">
        <v>0</v>
      </c>
    </row>
    <row r="273">
      <c r="A273" s="1">
        <v>2018</v>
      </c>
      <c r="B273" s="1">
        <v>41</v>
      </c>
      <c r="C273" s="1">
        <v>51</v>
      </c>
      <c r="D273" t="s">
        <v>3</v>
      </c>
      <c r="E273" t="s">
        <v>6</v>
      </c>
      <c r="F273" s="1">
        <v>41051</v>
      </c>
      <c r="G273" s="1">
        <v>37</v>
      </c>
      <c r="H273" s="1">
        <v>183</v>
      </c>
      <c r="I273" t="s">
        <v>32</v>
      </c>
      <c r="J273" t="s">
        <v>206</v>
      </c>
      <c r="K273" s="1">
        <v>37183</v>
      </c>
      <c r="L273" s="1">
        <v>64</v>
      </c>
      <c r="M273" s="1"/>
      <c r="N273" s="1">
        <v>1280000</v>
      </c>
      <c r="O273" s="1">
        <v>37183</v>
      </c>
      <c r="P273" s="1">
        <v>1</v>
      </c>
      <c r="Q273" s="1">
        <v>0</v>
      </c>
    </row>
    <row r="274">
      <c r="A274" s="1">
        <v>2018</v>
      </c>
      <c r="B274" s="1">
        <v>41</v>
      </c>
      <c r="C274" s="1">
        <v>51</v>
      </c>
      <c r="D274" t="s">
        <v>3</v>
      </c>
      <c r="E274" t="s">
        <v>6</v>
      </c>
      <c r="F274" s="1">
        <v>41051</v>
      </c>
      <c r="G274" s="1">
        <v>38</v>
      </c>
      <c r="H274" s="1">
        <v>0</v>
      </c>
      <c r="I274" t="s">
        <v>411</v>
      </c>
      <c r="J274" t="s">
        <v>276</v>
      </c>
      <c r="K274" s="1">
        <v>38000</v>
      </c>
      <c r="L274" s="1">
        <v>57</v>
      </c>
      <c r="M274" s="1">
        <v>35</v>
      </c>
      <c r="N274" s="1">
        <v>2569000</v>
      </c>
      <c r="O274" s="1"/>
      <c r="P274" s="1">
        <v>1</v>
      </c>
      <c r="Q274" s="1">
        <v>0</v>
      </c>
    </row>
    <row r="275">
      <c r="A275" s="1">
        <v>2018</v>
      </c>
      <c r="B275" s="1">
        <v>41</v>
      </c>
      <c r="C275" s="1">
        <v>51</v>
      </c>
      <c r="D275" t="s">
        <v>3</v>
      </c>
      <c r="E275" t="s">
        <v>6</v>
      </c>
      <c r="F275" s="1">
        <v>41051</v>
      </c>
      <c r="G275" s="1">
        <v>39</v>
      </c>
      <c r="H275" s="1">
        <v>35</v>
      </c>
      <c r="I275" t="s">
        <v>33</v>
      </c>
      <c r="J275" t="s">
        <v>207</v>
      </c>
      <c r="K275" s="1">
        <v>39035</v>
      </c>
      <c r="L275" s="1">
        <v>532</v>
      </c>
      <c r="M275" s="1">
        <v>369</v>
      </c>
      <c r="N275" s="1">
        <v>5247000</v>
      </c>
      <c r="O275" s="1">
        <v>39035</v>
      </c>
      <c r="P275" s="1">
        <v>1</v>
      </c>
      <c r="Q275" s="1">
        <v>0</v>
      </c>
    </row>
    <row r="276">
      <c r="A276" s="1">
        <v>2018</v>
      </c>
      <c r="B276" s="1">
        <v>41</v>
      </c>
      <c r="C276" s="1">
        <v>51</v>
      </c>
      <c r="D276" t="s">
        <v>3</v>
      </c>
      <c r="E276" t="s">
        <v>6</v>
      </c>
      <c r="F276" s="1">
        <v>41051</v>
      </c>
      <c r="G276" s="1">
        <v>40</v>
      </c>
      <c r="H276" s="1">
        <v>109</v>
      </c>
      <c r="I276" t="s">
        <v>47</v>
      </c>
      <c r="J276" t="s">
        <v>209</v>
      </c>
      <c r="K276" s="1">
        <v>40109</v>
      </c>
      <c r="L276" s="1">
        <v>40</v>
      </c>
      <c r="M276" s="1">
        <v>41</v>
      </c>
      <c r="N276" s="1">
        <v>32000</v>
      </c>
      <c r="O276" s="1">
        <v>40109</v>
      </c>
      <c r="P276" s="1">
        <v>1</v>
      </c>
      <c r="Q276" s="1">
        <v>0</v>
      </c>
    </row>
    <row r="277">
      <c r="A277" s="1">
        <v>2018</v>
      </c>
      <c r="B277" s="1">
        <v>41</v>
      </c>
      <c r="C277" s="1">
        <v>51</v>
      </c>
      <c r="D277" t="s">
        <v>3</v>
      </c>
      <c r="E277" t="s">
        <v>6</v>
      </c>
      <c r="F277" s="1">
        <v>41051</v>
      </c>
      <c r="G277" s="1">
        <v>41</v>
      </c>
      <c r="H277" s="1">
        <v>0</v>
      </c>
      <c r="I277" t="s">
        <v>411</v>
      </c>
      <c r="J277" t="s">
        <v>276</v>
      </c>
      <c r="K277" s="1">
        <v>41000</v>
      </c>
      <c r="L277" s="1">
        <v>3532</v>
      </c>
      <c r="M277" s="1">
        <v>1394</v>
      </c>
      <c r="N277" s="1">
        <v>171185310</v>
      </c>
      <c r="O277" s="1"/>
      <c r="P277" s="1">
        <v>1</v>
      </c>
      <c r="Q277" s="1">
        <v>0</v>
      </c>
    </row>
    <row r="278">
      <c r="A278" s="1">
        <v>2018</v>
      </c>
      <c r="B278" s="1">
        <v>41</v>
      </c>
      <c r="C278" s="1">
        <v>51</v>
      </c>
      <c r="D278" t="s">
        <v>3</v>
      </c>
      <c r="E278" t="s">
        <v>6</v>
      </c>
      <c r="F278" s="1">
        <v>41051</v>
      </c>
      <c r="G278" s="1">
        <v>41</v>
      </c>
      <c r="H278" s="1">
        <v>5</v>
      </c>
      <c r="I278" t="s">
        <v>3</v>
      </c>
      <c r="J278" t="s">
        <v>125</v>
      </c>
      <c r="K278" s="1">
        <v>41005</v>
      </c>
      <c r="L278" s="1">
        <v>7490</v>
      </c>
      <c r="M278" s="1">
        <v>4095</v>
      </c>
      <c r="N278" s="1">
        <v>348937750</v>
      </c>
      <c r="O278" s="1">
        <v>41005</v>
      </c>
      <c r="P278" s="1">
        <v>1</v>
      </c>
      <c r="Q278" s="1">
        <v>0</v>
      </c>
    </row>
    <row r="279">
      <c r="A279" s="1">
        <v>2018</v>
      </c>
      <c r="B279" s="1">
        <v>41</v>
      </c>
      <c r="C279" s="1">
        <v>51</v>
      </c>
      <c r="D279" t="s">
        <v>3</v>
      </c>
      <c r="E279" t="s">
        <v>6</v>
      </c>
      <c r="F279" s="1">
        <v>41051</v>
      </c>
      <c r="G279" s="1">
        <v>41</v>
      </c>
      <c r="H279" s="1">
        <v>17</v>
      </c>
      <c r="I279" t="s">
        <v>3</v>
      </c>
      <c r="J279" t="s">
        <v>130</v>
      </c>
      <c r="K279" s="1">
        <v>41017</v>
      </c>
      <c r="L279" s="1">
        <v>628</v>
      </c>
      <c r="M279" s="1">
        <v>216</v>
      </c>
      <c r="N279" s="1">
        <v>54160000</v>
      </c>
      <c r="O279" s="1">
        <v>41017</v>
      </c>
      <c r="P279" s="1">
        <v>1</v>
      </c>
      <c r="Q279" s="1">
        <v>0</v>
      </c>
    </row>
    <row r="280">
      <c r="A280" s="1">
        <v>2018</v>
      </c>
      <c r="B280" s="1">
        <v>41</v>
      </c>
      <c r="C280" s="1">
        <v>51</v>
      </c>
      <c r="D280" t="s">
        <v>3</v>
      </c>
      <c r="E280" t="s">
        <v>6</v>
      </c>
      <c r="F280" s="1">
        <v>41051</v>
      </c>
      <c r="G280" s="1">
        <v>41</v>
      </c>
      <c r="H280" s="1">
        <v>19</v>
      </c>
      <c r="I280" t="s">
        <v>3</v>
      </c>
      <c r="J280" t="s">
        <v>131</v>
      </c>
      <c r="K280" s="1">
        <v>41019</v>
      </c>
      <c r="L280" s="1">
        <v>64</v>
      </c>
      <c r="M280" s="1"/>
      <c r="N280" s="1">
        <v>243200</v>
      </c>
      <c r="O280" s="1">
        <v>41019</v>
      </c>
      <c r="P280" s="1">
        <v>1</v>
      </c>
      <c r="Q280" s="1">
        <v>0</v>
      </c>
    </row>
    <row r="281">
      <c r="A281" s="1">
        <v>2018</v>
      </c>
      <c r="B281" s="1">
        <v>41</v>
      </c>
      <c r="C281" s="1">
        <v>51</v>
      </c>
      <c r="D281" t="s">
        <v>3</v>
      </c>
      <c r="E281" t="s">
        <v>6</v>
      </c>
      <c r="F281" s="1">
        <v>41051</v>
      </c>
      <c r="G281" s="1">
        <v>41</v>
      </c>
      <c r="H281" s="1">
        <v>29</v>
      </c>
      <c r="I281" t="s">
        <v>3</v>
      </c>
      <c r="J281" t="s">
        <v>133</v>
      </c>
      <c r="K281" s="1">
        <v>41029</v>
      </c>
      <c r="L281" s="1">
        <v>237</v>
      </c>
      <c r="M281" s="1">
        <v>158</v>
      </c>
      <c r="N281" s="1">
        <v>9906000</v>
      </c>
      <c r="O281" s="1">
        <v>41029</v>
      </c>
      <c r="P281" s="1">
        <v>1</v>
      </c>
      <c r="Q281" s="1">
        <v>0</v>
      </c>
    </row>
    <row r="282">
      <c r="A282" s="1">
        <v>2018</v>
      </c>
      <c r="B282" s="1">
        <v>41</v>
      </c>
      <c r="C282" s="1">
        <v>51</v>
      </c>
      <c r="D282" t="s">
        <v>3</v>
      </c>
      <c r="E282" t="s">
        <v>6</v>
      </c>
      <c r="F282" s="1">
        <v>41051</v>
      </c>
      <c r="G282" s="1">
        <v>41</v>
      </c>
      <c r="H282" s="1">
        <v>39</v>
      </c>
      <c r="I282" t="s">
        <v>3</v>
      </c>
      <c r="J282" t="s">
        <v>136</v>
      </c>
      <c r="K282" s="1">
        <v>41039</v>
      </c>
      <c r="L282" s="1">
        <v>1957</v>
      </c>
      <c r="M282" s="1">
        <v>684</v>
      </c>
      <c r="N282" s="1">
        <v>82421950</v>
      </c>
      <c r="O282" s="1">
        <v>41039</v>
      </c>
      <c r="P282" s="1">
        <v>1</v>
      </c>
      <c r="Q282" s="1">
        <v>0</v>
      </c>
    </row>
    <row r="283">
      <c r="A283" s="1">
        <v>2018</v>
      </c>
      <c r="B283" s="1">
        <v>41</v>
      </c>
      <c r="C283" s="1">
        <v>51</v>
      </c>
      <c r="D283" t="s">
        <v>3</v>
      </c>
      <c r="E283" t="s">
        <v>6</v>
      </c>
      <c r="F283" s="1">
        <v>41051</v>
      </c>
      <c r="G283" s="1">
        <v>41</v>
      </c>
      <c r="H283" s="1">
        <v>47</v>
      </c>
      <c r="I283" t="s">
        <v>3</v>
      </c>
      <c r="J283" t="s">
        <v>99</v>
      </c>
      <c r="K283" s="1">
        <v>41047</v>
      </c>
      <c r="L283" s="1">
        <v>295</v>
      </c>
      <c r="M283" s="1">
        <v>16</v>
      </c>
      <c r="N283" s="1">
        <v>4456000</v>
      </c>
      <c r="O283" s="1">
        <v>41047</v>
      </c>
      <c r="P283" s="1">
        <v>1</v>
      </c>
      <c r="Q283" s="1">
        <v>0</v>
      </c>
    </row>
    <row r="284">
      <c r="A284" s="1">
        <v>2018</v>
      </c>
      <c r="B284" s="1">
        <v>41</v>
      </c>
      <c r="C284" s="1">
        <v>51</v>
      </c>
      <c r="D284" t="s">
        <v>3</v>
      </c>
      <c r="E284" t="s">
        <v>6</v>
      </c>
      <c r="F284" s="1">
        <v>41051</v>
      </c>
      <c r="G284" s="1">
        <v>41</v>
      </c>
      <c r="H284" s="1">
        <v>51</v>
      </c>
      <c r="I284" t="s">
        <v>3</v>
      </c>
      <c r="J284" t="s">
        <v>6</v>
      </c>
      <c r="K284" s="1">
        <v>41051</v>
      </c>
      <c r="L284" s="1">
        <v>589695</v>
      </c>
      <c r="M284" s="1">
        <v>306609</v>
      </c>
      <c r="N284" s="1">
        <v>30113894328</v>
      </c>
      <c r="O284" s="1">
        <v>41051</v>
      </c>
      <c r="P284" s="1">
        <v>1</v>
      </c>
      <c r="Q284" s="1">
        <v>1</v>
      </c>
    </row>
    <row r="285">
      <c r="A285" s="1">
        <v>2018</v>
      </c>
      <c r="B285" s="1">
        <v>41</v>
      </c>
      <c r="C285" s="1">
        <v>51</v>
      </c>
      <c r="D285" t="s">
        <v>3</v>
      </c>
      <c r="E285" t="s">
        <v>6</v>
      </c>
      <c r="F285" s="1">
        <v>41051</v>
      </c>
      <c r="G285" s="1">
        <v>41</v>
      </c>
      <c r="H285" s="1">
        <v>67</v>
      </c>
      <c r="I285" t="s">
        <v>3</v>
      </c>
      <c r="J285" t="s">
        <v>143</v>
      </c>
      <c r="K285" s="1">
        <v>41067</v>
      </c>
      <c r="L285" s="1">
        <v>5912</v>
      </c>
      <c r="M285" s="1">
        <v>3414</v>
      </c>
      <c r="N285" s="1">
        <v>322085000</v>
      </c>
      <c r="O285" s="1">
        <v>41067</v>
      </c>
      <c r="P285" s="1">
        <v>1</v>
      </c>
      <c r="Q285" s="1">
        <v>0</v>
      </c>
    </row>
    <row r="286">
      <c r="A286" s="1">
        <v>2018</v>
      </c>
      <c r="B286" s="1">
        <v>41</v>
      </c>
      <c r="C286" s="1">
        <v>51</v>
      </c>
      <c r="D286" t="s">
        <v>3</v>
      </c>
      <c r="E286" t="s">
        <v>6</v>
      </c>
      <c r="F286" s="1">
        <v>41051</v>
      </c>
      <c r="G286" s="1">
        <v>42</v>
      </c>
      <c r="H286" s="1">
        <v>0</v>
      </c>
      <c r="I286" t="s">
        <v>411</v>
      </c>
      <c r="J286" t="s">
        <v>276</v>
      </c>
      <c r="K286" s="1">
        <v>42000</v>
      </c>
      <c r="L286" s="1">
        <v>21</v>
      </c>
      <c r="M286" s="1"/>
      <c r="N286" s="1">
        <v>525000</v>
      </c>
      <c r="O286" s="1"/>
      <c r="P286" s="1">
        <v>1</v>
      </c>
      <c r="Q286" s="1">
        <v>0</v>
      </c>
    </row>
    <row r="287">
      <c r="A287" s="1">
        <v>2018</v>
      </c>
      <c r="B287" s="1">
        <v>41</v>
      </c>
      <c r="C287" s="1">
        <v>51</v>
      </c>
      <c r="D287" t="s">
        <v>3</v>
      </c>
      <c r="E287" t="s">
        <v>6</v>
      </c>
      <c r="F287" s="1">
        <v>41051</v>
      </c>
      <c r="G287" s="1">
        <v>42</v>
      </c>
      <c r="H287" s="1">
        <v>101</v>
      </c>
      <c r="I287" t="s">
        <v>34</v>
      </c>
      <c r="J287" t="s">
        <v>146</v>
      </c>
      <c r="K287" s="1">
        <v>42101</v>
      </c>
      <c r="L287" s="1">
        <v>353</v>
      </c>
      <c r="M287" s="1"/>
      <c r="N287" s="1">
        <v>6459900</v>
      </c>
      <c r="O287" s="1">
        <v>42101</v>
      </c>
      <c r="P287" s="1">
        <v>1</v>
      </c>
      <c r="Q287" s="1">
        <v>0</v>
      </c>
    </row>
    <row r="288">
      <c r="A288" s="1">
        <v>2018</v>
      </c>
      <c r="B288" s="1">
        <v>41</v>
      </c>
      <c r="C288" s="1">
        <v>51</v>
      </c>
      <c r="D288" t="s">
        <v>3</v>
      </c>
      <c r="E288" t="s">
        <v>6</v>
      </c>
      <c r="F288" s="1">
        <v>41051</v>
      </c>
      <c r="G288" s="1">
        <v>47</v>
      </c>
      <c r="H288" s="1">
        <v>0</v>
      </c>
      <c r="I288" t="s">
        <v>411</v>
      </c>
      <c r="J288" t="s">
        <v>276</v>
      </c>
      <c r="K288" s="1">
        <v>47000</v>
      </c>
      <c r="L288" s="1">
        <v>58</v>
      </c>
      <c r="M288" s="1">
        <v>58</v>
      </c>
      <c r="N288" s="1">
        <v>203000</v>
      </c>
      <c r="O288" s="1"/>
      <c r="P288" s="1">
        <v>1</v>
      </c>
      <c r="Q288" s="1">
        <v>0</v>
      </c>
    </row>
    <row r="289">
      <c r="A289" s="1">
        <v>2018</v>
      </c>
      <c r="B289" s="1">
        <v>41</v>
      </c>
      <c r="C289" s="1">
        <v>51</v>
      </c>
      <c r="D289" t="s">
        <v>3</v>
      </c>
      <c r="E289" t="s">
        <v>6</v>
      </c>
      <c r="F289" s="1">
        <v>41051</v>
      </c>
      <c r="G289" s="1">
        <v>47</v>
      </c>
      <c r="H289" s="1">
        <v>37</v>
      </c>
      <c r="I289" t="s">
        <v>35</v>
      </c>
      <c r="J289" t="s">
        <v>147</v>
      </c>
      <c r="K289" s="1">
        <v>47037</v>
      </c>
      <c r="L289" s="1">
        <v>215</v>
      </c>
      <c r="M289" s="1">
        <v>68</v>
      </c>
      <c r="N289" s="1">
        <v>25406000</v>
      </c>
      <c r="O289" s="1">
        <v>47037</v>
      </c>
      <c r="P289" s="1">
        <v>1</v>
      </c>
      <c r="Q289" s="1">
        <v>0</v>
      </c>
    </row>
    <row r="290">
      <c r="A290" s="1">
        <v>2018</v>
      </c>
      <c r="B290" s="1">
        <v>41</v>
      </c>
      <c r="C290" s="1">
        <v>51</v>
      </c>
      <c r="D290" t="s">
        <v>3</v>
      </c>
      <c r="E290" t="s">
        <v>6</v>
      </c>
      <c r="F290" s="1">
        <v>41051</v>
      </c>
      <c r="G290" s="1">
        <v>48</v>
      </c>
      <c r="H290" s="1">
        <v>0</v>
      </c>
      <c r="I290" t="s">
        <v>411</v>
      </c>
      <c r="J290" t="s">
        <v>276</v>
      </c>
      <c r="K290" s="1">
        <v>48000</v>
      </c>
      <c r="L290" s="1">
        <v>260</v>
      </c>
      <c r="M290" s="1"/>
      <c r="N290" s="1">
        <v>5042700</v>
      </c>
      <c r="O290" s="1"/>
      <c r="P290" s="1">
        <v>1</v>
      </c>
      <c r="Q290" s="1">
        <v>0</v>
      </c>
    </row>
    <row r="291">
      <c r="A291" s="1">
        <v>2018</v>
      </c>
      <c r="B291" s="1">
        <v>41</v>
      </c>
      <c r="C291" s="1">
        <v>51</v>
      </c>
      <c r="D291" t="s">
        <v>3</v>
      </c>
      <c r="E291" t="s">
        <v>6</v>
      </c>
      <c r="F291" s="1">
        <v>41051</v>
      </c>
      <c r="G291" s="1">
        <v>48</v>
      </c>
      <c r="H291" s="1">
        <v>29</v>
      </c>
      <c r="I291" t="s">
        <v>36</v>
      </c>
      <c r="J291" t="s">
        <v>149</v>
      </c>
      <c r="K291" s="1">
        <v>48029</v>
      </c>
      <c r="L291" s="1">
        <v>181</v>
      </c>
      <c r="M291" s="1">
        <v>55</v>
      </c>
      <c r="N291" s="1">
        <v>6680000</v>
      </c>
      <c r="O291" s="1">
        <v>48029</v>
      </c>
      <c r="P291" s="1">
        <v>1</v>
      </c>
      <c r="Q291" s="1">
        <v>0</v>
      </c>
    </row>
    <row r="292">
      <c r="A292" s="1">
        <v>2018</v>
      </c>
      <c r="B292" s="1">
        <v>41</v>
      </c>
      <c r="C292" s="1">
        <v>51</v>
      </c>
      <c r="D292" t="s">
        <v>3</v>
      </c>
      <c r="E292" t="s">
        <v>6</v>
      </c>
      <c r="F292" s="1">
        <v>41051</v>
      </c>
      <c r="G292" s="1">
        <v>48</v>
      </c>
      <c r="H292" s="1">
        <v>85</v>
      </c>
      <c r="I292" t="s">
        <v>36</v>
      </c>
      <c r="J292" t="s">
        <v>216</v>
      </c>
      <c r="K292" s="1">
        <v>48085</v>
      </c>
      <c r="L292" s="1">
        <v>140</v>
      </c>
      <c r="M292" s="1"/>
      <c r="N292" s="1">
        <v>1400000</v>
      </c>
      <c r="O292" s="1">
        <v>48085</v>
      </c>
      <c r="P292" s="1">
        <v>1</v>
      </c>
      <c r="Q292" s="1">
        <v>0</v>
      </c>
    </row>
    <row r="293">
      <c r="A293" s="1">
        <v>2018</v>
      </c>
      <c r="B293" s="1">
        <v>41</v>
      </c>
      <c r="C293" s="1">
        <v>51</v>
      </c>
      <c r="D293" t="s">
        <v>3</v>
      </c>
      <c r="E293" t="s">
        <v>6</v>
      </c>
      <c r="F293" s="1">
        <v>41051</v>
      </c>
      <c r="G293" s="1">
        <v>48</v>
      </c>
      <c r="H293" s="1">
        <v>453</v>
      </c>
      <c r="I293" t="s">
        <v>36</v>
      </c>
      <c r="J293" t="s">
        <v>153</v>
      </c>
      <c r="K293" s="1">
        <v>48453</v>
      </c>
      <c r="L293" s="1">
        <v>277</v>
      </c>
      <c r="M293" s="1">
        <v>104</v>
      </c>
      <c r="N293" s="1">
        <v>13506500</v>
      </c>
      <c r="O293" s="1">
        <v>48453</v>
      </c>
      <c r="P293" s="1">
        <v>1</v>
      </c>
      <c r="Q293" s="1">
        <v>0</v>
      </c>
    </row>
    <row r="294">
      <c r="A294" s="1">
        <v>2018</v>
      </c>
      <c r="B294" s="1">
        <v>41</v>
      </c>
      <c r="C294" s="1">
        <v>51</v>
      </c>
      <c r="D294" t="s">
        <v>3</v>
      </c>
      <c r="E294" t="s">
        <v>6</v>
      </c>
      <c r="F294" s="1">
        <v>41051</v>
      </c>
      <c r="G294" s="1">
        <v>49</v>
      </c>
      <c r="H294" s="1">
        <v>0</v>
      </c>
      <c r="I294" t="s">
        <v>411</v>
      </c>
      <c r="J294" t="s">
        <v>276</v>
      </c>
      <c r="K294" s="1">
        <v>49000</v>
      </c>
      <c r="L294" s="1">
        <v>76</v>
      </c>
      <c r="M294" s="1">
        <v>45</v>
      </c>
      <c r="N294" s="1">
        <v>2706000</v>
      </c>
      <c r="O294" s="1"/>
      <c r="P294" s="1">
        <v>1</v>
      </c>
      <c r="Q294" s="1">
        <v>0</v>
      </c>
    </row>
    <row r="295">
      <c r="A295" s="1">
        <v>2018</v>
      </c>
      <c r="B295" s="1">
        <v>41</v>
      </c>
      <c r="C295" s="1">
        <v>51</v>
      </c>
      <c r="D295" t="s">
        <v>3</v>
      </c>
      <c r="E295" t="s">
        <v>6</v>
      </c>
      <c r="F295" s="1">
        <v>41051</v>
      </c>
      <c r="G295" s="1">
        <v>49</v>
      </c>
      <c r="H295" s="1">
        <v>35</v>
      </c>
      <c r="I295" t="s">
        <v>37</v>
      </c>
      <c r="J295" t="s">
        <v>154</v>
      </c>
      <c r="K295" s="1">
        <v>49035</v>
      </c>
      <c r="L295" s="1">
        <v>361</v>
      </c>
      <c r="M295" s="1">
        <v>293</v>
      </c>
      <c r="N295" s="1">
        <v>15559500</v>
      </c>
      <c r="O295" s="1">
        <v>49035</v>
      </c>
      <c r="P295" s="1">
        <v>1</v>
      </c>
      <c r="Q295" s="1">
        <v>0</v>
      </c>
    </row>
    <row r="296">
      <c r="A296" s="1">
        <v>2018</v>
      </c>
      <c r="B296" s="1">
        <v>41</v>
      </c>
      <c r="C296" s="1">
        <v>51</v>
      </c>
      <c r="D296" t="s">
        <v>3</v>
      </c>
      <c r="E296" t="s">
        <v>6</v>
      </c>
      <c r="F296" s="1">
        <v>41051</v>
      </c>
      <c r="G296" s="1">
        <v>50</v>
      </c>
      <c r="H296" s="1">
        <v>0</v>
      </c>
      <c r="I296" t="s">
        <v>411</v>
      </c>
      <c r="J296" t="s">
        <v>276</v>
      </c>
      <c r="K296" s="1">
        <v>50000</v>
      </c>
      <c r="L296" s="1">
        <v>227</v>
      </c>
      <c r="M296" s="1">
        <v>167</v>
      </c>
      <c r="N296" s="1">
        <v>22700000</v>
      </c>
      <c r="O296" s="1"/>
      <c r="P296" s="1">
        <v>1</v>
      </c>
      <c r="Q296" s="1">
        <v>0</v>
      </c>
    </row>
    <row r="297">
      <c r="A297" s="1">
        <v>2018</v>
      </c>
      <c r="B297" s="1">
        <v>41</v>
      </c>
      <c r="C297" s="1">
        <v>51</v>
      </c>
      <c r="D297" t="s">
        <v>3</v>
      </c>
      <c r="E297" t="s">
        <v>6</v>
      </c>
      <c r="F297" s="1">
        <v>41051</v>
      </c>
      <c r="G297" s="1">
        <v>51</v>
      </c>
      <c r="H297" s="1">
        <v>0</v>
      </c>
      <c r="I297" t="s">
        <v>411</v>
      </c>
      <c r="J297" t="s">
        <v>276</v>
      </c>
      <c r="K297" s="1">
        <v>51000</v>
      </c>
      <c r="L297" s="1">
        <v>102</v>
      </c>
      <c r="M297" s="1"/>
      <c r="N297" s="1">
        <v>1326000</v>
      </c>
      <c r="O297" s="1"/>
      <c r="P297" s="1">
        <v>1</v>
      </c>
      <c r="Q297" s="1">
        <v>0</v>
      </c>
    </row>
    <row r="298">
      <c r="A298" s="1">
        <v>2018</v>
      </c>
      <c r="B298" s="1">
        <v>41</v>
      </c>
      <c r="C298" s="1">
        <v>51</v>
      </c>
      <c r="D298" t="s">
        <v>3</v>
      </c>
      <c r="E298" t="s">
        <v>6</v>
      </c>
      <c r="F298" s="1">
        <v>41051</v>
      </c>
      <c r="G298" s="1">
        <v>51</v>
      </c>
      <c r="H298" s="1">
        <v>13</v>
      </c>
      <c r="I298" t="s">
        <v>39</v>
      </c>
      <c r="J298" t="s">
        <v>221</v>
      </c>
      <c r="K298" s="1">
        <v>51013</v>
      </c>
      <c r="L298" s="1">
        <v>131</v>
      </c>
      <c r="M298" s="1"/>
      <c r="N298" s="1">
        <v>20960000</v>
      </c>
      <c r="O298" s="1">
        <v>51013</v>
      </c>
      <c r="P298" s="1">
        <v>1</v>
      </c>
      <c r="Q298" s="1">
        <v>0</v>
      </c>
    </row>
    <row r="299">
      <c r="A299" s="1">
        <v>2018</v>
      </c>
      <c r="B299" s="1">
        <v>41</v>
      </c>
      <c r="C299" s="1">
        <v>51</v>
      </c>
      <c r="D299" t="s">
        <v>3</v>
      </c>
      <c r="E299" t="s">
        <v>6</v>
      </c>
      <c r="F299" s="1">
        <v>41051</v>
      </c>
      <c r="G299" s="1">
        <v>53</v>
      </c>
      <c r="H299" s="1">
        <v>0</v>
      </c>
      <c r="I299" t="s">
        <v>411</v>
      </c>
      <c r="J299" t="s">
        <v>276</v>
      </c>
      <c r="K299" s="1">
        <v>53000</v>
      </c>
      <c r="L299" s="1">
        <v>1754</v>
      </c>
      <c r="M299" s="1">
        <v>755</v>
      </c>
      <c r="N299" s="1">
        <v>65378800</v>
      </c>
      <c r="O299" s="1"/>
      <c r="P299" s="1">
        <v>1</v>
      </c>
      <c r="Q299" s="1">
        <v>0</v>
      </c>
    </row>
    <row r="300">
      <c r="A300" s="1">
        <v>2018</v>
      </c>
      <c r="B300" s="1">
        <v>41</v>
      </c>
      <c r="C300" s="1">
        <v>51</v>
      </c>
      <c r="D300" t="s">
        <v>3</v>
      </c>
      <c r="E300" t="s">
        <v>6</v>
      </c>
      <c r="F300" s="1">
        <v>41051</v>
      </c>
      <c r="G300" s="1">
        <v>53</v>
      </c>
      <c r="H300" s="1">
        <v>11</v>
      </c>
      <c r="I300" t="s">
        <v>40</v>
      </c>
      <c r="J300" t="s">
        <v>112</v>
      </c>
      <c r="K300" s="1">
        <v>53011</v>
      </c>
      <c r="L300" s="1">
        <v>3172</v>
      </c>
      <c r="M300" s="1">
        <v>1448</v>
      </c>
      <c r="N300" s="1">
        <v>117445780</v>
      </c>
      <c r="O300" s="1">
        <v>53011</v>
      </c>
      <c r="P300" s="1">
        <v>1</v>
      </c>
      <c r="Q300" s="1">
        <v>0</v>
      </c>
    </row>
    <row r="301">
      <c r="A301" s="1">
        <v>2018</v>
      </c>
      <c r="B301" s="1">
        <v>41</v>
      </c>
      <c r="C301" s="1">
        <v>51</v>
      </c>
      <c r="D301" t="s">
        <v>3</v>
      </c>
      <c r="E301" t="s">
        <v>6</v>
      </c>
      <c r="F301" s="1">
        <v>41051</v>
      </c>
      <c r="G301" s="1">
        <v>53</v>
      </c>
      <c r="H301" s="1">
        <v>33</v>
      </c>
      <c r="I301" t="s">
        <v>40</v>
      </c>
      <c r="J301" t="s">
        <v>160</v>
      </c>
      <c r="K301" s="1">
        <v>53033</v>
      </c>
      <c r="L301" s="1">
        <v>1617</v>
      </c>
      <c r="M301" s="1">
        <v>1242</v>
      </c>
      <c r="N301" s="1">
        <v>86726470</v>
      </c>
      <c r="O301" s="1">
        <v>53033</v>
      </c>
      <c r="P301" s="1">
        <v>1</v>
      </c>
      <c r="Q301" s="1">
        <v>0</v>
      </c>
    </row>
    <row r="302">
      <c r="A302" s="1">
        <v>2018</v>
      </c>
      <c r="B302" s="1">
        <v>41</v>
      </c>
      <c r="C302" s="1">
        <v>51</v>
      </c>
      <c r="D302" t="s">
        <v>3</v>
      </c>
      <c r="E302" t="s">
        <v>6</v>
      </c>
      <c r="F302" s="1">
        <v>41051</v>
      </c>
      <c r="G302" s="1">
        <v>53</v>
      </c>
      <c r="H302" s="1">
        <v>35</v>
      </c>
      <c r="I302" t="s">
        <v>40</v>
      </c>
      <c r="J302" t="s">
        <v>161</v>
      </c>
      <c r="K302" s="1">
        <v>53035</v>
      </c>
      <c r="L302" s="1">
        <v>260</v>
      </c>
      <c r="M302" s="1">
        <v>65</v>
      </c>
      <c r="N302" s="1">
        <v>15730600</v>
      </c>
      <c r="O302" s="1">
        <v>53035</v>
      </c>
      <c r="P302" s="1">
        <v>1</v>
      </c>
      <c r="Q302" s="1">
        <v>0</v>
      </c>
    </row>
    <row r="303">
      <c r="A303" s="1">
        <v>2018</v>
      </c>
      <c r="B303" s="1">
        <v>41</v>
      </c>
      <c r="C303" s="1">
        <v>51</v>
      </c>
      <c r="D303" t="s">
        <v>3</v>
      </c>
      <c r="E303" t="s">
        <v>6</v>
      </c>
      <c r="F303" s="1">
        <v>41051</v>
      </c>
      <c r="G303" s="1">
        <v>53</v>
      </c>
      <c r="H303" s="1">
        <v>53</v>
      </c>
      <c r="I303" t="s">
        <v>40</v>
      </c>
      <c r="J303" t="s">
        <v>165</v>
      </c>
      <c r="K303" s="1">
        <v>53053</v>
      </c>
      <c r="L303" s="1">
        <v>418</v>
      </c>
      <c r="M303" s="1">
        <v>137</v>
      </c>
      <c r="N303" s="1">
        <v>38168000</v>
      </c>
      <c r="O303" s="1">
        <v>53053</v>
      </c>
      <c r="P303" s="1">
        <v>1</v>
      </c>
      <c r="Q303" s="1">
        <v>0</v>
      </c>
    </row>
    <row r="304">
      <c r="A304" s="1">
        <v>2018</v>
      </c>
      <c r="B304" s="1">
        <v>41</v>
      </c>
      <c r="C304" s="1">
        <v>51</v>
      </c>
      <c r="D304" t="s">
        <v>3</v>
      </c>
      <c r="E304" t="s">
        <v>6</v>
      </c>
      <c r="F304" s="1">
        <v>41051</v>
      </c>
      <c r="G304" s="1">
        <v>53</v>
      </c>
      <c r="H304" s="1">
        <v>61</v>
      </c>
      <c r="I304" t="s">
        <v>40</v>
      </c>
      <c r="J304" t="s">
        <v>167</v>
      </c>
      <c r="K304" s="1">
        <v>53061</v>
      </c>
      <c r="L304" s="1">
        <v>188</v>
      </c>
      <c r="M304" s="1">
        <v>95</v>
      </c>
      <c r="N304" s="1">
        <v>904280</v>
      </c>
      <c r="O304" s="1">
        <v>53061</v>
      </c>
      <c r="P304" s="1">
        <v>1</v>
      </c>
      <c r="Q304" s="1">
        <v>0</v>
      </c>
    </row>
    <row r="305">
      <c r="A305" s="1">
        <v>2018</v>
      </c>
      <c r="B305" s="1">
        <v>41</v>
      </c>
      <c r="C305" s="1">
        <v>51</v>
      </c>
      <c r="D305" t="s">
        <v>3</v>
      </c>
      <c r="E305" t="s">
        <v>6</v>
      </c>
      <c r="F305" s="1">
        <v>41051</v>
      </c>
      <c r="G305" s="1">
        <v>53</v>
      </c>
      <c r="H305" s="1">
        <v>63</v>
      </c>
      <c r="I305" t="s">
        <v>40</v>
      </c>
      <c r="J305" t="s">
        <v>168</v>
      </c>
      <c r="K305" s="1">
        <v>53063</v>
      </c>
      <c r="L305" s="1">
        <v>115</v>
      </c>
      <c r="M305" s="1">
        <v>115</v>
      </c>
      <c r="N305" s="1">
        <v>4600000</v>
      </c>
      <c r="O305" s="1">
        <v>53063</v>
      </c>
      <c r="P305" s="1">
        <v>1</v>
      </c>
      <c r="Q305" s="1">
        <v>0</v>
      </c>
    </row>
    <row r="306">
      <c r="A306" s="1">
        <v>2018</v>
      </c>
      <c r="B306" s="1">
        <v>41</v>
      </c>
      <c r="C306" s="1">
        <v>51</v>
      </c>
      <c r="D306" t="s">
        <v>3</v>
      </c>
      <c r="E306" t="s">
        <v>6</v>
      </c>
      <c r="F306" s="1">
        <v>41051</v>
      </c>
      <c r="G306" s="1">
        <v>53</v>
      </c>
      <c r="H306" s="1">
        <v>67</v>
      </c>
      <c r="I306" t="s">
        <v>40</v>
      </c>
      <c r="J306" t="s">
        <v>169</v>
      </c>
      <c r="K306" s="1">
        <v>53067</v>
      </c>
      <c r="L306" s="1">
        <v>129</v>
      </c>
      <c r="M306" s="1">
        <v>21</v>
      </c>
      <c r="N306" s="1">
        <v>4296000</v>
      </c>
      <c r="O306" s="1">
        <v>53067</v>
      </c>
      <c r="P306" s="1">
        <v>1</v>
      </c>
      <c r="Q306" s="1">
        <v>0</v>
      </c>
    </row>
    <row r="307">
      <c r="A307" s="1">
        <v>2018</v>
      </c>
      <c r="B307" s="1">
        <v>41</v>
      </c>
      <c r="C307" s="1">
        <v>51</v>
      </c>
      <c r="D307" t="s">
        <v>3</v>
      </c>
      <c r="E307" t="s">
        <v>6</v>
      </c>
      <c r="F307" s="1">
        <v>41051</v>
      </c>
      <c r="G307" s="1">
        <v>55</v>
      </c>
      <c r="H307" s="1">
        <v>0</v>
      </c>
      <c r="I307" t="s">
        <v>411</v>
      </c>
      <c r="J307" t="s">
        <v>276</v>
      </c>
      <c r="K307" s="1">
        <v>55000</v>
      </c>
      <c r="L307" s="1">
        <v>80</v>
      </c>
      <c r="M307" s="1"/>
      <c r="N307" s="1">
        <v>480000</v>
      </c>
      <c r="O307" s="1"/>
      <c r="P307" s="1">
        <v>1</v>
      </c>
      <c r="Q307" s="1">
        <v>0</v>
      </c>
    </row>
    <row r="308">
      <c r="A308" s="1">
        <v>2018</v>
      </c>
      <c r="B308" s="1">
        <v>41</v>
      </c>
      <c r="C308" s="1">
        <v>51</v>
      </c>
      <c r="D308" t="s">
        <v>3</v>
      </c>
      <c r="E308" t="s">
        <v>6</v>
      </c>
      <c r="F308" s="1">
        <v>41051</v>
      </c>
      <c r="G308" s="1">
        <v>55</v>
      </c>
      <c r="H308" s="1">
        <v>79</v>
      </c>
      <c r="I308" t="s">
        <v>41</v>
      </c>
      <c r="J308" t="s">
        <v>174</v>
      </c>
      <c r="K308" s="1">
        <v>55079</v>
      </c>
      <c r="L308" s="1">
        <v>198</v>
      </c>
      <c r="M308" s="1">
        <v>93</v>
      </c>
      <c r="N308" s="1">
        <v>19455000</v>
      </c>
      <c r="O308" s="1">
        <v>55079</v>
      </c>
      <c r="P308" s="1">
        <v>1</v>
      </c>
      <c r="Q308" s="1">
        <v>0</v>
      </c>
    </row>
    <row r="309">
      <c r="A309" s="1">
        <v>2019</v>
      </c>
      <c r="B309" s="1">
        <v>41</v>
      </c>
      <c r="C309" s="1">
        <v>51</v>
      </c>
      <c r="D309" t="s">
        <v>3</v>
      </c>
      <c r="E309" t="s">
        <v>6</v>
      </c>
      <c r="F309" s="1">
        <v>41051</v>
      </c>
      <c r="G309" s="1">
        <v>4</v>
      </c>
      <c r="H309" s="1">
        <v>0</v>
      </c>
      <c r="I309" t="s">
        <v>411</v>
      </c>
      <c r="J309" t="s">
        <v>276</v>
      </c>
      <c r="K309" s="1">
        <v>4000</v>
      </c>
      <c r="L309" s="1">
        <v>271</v>
      </c>
      <c r="M309" s="1"/>
      <c r="N309" s="1">
        <v>1505900</v>
      </c>
      <c r="O309" s="1"/>
      <c r="P309" s="1">
        <v>1</v>
      </c>
      <c r="Q309" s="1">
        <v>0</v>
      </c>
    </row>
    <row r="310">
      <c r="A310" s="1">
        <v>2019</v>
      </c>
      <c r="B310" s="1">
        <v>41</v>
      </c>
      <c r="C310" s="1">
        <v>51</v>
      </c>
      <c r="D310" t="s">
        <v>3</v>
      </c>
      <c r="E310" t="s">
        <v>6</v>
      </c>
      <c r="F310" s="1">
        <v>41051</v>
      </c>
      <c r="G310" s="1">
        <v>4</v>
      </c>
      <c r="H310" s="1">
        <v>13</v>
      </c>
      <c r="I310" t="s">
        <v>10</v>
      </c>
      <c r="J310" t="s">
        <v>53</v>
      </c>
      <c r="K310" s="1">
        <v>4013</v>
      </c>
      <c r="L310" s="1">
        <v>970</v>
      </c>
      <c r="M310" s="1">
        <v>396</v>
      </c>
      <c r="N310" s="1">
        <v>73496000</v>
      </c>
      <c r="O310" s="1">
        <v>4013</v>
      </c>
      <c r="P310" s="1">
        <v>1</v>
      </c>
      <c r="Q310" s="1">
        <v>0</v>
      </c>
    </row>
    <row r="311">
      <c r="A311" s="1">
        <v>2019</v>
      </c>
      <c r="B311" s="1">
        <v>41</v>
      </c>
      <c r="C311" s="1">
        <v>51</v>
      </c>
      <c r="D311" t="s">
        <v>3</v>
      </c>
      <c r="E311" t="s">
        <v>6</v>
      </c>
      <c r="F311" s="1">
        <v>41051</v>
      </c>
      <c r="G311" s="1">
        <v>4</v>
      </c>
      <c r="H311" s="1">
        <v>19</v>
      </c>
      <c r="I311" t="s">
        <v>10</v>
      </c>
      <c r="J311" t="s">
        <v>54</v>
      </c>
      <c r="K311" s="1">
        <v>4019</v>
      </c>
      <c r="L311" s="1">
        <v>497</v>
      </c>
      <c r="M311" s="1">
        <v>322</v>
      </c>
      <c r="N311" s="1">
        <v>22579080</v>
      </c>
      <c r="O311" s="1">
        <v>4019</v>
      </c>
      <c r="P311" s="1">
        <v>1</v>
      </c>
      <c r="Q311" s="1">
        <v>0</v>
      </c>
    </row>
    <row r="312">
      <c r="A312" s="1">
        <v>2019</v>
      </c>
      <c r="B312" s="1">
        <v>41</v>
      </c>
      <c r="C312" s="1">
        <v>51</v>
      </c>
      <c r="D312" t="s">
        <v>3</v>
      </c>
      <c r="E312" t="s">
        <v>6</v>
      </c>
      <c r="F312" s="1">
        <v>41051</v>
      </c>
      <c r="G312" s="1">
        <v>6</v>
      </c>
      <c r="H312" s="1">
        <v>0</v>
      </c>
      <c r="I312" t="s">
        <v>411</v>
      </c>
      <c r="J312" t="s">
        <v>276</v>
      </c>
      <c r="K312" s="1">
        <v>6000</v>
      </c>
      <c r="L312" s="1">
        <v>47</v>
      </c>
      <c r="M312" s="1"/>
      <c r="N312" s="1">
        <v>1410000</v>
      </c>
      <c r="O312" s="1"/>
      <c r="P312" s="1">
        <v>1</v>
      </c>
      <c r="Q312" s="1">
        <v>0</v>
      </c>
    </row>
    <row r="313">
      <c r="A313" s="1">
        <v>2019</v>
      </c>
      <c r="B313" s="1">
        <v>41</v>
      </c>
      <c r="C313" s="1">
        <v>51</v>
      </c>
      <c r="D313" t="s">
        <v>3</v>
      </c>
      <c r="E313" t="s">
        <v>6</v>
      </c>
      <c r="F313" s="1">
        <v>41051</v>
      </c>
      <c r="G313" s="1">
        <v>6</v>
      </c>
      <c r="H313" s="1">
        <v>1</v>
      </c>
      <c r="I313" t="s">
        <v>11</v>
      </c>
      <c r="J313" t="s">
        <v>56</v>
      </c>
      <c r="K313" s="1">
        <v>6001</v>
      </c>
      <c r="L313" s="1">
        <v>163</v>
      </c>
      <c r="M313" s="1">
        <v>107</v>
      </c>
      <c r="N313" s="1">
        <v>16015000</v>
      </c>
      <c r="O313" s="1">
        <v>6001</v>
      </c>
      <c r="P313" s="1">
        <v>1</v>
      </c>
      <c r="Q313" s="1">
        <v>0</v>
      </c>
    </row>
    <row r="314">
      <c r="A314" s="1">
        <v>2019</v>
      </c>
      <c r="B314" s="1">
        <v>41</v>
      </c>
      <c r="C314" s="1">
        <v>51</v>
      </c>
      <c r="D314" t="s">
        <v>3</v>
      </c>
      <c r="E314" t="s">
        <v>6</v>
      </c>
      <c r="F314" s="1">
        <v>41051</v>
      </c>
      <c r="G314" s="1">
        <v>6</v>
      </c>
      <c r="H314" s="1">
        <v>17</v>
      </c>
      <c r="I314" t="s">
        <v>11</v>
      </c>
      <c r="J314" t="s">
        <v>229</v>
      </c>
      <c r="K314" s="1">
        <v>6017</v>
      </c>
      <c r="L314" s="1">
        <v>84</v>
      </c>
      <c r="M314" s="1">
        <v>83</v>
      </c>
      <c r="N314" s="1">
        <v>12600000</v>
      </c>
      <c r="O314" s="1">
        <v>6017</v>
      </c>
      <c r="P314" s="1">
        <v>1</v>
      </c>
      <c r="Q314" s="1">
        <v>0</v>
      </c>
    </row>
    <row r="315">
      <c r="A315" s="1">
        <v>2019</v>
      </c>
      <c r="B315" s="1">
        <v>41</v>
      </c>
      <c r="C315" s="1">
        <v>51</v>
      </c>
      <c r="D315" t="s">
        <v>3</v>
      </c>
      <c r="E315" t="s">
        <v>6</v>
      </c>
      <c r="F315" s="1">
        <v>41051</v>
      </c>
      <c r="G315" s="1">
        <v>6</v>
      </c>
      <c r="H315" s="1">
        <v>37</v>
      </c>
      <c r="I315" t="s">
        <v>11</v>
      </c>
      <c r="J315" t="s">
        <v>61</v>
      </c>
      <c r="K315" s="1">
        <v>6037</v>
      </c>
      <c r="L315" s="1">
        <v>484</v>
      </c>
      <c r="M315" s="1">
        <v>358</v>
      </c>
      <c r="N315" s="1">
        <v>16596720</v>
      </c>
      <c r="O315" s="1">
        <v>6037</v>
      </c>
      <c r="P315" s="1">
        <v>1</v>
      </c>
      <c r="Q315" s="1">
        <v>0</v>
      </c>
    </row>
    <row r="316">
      <c r="A316" s="1">
        <v>2019</v>
      </c>
      <c r="B316" s="1">
        <v>41</v>
      </c>
      <c r="C316" s="1">
        <v>51</v>
      </c>
      <c r="D316" t="s">
        <v>3</v>
      </c>
      <c r="E316" t="s">
        <v>6</v>
      </c>
      <c r="F316" s="1">
        <v>41051</v>
      </c>
      <c r="G316" s="1">
        <v>6</v>
      </c>
      <c r="H316" s="1">
        <v>41</v>
      </c>
      <c r="I316" t="s">
        <v>11</v>
      </c>
      <c r="J316" t="s">
        <v>62</v>
      </c>
      <c r="K316" s="1">
        <v>6041</v>
      </c>
      <c r="L316" s="1">
        <v>159</v>
      </c>
      <c r="M316" s="1">
        <v>57</v>
      </c>
      <c r="N316" s="1">
        <v>7864900</v>
      </c>
      <c r="O316" s="1">
        <v>6041</v>
      </c>
      <c r="P316" s="1">
        <v>1</v>
      </c>
      <c r="Q316" s="1">
        <v>0</v>
      </c>
    </row>
    <row r="317">
      <c r="A317" s="1">
        <v>2019</v>
      </c>
      <c r="B317" s="1">
        <v>41</v>
      </c>
      <c r="C317" s="1">
        <v>51</v>
      </c>
      <c r="D317" t="s">
        <v>3</v>
      </c>
      <c r="E317" t="s">
        <v>6</v>
      </c>
      <c r="F317" s="1">
        <v>41051</v>
      </c>
      <c r="G317" s="1">
        <v>6</v>
      </c>
      <c r="H317" s="1">
        <v>67</v>
      </c>
      <c r="I317" t="s">
        <v>11</v>
      </c>
      <c r="J317" t="s">
        <v>67</v>
      </c>
      <c r="K317" s="1">
        <v>6067</v>
      </c>
      <c r="L317" s="1">
        <v>121</v>
      </c>
      <c r="M317" s="1">
        <v>58</v>
      </c>
      <c r="N317" s="1">
        <v>3303000</v>
      </c>
      <c r="O317" s="1">
        <v>6067</v>
      </c>
      <c r="P317" s="1">
        <v>1</v>
      </c>
      <c r="Q317" s="1">
        <v>0</v>
      </c>
    </row>
    <row r="318">
      <c r="A318" s="1">
        <v>2019</v>
      </c>
      <c r="B318" s="1">
        <v>41</v>
      </c>
      <c r="C318" s="1">
        <v>51</v>
      </c>
      <c r="D318" t="s">
        <v>3</v>
      </c>
      <c r="E318" t="s">
        <v>6</v>
      </c>
      <c r="F318" s="1">
        <v>41051</v>
      </c>
      <c r="G318" s="1">
        <v>6</v>
      </c>
      <c r="H318" s="1">
        <v>73</v>
      </c>
      <c r="I318" t="s">
        <v>11</v>
      </c>
      <c r="J318" t="s">
        <v>69</v>
      </c>
      <c r="K318" s="1">
        <v>6073</v>
      </c>
      <c r="L318" s="1">
        <v>271</v>
      </c>
      <c r="M318" s="1">
        <v>143</v>
      </c>
      <c r="N318" s="1">
        <v>12756200</v>
      </c>
      <c r="O318" s="1">
        <v>6073</v>
      </c>
      <c r="P318" s="1">
        <v>1</v>
      </c>
      <c r="Q318" s="1">
        <v>0</v>
      </c>
    </row>
    <row r="319">
      <c r="A319" s="1">
        <v>2019</v>
      </c>
      <c r="B319" s="1">
        <v>41</v>
      </c>
      <c r="C319" s="1">
        <v>51</v>
      </c>
      <c r="D319" t="s">
        <v>3</v>
      </c>
      <c r="E319" t="s">
        <v>6</v>
      </c>
      <c r="F319" s="1">
        <v>41051</v>
      </c>
      <c r="G319" s="1">
        <v>6</v>
      </c>
      <c r="H319" s="1">
        <v>75</v>
      </c>
      <c r="I319" t="s">
        <v>11</v>
      </c>
      <c r="J319" t="s">
        <v>70</v>
      </c>
      <c r="K319" s="1">
        <v>6075</v>
      </c>
      <c r="L319" s="1">
        <v>409</v>
      </c>
      <c r="M319" s="1">
        <v>65</v>
      </c>
      <c r="N319" s="1">
        <v>17341000</v>
      </c>
      <c r="O319" s="1">
        <v>6075</v>
      </c>
      <c r="P319" s="1">
        <v>1</v>
      </c>
      <c r="Q319" s="1">
        <v>0</v>
      </c>
    </row>
    <row r="320">
      <c r="A320" s="1">
        <v>2019</v>
      </c>
      <c r="B320" s="1">
        <v>41</v>
      </c>
      <c r="C320" s="1">
        <v>51</v>
      </c>
      <c r="D320" t="s">
        <v>3</v>
      </c>
      <c r="E320" t="s">
        <v>6</v>
      </c>
      <c r="F320" s="1">
        <v>41051</v>
      </c>
      <c r="G320" s="1">
        <v>6</v>
      </c>
      <c r="H320" s="1">
        <v>77</v>
      </c>
      <c r="I320" t="s">
        <v>11</v>
      </c>
      <c r="J320" t="s">
        <v>179</v>
      </c>
      <c r="K320" s="1">
        <v>6077</v>
      </c>
      <c r="L320" s="1">
        <v>53</v>
      </c>
      <c r="M320" s="1"/>
      <c r="N320" s="1">
        <v>1908000</v>
      </c>
      <c r="O320" s="1">
        <v>6077</v>
      </c>
      <c r="P320" s="1">
        <v>1</v>
      </c>
      <c r="Q320" s="1">
        <v>0</v>
      </c>
    </row>
    <row r="321">
      <c r="A321" s="1">
        <v>2019</v>
      </c>
      <c r="B321" s="1">
        <v>41</v>
      </c>
      <c r="C321" s="1">
        <v>51</v>
      </c>
      <c r="D321" t="s">
        <v>3</v>
      </c>
      <c r="E321" t="s">
        <v>6</v>
      </c>
      <c r="F321" s="1">
        <v>41051</v>
      </c>
      <c r="G321" s="1">
        <v>6</v>
      </c>
      <c r="H321" s="1">
        <v>81</v>
      </c>
      <c r="I321" t="s">
        <v>11</v>
      </c>
      <c r="J321" t="s">
        <v>72</v>
      </c>
      <c r="K321" s="1">
        <v>6081</v>
      </c>
      <c r="L321" s="1">
        <v>218</v>
      </c>
      <c r="M321" s="1">
        <v>219</v>
      </c>
      <c r="N321" s="1">
        <v>14995800</v>
      </c>
      <c r="O321" s="1">
        <v>6081</v>
      </c>
      <c r="P321" s="1">
        <v>1</v>
      </c>
      <c r="Q321" s="1">
        <v>0</v>
      </c>
    </row>
    <row r="322">
      <c r="A322" s="1">
        <v>2019</v>
      </c>
      <c r="B322" s="1">
        <v>41</v>
      </c>
      <c r="C322" s="1">
        <v>51</v>
      </c>
      <c r="D322" t="s">
        <v>3</v>
      </c>
      <c r="E322" t="s">
        <v>6</v>
      </c>
      <c r="F322" s="1">
        <v>41051</v>
      </c>
      <c r="G322" s="1">
        <v>6</v>
      </c>
      <c r="H322" s="1">
        <v>83</v>
      </c>
      <c r="I322" t="s">
        <v>11</v>
      </c>
      <c r="J322" t="s">
        <v>73</v>
      </c>
      <c r="K322" s="1">
        <v>6083</v>
      </c>
      <c r="L322" s="1">
        <v>93</v>
      </c>
      <c r="M322" s="1"/>
      <c r="N322" s="1">
        <v>0</v>
      </c>
      <c r="O322" s="1">
        <v>6083</v>
      </c>
      <c r="P322" s="1">
        <v>1</v>
      </c>
      <c r="Q322" s="1">
        <v>0</v>
      </c>
    </row>
    <row r="323">
      <c r="A323" s="1">
        <v>2019</v>
      </c>
      <c r="B323" s="1">
        <v>41</v>
      </c>
      <c r="C323" s="1">
        <v>51</v>
      </c>
      <c r="D323" t="s">
        <v>3</v>
      </c>
      <c r="E323" t="s">
        <v>6</v>
      </c>
      <c r="F323" s="1">
        <v>41051</v>
      </c>
      <c r="G323" s="1">
        <v>6</v>
      </c>
      <c r="H323" s="1">
        <v>85</v>
      </c>
      <c r="I323" t="s">
        <v>11</v>
      </c>
      <c r="J323" t="s">
        <v>74</v>
      </c>
      <c r="K323" s="1">
        <v>6085</v>
      </c>
      <c r="L323" s="1">
        <v>260</v>
      </c>
      <c r="M323" s="1">
        <v>112</v>
      </c>
      <c r="N323" s="1">
        <v>2483600</v>
      </c>
      <c r="O323" s="1">
        <v>6085</v>
      </c>
      <c r="P323" s="1">
        <v>1</v>
      </c>
      <c r="Q323" s="1">
        <v>0</v>
      </c>
    </row>
    <row r="324">
      <c r="A324" s="1">
        <v>2019</v>
      </c>
      <c r="B324" s="1">
        <v>41</v>
      </c>
      <c r="C324" s="1">
        <v>51</v>
      </c>
      <c r="D324" t="s">
        <v>3</v>
      </c>
      <c r="E324" t="s">
        <v>6</v>
      </c>
      <c r="F324" s="1">
        <v>41051</v>
      </c>
      <c r="G324" s="1">
        <v>6</v>
      </c>
      <c r="H324" s="1">
        <v>97</v>
      </c>
      <c r="I324" t="s">
        <v>11</v>
      </c>
      <c r="J324" t="s">
        <v>77</v>
      </c>
      <c r="K324" s="1">
        <v>6097</v>
      </c>
      <c r="L324" s="1">
        <v>55</v>
      </c>
      <c r="M324" s="1"/>
      <c r="N324" s="1">
        <v>836000</v>
      </c>
      <c r="O324" s="1">
        <v>6097</v>
      </c>
      <c r="P324" s="1">
        <v>1</v>
      </c>
      <c r="Q324" s="1">
        <v>0</v>
      </c>
    </row>
    <row r="325">
      <c r="A325" s="1">
        <v>2019</v>
      </c>
      <c r="B325" s="1">
        <v>41</v>
      </c>
      <c r="C325" s="1">
        <v>51</v>
      </c>
      <c r="D325" t="s">
        <v>3</v>
      </c>
      <c r="E325" t="s">
        <v>6</v>
      </c>
      <c r="F325" s="1">
        <v>41051</v>
      </c>
      <c r="G325" s="1">
        <v>8</v>
      </c>
      <c r="H325" s="1">
        <v>0</v>
      </c>
      <c r="I325" t="s">
        <v>411</v>
      </c>
      <c r="J325" t="s">
        <v>276</v>
      </c>
      <c r="K325" s="1">
        <v>8000</v>
      </c>
      <c r="L325" s="1">
        <v>359</v>
      </c>
      <c r="M325" s="1"/>
      <c r="N325" s="1">
        <v>12402000</v>
      </c>
      <c r="O325" s="1"/>
      <c r="P325" s="1">
        <v>1</v>
      </c>
      <c r="Q325" s="1">
        <v>0</v>
      </c>
    </row>
    <row r="326">
      <c r="A326" s="1">
        <v>2019</v>
      </c>
      <c r="B326" s="1">
        <v>41</v>
      </c>
      <c r="C326" s="1">
        <v>51</v>
      </c>
      <c r="D326" t="s">
        <v>3</v>
      </c>
      <c r="E326" t="s">
        <v>6</v>
      </c>
      <c r="F326" s="1">
        <v>41051</v>
      </c>
      <c r="G326" s="1">
        <v>9</v>
      </c>
      <c r="H326" s="1">
        <v>5</v>
      </c>
      <c r="I326" t="s">
        <v>13</v>
      </c>
      <c r="J326" t="s">
        <v>302</v>
      </c>
      <c r="K326" s="1">
        <v>9005</v>
      </c>
      <c r="L326" s="1">
        <v>83</v>
      </c>
      <c r="M326" s="1"/>
      <c r="N326" s="1">
        <v>1328000</v>
      </c>
      <c r="O326" s="1">
        <v>9005</v>
      </c>
      <c r="P326" s="1">
        <v>1</v>
      </c>
      <c r="Q326" s="1">
        <v>0</v>
      </c>
    </row>
    <row r="327">
      <c r="A327" s="1">
        <v>2019</v>
      </c>
      <c r="B327" s="1">
        <v>41</v>
      </c>
      <c r="C327" s="1">
        <v>51</v>
      </c>
      <c r="D327" t="s">
        <v>3</v>
      </c>
      <c r="E327" t="s">
        <v>6</v>
      </c>
      <c r="F327" s="1">
        <v>41051</v>
      </c>
      <c r="G327" s="1">
        <v>12</v>
      </c>
      <c r="H327" s="1">
        <v>31</v>
      </c>
      <c r="I327" t="s">
        <v>15</v>
      </c>
      <c r="J327" t="s">
        <v>184</v>
      </c>
      <c r="K327" s="1">
        <v>12031</v>
      </c>
      <c r="L327" s="1">
        <v>99</v>
      </c>
      <c r="M327" s="1"/>
      <c r="N327" s="1">
        <v>5445000</v>
      </c>
      <c r="O327" s="1">
        <v>12031</v>
      </c>
      <c r="P327" s="1">
        <v>1</v>
      </c>
      <c r="Q327" s="1">
        <v>0</v>
      </c>
    </row>
    <row r="328">
      <c r="A328" s="1">
        <v>2019</v>
      </c>
      <c r="B328" s="1">
        <v>41</v>
      </c>
      <c r="C328" s="1">
        <v>51</v>
      </c>
      <c r="D328" t="s">
        <v>3</v>
      </c>
      <c r="E328" t="s">
        <v>6</v>
      </c>
      <c r="F328" s="1">
        <v>41051</v>
      </c>
      <c r="G328" s="1">
        <v>12</v>
      </c>
      <c r="H328" s="1">
        <v>95</v>
      </c>
      <c r="I328" t="s">
        <v>15</v>
      </c>
      <c r="J328" t="s">
        <v>64</v>
      </c>
      <c r="K328" s="1">
        <v>12095</v>
      </c>
      <c r="L328" s="1">
        <v>82</v>
      </c>
      <c r="M328" s="1">
        <v>34</v>
      </c>
      <c r="N328" s="1">
        <v>2448000</v>
      </c>
      <c r="O328" s="1">
        <v>12095</v>
      </c>
      <c r="P328" s="1">
        <v>1</v>
      </c>
      <c r="Q328" s="1">
        <v>0</v>
      </c>
    </row>
    <row r="329">
      <c r="A329" s="1">
        <v>2019</v>
      </c>
      <c r="B329" s="1">
        <v>41</v>
      </c>
      <c r="C329" s="1">
        <v>51</v>
      </c>
      <c r="D329" t="s">
        <v>3</v>
      </c>
      <c r="E329" t="s">
        <v>6</v>
      </c>
      <c r="F329" s="1">
        <v>41051</v>
      </c>
      <c r="G329" s="1">
        <v>12</v>
      </c>
      <c r="H329" s="1">
        <v>105</v>
      </c>
      <c r="I329" t="s">
        <v>15</v>
      </c>
      <c r="J329" t="s">
        <v>100</v>
      </c>
      <c r="K329" s="1">
        <v>12105</v>
      </c>
      <c r="L329" s="1">
        <v>241</v>
      </c>
      <c r="M329" s="1">
        <v>197</v>
      </c>
      <c r="N329" s="1">
        <v>12957000</v>
      </c>
      <c r="O329" s="1">
        <v>12105</v>
      </c>
      <c r="P329" s="1">
        <v>1</v>
      </c>
      <c r="Q329" s="1">
        <v>0</v>
      </c>
    </row>
    <row r="330">
      <c r="A330" s="1">
        <v>2019</v>
      </c>
      <c r="B330" s="1">
        <v>41</v>
      </c>
      <c r="C330" s="1">
        <v>51</v>
      </c>
      <c r="D330" t="s">
        <v>3</v>
      </c>
      <c r="E330" t="s">
        <v>6</v>
      </c>
      <c r="F330" s="1">
        <v>41051</v>
      </c>
      <c r="G330" s="1">
        <v>12</v>
      </c>
      <c r="H330" s="1">
        <v>117</v>
      </c>
      <c r="I330" t="s">
        <v>15</v>
      </c>
      <c r="J330" t="s">
        <v>303</v>
      </c>
      <c r="K330" s="1">
        <v>12117</v>
      </c>
      <c r="L330" s="1">
        <v>178</v>
      </c>
      <c r="M330" s="1"/>
      <c r="N330" s="1">
        <v>2740000</v>
      </c>
      <c r="O330" s="1">
        <v>12117</v>
      </c>
      <c r="P330" s="1">
        <v>1</v>
      </c>
      <c r="Q330" s="1">
        <v>0</v>
      </c>
    </row>
    <row r="331">
      <c r="A331" s="1">
        <v>2019</v>
      </c>
      <c r="B331" s="1">
        <v>41</v>
      </c>
      <c r="C331" s="1">
        <v>51</v>
      </c>
      <c r="D331" t="s">
        <v>3</v>
      </c>
      <c r="E331" t="s">
        <v>6</v>
      </c>
      <c r="F331" s="1">
        <v>41051</v>
      </c>
      <c r="G331" s="1">
        <v>13</v>
      </c>
      <c r="H331" s="1">
        <v>135</v>
      </c>
      <c r="I331" t="s">
        <v>16</v>
      </c>
      <c r="J331" t="s">
        <v>251</v>
      </c>
      <c r="K331" s="1">
        <v>13135</v>
      </c>
      <c r="L331" s="1">
        <v>30</v>
      </c>
      <c r="M331" s="1"/>
      <c r="N331" s="1">
        <v>870000</v>
      </c>
      <c r="O331" s="1">
        <v>13135</v>
      </c>
      <c r="P331" s="1">
        <v>1</v>
      </c>
      <c r="Q331" s="1">
        <v>0</v>
      </c>
    </row>
    <row r="332">
      <c r="A332" s="1">
        <v>2019</v>
      </c>
      <c r="B332" s="1">
        <v>41</v>
      </c>
      <c r="C332" s="1">
        <v>51</v>
      </c>
      <c r="D332" t="s">
        <v>3</v>
      </c>
      <c r="E332" t="s">
        <v>6</v>
      </c>
      <c r="F332" s="1">
        <v>41051</v>
      </c>
      <c r="G332" s="1">
        <v>15</v>
      </c>
      <c r="H332" s="1">
        <v>1</v>
      </c>
      <c r="I332" t="s">
        <v>17</v>
      </c>
      <c r="J332" t="s">
        <v>92</v>
      </c>
      <c r="K332" s="1">
        <v>15001</v>
      </c>
      <c r="L332" s="1">
        <v>71</v>
      </c>
      <c r="M332" s="1">
        <v>71</v>
      </c>
      <c r="N332" s="1">
        <v>1420000</v>
      </c>
      <c r="O332" s="1">
        <v>15001</v>
      </c>
      <c r="P332" s="1">
        <v>1</v>
      </c>
      <c r="Q332" s="1">
        <v>0</v>
      </c>
    </row>
    <row r="333">
      <c r="A333" s="1">
        <v>2019</v>
      </c>
      <c r="B333" s="1">
        <v>41</v>
      </c>
      <c r="C333" s="1">
        <v>51</v>
      </c>
      <c r="D333" t="s">
        <v>3</v>
      </c>
      <c r="E333" t="s">
        <v>6</v>
      </c>
      <c r="F333" s="1">
        <v>41051</v>
      </c>
      <c r="G333" s="1">
        <v>16</v>
      </c>
      <c r="H333" s="1">
        <v>0</v>
      </c>
      <c r="I333" t="s">
        <v>411</v>
      </c>
      <c r="J333" t="s">
        <v>276</v>
      </c>
      <c r="K333" s="1">
        <v>16000</v>
      </c>
      <c r="L333" s="1">
        <v>1369</v>
      </c>
      <c r="M333" s="1">
        <v>301</v>
      </c>
      <c r="N333" s="1">
        <v>47384400</v>
      </c>
      <c r="O333" s="1"/>
      <c r="P333" s="1">
        <v>1</v>
      </c>
      <c r="Q333" s="1">
        <v>0</v>
      </c>
    </row>
    <row r="334">
      <c r="A334" s="1">
        <v>2019</v>
      </c>
      <c r="B334" s="1">
        <v>41</v>
      </c>
      <c r="C334" s="1">
        <v>51</v>
      </c>
      <c r="D334" t="s">
        <v>3</v>
      </c>
      <c r="E334" t="s">
        <v>6</v>
      </c>
      <c r="F334" s="1">
        <v>41051</v>
      </c>
      <c r="G334" s="1">
        <v>16</v>
      </c>
      <c r="H334" s="1">
        <v>19</v>
      </c>
      <c r="I334" t="s">
        <v>18</v>
      </c>
      <c r="J334" t="s">
        <v>245</v>
      </c>
      <c r="K334" s="1">
        <v>16019</v>
      </c>
      <c r="L334" s="1">
        <v>251</v>
      </c>
      <c r="M334" s="1">
        <v>115</v>
      </c>
      <c r="N334" s="1">
        <v>5379000</v>
      </c>
      <c r="O334" s="1">
        <v>16019</v>
      </c>
      <c r="P334" s="1">
        <v>1</v>
      </c>
      <c r="Q334" s="1">
        <v>0</v>
      </c>
    </row>
    <row r="335">
      <c r="A335" s="1">
        <v>2019</v>
      </c>
      <c r="B335" s="1">
        <v>41</v>
      </c>
      <c r="C335" s="1">
        <v>51</v>
      </c>
      <c r="D335" t="s">
        <v>3</v>
      </c>
      <c r="E335" t="s">
        <v>6</v>
      </c>
      <c r="F335" s="1">
        <v>41051</v>
      </c>
      <c r="G335" s="1">
        <v>17</v>
      </c>
      <c r="H335" s="1">
        <v>31</v>
      </c>
      <c r="I335" t="s">
        <v>19</v>
      </c>
      <c r="J335" t="s">
        <v>98</v>
      </c>
      <c r="K335" s="1">
        <v>17031</v>
      </c>
      <c r="L335" s="1">
        <v>308</v>
      </c>
      <c r="M335" s="1">
        <v>220</v>
      </c>
      <c r="N335" s="1">
        <v>12012000</v>
      </c>
      <c r="O335" s="1">
        <v>17031</v>
      </c>
      <c r="P335" s="1">
        <v>1</v>
      </c>
      <c r="Q335" s="1">
        <v>0</v>
      </c>
    </row>
    <row r="336">
      <c r="A336" s="1">
        <v>2019</v>
      </c>
      <c r="B336" s="1">
        <v>41</v>
      </c>
      <c r="C336" s="1">
        <v>51</v>
      </c>
      <c r="D336" t="s">
        <v>3</v>
      </c>
      <c r="E336" t="s">
        <v>6</v>
      </c>
      <c r="F336" s="1">
        <v>41051</v>
      </c>
      <c r="G336" s="1">
        <v>18</v>
      </c>
      <c r="H336" s="1">
        <v>157</v>
      </c>
      <c r="I336" t="s">
        <v>20</v>
      </c>
      <c r="J336" t="s">
        <v>304</v>
      </c>
      <c r="K336" s="1">
        <v>18157</v>
      </c>
      <c r="L336" s="1">
        <v>265</v>
      </c>
      <c r="M336" s="1">
        <v>158</v>
      </c>
      <c r="N336" s="1">
        <v>12220800</v>
      </c>
      <c r="O336" s="1">
        <v>18157</v>
      </c>
      <c r="P336" s="1">
        <v>1</v>
      </c>
      <c r="Q336" s="1">
        <v>0</v>
      </c>
    </row>
    <row r="337">
      <c r="A337" s="1">
        <v>2019</v>
      </c>
      <c r="B337" s="1">
        <v>41</v>
      </c>
      <c r="C337" s="1">
        <v>51</v>
      </c>
      <c r="D337" t="s">
        <v>3</v>
      </c>
      <c r="E337" t="s">
        <v>6</v>
      </c>
      <c r="F337" s="1">
        <v>41051</v>
      </c>
      <c r="G337" s="1">
        <v>19</v>
      </c>
      <c r="H337" s="1">
        <v>0</v>
      </c>
      <c r="I337" t="s">
        <v>411</v>
      </c>
      <c r="J337" t="s">
        <v>276</v>
      </c>
      <c r="K337" s="1">
        <v>19000</v>
      </c>
      <c r="L337" s="1">
        <v>304</v>
      </c>
      <c r="M337" s="1">
        <v>181</v>
      </c>
      <c r="N337" s="1">
        <v>7164800</v>
      </c>
      <c r="O337" s="1"/>
      <c r="P337" s="1">
        <v>1</v>
      </c>
      <c r="Q337" s="1">
        <v>0</v>
      </c>
    </row>
    <row r="338">
      <c r="A338" s="1">
        <v>2019</v>
      </c>
      <c r="B338" s="1">
        <v>41</v>
      </c>
      <c r="C338" s="1">
        <v>51</v>
      </c>
      <c r="D338" t="s">
        <v>3</v>
      </c>
      <c r="E338" t="s">
        <v>6</v>
      </c>
      <c r="F338" s="1">
        <v>41051</v>
      </c>
      <c r="G338" s="1">
        <v>20</v>
      </c>
      <c r="H338" s="1">
        <v>0</v>
      </c>
      <c r="I338" t="s">
        <v>411</v>
      </c>
      <c r="J338" t="s">
        <v>276</v>
      </c>
      <c r="K338" s="1">
        <v>20000</v>
      </c>
      <c r="L338" s="1">
        <v>7</v>
      </c>
      <c r="M338" s="1"/>
      <c r="N338" s="1">
        <v>3500</v>
      </c>
      <c r="O338" s="1"/>
      <c r="P338" s="1">
        <v>1</v>
      </c>
      <c r="Q338" s="1">
        <v>0</v>
      </c>
    </row>
    <row r="339">
      <c r="A339" s="1">
        <v>2019</v>
      </c>
      <c r="B339" s="1">
        <v>41</v>
      </c>
      <c r="C339" s="1">
        <v>51</v>
      </c>
      <c r="D339" t="s">
        <v>3</v>
      </c>
      <c r="E339" t="s">
        <v>6</v>
      </c>
      <c r="F339" s="1">
        <v>41051</v>
      </c>
      <c r="G339" s="1">
        <v>21</v>
      </c>
      <c r="H339" s="1">
        <v>111</v>
      </c>
      <c r="I339" t="s">
        <v>43</v>
      </c>
      <c r="J339" t="s">
        <v>83</v>
      </c>
      <c r="K339" s="1">
        <v>21111</v>
      </c>
      <c r="L339" s="1">
        <v>123</v>
      </c>
      <c r="M339" s="1">
        <v>123</v>
      </c>
      <c r="N339" s="1">
        <v>4305000</v>
      </c>
      <c r="O339" s="1">
        <v>21111</v>
      </c>
      <c r="P339" s="1">
        <v>1</v>
      </c>
      <c r="Q339" s="1">
        <v>0</v>
      </c>
    </row>
    <row r="340">
      <c r="A340" s="1">
        <v>2019</v>
      </c>
      <c r="B340" s="1">
        <v>41</v>
      </c>
      <c r="C340" s="1">
        <v>51</v>
      </c>
      <c r="D340" t="s">
        <v>3</v>
      </c>
      <c r="E340" t="s">
        <v>6</v>
      </c>
      <c r="F340" s="1">
        <v>41051</v>
      </c>
      <c r="G340" s="1">
        <v>22</v>
      </c>
      <c r="H340" s="1">
        <v>0</v>
      </c>
      <c r="I340" t="s">
        <v>411</v>
      </c>
      <c r="J340" t="s">
        <v>276</v>
      </c>
      <c r="K340" s="1">
        <v>22000</v>
      </c>
      <c r="L340" s="1">
        <v>36</v>
      </c>
      <c r="M340" s="1"/>
      <c r="N340" s="1">
        <v>334800</v>
      </c>
      <c r="O340" s="1"/>
      <c r="P340" s="1">
        <v>1</v>
      </c>
      <c r="Q340" s="1">
        <v>0</v>
      </c>
    </row>
    <row r="341">
      <c r="A341" s="1">
        <v>2019</v>
      </c>
      <c r="B341" s="1">
        <v>41</v>
      </c>
      <c r="C341" s="1">
        <v>51</v>
      </c>
      <c r="D341" t="s">
        <v>3</v>
      </c>
      <c r="E341" t="s">
        <v>6</v>
      </c>
      <c r="F341" s="1">
        <v>41051</v>
      </c>
      <c r="G341" s="1">
        <v>25</v>
      </c>
      <c r="H341" s="1">
        <v>0</v>
      </c>
      <c r="I341" t="s">
        <v>411</v>
      </c>
      <c r="J341" t="s">
        <v>276</v>
      </c>
      <c r="K341" s="1">
        <v>25000</v>
      </c>
      <c r="L341" s="1">
        <v>91</v>
      </c>
      <c r="M341" s="1">
        <v>91</v>
      </c>
      <c r="N341" s="1">
        <v>7735000</v>
      </c>
      <c r="O341" s="1"/>
      <c r="P341" s="1">
        <v>1</v>
      </c>
      <c r="Q341" s="1">
        <v>0</v>
      </c>
    </row>
    <row r="342">
      <c r="A342" s="1">
        <v>2019</v>
      </c>
      <c r="B342" s="1">
        <v>41</v>
      </c>
      <c r="C342" s="1">
        <v>51</v>
      </c>
      <c r="D342" t="s">
        <v>3</v>
      </c>
      <c r="E342" t="s">
        <v>6</v>
      </c>
      <c r="F342" s="1">
        <v>41051</v>
      </c>
      <c r="G342" s="1">
        <v>25</v>
      </c>
      <c r="H342" s="1">
        <v>25</v>
      </c>
      <c r="I342" t="s">
        <v>25</v>
      </c>
      <c r="J342" t="s">
        <v>105</v>
      </c>
      <c r="K342" s="1">
        <v>25025</v>
      </c>
      <c r="L342" s="1">
        <v>386</v>
      </c>
      <c r="M342" s="1">
        <v>191</v>
      </c>
      <c r="N342" s="1">
        <v>11081000</v>
      </c>
      <c r="O342" s="1">
        <v>25025</v>
      </c>
      <c r="P342" s="1">
        <v>1</v>
      </c>
      <c r="Q342" s="1">
        <v>0</v>
      </c>
    </row>
    <row r="343">
      <c r="A343" s="1">
        <v>2019</v>
      </c>
      <c r="B343" s="1">
        <v>41</v>
      </c>
      <c r="C343" s="1">
        <v>51</v>
      </c>
      <c r="D343" t="s">
        <v>3</v>
      </c>
      <c r="E343" t="s">
        <v>6</v>
      </c>
      <c r="F343" s="1">
        <v>41051</v>
      </c>
      <c r="G343" s="1">
        <v>26</v>
      </c>
      <c r="H343" s="1">
        <v>163</v>
      </c>
      <c r="I343" t="s">
        <v>26</v>
      </c>
      <c r="J343" t="s">
        <v>195</v>
      </c>
      <c r="K343" s="1">
        <v>26163</v>
      </c>
      <c r="L343" s="1">
        <v>169</v>
      </c>
      <c r="M343" s="1">
        <v>169</v>
      </c>
      <c r="N343" s="1">
        <v>18590000</v>
      </c>
      <c r="O343" s="1">
        <v>26163</v>
      </c>
      <c r="P343" s="1">
        <v>1</v>
      </c>
      <c r="Q343" s="1">
        <v>0</v>
      </c>
    </row>
    <row r="344">
      <c r="A344" s="1">
        <v>2019</v>
      </c>
      <c r="B344" s="1">
        <v>41</v>
      </c>
      <c r="C344" s="1">
        <v>51</v>
      </c>
      <c r="D344" t="s">
        <v>3</v>
      </c>
      <c r="E344" t="s">
        <v>6</v>
      </c>
      <c r="F344" s="1">
        <v>41051</v>
      </c>
      <c r="G344" s="1">
        <v>27</v>
      </c>
      <c r="H344" s="1">
        <v>53</v>
      </c>
      <c r="I344" t="s">
        <v>27</v>
      </c>
      <c r="J344" t="s">
        <v>107</v>
      </c>
      <c r="K344" s="1">
        <v>27053</v>
      </c>
      <c r="L344" s="1">
        <v>112</v>
      </c>
      <c r="M344" s="1">
        <v>112</v>
      </c>
      <c r="N344" s="1">
        <v>4480000</v>
      </c>
      <c r="O344" s="1">
        <v>27053</v>
      </c>
      <c r="P344" s="1">
        <v>1</v>
      </c>
      <c r="Q344" s="1">
        <v>0</v>
      </c>
    </row>
    <row r="345">
      <c r="A345" s="1">
        <v>2019</v>
      </c>
      <c r="B345" s="1">
        <v>41</v>
      </c>
      <c r="C345" s="1">
        <v>51</v>
      </c>
      <c r="D345" t="s">
        <v>3</v>
      </c>
      <c r="E345" t="s">
        <v>6</v>
      </c>
      <c r="F345" s="1">
        <v>41051</v>
      </c>
      <c r="G345" s="1">
        <v>28</v>
      </c>
      <c r="H345" s="1">
        <v>0</v>
      </c>
      <c r="I345" t="s">
        <v>411</v>
      </c>
      <c r="J345" t="s">
        <v>276</v>
      </c>
      <c r="K345" s="1">
        <v>28000</v>
      </c>
      <c r="L345" s="1">
        <v>494</v>
      </c>
      <c r="M345" s="1"/>
      <c r="N345" s="1">
        <v>3853200</v>
      </c>
      <c r="O345" s="1"/>
      <c r="P345" s="1">
        <v>1</v>
      </c>
      <c r="Q345" s="1">
        <v>0</v>
      </c>
    </row>
    <row r="346">
      <c r="A346" s="1">
        <v>2019</v>
      </c>
      <c r="B346" s="1">
        <v>41</v>
      </c>
      <c r="C346" s="1">
        <v>51</v>
      </c>
      <c r="D346" t="s">
        <v>3</v>
      </c>
      <c r="E346" t="s">
        <v>6</v>
      </c>
      <c r="F346" s="1">
        <v>41051</v>
      </c>
      <c r="G346" s="1">
        <v>29</v>
      </c>
      <c r="H346" s="1">
        <v>95</v>
      </c>
      <c r="I346" t="s">
        <v>44</v>
      </c>
      <c r="J346" t="s">
        <v>133</v>
      </c>
      <c r="K346" s="1">
        <v>29095</v>
      </c>
      <c r="L346" s="1">
        <v>156</v>
      </c>
      <c r="M346" s="1">
        <v>154</v>
      </c>
      <c r="N346" s="1">
        <v>4872000</v>
      </c>
      <c r="O346" s="1">
        <v>29095</v>
      </c>
      <c r="P346" s="1">
        <v>1</v>
      </c>
      <c r="Q346" s="1">
        <v>0</v>
      </c>
    </row>
    <row r="347">
      <c r="A347" s="1">
        <v>2019</v>
      </c>
      <c r="B347" s="1">
        <v>41</v>
      </c>
      <c r="C347" s="1">
        <v>51</v>
      </c>
      <c r="D347" t="s">
        <v>3</v>
      </c>
      <c r="E347" t="s">
        <v>6</v>
      </c>
      <c r="F347" s="1">
        <v>41051</v>
      </c>
      <c r="G347" s="1">
        <v>30</v>
      </c>
      <c r="H347" s="1">
        <v>0</v>
      </c>
      <c r="I347" t="s">
        <v>411</v>
      </c>
      <c r="J347" t="s">
        <v>276</v>
      </c>
      <c r="K347" s="1">
        <v>30000</v>
      </c>
      <c r="L347" s="1">
        <v>135</v>
      </c>
      <c r="M347" s="1">
        <v>135</v>
      </c>
      <c r="N347" s="1">
        <v>3645000</v>
      </c>
      <c r="O347" s="1"/>
      <c r="P347" s="1">
        <v>1</v>
      </c>
      <c r="Q347" s="1">
        <v>0</v>
      </c>
    </row>
    <row r="348">
      <c r="A348" s="1">
        <v>2019</v>
      </c>
      <c r="B348" s="1">
        <v>41</v>
      </c>
      <c r="C348" s="1">
        <v>51</v>
      </c>
      <c r="D348" t="s">
        <v>3</v>
      </c>
      <c r="E348" t="s">
        <v>6</v>
      </c>
      <c r="F348" s="1">
        <v>41051</v>
      </c>
      <c r="G348" s="1">
        <v>32</v>
      </c>
      <c r="H348" s="1">
        <v>0</v>
      </c>
      <c r="I348" t="s">
        <v>411</v>
      </c>
      <c r="J348" t="s">
        <v>276</v>
      </c>
      <c r="K348" s="1">
        <v>32000</v>
      </c>
      <c r="L348" s="1">
        <v>19</v>
      </c>
      <c r="M348" s="1"/>
      <c r="N348" s="1">
        <v>182400</v>
      </c>
      <c r="O348" s="1"/>
      <c r="P348" s="1">
        <v>1</v>
      </c>
      <c r="Q348" s="1">
        <v>0</v>
      </c>
    </row>
    <row r="349">
      <c r="A349" s="1">
        <v>2019</v>
      </c>
      <c r="B349" s="1">
        <v>41</v>
      </c>
      <c r="C349" s="1">
        <v>51</v>
      </c>
      <c r="D349" t="s">
        <v>3</v>
      </c>
      <c r="E349" t="s">
        <v>6</v>
      </c>
      <c r="F349" s="1">
        <v>41051</v>
      </c>
      <c r="G349" s="1">
        <v>32</v>
      </c>
      <c r="H349" s="1">
        <v>3</v>
      </c>
      <c r="I349" t="s">
        <v>29</v>
      </c>
      <c r="J349" t="s">
        <v>112</v>
      </c>
      <c r="K349" s="1">
        <v>32003</v>
      </c>
      <c r="L349" s="1">
        <v>218</v>
      </c>
      <c r="M349" s="1">
        <v>96</v>
      </c>
      <c r="N349" s="1">
        <v>11904200</v>
      </c>
      <c r="O349" s="1">
        <v>32003</v>
      </c>
      <c r="P349" s="1">
        <v>1</v>
      </c>
      <c r="Q349" s="1">
        <v>0</v>
      </c>
    </row>
    <row r="350">
      <c r="A350" s="1">
        <v>2019</v>
      </c>
      <c r="B350" s="1">
        <v>41</v>
      </c>
      <c r="C350" s="1">
        <v>51</v>
      </c>
      <c r="D350" t="s">
        <v>3</v>
      </c>
      <c r="E350" t="s">
        <v>6</v>
      </c>
      <c r="F350" s="1">
        <v>41051</v>
      </c>
      <c r="G350" s="1">
        <v>34</v>
      </c>
      <c r="H350" s="1">
        <v>13</v>
      </c>
      <c r="I350" t="s">
        <v>46</v>
      </c>
      <c r="J350" t="s">
        <v>305</v>
      </c>
      <c r="K350" s="1">
        <v>34013</v>
      </c>
      <c r="L350" s="1">
        <v>75</v>
      </c>
      <c r="M350" s="1">
        <v>75</v>
      </c>
      <c r="N350" s="1">
        <v>187500</v>
      </c>
      <c r="O350" s="1">
        <v>34013</v>
      </c>
      <c r="P350" s="1">
        <v>1</v>
      </c>
      <c r="Q350" s="1">
        <v>0</v>
      </c>
    </row>
    <row r="351">
      <c r="A351" s="1">
        <v>2019</v>
      </c>
      <c r="B351" s="1">
        <v>41</v>
      </c>
      <c r="C351" s="1">
        <v>51</v>
      </c>
      <c r="D351" t="s">
        <v>3</v>
      </c>
      <c r="E351" t="s">
        <v>6</v>
      </c>
      <c r="F351" s="1">
        <v>41051</v>
      </c>
      <c r="G351" s="1">
        <v>34</v>
      </c>
      <c r="H351" s="1">
        <v>21</v>
      </c>
      <c r="I351" t="s">
        <v>46</v>
      </c>
      <c r="J351" t="s">
        <v>286</v>
      </c>
      <c r="K351" s="1">
        <v>34021</v>
      </c>
      <c r="L351" s="1">
        <v>216</v>
      </c>
      <c r="M351" s="1">
        <v>91</v>
      </c>
      <c r="N351" s="1">
        <v>6401000</v>
      </c>
      <c r="O351" s="1">
        <v>34021</v>
      </c>
      <c r="P351" s="1">
        <v>1</v>
      </c>
      <c r="Q351" s="1">
        <v>0</v>
      </c>
    </row>
    <row r="352">
      <c r="A352" s="1">
        <v>2019</v>
      </c>
      <c r="B352" s="1">
        <v>41</v>
      </c>
      <c r="C352" s="1">
        <v>51</v>
      </c>
      <c r="D352" t="s">
        <v>3</v>
      </c>
      <c r="E352" t="s">
        <v>6</v>
      </c>
      <c r="F352" s="1">
        <v>41051</v>
      </c>
      <c r="G352" s="1">
        <v>35</v>
      </c>
      <c r="H352" s="1">
        <v>0</v>
      </c>
      <c r="I352" t="s">
        <v>411</v>
      </c>
      <c r="J352" t="s">
        <v>276</v>
      </c>
      <c r="K352" s="1">
        <v>35000</v>
      </c>
      <c r="L352" s="1">
        <v>240</v>
      </c>
      <c r="M352" s="1"/>
      <c r="N352" s="1">
        <v>4320000</v>
      </c>
      <c r="O352" s="1"/>
      <c r="P352" s="1">
        <v>1</v>
      </c>
      <c r="Q352" s="1">
        <v>0</v>
      </c>
    </row>
    <row r="353">
      <c r="A353" s="1">
        <v>2019</v>
      </c>
      <c r="B353" s="1">
        <v>41</v>
      </c>
      <c r="C353" s="1">
        <v>51</v>
      </c>
      <c r="D353" t="s">
        <v>3</v>
      </c>
      <c r="E353" t="s">
        <v>6</v>
      </c>
      <c r="F353" s="1">
        <v>41051</v>
      </c>
      <c r="G353" s="1">
        <v>36</v>
      </c>
      <c r="H353" s="1">
        <v>0</v>
      </c>
      <c r="I353" t="s">
        <v>411</v>
      </c>
      <c r="J353" t="s">
        <v>276</v>
      </c>
      <c r="K353" s="1">
        <v>36000</v>
      </c>
      <c r="L353" s="1">
        <v>39</v>
      </c>
      <c r="M353" s="1"/>
      <c r="N353" s="1">
        <v>0</v>
      </c>
      <c r="O353" s="1"/>
      <c r="P353" s="1">
        <v>1</v>
      </c>
      <c r="Q353" s="1">
        <v>0</v>
      </c>
    </row>
    <row r="354">
      <c r="A354" s="1">
        <v>2019</v>
      </c>
      <c r="B354" s="1">
        <v>41</v>
      </c>
      <c r="C354" s="1">
        <v>51</v>
      </c>
      <c r="D354" t="s">
        <v>3</v>
      </c>
      <c r="E354" t="s">
        <v>6</v>
      </c>
      <c r="F354" s="1">
        <v>41051</v>
      </c>
      <c r="G354" s="1">
        <v>36</v>
      </c>
      <c r="H354" s="1">
        <v>29</v>
      </c>
      <c r="I354" t="s">
        <v>31</v>
      </c>
      <c r="J354" t="s">
        <v>202</v>
      </c>
      <c r="K354" s="1">
        <v>36029</v>
      </c>
      <c r="L354" s="1">
        <v>154</v>
      </c>
      <c r="M354" s="1">
        <v>87</v>
      </c>
      <c r="N354" s="1">
        <v>9703800</v>
      </c>
      <c r="O354" s="1">
        <v>36029</v>
      </c>
      <c r="P354" s="1">
        <v>1</v>
      </c>
      <c r="Q354" s="1">
        <v>0</v>
      </c>
    </row>
    <row r="355">
      <c r="A355" s="1">
        <v>2019</v>
      </c>
      <c r="B355" s="1">
        <v>41</v>
      </c>
      <c r="C355" s="1">
        <v>51</v>
      </c>
      <c r="D355" t="s">
        <v>3</v>
      </c>
      <c r="E355" t="s">
        <v>6</v>
      </c>
      <c r="F355" s="1">
        <v>41051</v>
      </c>
      <c r="G355" s="1">
        <v>36</v>
      </c>
      <c r="H355" s="1">
        <v>47</v>
      </c>
      <c r="I355" t="s">
        <v>31</v>
      </c>
      <c r="J355" t="s">
        <v>116</v>
      </c>
      <c r="K355" s="1">
        <v>36047</v>
      </c>
      <c r="L355" s="1">
        <v>54</v>
      </c>
      <c r="M355" s="1"/>
      <c r="N355" s="1">
        <v>4860000</v>
      </c>
      <c r="O355" s="1">
        <v>36047</v>
      </c>
      <c r="P355" s="1">
        <v>1</v>
      </c>
      <c r="Q355" s="1">
        <v>0</v>
      </c>
    </row>
    <row r="356">
      <c r="A356" s="1">
        <v>2019</v>
      </c>
      <c r="B356" s="1">
        <v>41</v>
      </c>
      <c r="C356" s="1">
        <v>51</v>
      </c>
      <c r="D356" t="s">
        <v>3</v>
      </c>
      <c r="E356" t="s">
        <v>6</v>
      </c>
      <c r="F356" s="1">
        <v>41051</v>
      </c>
      <c r="G356" s="1">
        <v>36</v>
      </c>
      <c r="H356" s="1">
        <v>55</v>
      </c>
      <c r="I356" t="s">
        <v>31</v>
      </c>
      <c r="J356" t="s">
        <v>203</v>
      </c>
      <c r="K356" s="1">
        <v>36055</v>
      </c>
      <c r="L356" s="1">
        <v>274</v>
      </c>
      <c r="M356" s="1"/>
      <c r="N356" s="1">
        <v>8439200</v>
      </c>
      <c r="O356" s="1">
        <v>36055</v>
      </c>
      <c r="P356" s="1">
        <v>1</v>
      </c>
      <c r="Q356" s="1">
        <v>0</v>
      </c>
    </row>
    <row r="357">
      <c r="A357" s="1">
        <v>2019</v>
      </c>
      <c r="B357" s="1">
        <v>41</v>
      </c>
      <c r="C357" s="1">
        <v>51</v>
      </c>
      <c r="D357" t="s">
        <v>3</v>
      </c>
      <c r="E357" t="s">
        <v>6</v>
      </c>
      <c r="F357" s="1">
        <v>41051</v>
      </c>
      <c r="G357" s="1">
        <v>36</v>
      </c>
      <c r="H357" s="1">
        <v>61</v>
      </c>
      <c r="I357" t="s">
        <v>31</v>
      </c>
      <c r="J357" t="s">
        <v>117</v>
      </c>
      <c r="K357" s="1">
        <v>36061</v>
      </c>
      <c r="L357" s="1">
        <v>545</v>
      </c>
      <c r="M357" s="1">
        <v>46</v>
      </c>
      <c r="N357" s="1">
        <v>18072200</v>
      </c>
      <c r="O357" s="1">
        <v>36061</v>
      </c>
      <c r="P357" s="1">
        <v>1</v>
      </c>
      <c r="Q357" s="1">
        <v>0</v>
      </c>
    </row>
    <row r="358">
      <c r="A358" s="1">
        <v>2019</v>
      </c>
      <c r="B358" s="1">
        <v>41</v>
      </c>
      <c r="C358" s="1">
        <v>51</v>
      </c>
      <c r="D358" t="s">
        <v>3</v>
      </c>
      <c r="E358" t="s">
        <v>6</v>
      </c>
      <c r="F358" s="1">
        <v>41051</v>
      </c>
      <c r="G358" s="1">
        <v>36</v>
      </c>
      <c r="H358" s="1">
        <v>81</v>
      </c>
      <c r="I358" t="s">
        <v>31</v>
      </c>
      <c r="J358" t="s">
        <v>118</v>
      </c>
      <c r="K358" s="1">
        <v>36081</v>
      </c>
      <c r="L358" s="1">
        <v>241</v>
      </c>
      <c r="M358" s="1">
        <v>128</v>
      </c>
      <c r="N358" s="1">
        <v>47976200</v>
      </c>
      <c r="O358" s="1">
        <v>36081</v>
      </c>
      <c r="P358" s="1">
        <v>1</v>
      </c>
      <c r="Q358" s="1">
        <v>0</v>
      </c>
    </row>
    <row r="359">
      <c r="A359" s="1">
        <v>2019</v>
      </c>
      <c r="B359" s="1">
        <v>41</v>
      </c>
      <c r="C359" s="1">
        <v>51</v>
      </c>
      <c r="D359" t="s">
        <v>3</v>
      </c>
      <c r="E359" t="s">
        <v>6</v>
      </c>
      <c r="F359" s="1">
        <v>41051</v>
      </c>
      <c r="G359" s="1">
        <v>37</v>
      </c>
      <c r="H359" s="1">
        <v>119</v>
      </c>
      <c r="I359" t="s">
        <v>32</v>
      </c>
      <c r="J359" t="s">
        <v>121</v>
      </c>
      <c r="K359" s="1">
        <v>37119</v>
      </c>
      <c r="L359" s="1">
        <v>274</v>
      </c>
      <c r="M359" s="1">
        <v>162</v>
      </c>
      <c r="N359" s="1">
        <v>20655620</v>
      </c>
      <c r="O359" s="1">
        <v>37119</v>
      </c>
      <c r="P359" s="1">
        <v>1</v>
      </c>
      <c r="Q359" s="1">
        <v>0</v>
      </c>
    </row>
    <row r="360">
      <c r="A360" s="1">
        <v>2019</v>
      </c>
      <c r="B360" s="1">
        <v>41</v>
      </c>
      <c r="C360" s="1">
        <v>51</v>
      </c>
      <c r="D360" t="s">
        <v>3</v>
      </c>
      <c r="E360" t="s">
        <v>6</v>
      </c>
      <c r="F360" s="1">
        <v>41051</v>
      </c>
      <c r="G360" s="1">
        <v>37</v>
      </c>
      <c r="H360" s="1">
        <v>183</v>
      </c>
      <c r="I360" t="s">
        <v>32</v>
      </c>
      <c r="J360" t="s">
        <v>206</v>
      </c>
      <c r="K360" s="1">
        <v>37183</v>
      </c>
      <c r="L360" s="1">
        <v>113</v>
      </c>
      <c r="M360" s="1">
        <v>59</v>
      </c>
      <c r="N360" s="1">
        <v>3105000</v>
      </c>
      <c r="O360" s="1">
        <v>37183</v>
      </c>
      <c r="P360" s="1">
        <v>1</v>
      </c>
      <c r="Q360" s="1">
        <v>0</v>
      </c>
    </row>
    <row r="361">
      <c r="A361" s="1">
        <v>2019</v>
      </c>
      <c r="B361" s="1">
        <v>41</v>
      </c>
      <c r="C361" s="1">
        <v>51</v>
      </c>
      <c r="D361" t="s">
        <v>3</v>
      </c>
      <c r="E361" t="s">
        <v>6</v>
      </c>
      <c r="F361" s="1">
        <v>41051</v>
      </c>
      <c r="G361" s="1">
        <v>40</v>
      </c>
      <c r="H361" s="1">
        <v>0</v>
      </c>
      <c r="I361" t="s">
        <v>411</v>
      </c>
      <c r="J361" t="s">
        <v>276</v>
      </c>
      <c r="K361" s="1">
        <v>40000</v>
      </c>
      <c r="L361" s="1">
        <v>190</v>
      </c>
      <c r="M361" s="1">
        <v>89</v>
      </c>
      <c r="N361" s="1">
        <v>7764000</v>
      </c>
      <c r="O361" s="1"/>
      <c r="P361" s="1">
        <v>1</v>
      </c>
      <c r="Q361" s="1">
        <v>0</v>
      </c>
    </row>
    <row r="362">
      <c r="A362" s="1">
        <v>2019</v>
      </c>
      <c r="B362" s="1">
        <v>41</v>
      </c>
      <c r="C362" s="1">
        <v>51</v>
      </c>
      <c r="D362" t="s">
        <v>3</v>
      </c>
      <c r="E362" t="s">
        <v>6</v>
      </c>
      <c r="F362" s="1">
        <v>41051</v>
      </c>
      <c r="G362" s="1">
        <v>41</v>
      </c>
      <c r="H362" s="1">
        <v>0</v>
      </c>
      <c r="I362" t="s">
        <v>411</v>
      </c>
      <c r="J362" t="s">
        <v>276</v>
      </c>
      <c r="K362" s="1">
        <v>41000</v>
      </c>
      <c r="L362" s="1">
        <v>3326</v>
      </c>
      <c r="M362" s="1">
        <v>1448</v>
      </c>
      <c r="N362" s="1">
        <v>126006800</v>
      </c>
      <c r="O362" s="1"/>
      <c r="P362" s="1">
        <v>1</v>
      </c>
      <c r="Q362" s="1">
        <v>0</v>
      </c>
    </row>
    <row r="363">
      <c r="A363" s="1">
        <v>2019</v>
      </c>
      <c r="B363" s="1">
        <v>41</v>
      </c>
      <c r="C363" s="1">
        <v>51</v>
      </c>
      <c r="D363" t="s">
        <v>3</v>
      </c>
      <c r="E363" t="s">
        <v>6</v>
      </c>
      <c r="F363" s="1">
        <v>41051</v>
      </c>
      <c r="G363" s="1">
        <v>41</v>
      </c>
      <c r="H363" s="1">
        <v>5</v>
      </c>
      <c r="I363" t="s">
        <v>3</v>
      </c>
      <c r="J363" t="s">
        <v>125</v>
      </c>
      <c r="K363" s="1">
        <v>41005</v>
      </c>
      <c r="L363" s="1">
        <v>5723</v>
      </c>
      <c r="M363" s="1">
        <v>3069</v>
      </c>
      <c r="N363" s="1">
        <v>351760110</v>
      </c>
      <c r="O363" s="1">
        <v>41005</v>
      </c>
      <c r="P363" s="1">
        <v>1</v>
      </c>
      <c r="Q363" s="1">
        <v>0</v>
      </c>
    </row>
    <row r="364">
      <c r="A364" s="1">
        <v>2019</v>
      </c>
      <c r="B364" s="1">
        <v>41</v>
      </c>
      <c r="C364" s="1">
        <v>51</v>
      </c>
      <c r="D364" t="s">
        <v>3</v>
      </c>
      <c r="E364" t="s">
        <v>6</v>
      </c>
      <c r="F364" s="1">
        <v>41051</v>
      </c>
      <c r="G364" s="1">
        <v>41</v>
      </c>
      <c r="H364" s="1">
        <v>17</v>
      </c>
      <c r="I364" t="s">
        <v>3</v>
      </c>
      <c r="J364" t="s">
        <v>130</v>
      </c>
      <c r="K364" s="1">
        <v>41017</v>
      </c>
      <c r="L364" s="1">
        <v>832</v>
      </c>
      <c r="M364" s="1">
        <v>98</v>
      </c>
      <c r="N364" s="1">
        <v>20597200</v>
      </c>
      <c r="O364" s="1">
        <v>41017</v>
      </c>
      <c r="P364" s="1">
        <v>1</v>
      </c>
      <c r="Q364" s="1">
        <v>0</v>
      </c>
    </row>
    <row r="365">
      <c r="A365" s="1">
        <v>2019</v>
      </c>
      <c r="B365" s="1">
        <v>41</v>
      </c>
      <c r="C365" s="1">
        <v>51</v>
      </c>
      <c r="D365" t="s">
        <v>3</v>
      </c>
      <c r="E365" t="s">
        <v>6</v>
      </c>
      <c r="F365" s="1">
        <v>41051</v>
      </c>
      <c r="G365" s="1">
        <v>41</v>
      </c>
      <c r="H365" s="1">
        <v>29</v>
      </c>
      <c r="I365" t="s">
        <v>3</v>
      </c>
      <c r="J365" t="s">
        <v>133</v>
      </c>
      <c r="K365" s="1">
        <v>41029</v>
      </c>
      <c r="L365" s="1">
        <v>354</v>
      </c>
      <c r="M365" s="1">
        <v>91</v>
      </c>
      <c r="N365" s="1">
        <v>1209840</v>
      </c>
      <c r="O365" s="1">
        <v>41029</v>
      </c>
      <c r="P365" s="1">
        <v>1</v>
      </c>
      <c r="Q365" s="1">
        <v>0</v>
      </c>
    </row>
    <row r="366">
      <c r="A366" s="1">
        <v>2019</v>
      </c>
      <c r="B366" s="1">
        <v>41</v>
      </c>
      <c r="C366" s="1">
        <v>51</v>
      </c>
      <c r="D366" t="s">
        <v>3</v>
      </c>
      <c r="E366" t="s">
        <v>6</v>
      </c>
      <c r="F366" s="1">
        <v>41051</v>
      </c>
      <c r="G366" s="1">
        <v>41</v>
      </c>
      <c r="H366" s="1">
        <v>39</v>
      </c>
      <c r="I366" t="s">
        <v>3</v>
      </c>
      <c r="J366" t="s">
        <v>136</v>
      </c>
      <c r="K366" s="1">
        <v>41039</v>
      </c>
      <c r="L366" s="1">
        <v>751</v>
      </c>
      <c r="M366" s="1">
        <v>212</v>
      </c>
      <c r="N366" s="1">
        <v>27609200</v>
      </c>
      <c r="O366" s="1">
        <v>41039</v>
      </c>
      <c r="P366" s="1">
        <v>1</v>
      </c>
      <c r="Q366" s="1">
        <v>0</v>
      </c>
    </row>
    <row r="367">
      <c r="A367" s="1">
        <v>2019</v>
      </c>
      <c r="B367" s="1">
        <v>41</v>
      </c>
      <c r="C367" s="1">
        <v>51</v>
      </c>
      <c r="D367" t="s">
        <v>3</v>
      </c>
      <c r="E367" t="s">
        <v>6</v>
      </c>
      <c r="F367" s="1">
        <v>41051</v>
      </c>
      <c r="G367" s="1">
        <v>41</v>
      </c>
      <c r="H367" s="1">
        <v>47</v>
      </c>
      <c r="I367" t="s">
        <v>3</v>
      </c>
      <c r="J367" t="s">
        <v>99</v>
      </c>
      <c r="K367" s="1">
        <v>41047</v>
      </c>
      <c r="L367" s="1">
        <v>462</v>
      </c>
      <c r="M367" s="1"/>
      <c r="N367" s="1">
        <v>10265300</v>
      </c>
      <c r="O367" s="1">
        <v>41047</v>
      </c>
      <c r="P367" s="1">
        <v>1</v>
      </c>
      <c r="Q367" s="1">
        <v>0</v>
      </c>
    </row>
    <row r="368">
      <c r="A368" s="1">
        <v>2019</v>
      </c>
      <c r="B368" s="1">
        <v>41</v>
      </c>
      <c r="C368" s="1">
        <v>51</v>
      </c>
      <c r="D368" t="s">
        <v>3</v>
      </c>
      <c r="E368" t="s">
        <v>6</v>
      </c>
      <c r="F368" s="1">
        <v>41051</v>
      </c>
      <c r="G368" s="1">
        <v>41</v>
      </c>
      <c r="H368" s="1">
        <v>51</v>
      </c>
      <c r="I368" t="s">
        <v>3</v>
      </c>
      <c r="J368" t="s">
        <v>6</v>
      </c>
      <c r="K368" s="1">
        <v>41051</v>
      </c>
      <c r="L368" s="1">
        <v>595569</v>
      </c>
      <c r="M368" s="1">
        <v>315838</v>
      </c>
      <c r="N368" s="1">
        <v>31683865620</v>
      </c>
      <c r="O368" s="1">
        <v>41051</v>
      </c>
      <c r="P368" s="1">
        <v>1</v>
      </c>
      <c r="Q368" s="1">
        <v>1</v>
      </c>
    </row>
    <row r="369">
      <c r="A369" s="1">
        <v>2019</v>
      </c>
      <c r="B369" s="1">
        <v>41</v>
      </c>
      <c r="C369" s="1">
        <v>51</v>
      </c>
      <c r="D369" t="s">
        <v>3</v>
      </c>
      <c r="E369" t="s">
        <v>6</v>
      </c>
      <c r="F369" s="1">
        <v>41051</v>
      </c>
      <c r="G369" s="1">
        <v>41</v>
      </c>
      <c r="H369" s="1">
        <v>67</v>
      </c>
      <c r="I369" t="s">
        <v>3</v>
      </c>
      <c r="J369" t="s">
        <v>143</v>
      </c>
      <c r="K369" s="1">
        <v>41067</v>
      </c>
      <c r="L369" s="1">
        <v>7581</v>
      </c>
      <c r="M369" s="1">
        <v>3233</v>
      </c>
      <c r="N369" s="1">
        <v>258250710</v>
      </c>
      <c r="O369" s="1">
        <v>41067</v>
      </c>
      <c r="P369" s="1">
        <v>1</v>
      </c>
      <c r="Q369" s="1">
        <v>0</v>
      </c>
    </row>
    <row r="370">
      <c r="A370" s="1">
        <v>2019</v>
      </c>
      <c r="B370" s="1">
        <v>41</v>
      </c>
      <c r="C370" s="1">
        <v>51</v>
      </c>
      <c r="D370" t="s">
        <v>3</v>
      </c>
      <c r="E370" t="s">
        <v>6</v>
      </c>
      <c r="F370" s="1">
        <v>41051</v>
      </c>
      <c r="G370" s="1">
        <v>42</v>
      </c>
      <c r="H370" s="1">
        <v>0</v>
      </c>
      <c r="I370" t="s">
        <v>411</v>
      </c>
      <c r="J370" t="s">
        <v>276</v>
      </c>
      <c r="K370" s="1">
        <v>42000</v>
      </c>
      <c r="L370" s="1">
        <v>25</v>
      </c>
      <c r="M370" s="1">
        <v>25</v>
      </c>
      <c r="N370" s="1">
        <v>1412500</v>
      </c>
      <c r="O370" s="1"/>
      <c r="P370" s="1">
        <v>1</v>
      </c>
      <c r="Q370" s="1">
        <v>0</v>
      </c>
    </row>
    <row r="371">
      <c r="A371" s="1">
        <v>2019</v>
      </c>
      <c r="B371" s="1">
        <v>41</v>
      </c>
      <c r="C371" s="1">
        <v>51</v>
      </c>
      <c r="D371" t="s">
        <v>3</v>
      </c>
      <c r="E371" t="s">
        <v>6</v>
      </c>
      <c r="F371" s="1">
        <v>41051</v>
      </c>
      <c r="G371" s="1">
        <v>42</v>
      </c>
      <c r="H371" s="1">
        <v>3</v>
      </c>
      <c r="I371" t="s">
        <v>34</v>
      </c>
      <c r="J371" t="s">
        <v>145</v>
      </c>
      <c r="K371" s="1">
        <v>42003</v>
      </c>
      <c r="L371" s="1">
        <v>85</v>
      </c>
      <c r="M371" s="1">
        <v>85</v>
      </c>
      <c r="N371" s="1">
        <v>5100000</v>
      </c>
      <c r="O371" s="1">
        <v>42003</v>
      </c>
      <c r="P371" s="1">
        <v>1</v>
      </c>
      <c r="Q371" s="1">
        <v>0</v>
      </c>
    </row>
    <row r="372">
      <c r="A372" s="1">
        <v>2019</v>
      </c>
      <c r="B372" s="1">
        <v>41</v>
      </c>
      <c r="C372" s="1">
        <v>51</v>
      </c>
      <c r="D372" t="s">
        <v>3</v>
      </c>
      <c r="E372" t="s">
        <v>6</v>
      </c>
      <c r="F372" s="1">
        <v>41051</v>
      </c>
      <c r="G372" s="1">
        <v>47</v>
      </c>
      <c r="H372" s="1">
        <v>37</v>
      </c>
      <c r="I372" t="s">
        <v>35</v>
      </c>
      <c r="J372" t="s">
        <v>147</v>
      </c>
      <c r="K372" s="1">
        <v>47037</v>
      </c>
      <c r="L372" s="1">
        <v>34</v>
      </c>
      <c r="M372" s="1">
        <v>34</v>
      </c>
      <c r="N372" s="1">
        <v>1768000</v>
      </c>
      <c r="O372" s="1">
        <v>47037</v>
      </c>
      <c r="P372" s="1">
        <v>1</v>
      </c>
      <c r="Q372" s="1">
        <v>0</v>
      </c>
    </row>
    <row r="373">
      <c r="A373" s="1">
        <v>2019</v>
      </c>
      <c r="B373" s="1">
        <v>41</v>
      </c>
      <c r="C373" s="1">
        <v>51</v>
      </c>
      <c r="D373" t="s">
        <v>3</v>
      </c>
      <c r="E373" t="s">
        <v>6</v>
      </c>
      <c r="F373" s="1">
        <v>41051</v>
      </c>
      <c r="G373" s="1">
        <v>48</v>
      </c>
      <c r="H373" s="1">
        <v>27</v>
      </c>
      <c r="I373" t="s">
        <v>36</v>
      </c>
      <c r="J373" t="s">
        <v>306</v>
      </c>
      <c r="K373" s="1">
        <v>48027</v>
      </c>
      <c r="L373" s="1">
        <v>56</v>
      </c>
      <c r="M373" s="1"/>
      <c r="N373" s="1">
        <v>0</v>
      </c>
      <c r="O373" s="1">
        <v>48027</v>
      </c>
      <c r="P373" s="1">
        <v>1</v>
      </c>
      <c r="Q373" s="1">
        <v>0</v>
      </c>
    </row>
    <row r="374">
      <c r="A374" s="1">
        <v>2019</v>
      </c>
      <c r="B374" s="1">
        <v>41</v>
      </c>
      <c r="C374" s="1">
        <v>51</v>
      </c>
      <c r="D374" t="s">
        <v>3</v>
      </c>
      <c r="E374" t="s">
        <v>6</v>
      </c>
      <c r="F374" s="1">
        <v>41051</v>
      </c>
      <c r="G374" s="1">
        <v>48</v>
      </c>
      <c r="H374" s="1">
        <v>113</v>
      </c>
      <c r="I374" t="s">
        <v>36</v>
      </c>
      <c r="J374" t="s">
        <v>150</v>
      </c>
      <c r="K374" s="1">
        <v>48113</v>
      </c>
      <c r="L374" s="1">
        <v>477</v>
      </c>
      <c r="M374" s="1">
        <v>227</v>
      </c>
      <c r="N374" s="1">
        <v>25072400</v>
      </c>
      <c r="O374" s="1">
        <v>48113</v>
      </c>
      <c r="P374" s="1">
        <v>1</v>
      </c>
      <c r="Q374" s="1">
        <v>0</v>
      </c>
    </row>
    <row r="375">
      <c r="A375" s="1">
        <v>2019</v>
      </c>
      <c r="B375" s="1">
        <v>41</v>
      </c>
      <c r="C375" s="1">
        <v>51</v>
      </c>
      <c r="D375" t="s">
        <v>3</v>
      </c>
      <c r="E375" t="s">
        <v>6</v>
      </c>
      <c r="F375" s="1">
        <v>41051</v>
      </c>
      <c r="G375" s="1">
        <v>48</v>
      </c>
      <c r="H375" s="1">
        <v>439</v>
      </c>
      <c r="I375" t="s">
        <v>36</v>
      </c>
      <c r="J375" t="s">
        <v>152</v>
      </c>
      <c r="K375" s="1">
        <v>48439</v>
      </c>
      <c r="L375" s="1">
        <v>176</v>
      </c>
      <c r="M375" s="1">
        <v>111</v>
      </c>
      <c r="N375" s="1">
        <v>1713800</v>
      </c>
      <c r="O375" s="1">
        <v>48439</v>
      </c>
      <c r="P375" s="1">
        <v>1</v>
      </c>
      <c r="Q375" s="1">
        <v>0</v>
      </c>
    </row>
    <row r="376">
      <c r="A376" s="1">
        <v>2019</v>
      </c>
      <c r="B376" s="1">
        <v>41</v>
      </c>
      <c r="C376" s="1">
        <v>51</v>
      </c>
      <c r="D376" t="s">
        <v>3</v>
      </c>
      <c r="E376" t="s">
        <v>6</v>
      </c>
      <c r="F376" s="1">
        <v>41051</v>
      </c>
      <c r="G376" s="1">
        <v>49</v>
      </c>
      <c r="H376" s="1">
        <v>35</v>
      </c>
      <c r="I376" t="s">
        <v>37</v>
      </c>
      <c r="J376" t="s">
        <v>154</v>
      </c>
      <c r="K376" s="1">
        <v>49035</v>
      </c>
      <c r="L376" s="1">
        <v>407</v>
      </c>
      <c r="M376" s="1"/>
      <c r="N376" s="1">
        <v>0</v>
      </c>
      <c r="O376" s="1">
        <v>49035</v>
      </c>
      <c r="P376" s="1">
        <v>1</v>
      </c>
      <c r="Q376" s="1">
        <v>0</v>
      </c>
    </row>
    <row r="377">
      <c r="A377" s="1">
        <v>2019</v>
      </c>
      <c r="B377" s="1">
        <v>41</v>
      </c>
      <c r="C377" s="1">
        <v>51</v>
      </c>
      <c r="D377" t="s">
        <v>3</v>
      </c>
      <c r="E377" t="s">
        <v>6</v>
      </c>
      <c r="F377" s="1">
        <v>41051</v>
      </c>
      <c r="G377" s="1">
        <v>51</v>
      </c>
      <c r="H377" s="1">
        <v>0</v>
      </c>
      <c r="I377" t="s">
        <v>411</v>
      </c>
      <c r="J377" t="s">
        <v>276</v>
      </c>
      <c r="K377" s="1">
        <v>51000</v>
      </c>
      <c r="L377" s="1">
        <v>146</v>
      </c>
      <c r="M377" s="1">
        <v>69</v>
      </c>
      <c r="N377" s="1">
        <v>1490000</v>
      </c>
      <c r="O377" s="1"/>
      <c r="P377" s="1">
        <v>1</v>
      </c>
      <c r="Q377" s="1">
        <v>0</v>
      </c>
    </row>
    <row r="378">
      <c r="A378" s="1">
        <v>2019</v>
      </c>
      <c r="B378" s="1">
        <v>41</v>
      </c>
      <c r="C378" s="1">
        <v>51</v>
      </c>
      <c r="D378" t="s">
        <v>3</v>
      </c>
      <c r="E378" t="s">
        <v>6</v>
      </c>
      <c r="F378" s="1">
        <v>41051</v>
      </c>
      <c r="G378" s="1">
        <v>51</v>
      </c>
      <c r="H378" s="1">
        <v>13</v>
      </c>
      <c r="I378" t="s">
        <v>39</v>
      </c>
      <c r="J378" t="s">
        <v>221</v>
      </c>
      <c r="K378" s="1">
        <v>51013</v>
      </c>
      <c r="L378" s="1">
        <v>152</v>
      </c>
      <c r="M378" s="1">
        <v>152</v>
      </c>
      <c r="N378" s="1">
        <v>27664000</v>
      </c>
      <c r="O378" s="1">
        <v>51013</v>
      </c>
      <c r="P378" s="1">
        <v>1</v>
      </c>
      <c r="Q378" s="1">
        <v>0</v>
      </c>
    </row>
    <row r="379">
      <c r="A379" s="1">
        <v>2019</v>
      </c>
      <c r="B379" s="1">
        <v>41</v>
      </c>
      <c r="C379" s="1">
        <v>51</v>
      </c>
      <c r="D379" t="s">
        <v>3</v>
      </c>
      <c r="E379" t="s">
        <v>6</v>
      </c>
      <c r="F379" s="1">
        <v>41051</v>
      </c>
      <c r="G379" s="1">
        <v>53</v>
      </c>
      <c r="H379" s="1">
        <v>0</v>
      </c>
      <c r="I379" t="s">
        <v>411</v>
      </c>
      <c r="J379" t="s">
        <v>276</v>
      </c>
      <c r="K379" s="1">
        <v>53000</v>
      </c>
      <c r="L379" s="1">
        <v>832</v>
      </c>
      <c r="M379" s="1">
        <v>494</v>
      </c>
      <c r="N379" s="1">
        <v>11032800</v>
      </c>
      <c r="O379" s="1"/>
      <c r="P379" s="1">
        <v>1</v>
      </c>
      <c r="Q379" s="1">
        <v>0</v>
      </c>
    </row>
    <row r="380">
      <c r="A380" s="1">
        <v>2019</v>
      </c>
      <c r="B380" s="1">
        <v>41</v>
      </c>
      <c r="C380" s="1">
        <v>51</v>
      </c>
      <c r="D380" t="s">
        <v>3</v>
      </c>
      <c r="E380" t="s">
        <v>6</v>
      </c>
      <c r="F380" s="1">
        <v>41051</v>
      </c>
      <c r="G380" s="1">
        <v>53</v>
      </c>
      <c r="H380" s="1">
        <v>11</v>
      </c>
      <c r="I380" t="s">
        <v>40</v>
      </c>
      <c r="J380" t="s">
        <v>112</v>
      </c>
      <c r="K380" s="1">
        <v>53011</v>
      </c>
      <c r="L380" s="1">
        <v>3724</v>
      </c>
      <c r="M380" s="1">
        <v>1679</v>
      </c>
      <c r="N380" s="1">
        <v>192654300</v>
      </c>
      <c r="O380" s="1">
        <v>53011</v>
      </c>
      <c r="P380" s="1">
        <v>1</v>
      </c>
      <c r="Q380" s="1">
        <v>0</v>
      </c>
    </row>
    <row r="381">
      <c r="A381" s="1">
        <v>2019</v>
      </c>
      <c r="B381" s="1">
        <v>41</v>
      </c>
      <c r="C381" s="1">
        <v>51</v>
      </c>
      <c r="D381" t="s">
        <v>3</v>
      </c>
      <c r="E381" t="s">
        <v>6</v>
      </c>
      <c r="F381" s="1">
        <v>41051</v>
      </c>
      <c r="G381" s="1">
        <v>53</v>
      </c>
      <c r="H381" s="1">
        <v>33</v>
      </c>
      <c r="I381" t="s">
        <v>40</v>
      </c>
      <c r="J381" t="s">
        <v>160</v>
      </c>
      <c r="K381" s="1">
        <v>53033</v>
      </c>
      <c r="L381" s="1">
        <v>576</v>
      </c>
      <c r="M381" s="1">
        <v>307</v>
      </c>
      <c r="N381" s="1">
        <v>32275000</v>
      </c>
      <c r="O381" s="1">
        <v>53033</v>
      </c>
      <c r="P381" s="1">
        <v>1</v>
      </c>
      <c r="Q381" s="1">
        <v>0</v>
      </c>
    </row>
    <row r="382">
      <c r="A382" s="1">
        <v>2019</v>
      </c>
      <c r="B382" s="1">
        <v>41</v>
      </c>
      <c r="C382" s="1">
        <v>51</v>
      </c>
      <c r="D382" t="s">
        <v>3</v>
      </c>
      <c r="E382" t="s">
        <v>6</v>
      </c>
      <c r="F382" s="1">
        <v>41051</v>
      </c>
      <c r="G382" s="1">
        <v>53</v>
      </c>
      <c r="H382" s="1">
        <v>35</v>
      </c>
      <c r="I382" t="s">
        <v>40</v>
      </c>
      <c r="J382" t="s">
        <v>161</v>
      </c>
      <c r="K382" s="1">
        <v>53035</v>
      </c>
      <c r="L382" s="1">
        <v>46</v>
      </c>
      <c r="M382" s="1">
        <v>46</v>
      </c>
      <c r="N382" s="1">
        <v>1380000</v>
      </c>
      <c r="O382" s="1">
        <v>53035</v>
      </c>
      <c r="P382" s="1">
        <v>1</v>
      </c>
      <c r="Q382" s="1">
        <v>0</v>
      </c>
    </row>
    <row r="383">
      <c r="A383" s="1">
        <v>2019</v>
      </c>
      <c r="B383" s="1">
        <v>41</v>
      </c>
      <c r="C383" s="1">
        <v>51</v>
      </c>
      <c r="D383" t="s">
        <v>3</v>
      </c>
      <c r="E383" t="s">
        <v>6</v>
      </c>
      <c r="F383" s="1">
        <v>41051</v>
      </c>
      <c r="G383" s="1">
        <v>53</v>
      </c>
      <c r="H383" s="1">
        <v>53</v>
      </c>
      <c r="I383" t="s">
        <v>40</v>
      </c>
      <c r="J383" t="s">
        <v>165</v>
      </c>
      <c r="K383" s="1">
        <v>53053</v>
      </c>
      <c r="L383" s="1">
        <v>392</v>
      </c>
      <c r="M383" s="1">
        <v>94</v>
      </c>
      <c r="N383" s="1">
        <v>5433100</v>
      </c>
      <c r="O383" s="1">
        <v>53053</v>
      </c>
      <c r="P383" s="1">
        <v>1</v>
      </c>
      <c r="Q383" s="1">
        <v>0</v>
      </c>
    </row>
    <row r="384">
      <c r="A384" s="1">
        <v>2019</v>
      </c>
      <c r="B384" s="1">
        <v>41</v>
      </c>
      <c r="C384" s="1">
        <v>51</v>
      </c>
      <c r="D384" t="s">
        <v>3</v>
      </c>
      <c r="E384" t="s">
        <v>6</v>
      </c>
      <c r="F384" s="1">
        <v>41051</v>
      </c>
      <c r="G384" s="1">
        <v>53</v>
      </c>
      <c r="H384" s="1">
        <v>63</v>
      </c>
      <c r="I384" t="s">
        <v>40</v>
      </c>
      <c r="J384" t="s">
        <v>168</v>
      </c>
      <c r="K384" s="1">
        <v>53063</v>
      </c>
      <c r="L384" s="1">
        <v>399</v>
      </c>
      <c r="M384" s="1">
        <v>121</v>
      </c>
      <c r="N384" s="1">
        <v>10554500</v>
      </c>
      <c r="O384" s="1">
        <v>53063</v>
      </c>
      <c r="P384" s="1">
        <v>1</v>
      </c>
      <c r="Q384" s="1">
        <v>0</v>
      </c>
    </row>
    <row r="385">
      <c r="A385" s="1">
        <v>2020</v>
      </c>
      <c r="B385" s="1">
        <v>41</v>
      </c>
      <c r="C385" s="1">
        <v>51</v>
      </c>
      <c r="D385" t="s">
        <v>3</v>
      </c>
      <c r="E385" t="s">
        <v>6</v>
      </c>
      <c r="F385" s="1">
        <v>41051</v>
      </c>
      <c r="G385" s="1">
        <v>1</v>
      </c>
      <c r="H385" s="1">
        <v>0</v>
      </c>
      <c r="I385" t="s">
        <v>411</v>
      </c>
      <c r="J385" t="s">
        <v>276</v>
      </c>
      <c r="K385" s="1">
        <v>1000</v>
      </c>
      <c r="L385" s="1">
        <v>191</v>
      </c>
      <c r="M385" s="1">
        <v>94</v>
      </c>
      <c r="N385" s="1">
        <v>11035000</v>
      </c>
      <c r="O385" s="1"/>
      <c r="P385" s="1">
        <v>1</v>
      </c>
      <c r="Q385" s="1">
        <v>0</v>
      </c>
    </row>
    <row r="386">
      <c r="A386" s="1">
        <v>2020</v>
      </c>
      <c r="B386" s="1">
        <v>41</v>
      </c>
      <c r="C386" s="1">
        <v>51</v>
      </c>
      <c r="D386" t="s">
        <v>3</v>
      </c>
      <c r="E386" t="s">
        <v>6</v>
      </c>
      <c r="F386" s="1">
        <v>41051</v>
      </c>
      <c r="G386" s="1">
        <v>4</v>
      </c>
      <c r="H386" s="1">
        <v>13</v>
      </c>
      <c r="I386" t="s">
        <v>10</v>
      </c>
      <c r="J386" t="s">
        <v>53</v>
      </c>
      <c r="K386" s="1">
        <v>4013</v>
      </c>
      <c r="L386" s="1">
        <v>587</v>
      </c>
      <c r="M386" s="1">
        <v>166</v>
      </c>
      <c r="N386" s="1">
        <v>13930000</v>
      </c>
      <c r="O386" s="1">
        <v>4013</v>
      </c>
      <c r="P386" s="1">
        <v>1</v>
      </c>
      <c r="Q386" s="1">
        <v>0</v>
      </c>
    </row>
    <row r="387">
      <c r="A387" s="1">
        <v>2020</v>
      </c>
      <c r="B387" s="1">
        <v>41</v>
      </c>
      <c r="C387" s="1">
        <v>51</v>
      </c>
      <c r="D387" t="s">
        <v>3</v>
      </c>
      <c r="E387" t="s">
        <v>6</v>
      </c>
      <c r="F387" s="1">
        <v>41051</v>
      </c>
      <c r="G387" s="1">
        <v>6</v>
      </c>
      <c r="H387" s="1">
        <v>0</v>
      </c>
      <c r="I387" t="s">
        <v>411</v>
      </c>
      <c r="J387" t="s">
        <v>276</v>
      </c>
      <c r="K387" s="1">
        <v>6000</v>
      </c>
      <c r="L387" s="1">
        <v>566</v>
      </c>
      <c r="M387" s="1">
        <v>83</v>
      </c>
      <c r="N387" s="1">
        <v>3047400</v>
      </c>
      <c r="O387" s="1"/>
      <c r="P387" s="1">
        <v>1</v>
      </c>
      <c r="Q387" s="1">
        <v>0</v>
      </c>
    </row>
    <row r="388">
      <c r="A388" s="1">
        <v>2020</v>
      </c>
      <c r="B388" s="1">
        <v>41</v>
      </c>
      <c r="C388" s="1">
        <v>51</v>
      </c>
      <c r="D388" t="s">
        <v>3</v>
      </c>
      <c r="E388" t="s">
        <v>6</v>
      </c>
      <c r="F388" s="1">
        <v>41051</v>
      </c>
      <c r="G388" s="1">
        <v>6</v>
      </c>
      <c r="H388" s="1">
        <v>1</v>
      </c>
      <c r="I388" t="s">
        <v>11</v>
      </c>
      <c r="J388" t="s">
        <v>56</v>
      </c>
      <c r="K388" s="1">
        <v>6001</v>
      </c>
      <c r="L388" s="1">
        <v>196</v>
      </c>
      <c r="M388" s="1"/>
      <c r="N388" s="1">
        <v>15680000</v>
      </c>
      <c r="O388" s="1">
        <v>6001</v>
      </c>
      <c r="P388" s="1">
        <v>1</v>
      </c>
      <c r="Q388" s="1">
        <v>0</v>
      </c>
    </row>
    <row r="389">
      <c r="A389" s="1">
        <v>2020</v>
      </c>
      <c r="B389" s="1">
        <v>41</v>
      </c>
      <c r="C389" s="1">
        <v>51</v>
      </c>
      <c r="D389" t="s">
        <v>3</v>
      </c>
      <c r="E389" t="s">
        <v>6</v>
      </c>
      <c r="F389" s="1">
        <v>41051</v>
      </c>
      <c r="G389" s="1">
        <v>6</v>
      </c>
      <c r="H389" s="1">
        <v>37</v>
      </c>
      <c r="I389" t="s">
        <v>11</v>
      </c>
      <c r="J389" t="s">
        <v>61</v>
      </c>
      <c r="K389" s="1">
        <v>6037</v>
      </c>
      <c r="L389" s="1">
        <v>1366</v>
      </c>
      <c r="M389" s="1">
        <v>258</v>
      </c>
      <c r="N389" s="1">
        <v>65530500</v>
      </c>
      <c r="O389" s="1">
        <v>6037</v>
      </c>
      <c r="P389" s="1">
        <v>1</v>
      </c>
      <c r="Q389" s="1">
        <v>0</v>
      </c>
    </row>
    <row r="390">
      <c r="A390" s="1">
        <v>2020</v>
      </c>
      <c r="B390" s="1">
        <v>41</v>
      </c>
      <c r="C390" s="1">
        <v>51</v>
      </c>
      <c r="D390" t="s">
        <v>3</v>
      </c>
      <c r="E390" t="s">
        <v>6</v>
      </c>
      <c r="F390" s="1">
        <v>41051</v>
      </c>
      <c r="G390" s="1">
        <v>6</v>
      </c>
      <c r="H390" s="1">
        <v>59</v>
      </c>
      <c r="I390" t="s">
        <v>11</v>
      </c>
      <c r="J390" t="s">
        <v>64</v>
      </c>
      <c r="K390" s="1">
        <v>6059</v>
      </c>
      <c r="L390" s="1">
        <v>432</v>
      </c>
      <c r="M390" s="1">
        <v>143</v>
      </c>
      <c r="N390" s="1">
        <v>4625000</v>
      </c>
      <c r="O390" s="1">
        <v>6059</v>
      </c>
      <c r="P390" s="1">
        <v>1</v>
      </c>
      <c r="Q390" s="1">
        <v>0</v>
      </c>
    </row>
    <row r="391">
      <c r="A391" s="1">
        <v>2020</v>
      </c>
      <c r="B391" s="1">
        <v>41</v>
      </c>
      <c r="C391" s="1">
        <v>51</v>
      </c>
      <c r="D391" t="s">
        <v>3</v>
      </c>
      <c r="E391" t="s">
        <v>6</v>
      </c>
      <c r="F391" s="1">
        <v>41051</v>
      </c>
      <c r="G391" s="1">
        <v>6</v>
      </c>
      <c r="H391" s="1">
        <v>65</v>
      </c>
      <c r="I391" t="s">
        <v>11</v>
      </c>
      <c r="J391" t="s">
        <v>66</v>
      </c>
      <c r="K391" s="1">
        <v>6065</v>
      </c>
      <c r="L391" s="1">
        <v>192</v>
      </c>
      <c r="M391" s="1">
        <v>192</v>
      </c>
      <c r="N391" s="1">
        <v>8011700</v>
      </c>
      <c r="O391" s="1">
        <v>6065</v>
      </c>
      <c r="P391" s="1">
        <v>1</v>
      </c>
      <c r="Q391" s="1">
        <v>0</v>
      </c>
    </row>
    <row r="392">
      <c r="A392" s="1">
        <v>2020</v>
      </c>
      <c r="B392" s="1">
        <v>41</v>
      </c>
      <c r="C392" s="1">
        <v>51</v>
      </c>
      <c r="D392" t="s">
        <v>3</v>
      </c>
      <c r="E392" t="s">
        <v>6</v>
      </c>
      <c r="F392" s="1">
        <v>41051</v>
      </c>
      <c r="G392" s="1">
        <v>6</v>
      </c>
      <c r="H392" s="1">
        <v>67</v>
      </c>
      <c r="I392" t="s">
        <v>11</v>
      </c>
      <c r="J392" t="s">
        <v>67</v>
      </c>
      <c r="K392" s="1">
        <v>6067</v>
      </c>
      <c r="L392" s="1">
        <v>105</v>
      </c>
      <c r="M392" s="1">
        <v>105</v>
      </c>
      <c r="N392" s="1">
        <v>4294500</v>
      </c>
      <c r="O392" s="1">
        <v>6067</v>
      </c>
      <c r="P392" s="1">
        <v>1</v>
      </c>
      <c r="Q392" s="1">
        <v>0</v>
      </c>
    </row>
    <row r="393">
      <c r="A393" s="1">
        <v>2020</v>
      </c>
      <c r="B393" s="1">
        <v>41</v>
      </c>
      <c r="C393" s="1">
        <v>51</v>
      </c>
      <c r="D393" t="s">
        <v>3</v>
      </c>
      <c r="E393" t="s">
        <v>6</v>
      </c>
      <c r="F393" s="1">
        <v>41051</v>
      </c>
      <c r="G393" s="1">
        <v>6</v>
      </c>
      <c r="H393" s="1">
        <v>75</v>
      </c>
      <c r="I393" t="s">
        <v>11</v>
      </c>
      <c r="J393" t="s">
        <v>70</v>
      </c>
      <c r="K393" s="1">
        <v>6075</v>
      </c>
      <c r="L393" s="1">
        <v>940</v>
      </c>
      <c r="M393" s="1"/>
      <c r="N393" s="1">
        <v>106850000</v>
      </c>
      <c r="O393" s="1">
        <v>6075</v>
      </c>
      <c r="P393" s="1">
        <v>1</v>
      </c>
      <c r="Q393" s="1">
        <v>0</v>
      </c>
    </row>
    <row r="394">
      <c r="A394" s="1">
        <v>2020</v>
      </c>
      <c r="B394" s="1">
        <v>41</v>
      </c>
      <c r="C394" s="1">
        <v>51</v>
      </c>
      <c r="D394" t="s">
        <v>3</v>
      </c>
      <c r="E394" t="s">
        <v>6</v>
      </c>
      <c r="F394" s="1">
        <v>41051</v>
      </c>
      <c r="G394" s="1">
        <v>6</v>
      </c>
      <c r="H394" s="1">
        <v>111</v>
      </c>
      <c r="I394" t="s">
        <v>11</v>
      </c>
      <c r="J394" t="s">
        <v>78</v>
      </c>
      <c r="K394" s="1">
        <v>6111</v>
      </c>
      <c r="L394" s="1">
        <v>109</v>
      </c>
      <c r="M394" s="1"/>
      <c r="N394" s="1">
        <v>599500</v>
      </c>
      <c r="O394" s="1">
        <v>6111</v>
      </c>
      <c r="P394" s="1">
        <v>1</v>
      </c>
      <c r="Q394" s="1">
        <v>0</v>
      </c>
    </row>
    <row r="395">
      <c r="A395" s="1">
        <v>2020</v>
      </c>
      <c r="B395" s="1">
        <v>41</v>
      </c>
      <c r="C395" s="1">
        <v>51</v>
      </c>
      <c r="D395" t="s">
        <v>3</v>
      </c>
      <c r="E395" t="s">
        <v>6</v>
      </c>
      <c r="F395" s="1">
        <v>41051</v>
      </c>
      <c r="G395" s="1">
        <v>8</v>
      </c>
      <c r="H395" s="1">
        <v>0</v>
      </c>
      <c r="I395" t="s">
        <v>411</v>
      </c>
      <c r="J395" t="s">
        <v>276</v>
      </c>
      <c r="K395" s="1">
        <v>8000</v>
      </c>
      <c r="L395" s="1">
        <v>556</v>
      </c>
      <c r="M395" s="1">
        <v>426</v>
      </c>
      <c r="N395" s="1">
        <v>11651000</v>
      </c>
      <c r="O395" s="1"/>
      <c r="P395" s="1">
        <v>1</v>
      </c>
      <c r="Q395" s="1">
        <v>0</v>
      </c>
    </row>
    <row r="396">
      <c r="A396" s="1">
        <v>2020</v>
      </c>
      <c r="B396" s="1">
        <v>41</v>
      </c>
      <c r="C396" s="1">
        <v>51</v>
      </c>
      <c r="D396" t="s">
        <v>3</v>
      </c>
      <c r="E396" t="s">
        <v>6</v>
      </c>
      <c r="F396" s="1">
        <v>41051</v>
      </c>
      <c r="G396" s="1">
        <v>9</v>
      </c>
      <c r="H396" s="1">
        <v>3</v>
      </c>
      <c r="I396" t="s">
        <v>13</v>
      </c>
      <c r="J396" t="s">
        <v>182</v>
      </c>
      <c r="K396" s="1">
        <v>9003</v>
      </c>
      <c r="L396" s="1">
        <v>26</v>
      </c>
      <c r="M396" s="1">
        <v>26</v>
      </c>
      <c r="N396" s="1">
        <v>3380000</v>
      </c>
      <c r="O396" s="1">
        <v>9003</v>
      </c>
      <c r="P396" s="1">
        <v>1</v>
      </c>
      <c r="Q396" s="1">
        <v>0</v>
      </c>
    </row>
    <row r="397">
      <c r="A397" s="1">
        <v>2020</v>
      </c>
      <c r="B397" s="1">
        <v>41</v>
      </c>
      <c r="C397" s="1">
        <v>51</v>
      </c>
      <c r="D397" t="s">
        <v>3</v>
      </c>
      <c r="E397" t="s">
        <v>6</v>
      </c>
      <c r="F397" s="1">
        <v>41051</v>
      </c>
      <c r="G397" s="1">
        <v>9</v>
      </c>
      <c r="H397" s="1">
        <v>9</v>
      </c>
      <c r="I397" t="s">
        <v>13</v>
      </c>
      <c r="J397" t="s">
        <v>85</v>
      </c>
      <c r="K397" s="1">
        <v>9009</v>
      </c>
      <c r="L397" s="1">
        <v>181</v>
      </c>
      <c r="M397" s="1">
        <v>181</v>
      </c>
      <c r="N397" s="1">
        <v>1810000</v>
      </c>
      <c r="O397" s="1">
        <v>9009</v>
      </c>
      <c r="P397" s="1">
        <v>1</v>
      </c>
      <c r="Q397" s="1">
        <v>0</v>
      </c>
    </row>
    <row r="398">
      <c r="A398" s="1">
        <v>2020</v>
      </c>
      <c r="B398" s="1">
        <v>41</v>
      </c>
      <c r="C398" s="1">
        <v>51</v>
      </c>
      <c r="D398" t="s">
        <v>3</v>
      </c>
      <c r="E398" t="s">
        <v>6</v>
      </c>
      <c r="F398" s="1">
        <v>41051</v>
      </c>
      <c r="G398" s="1">
        <v>13</v>
      </c>
      <c r="H398" s="1">
        <v>0</v>
      </c>
      <c r="I398" t="s">
        <v>411</v>
      </c>
      <c r="J398" t="s">
        <v>276</v>
      </c>
      <c r="K398" s="1">
        <v>13000</v>
      </c>
      <c r="L398" s="1">
        <v>1814</v>
      </c>
      <c r="M398" s="1">
        <v>179</v>
      </c>
      <c r="N398" s="1">
        <v>36963850</v>
      </c>
      <c r="O398" s="1"/>
      <c r="P398" s="1">
        <v>1</v>
      </c>
      <c r="Q398" s="1">
        <v>0</v>
      </c>
    </row>
    <row r="399">
      <c r="A399" s="1">
        <v>2020</v>
      </c>
      <c r="B399" s="1">
        <v>41</v>
      </c>
      <c r="C399" s="1">
        <v>51</v>
      </c>
      <c r="D399" t="s">
        <v>3</v>
      </c>
      <c r="E399" t="s">
        <v>6</v>
      </c>
      <c r="F399" s="1">
        <v>41051</v>
      </c>
      <c r="G399" s="1">
        <v>13</v>
      </c>
      <c r="H399" s="1">
        <v>59</v>
      </c>
      <c r="I399" t="s">
        <v>16</v>
      </c>
      <c r="J399" t="s">
        <v>307</v>
      </c>
      <c r="K399" s="1">
        <v>13059</v>
      </c>
      <c r="L399" s="1">
        <v>277</v>
      </c>
      <c r="M399" s="1">
        <v>133</v>
      </c>
      <c r="N399" s="1">
        <v>21302400</v>
      </c>
      <c r="O399" s="1">
        <v>13059</v>
      </c>
      <c r="P399" s="1">
        <v>1</v>
      </c>
      <c r="Q399" s="1">
        <v>0</v>
      </c>
    </row>
    <row r="400">
      <c r="A400" s="1">
        <v>2020</v>
      </c>
      <c r="B400" s="1">
        <v>41</v>
      </c>
      <c r="C400" s="1">
        <v>51</v>
      </c>
      <c r="D400" t="s">
        <v>3</v>
      </c>
      <c r="E400" t="s">
        <v>6</v>
      </c>
      <c r="F400" s="1">
        <v>41051</v>
      </c>
      <c r="G400" s="1">
        <v>15</v>
      </c>
      <c r="H400" s="1">
        <v>0</v>
      </c>
      <c r="I400" t="s">
        <v>411</v>
      </c>
      <c r="J400" t="s">
        <v>276</v>
      </c>
      <c r="K400" s="1">
        <v>15000</v>
      </c>
      <c r="L400" s="1">
        <v>295</v>
      </c>
      <c r="M400" s="1">
        <v>295</v>
      </c>
      <c r="N400" s="1">
        <v>3746500</v>
      </c>
      <c r="O400" s="1"/>
      <c r="P400" s="1">
        <v>1</v>
      </c>
      <c r="Q400" s="1">
        <v>0</v>
      </c>
    </row>
    <row r="401">
      <c r="A401" s="1">
        <v>2020</v>
      </c>
      <c r="B401" s="1">
        <v>41</v>
      </c>
      <c r="C401" s="1">
        <v>51</v>
      </c>
      <c r="D401" t="s">
        <v>3</v>
      </c>
      <c r="E401" t="s">
        <v>6</v>
      </c>
      <c r="F401" s="1">
        <v>41051</v>
      </c>
      <c r="G401" s="1">
        <v>15</v>
      </c>
      <c r="H401" s="1">
        <v>3</v>
      </c>
      <c r="I401" t="s">
        <v>17</v>
      </c>
      <c r="J401" t="s">
        <v>93</v>
      </c>
      <c r="K401" s="1">
        <v>15003</v>
      </c>
      <c r="L401" s="1">
        <v>154</v>
      </c>
      <c r="M401" s="1"/>
      <c r="N401" s="1">
        <v>4620000</v>
      </c>
      <c r="O401" s="1">
        <v>15003</v>
      </c>
      <c r="P401" s="1">
        <v>1</v>
      </c>
      <c r="Q401" s="1">
        <v>0</v>
      </c>
    </row>
    <row r="402">
      <c r="A402" s="1">
        <v>2020</v>
      </c>
      <c r="B402" s="1">
        <v>41</v>
      </c>
      <c r="C402" s="1">
        <v>51</v>
      </c>
      <c r="D402" t="s">
        <v>3</v>
      </c>
      <c r="E402" t="s">
        <v>6</v>
      </c>
      <c r="F402" s="1">
        <v>41051</v>
      </c>
      <c r="G402" s="1">
        <v>16</v>
      </c>
      <c r="H402" s="1">
        <v>0</v>
      </c>
      <c r="I402" t="s">
        <v>411</v>
      </c>
      <c r="J402" t="s">
        <v>276</v>
      </c>
      <c r="K402" s="1">
        <v>16000</v>
      </c>
      <c r="L402" s="1">
        <v>819</v>
      </c>
      <c r="M402" s="1">
        <v>424</v>
      </c>
      <c r="N402" s="1">
        <v>20588000</v>
      </c>
      <c r="O402" s="1"/>
      <c r="P402" s="1">
        <v>1</v>
      </c>
      <c r="Q402" s="1">
        <v>0</v>
      </c>
    </row>
    <row r="403">
      <c r="A403" s="1">
        <v>2020</v>
      </c>
      <c r="B403" s="1">
        <v>41</v>
      </c>
      <c r="C403" s="1">
        <v>51</v>
      </c>
      <c r="D403" t="s">
        <v>3</v>
      </c>
      <c r="E403" t="s">
        <v>6</v>
      </c>
      <c r="F403" s="1">
        <v>41051</v>
      </c>
      <c r="G403" s="1">
        <v>17</v>
      </c>
      <c r="H403" s="1">
        <v>31</v>
      </c>
      <c r="I403" t="s">
        <v>19</v>
      </c>
      <c r="J403" t="s">
        <v>98</v>
      </c>
      <c r="K403" s="1">
        <v>17031</v>
      </c>
      <c r="L403" s="1">
        <v>290</v>
      </c>
      <c r="M403" s="1"/>
      <c r="N403" s="1">
        <v>6220000</v>
      </c>
      <c r="O403" s="1">
        <v>17031</v>
      </c>
      <c r="P403" s="1">
        <v>1</v>
      </c>
      <c r="Q403" s="1">
        <v>0</v>
      </c>
    </row>
    <row r="404">
      <c r="A404" s="1">
        <v>2020</v>
      </c>
      <c r="B404" s="1">
        <v>41</v>
      </c>
      <c r="C404" s="1">
        <v>51</v>
      </c>
      <c r="D404" t="s">
        <v>3</v>
      </c>
      <c r="E404" t="s">
        <v>6</v>
      </c>
      <c r="F404" s="1">
        <v>41051</v>
      </c>
      <c r="G404" s="1">
        <v>17</v>
      </c>
      <c r="H404" s="1">
        <v>43</v>
      </c>
      <c r="I404" t="s">
        <v>19</v>
      </c>
      <c r="J404" t="s">
        <v>187</v>
      </c>
      <c r="K404" s="1">
        <v>17043</v>
      </c>
      <c r="L404" s="1">
        <v>91</v>
      </c>
      <c r="M404" s="1">
        <v>91</v>
      </c>
      <c r="N404" s="1">
        <v>3185000</v>
      </c>
      <c r="O404" s="1">
        <v>17043</v>
      </c>
      <c r="P404" s="1">
        <v>1</v>
      </c>
      <c r="Q404" s="1">
        <v>0</v>
      </c>
    </row>
    <row r="405">
      <c r="A405" s="1">
        <v>2020</v>
      </c>
      <c r="B405" s="1">
        <v>41</v>
      </c>
      <c r="C405" s="1">
        <v>51</v>
      </c>
      <c r="D405" t="s">
        <v>3</v>
      </c>
      <c r="E405" t="s">
        <v>6</v>
      </c>
      <c r="F405" s="1">
        <v>41051</v>
      </c>
      <c r="G405" s="1">
        <v>17</v>
      </c>
      <c r="H405" s="1">
        <v>119</v>
      </c>
      <c r="I405" t="s">
        <v>19</v>
      </c>
      <c r="J405" t="s">
        <v>308</v>
      </c>
      <c r="K405" s="1">
        <v>17119</v>
      </c>
      <c r="L405" s="1">
        <v>79</v>
      </c>
      <c r="M405" s="1">
        <v>79</v>
      </c>
      <c r="N405" s="1">
        <v>2418980</v>
      </c>
      <c r="O405" s="1">
        <v>17119</v>
      </c>
      <c r="P405" s="1">
        <v>1</v>
      </c>
      <c r="Q405" s="1">
        <v>0</v>
      </c>
    </row>
    <row r="406">
      <c r="A406" s="1">
        <v>2020</v>
      </c>
      <c r="B406" s="1">
        <v>41</v>
      </c>
      <c r="C406" s="1">
        <v>51</v>
      </c>
      <c r="D406" t="s">
        <v>3</v>
      </c>
      <c r="E406" t="s">
        <v>6</v>
      </c>
      <c r="F406" s="1">
        <v>41051</v>
      </c>
      <c r="G406" s="1">
        <v>20</v>
      </c>
      <c r="H406" s="1">
        <v>91</v>
      </c>
      <c r="I406" t="s">
        <v>42</v>
      </c>
      <c r="J406" t="s">
        <v>188</v>
      </c>
      <c r="K406" s="1">
        <v>20091</v>
      </c>
      <c r="L406" s="1">
        <v>120</v>
      </c>
      <c r="M406" s="1"/>
      <c r="N406" s="1">
        <v>3360000</v>
      </c>
      <c r="O406" s="1">
        <v>20091</v>
      </c>
      <c r="P406" s="1">
        <v>1</v>
      </c>
      <c r="Q406" s="1">
        <v>0</v>
      </c>
    </row>
    <row r="407">
      <c r="A407" s="1">
        <v>2020</v>
      </c>
      <c r="B407" s="1">
        <v>41</v>
      </c>
      <c r="C407" s="1">
        <v>51</v>
      </c>
      <c r="D407" t="s">
        <v>3</v>
      </c>
      <c r="E407" t="s">
        <v>6</v>
      </c>
      <c r="F407" s="1">
        <v>41051</v>
      </c>
      <c r="G407" s="1">
        <v>21</v>
      </c>
      <c r="H407" s="1">
        <v>227</v>
      </c>
      <c r="I407" t="s">
        <v>43</v>
      </c>
      <c r="J407" t="s">
        <v>309</v>
      </c>
      <c r="K407" s="1">
        <v>21227</v>
      </c>
      <c r="L407" s="1">
        <v>148</v>
      </c>
      <c r="M407" s="1">
        <v>148</v>
      </c>
      <c r="N407" s="1">
        <v>2220000</v>
      </c>
      <c r="O407" s="1">
        <v>21227</v>
      </c>
      <c r="P407" s="1">
        <v>1</v>
      </c>
      <c r="Q407" s="1">
        <v>0</v>
      </c>
    </row>
    <row r="408">
      <c r="A408" s="1">
        <v>2020</v>
      </c>
      <c r="B408" s="1">
        <v>41</v>
      </c>
      <c r="C408" s="1">
        <v>51</v>
      </c>
      <c r="D408" t="s">
        <v>3</v>
      </c>
      <c r="E408" t="s">
        <v>6</v>
      </c>
      <c r="F408" s="1">
        <v>41051</v>
      </c>
      <c r="G408" s="1">
        <v>23</v>
      </c>
      <c r="H408" s="1">
        <v>0</v>
      </c>
      <c r="I408" t="s">
        <v>411</v>
      </c>
      <c r="J408" t="s">
        <v>276</v>
      </c>
      <c r="K408" s="1">
        <v>23000</v>
      </c>
      <c r="L408" s="1">
        <v>73</v>
      </c>
      <c r="M408" s="1"/>
      <c r="N408" s="1">
        <v>781100</v>
      </c>
      <c r="O408" s="1"/>
      <c r="P408" s="1">
        <v>1</v>
      </c>
      <c r="Q408" s="1">
        <v>0</v>
      </c>
    </row>
    <row r="409">
      <c r="A409" s="1">
        <v>2020</v>
      </c>
      <c r="B409" s="1">
        <v>41</v>
      </c>
      <c r="C409" s="1">
        <v>51</v>
      </c>
      <c r="D409" t="s">
        <v>3</v>
      </c>
      <c r="E409" t="s">
        <v>6</v>
      </c>
      <c r="F409" s="1">
        <v>41051</v>
      </c>
      <c r="G409" s="1">
        <v>24</v>
      </c>
      <c r="H409" s="1">
        <v>510</v>
      </c>
      <c r="I409" t="s">
        <v>24</v>
      </c>
      <c r="J409" t="s">
        <v>190</v>
      </c>
      <c r="K409" s="1">
        <v>24510</v>
      </c>
      <c r="L409" s="1">
        <v>96</v>
      </c>
      <c r="M409" s="1">
        <v>96</v>
      </c>
      <c r="N409" s="1">
        <v>460800</v>
      </c>
      <c r="O409" s="1">
        <v>24510</v>
      </c>
      <c r="P409" s="1">
        <v>1</v>
      </c>
      <c r="Q409" s="1">
        <v>0</v>
      </c>
    </row>
    <row r="410">
      <c r="A410" s="1">
        <v>2020</v>
      </c>
      <c r="B410" s="1">
        <v>41</v>
      </c>
      <c r="C410" s="1">
        <v>51</v>
      </c>
      <c r="D410" t="s">
        <v>3</v>
      </c>
      <c r="E410" t="s">
        <v>6</v>
      </c>
      <c r="F410" s="1">
        <v>41051</v>
      </c>
      <c r="G410" s="1">
        <v>25</v>
      </c>
      <c r="H410" s="1">
        <v>0</v>
      </c>
      <c r="I410" t="s">
        <v>411</v>
      </c>
      <c r="J410" t="s">
        <v>276</v>
      </c>
      <c r="K410" s="1">
        <v>25000</v>
      </c>
      <c r="L410" s="1">
        <v>629</v>
      </c>
      <c r="M410" s="1">
        <v>439</v>
      </c>
      <c r="N410" s="1">
        <v>40502750</v>
      </c>
      <c r="O410" s="1"/>
      <c r="P410" s="1">
        <v>1</v>
      </c>
      <c r="Q410" s="1">
        <v>0</v>
      </c>
    </row>
    <row r="411">
      <c r="A411" s="1">
        <v>2020</v>
      </c>
      <c r="B411" s="1">
        <v>41</v>
      </c>
      <c r="C411" s="1">
        <v>51</v>
      </c>
      <c r="D411" t="s">
        <v>3</v>
      </c>
      <c r="E411" t="s">
        <v>6</v>
      </c>
      <c r="F411" s="1">
        <v>41051</v>
      </c>
      <c r="G411" s="1">
        <v>25</v>
      </c>
      <c r="H411" s="1">
        <v>25</v>
      </c>
      <c r="I411" t="s">
        <v>25</v>
      </c>
      <c r="J411" t="s">
        <v>105</v>
      </c>
      <c r="K411" s="1">
        <v>25025</v>
      </c>
      <c r="L411" s="1">
        <v>353</v>
      </c>
      <c r="M411" s="1">
        <v>244</v>
      </c>
      <c r="N411" s="1">
        <v>12183000</v>
      </c>
      <c r="O411" s="1">
        <v>25025</v>
      </c>
      <c r="P411" s="1">
        <v>1</v>
      </c>
      <c r="Q411" s="1">
        <v>0</v>
      </c>
    </row>
    <row r="412">
      <c r="A412" s="1">
        <v>2020</v>
      </c>
      <c r="B412" s="1">
        <v>41</v>
      </c>
      <c r="C412" s="1">
        <v>51</v>
      </c>
      <c r="D412" t="s">
        <v>3</v>
      </c>
      <c r="E412" t="s">
        <v>6</v>
      </c>
      <c r="F412" s="1">
        <v>41051</v>
      </c>
      <c r="G412" s="1">
        <v>26</v>
      </c>
      <c r="H412" s="1">
        <v>121</v>
      </c>
      <c r="I412" t="s">
        <v>26</v>
      </c>
      <c r="J412" t="s">
        <v>310</v>
      </c>
      <c r="K412" s="1">
        <v>26121</v>
      </c>
      <c r="L412" s="1">
        <v>112</v>
      </c>
      <c r="M412" s="1">
        <v>112</v>
      </c>
      <c r="N412" s="1">
        <v>36848000</v>
      </c>
      <c r="O412" s="1">
        <v>26121</v>
      </c>
      <c r="P412" s="1">
        <v>1</v>
      </c>
      <c r="Q412" s="1">
        <v>0</v>
      </c>
    </row>
    <row r="413">
      <c r="A413" s="1">
        <v>2020</v>
      </c>
      <c r="B413" s="1">
        <v>41</v>
      </c>
      <c r="C413" s="1">
        <v>51</v>
      </c>
      <c r="D413" t="s">
        <v>3</v>
      </c>
      <c r="E413" t="s">
        <v>6</v>
      </c>
      <c r="F413" s="1">
        <v>41051</v>
      </c>
      <c r="G413" s="1">
        <v>30</v>
      </c>
      <c r="H413" s="1">
        <v>0</v>
      </c>
      <c r="I413" t="s">
        <v>411</v>
      </c>
      <c r="J413" t="s">
        <v>276</v>
      </c>
      <c r="K413" s="1">
        <v>30000</v>
      </c>
      <c r="L413" s="1">
        <v>273</v>
      </c>
      <c r="M413" s="1">
        <v>132</v>
      </c>
      <c r="N413" s="1">
        <v>43236300</v>
      </c>
      <c r="O413" s="1"/>
      <c r="P413" s="1">
        <v>1</v>
      </c>
      <c r="Q413" s="1">
        <v>0</v>
      </c>
    </row>
    <row r="414">
      <c r="A414" s="1">
        <v>2020</v>
      </c>
      <c r="B414" s="1">
        <v>41</v>
      </c>
      <c r="C414" s="1">
        <v>51</v>
      </c>
      <c r="D414" t="s">
        <v>3</v>
      </c>
      <c r="E414" t="s">
        <v>6</v>
      </c>
      <c r="F414" s="1">
        <v>41051</v>
      </c>
      <c r="G414" s="1">
        <v>34</v>
      </c>
      <c r="H414" s="1">
        <v>5</v>
      </c>
      <c r="I414" t="s">
        <v>46</v>
      </c>
      <c r="J414" t="s">
        <v>311</v>
      </c>
      <c r="K414" s="1">
        <v>34005</v>
      </c>
      <c r="L414" s="1">
        <v>200</v>
      </c>
      <c r="M414" s="1">
        <v>99</v>
      </c>
      <c r="N414" s="1">
        <v>18399200</v>
      </c>
      <c r="O414" s="1">
        <v>34005</v>
      </c>
      <c r="P414" s="1">
        <v>1</v>
      </c>
      <c r="Q414" s="1">
        <v>0</v>
      </c>
    </row>
    <row r="415">
      <c r="A415" s="1">
        <v>2020</v>
      </c>
      <c r="B415" s="1">
        <v>41</v>
      </c>
      <c r="C415" s="1">
        <v>51</v>
      </c>
      <c r="D415" t="s">
        <v>3</v>
      </c>
      <c r="E415" t="s">
        <v>6</v>
      </c>
      <c r="F415" s="1">
        <v>41051</v>
      </c>
      <c r="G415" s="1">
        <v>34</v>
      </c>
      <c r="H415" s="1">
        <v>17</v>
      </c>
      <c r="I415" t="s">
        <v>46</v>
      </c>
      <c r="J415" t="s">
        <v>201</v>
      </c>
      <c r="K415" s="1">
        <v>34017</v>
      </c>
      <c r="L415" s="1">
        <v>128</v>
      </c>
      <c r="M415" s="1"/>
      <c r="N415" s="1">
        <v>7808000</v>
      </c>
      <c r="O415" s="1">
        <v>34017</v>
      </c>
      <c r="P415" s="1">
        <v>1</v>
      </c>
      <c r="Q415" s="1">
        <v>0</v>
      </c>
    </row>
    <row r="416">
      <c r="A416" s="1">
        <v>2020</v>
      </c>
      <c r="B416" s="1">
        <v>41</v>
      </c>
      <c r="C416" s="1">
        <v>51</v>
      </c>
      <c r="D416" t="s">
        <v>3</v>
      </c>
      <c r="E416" t="s">
        <v>6</v>
      </c>
      <c r="F416" s="1">
        <v>41051</v>
      </c>
      <c r="G416" s="1">
        <v>34</v>
      </c>
      <c r="H416" s="1">
        <v>23</v>
      </c>
      <c r="I416" t="s">
        <v>46</v>
      </c>
      <c r="J416" t="s">
        <v>104</v>
      </c>
      <c r="K416" s="1">
        <v>34023</v>
      </c>
      <c r="L416" s="1">
        <v>257</v>
      </c>
      <c r="M416" s="1">
        <v>175</v>
      </c>
      <c r="N416" s="1">
        <v>8225000</v>
      </c>
      <c r="O416" s="1">
        <v>34023</v>
      </c>
      <c r="P416" s="1">
        <v>1</v>
      </c>
      <c r="Q416" s="1">
        <v>0</v>
      </c>
    </row>
    <row r="417">
      <c r="A417" s="1">
        <v>2020</v>
      </c>
      <c r="B417" s="1">
        <v>41</v>
      </c>
      <c r="C417" s="1">
        <v>51</v>
      </c>
      <c r="D417" t="s">
        <v>3</v>
      </c>
      <c r="E417" t="s">
        <v>6</v>
      </c>
      <c r="F417" s="1">
        <v>41051</v>
      </c>
      <c r="G417" s="1">
        <v>35</v>
      </c>
      <c r="H417" s="1">
        <v>0</v>
      </c>
      <c r="I417" t="s">
        <v>411</v>
      </c>
      <c r="J417" t="s">
        <v>276</v>
      </c>
      <c r="K417" s="1">
        <v>35000</v>
      </c>
      <c r="L417" s="1">
        <v>512</v>
      </c>
      <c r="M417" s="1">
        <v>370</v>
      </c>
      <c r="N417" s="1">
        <v>4739200</v>
      </c>
      <c r="O417" s="1"/>
      <c r="P417" s="1">
        <v>1</v>
      </c>
      <c r="Q417" s="1">
        <v>0</v>
      </c>
    </row>
    <row r="418">
      <c r="A418" s="1">
        <v>2020</v>
      </c>
      <c r="B418" s="1">
        <v>41</v>
      </c>
      <c r="C418" s="1">
        <v>51</v>
      </c>
      <c r="D418" t="s">
        <v>3</v>
      </c>
      <c r="E418" t="s">
        <v>6</v>
      </c>
      <c r="F418" s="1">
        <v>41051</v>
      </c>
      <c r="G418" s="1">
        <v>36</v>
      </c>
      <c r="H418" s="1">
        <v>0</v>
      </c>
      <c r="I418" t="s">
        <v>411</v>
      </c>
      <c r="J418" t="s">
        <v>276</v>
      </c>
      <c r="K418" s="1">
        <v>36000</v>
      </c>
      <c r="L418" s="1">
        <v>351</v>
      </c>
      <c r="M418" s="1">
        <v>151</v>
      </c>
      <c r="N418" s="1">
        <v>1268400</v>
      </c>
      <c r="O418" s="1"/>
      <c r="P418" s="1">
        <v>1</v>
      </c>
      <c r="Q418" s="1">
        <v>0</v>
      </c>
    </row>
    <row r="419">
      <c r="A419" s="1">
        <v>2020</v>
      </c>
      <c r="B419" s="1">
        <v>41</v>
      </c>
      <c r="C419" s="1">
        <v>51</v>
      </c>
      <c r="D419" t="s">
        <v>3</v>
      </c>
      <c r="E419" t="s">
        <v>6</v>
      </c>
      <c r="F419" s="1">
        <v>41051</v>
      </c>
      <c r="G419" s="1">
        <v>36</v>
      </c>
      <c r="H419" s="1">
        <v>61</v>
      </c>
      <c r="I419" t="s">
        <v>31</v>
      </c>
      <c r="J419" t="s">
        <v>117</v>
      </c>
      <c r="K419" s="1">
        <v>36061</v>
      </c>
      <c r="L419" s="1">
        <v>308</v>
      </c>
      <c r="M419" s="1">
        <v>152</v>
      </c>
      <c r="N419" s="1">
        <v>63460000</v>
      </c>
      <c r="O419" s="1">
        <v>36061</v>
      </c>
      <c r="P419" s="1">
        <v>1</v>
      </c>
      <c r="Q419" s="1">
        <v>0</v>
      </c>
    </row>
    <row r="420">
      <c r="A420" s="1">
        <v>2020</v>
      </c>
      <c r="B420" s="1">
        <v>41</v>
      </c>
      <c r="C420" s="1">
        <v>51</v>
      </c>
      <c r="D420" t="s">
        <v>3</v>
      </c>
      <c r="E420" t="s">
        <v>6</v>
      </c>
      <c r="F420" s="1">
        <v>41051</v>
      </c>
      <c r="G420" s="1">
        <v>36</v>
      </c>
      <c r="H420" s="1">
        <v>71</v>
      </c>
      <c r="I420" t="s">
        <v>31</v>
      </c>
      <c r="J420" t="s">
        <v>64</v>
      </c>
      <c r="K420" s="1">
        <v>36071</v>
      </c>
      <c r="L420" s="1">
        <v>366</v>
      </c>
      <c r="M420" s="1">
        <v>120</v>
      </c>
      <c r="N420" s="1">
        <v>13056000</v>
      </c>
      <c r="O420" s="1">
        <v>36071</v>
      </c>
      <c r="P420" s="1">
        <v>1</v>
      </c>
      <c r="Q420" s="1">
        <v>0</v>
      </c>
    </row>
    <row r="421">
      <c r="A421" s="1">
        <v>2020</v>
      </c>
      <c r="B421" s="1">
        <v>41</v>
      </c>
      <c r="C421" s="1">
        <v>51</v>
      </c>
      <c r="D421" t="s">
        <v>3</v>
      </c>
      <c r="E421" t="s">
        <v>6</v>
      </c>
      <c r="F421" s="1">
        <v>41051</v>
      </c>
      <c r="G421" s="1">
        <v>37</v>
      </c>
      <c r="H421" s="1">
        <v>0</v>
      </c>
      <c r="I421" t="s">
        <v>411</v>
      </c>
      <c r="J421" t="s">
        <v>276</v>
      </c>
      <c r="K421" s="1">
        <v>37000</v>
      </c>
      <c r="L421" s="1">
        <v>106</v>
      </c>
      <c r="M421" s="1">
        <v>106</v>
      </c>
      <c r="N421" s="1">
        <v>4240</v>
      </c>
      <c r="O421" s="1"/>
      <c r="P421" s="1">
        <v>1</v>
      </c>
      <c r="Q421" s="1">
        <v>0</v>
      </c>
    </row>
    <row r="422">
      <c r="A422" s="1">
        <v>2020</v>
      </c>
      <c r="B422" s="1">
        <v>41</v>
      </c>
      <c r="C422" s="1">
        <v>51</v>
      </c>
      <c r="D422" t="s">
        <v>3</v>
      </c>
      <c r="E422" t="s">
        <v>6</v>
      </c>
      <c r="F422" s="1">
        <v>41051</v>
      </c>
      <c r="G422" s="1">
        <v>37</v>
      </c>
      <c r="H422" s="1">
        <v>63</v>
      </c>
      <c r="I422" t="s">
        <v>32</v>
      </c>
      <c r="J422" t="s">
        <v>205</v>
      </c>
      <c r="K422" s="1">
        <v>37063</v>
      </c>
      <c r="L422" s="1">
        <v>74</v>
      </c>
      <c r="M422" s="1"/>
      <c r="N422" s="1">
        <v>8880000</v>
      </c>
      <c r="O422" s="1">
        <v>37063</v>
      </c>
      <c r="P422" s="1">
        <v>1</v>
      </c>
      <c r="Q422" s="1">
        <v>0</v>
      </c>
    </row>
    <row r="423">
      <c r="A423" s="1">
        <v>2020</v>
      </c>
      <c r="B423" s="1">
        <v>41</v>
      </c>
      <c r="C423" s="1">
        <v>51</v>
      </c>
      <c r="D423" t="s">
        <v>3</v>
      </c>
      <c r="E423" t="s">
        <v>6</v>
      </c>
      <c r="F423" s="1">
        <v>41051</v>
      </c>
      <c r="G423" s="1">
        <v>39</v>
      </c>
      <c r="H423" s="1">
        <v>35</v>
      </c>
      <c r="I423" t="s">
        <v>33</v>
      </c>
      <c r="J423" t="s">
        <v>207</v>
      </c>
      <c r="K423" s="1">
        <v>39035</v>
      </c>
      <c r="L423" s="1">
        <v>61</v>
      </c>
      <c r="M423" s="1"/>
      <c r="N423" s="1">
        <v>0</v>
      </c>
      <c r="O423" s="1">
        <v>39035</v>
      </c>
      <c r="P423" s="1">
        <v>1</v>
      </c>
      <c r="Q423" s="1">
        <v>0</v>
      </c>
    </row>
    <row r="424">
      <c r="A424" s="1">
        <v>2020</v>
      </c>
      <c r="B424" s="1">
        <v>41</v>
      </c>
      <c r="C424" s="1">
        <v>51</v>
      </c>
      <c r="D424" t="s">
        <v>3</v>
      </c>
      <c r="E424" t="s">
        <v>6</v>
      </c>
      <c r="F424" s="1">
        <v>41051</v>
      </c>
      <c r="G424" s="1">
        <v>39</v>
      </c>
      <c r="H424" s="1">
        <v>49</v>
      </c>
      <c r="I424" t="s">
        <v>33</v>
      </c>
      <c r="J424" t="s">
        <v>122</v>
      </c>
      <c r="K424" s="1">
        <v>39049</v>
      </c>
      <c r="L424" s="1">
        <v>187</v>
      </c>
      <c r="M424" s="1">
        <v>187</v>
      </c>
      <c r="N424" s="1">
        <v>3553000</v>
      </c>
      <c r="O424" s="1">
        <v>39049</v>
      </c>
      <c r="P424" s="1">
        <v>1</v>
      </c>
      <c r="Q424" s="1">
        <v>0</v>
      </c>
    </row>
    <row r="425">
      <c r="A425" s="1">
        <v>2020</v>
      </c>
      <c r="B425" s="1">
        <v>41</v>
      </c>
      <c r="C425" s="1">
        <v>51</v>
      </c>
      <c r="D425" t="s">
        <v>3</v>
      </c>
      <c r="E425" t="s">
        <v>6</v>
      </c>
      <c r="F425" s="1">
        <v>41051</v>
      </c>
      <c r="G425" s="1">
        <v>41</v>
      </c>
      <c r="H425" s="1">
        <v>0</v>
      </c>
      <c r="I425" t="s">
        <v>411</v>
      </c>
      <c r="J425" t="s">
        <v>276</v>
      </c>
      <c r="K425" s="1">
        <v>41000</v>
      </c>
      <c r="L425" s="1">
        <v>1573</v>
      </c>
      <c r="M425" s="1">
        <v>260</v>
      </c>
      <c r="N425" s="1">
        <v>42345800</v>
      </c>
      <c r="O425" s="1"/>
      <c r="P425" s="1">
        <v>1</v>
      </c>
      <c r="Q425" s="1">
        <v>0</v>
      </c>
    </row>
    <row r="426">
      <c r="A426" s="1">
        <v>2020</v>
      </c>
      <c r="B426" s="1">
        <v>41</v>
      </c>
      <c r="C426" s="1">
        <v>51</v>
      </c>
      <c r="D426" t="s">
        <v>3</v>
      </c>
      <c r="E426" t="s">
        <v>6</v>
      </c>
      <c r="F426" s="1">
        <v>41051</v>
      </c>
      <c r="G426" s="1">
        <v>41</v>
      </c>
      <c r="H426" s="1">
        <v>5</v>
      </c>
      <c r="I426" t="s">
        <v>3</v>
      </c>
      <c r="J426" t="s">
        <v>125</v>
      </c>
      <c r="K426" s="1">
        <v>41005</v>
      </c>
      <c r="L426" s="1">
        <v>5595</v>
      </c>
      <c r="M426" s="1">
        <v>2806</v>
      </c>
      <c r="N426" s="1">
        <v>267203760</v>
      </c>
      <c r="O426" s="1">
        <v>41005</v>
      </c>
      <c r="P426" s="1">
        <v>1</v>
      </c>
      <c r="Q426" s="1">
        <v>0</v>
      </c>
    </row>
    <row r="427">
      <c r="A427" s="1">
        <v>2020</v>
      </c>
      <c r="B427" s="1">
        <v>41</v>
      </c>
      <c r="C427" s="1">
        <v>51</v>
      </c>
      <c r="D427" t="s">
        <v>3</v>
      </c>
      <c r="E427" t="s">
        <v>6</v>
      </c>
      <c r="F427" s="1">
        <v>41051</v>
      </c>
      <c r="G427" s="1">
        <v>41</v>
      </c>
      <c r="H427" s="1">
        <v>17</v>
      </c>
      <c r="I427" t="s">
        <v>3</v>
      </c>
      <c r="J427" t="s">
        <v>130</v>
      </c>
      <c r="K427" s="1">
        <v>41017</v>
      </c>
      <c r="L427" s="1">
        <v>967</v>
      </c>
      <c r="M427" s="1">
        <v>134</v>
      </c>
      <c r="N427" s="1">
        <v>16486550</v>
      </c>
      <c r="O427" s="1">
        <v>41017</v>
      </c>
      <c r="P427" s="1">
        <v>1</v>
      </c>
      <c r="Q427" s="1">
        <v>0</v>
      </c>
    </row>
    <row r="428">
      <c r="A428" s="1">
        <v>2020</v>
      </c>
      <c r="B428" s="1">
        <v>41</v>
      </c>
      <c r="C428" s="1">
        <v>51</v>
      </c>
      <c r="D428" t="s">
        <v>3</v>
      </c>
      <c r="E428" t="s">
        <v>6</v>
      </c>
      <c r="F428" s="1">
        <v>41051</v>
      </c>
      <c r="G428" s="1">
        <v>41</v>
      </c>
      <c r="H428" s="1">
        <v>19</v>
      </c>
      <c r="I428" t="s">
        <v>3</v>
      </c>
      <c r="J428" t="s">
        <v>131</v>
      </c>
      <c r="K428" s="1">
        <v>41019</v>
      </c>
      <c r="L428" s="1">
        <v>103</v>
      </c>
      <c r="M428" s="1">
        <v>103</v>
      </c>
      <c r="N428" s="1">
        <v>1236000</v>
      </c>
      <c r="O428" s="1">
        <v>41019</v>
      </c>
      <c r="P428" s="1">
        <v>1</v>
      </c>
      <c r="Q428" s="1">
        <v>0</v>
      </c>
    </row>
    <row r="429">
      <c r="A429" s="1">
        <v>2020</v>
      </c>
      <c r="B429" s="1">
        <v>41</v>
      </c>
      <c r="C429" s="1">
        <v>51</v>
      </c>
      <c r="D429" t="s">
        <v>3</v>
      </c>
      <c r="E429" t="s">
        <v>6</v>
      </c>
      <c r="F429" s="1">
        <v>41051</v>
      </c>
      <c r="G429" s="1">
        <v>41</v>
      </c>
      <c r="H429" s="1">
        <v>29</v>
      </c>
      <c r="I429" t="s">
        <v>3</v>
      </c>
      <c r="J429" t="s">
        <v>133</v>
      </c>
      <c r="K429" s="1">
        <v>41029</v>
      </c>
      <c r="L429" s="1">
        <v>809</v>
      </c>
      <c r="M429" s="1">
        <v>229</v>
      </c>
      <c r="N429" s="1">
        <v>34479600</v>
      </c>
      <c r="O429" s="1">
        <v>41029</v>
      </c>
      <c r="P429" s="1">
        <v>1</v>
      </c>
      <c r="Q429" s="1">
        <v>0</v>
      </c>
    </row>
    <row r="430">
      <c r="A430" s="1">
        <v>2020</v>
      </c>
      <c r="B430" s="1">
        <v>41</v>
      </c>
      <c r="C430" s="1">
        <v>51</v>
      </c>
      <c r="D430" t="s">
        <v>3</v>
      </c>
      <c r="E430" t="s">
        <v>6</v>
      </c>
      <c r="F430" s="1">
        <v>41051</v>
      </c>
      <c r="G430" s="1">
        <v>41</v>
      </c>
      <c r="H430" s="1">
        <v>39</v>
      </c>
      <c r="I430" t="s">
        <v>3</v>
      </c>
      <c r="J430" t="s">
        <v>136</v>
      </c>
      <c r="K430" s="1">
        <v>41039</v>
      </c>
      <c r="L430" s="1">
        <v>1045</v>
      </c>
      <c r="M430" s="1">
        <v>356</v>
      </c>
      <c r="N430" s="1">
        <v>49152200</v>
      </c>
      <c r="O430" s="1">
        <v>41039</v>
      </c>
      <c r="P430" s="1">
        <v>1</v>
      </c>
      <c r="Q430" s="1">
        <v>0</v>
      </c>
    </row>
    <row r="431">
      <c r="A431" s="1">
        <v>2020</v>
      </c>
      <c r="B431" s="1">
        <v>41</v>
      </c>
      <c r="C431" s="1">
        <v>51</v>
      </c>
      <c r="D431" t="s">
        <v>3</v>
      </c>
      <c r="E431" t="s">
        <v>6</v>
      </c>
      <c r="F431" s="1">
        <v>41051</v>
      </c>
      <c r="G431" s="1">
        <v>41</v>
      </c>
      <c r="H431" s="1">
        <v>47</v>
      </c>
      <c r="I431" t="s">
        <v>3</v>
      </c>
      <c r="J431" t="s">
        <v>99</v>
      </c>
      <c r="K431" s="1">
        <v>41047</v>
      </c>
      <c r="L431" s="1">
        <v>1089</v>
      </c>
      <c r="M431" s="1">
        <v>363</v>
      </c>
      <c r="N431" s="1">
        <v>41188400</v>
      </c>
      <c r="O431" s="1">
        <v>41047</v>
      </c>
      <c r="P431" s="1">
        <v>1</v>
      </c>
      <c r="Q431" s="1">
        <v>0</v>
      </c>
    </row>
    <row r="432">
      <c r="A432" s="1">
        <v>2020</v>
      </c>
      <c r="B432" s="1">
        <v>41</v>
      </c>
      <c r="C432" s="1">
        <v>51</v>
      </c>
      <c r="D432" t="s">
        <v>3</v>
      </c>
      <c r="E432" t="s">
        <v>6</v>
      </c>
      <c r="F432" s="1">
        <v>41051</v>
      </c>
      <c r="G432" s="1">
        <v>41</v>
      </c>
      <c r="H432" s="1">
        <v>51</v>
      </c>
      <c r="I432" t="s">
        <v>3</v>
      </c>
      <c r="J432" t="s">
        <v>6</v>
      </c>
      <c r="K432" s="1">
        <v>41051</v>
      </c>
      <c r="L432" s="1">
        <v>596774</v>
      </c>
      <c r="M432" s="1">
        <v>326048</v>
      </c>
      <c r="N432" s="1">
        <v>34804726934</v>
      </c>
      <c r="O432" s="1">
        <v>41051</v>
      </c>
      <c r="P432" s="1">
        <v>1</v>
      </c>
      <c r="Q432" s="1">
        <v>1</v>
      </c>
    </row>
    <row r="433">
      <c r="A433" s="1">
        <v>2020</v>
      </c>
      <c r="B433" s="1">
        <v>41</v>
      </c>
      <c r="C433" s="1">
        <v>51</v>
      </c>
      <c r="D433" t="s">
        <v>3</v>
      </c>
      <c r="E433" t="s">
        <v>6</v>
      </c>
      <c r="F433" s="1">
        <v>41051</v>
      </c>
      <c r="G433" s="1">
        <v>41</v>
      </c>
      <c r="H433" s="1">
        <v>67</v>
      </c>
      <c r="I433" t="s">
        <v>3</v>
      </c>
      <c r="J433" t="s">
        <v>143</v>
      </c>
      <c r="K433" s="1">
        <v>41067</v>
      </c>
      <c r="L433" s="1">
        <v>9636</v>
      </c>
      <c r="M433" s="1">
        <v>4396</v>
      </c>
      <c r="N433" s="1">
        <v>479537820</v>
      </c>
      <c r="O433" s="1">
        <v>41067</v>
      </c>
      <c r="P433" s="1">
        <v>1</v>
      </c>
      <c r="Q433" s="1">
        <v>0</v>
      </c>
    </row>
    <row r="434">
      <c r="A434" s="1">
        <v>2020</v>
      </c>
      <c r="B434" s="1">
        <v>41</v>
      </c>
      <c r="C434" s="1">
        <v>51</v>
      </c>
      <c r="D434" t="s">
        <v>3</v>
      </c>
      <c r="E434" t="s">
        <v>6</v>
      </c>
      <c r="F434" s="1">
        <v>41051</v>
      </c>
      <c r="G434" s="1">
        <v>42</v>
      </c>
      <c r="H434" s="1">
        <v>0</v>
      </c>
      <c r="I434" t="s">
        <v>411</v>
      </c>
      <c r="J434" t="s">
        <v>276</v>
      </c>
      <c r="K434" s="1">
        <v>42000</v>
      </c>
      <c r="L434" s="1">
        <v>32</v>
      </c>
      <c r="M434" s="1">
        <v>32</v>
      </c>
      <c r="N434" s="1">
        <v>373440</v>
      </c>
      <c r="O434" s="1"/>
      <c r="P434" s="1">
        <v>1</v>
      </c>
      <c r="Q434" s="1">
        <v>0</v>
      </c>
    </row>
    <row r="435">
      <c r="A435" s="1">
        <v>2020</v>
      </c>
      <c r="B435" s="1">
        <v>41</v>
      </c>
      <c r="C435" s="1">
        <v>51</v>
      </c>
      <c r="D435" t="s">
        <v>3</v>
      </c>
      <c r="E435" t="s">
        <v>6</v>
      </c>
      <c r="F435" s="1">
        <v>41051</v>
      </c>
      <c r="G435" s="1">
        <v>42</v>
      </c>
      <c r="H435" s="1">
        <v>3</v>
      </c>
      <c r="I435" t="s">
        <v>34</v>
      </c>
      <c r="J435" t="s">
        <v>145</v>
      </c>
      <c r="K435" s="1">
        <v>42003</v>
      </c>
      <c r="L435" s="1">
        <v>143</v>
      </c>
      <c r="M435" s="1">
        <v>76</v>
      </c>
      <c r="N435" s="1">
        <v>7759600</v>
      </c>
      <c r="O435" s="1">
        <v>42003</v>
      </c>
      <c r="P435" s="1">
        <v>1</v>
      </c>
      <c r="Q435" s="1">
        <v>0</v>
      </c>
    </row>
    <row r="436">
      <c r="A436" s="1">
        <v>2020</v>
      </c>
      <c r="B436" s="1">
        <v>41</v>
      </c>
      <c r="C436" s="1">
        <v>51</v>
      </c>
      <c r="D436" t="s">
        <v>3</v>
      </c>
      <c r="E436" t="s">
        <v>6</v>
      </c>
      <c r="F436" s="1">
        <v>41051</v>
      </c>
      <c r="G436" s="1">
        <v>42</v>
      </c>
      <c r="H436" s="1">
        <v>27</v>
      </c>
      <c r="I436" t="s">
        <v>34</v>
      </c>
      <c r="J436" t="s">
        <v>312</v>
      </c>
      <c r="K436" s="1">
        <v>42027</v>
      </c>
      <c r="L436" s="1">
        <v>179</v>
      </c>
      <c r="M436" s="1">
        <v>88</v>
      </c>
      <c r="N436" s="1">
        <v>7658000</v>
      </c>
      <c r="O436" s="1">
        <v>42027</v>
      </c>
      <c r="P436" s="1">
        <v>1</v>
      </c>
      <c r="Q436" s="1">
        <v>0</v>
      </c>
    </row>
    <row r="437">
      <c r="A437" s="1">
        <v>2020</v>
      </c>
      <c r="B437" s="1">
        <v>41</v>
      </c>
      <c r="C437" s="1">
        <v>51</v>
      </c>
      <c r="D437" t="s">
        <v>3</v>
      </c>
      <c r="E437" t="s">
        <v>6</v>
      </c>
      <c r="F437" s="1">
        <v>41051</v>
      </c>
      <c r="G437" s="1">
        <v>47</v>
      </c>
      <c r="H437" s="1">
        <v>0</v>
      </c>
      <c r="I437" t="s">
        <v>411</v>
      </c>
      <c r="J437" t="s">
        <v>276</v>
      </c>
      <c r="K437" s="1">
        <v>47000</v>
      </c>
      <c r="L437" s="1">
        <v>192</v>
      </c>
      <c r="M437" s="1">
        <v>87</v>
      </c>
      <c r="N437" s="1">
        <v>12963000</v>
      </c>
      <c r="O437" s="1"/>
      <c r="P437" s="1">
        <v>1</v>
      </c>
      <c r="Q437" s="1">
        <v>0</v>
      </c>
    </row>
    <row r="438">
      <c r="A438" s="1">
        <v>2020</v>
      </c>
      <c r="B438" s="1">
        <v>41</v>
      </c>
      <c r="C438" s="1">
        <v>51</v>
      </c>
      <c r="D438" t="s">
        <v>3</v>
      </c>
      <c r="E438" t="s">
        <v>6</v>
      </c>
      <c r="F438" s="1">
        <v>41051</v>
      </c>
      <c r="G438" s="1">
        <v>47</v>
      </c>
      <c r="H438" s="1">
        <v>187</v>
      </c>
      <c r="I438" t="s">
        <v>35</v>
      </c>
      <c r="J438" t="s">
        <v>217</v>
      </c>
      <c r="K438" s="1">
        <v>47187</v>
      </c>
      <c r="L438" s="1">
        <v>249</v>
      </c>
      <c r="M438" s="1">
        <v>249</v>
      </c>
      <c r="N438" s="1">
        <v>15164100</v>
      </c>
      <c r="O438" s="1">
        <v>47187</v>
      </c>
      <c r="P438" s="1">
        <v>1</v>
      </c>
      <c r="Q438" s="1">
        <v>0</v>
      </c>
    </row>
    <row r="439">
      <c r="A439" s="1">
        <v>2020</v>
      </c>
      <c r="B439" s="1">
        <v>41</v>
      </c>
      <c r="C439" s="1">
        <v>51</v>
      </c>
      <c r="D439" t="s">
        <v>3</v>
      </c>
      <c r="E439" t="s">
        <v>6</v>
      </c>
      <c r="F439" s="1">
        <v>41051</v>
      </c>
      <c r="G439" s="1">
        <v>48</v>
      </c>
      <c r="H439" s="1">
        <v>113</v>
      </c>
      <c r="I439" t="s">
        <v>36</v>
      </c>
      <c r="J439" t="s">
        <v>150</v>
      </c>
      <c r="K439" s="1">
        <v>48113</v>
      </c>
      <c r="L439" s="1">
        <v>181</v>
      </c>
      <c r="M439" s="1">
        <v>93</v>
      </c>
      <c r="N439" s="1">
        <v>10303500</v>
      </c>
      <c r="O439" s="1">
        <v>48113</v>
      </c>
      <c r="P439" s="1">
        <v>1</v>
      </c>
      <c r="Q439" s="1">
        <v>0</v>
      </c>
    </row>
    <row r="440">
      <c r="A440" s="1">
        <v>2020</v>
      </c>
      <c r="B440" s="1">
        <v>41</v>
      </c>
      <c r="C440" s="1">
        <v>51</v>
      </c>
      <c r="D440" t="s">
        <v>3</v>
      </c>
      <c r="E440" t="s">
        <v>6</v>
      </c>
      <c r="F440" s="1">
        <v>41051</v>
      </c>
      <c r="G440" s="1">
        <v>48</v>
      </c>
      <c r="H440" s="1">
        <v>215</v>
      </c>
      <c r="I440" t="s">
        <v>36</v>
      </c>
      <c r="J440" t="s">
        <v>297</v>
      </c>
      <c r="K440" s="1">
        <v>48215</v>
      </c>
      <c r="L440" s="1">
        <v>132</v>
      </c>
      <c r="M440" s="1"/>
      <c r="N440" s="1">
        <v>858000</v>
      </c>
      <c r="O440" s="1">
        <v>48215</v>
      </c>
      <c r="P440" s="1">
        <v>1</v>
      </c>
      <c r="Q440" s="1">
        <v>0</v>
      </c>
    </row>
    <row r="441">
      <c r="A441" s="1">
        <v>2020</v>
      </c>
      <c r="B441" s="1">
        <v>41</v>
      </c>
      <c r="C441" s="1">
        <v>51</v>
      </c>
      <c r="D441" t="s">
        <v>3</v>
      </c>
      <c r="E441" t="s">
        <v>6</v>
      </c>
      <c r="F441" s="1">
        <v>41051</v>
      </c>
      <c r="G441" s="1">
        <v>48</v>
      </c>
      <c r="H441" s="1">
        <v>303</v>
      </c>
      <c r="I441" t="s">
        <v>36</v>
      </c>
      <c r="J441" t="s">
        <v>313</v>
      </c>
      <c r="K441" s="1">
        <v>48303</v>
      </c>
      <c r="L441" s="1">
        <v>253</v>
      </c>
      <c r="M441" s="1">
        <v>253</v>
      </c>
      <c r="N441" s="1">
        <v>4098600</v>
      </c>
      <c r="O441" s="1">
        <v>48303</v>
      </c>
      <c r="P441" s="1">
        <v>1</v>
      </c>
      <c r="Q441" s="1">
        <v>0</v>
      </c>
    </row>
    <row r="442">
      <c r="A442" s="1">
        <v>2020</v>
      </c>
      <c r="B442" s="1">
        <v>41</v>
      </c>
      <c r="C442" s="1">
        <v>51</v>
      </c>
      <c r="D442" t="s">
        <v>3</v>
      </c>
      <c r="E442" t="s">
        <v>6</v>
      </c>
      <c r="F442" s="1">
        <v>41051</v>
      </c>
      <c r="G442" s="1">
        <v>48</v>
      </c>
      <c r="H442" s="1">
        <v>453</v>
      </c>
      <c r="I442" t="s">
        <v>36</v>
      </c>
      <c r="J442" t="s">
        <v>153</v>
      </c>
      <c r="K442" s="1">
        <v>48453</v>
      </c>
      <c r="L442" s="1">
        <v>410</v>
      </c>
      <c r="M442" s="1">
        <v>260</v>
      </c>
      <c r="N442" s="1">
        <v>2730000</v>
      </c>
      <c r="O442" s="1">
        <v>48453</v>
      </c>
      <c r="P442" s="1">
        <v>1</v>
      </c>
      <c r="Q442" s="1">
        <v>0</v>
      </c>
    </row>
    <row r="443">
      <c r="A443" s="1">
        <v>2020</v>
      </c>
      <c r="B443" s="1">
        <v>41</v>
      </c>
      <c r="C443" s="1">
        <v>51</v>
      </c>
      <c r="D443" t="s">
        <v>3</v>
      </c>
      <c r="E443" t="s">
        <v>6</v>
      </c>
      <c r="F443" s="1">
        <v>41051</v>
      </c>
      <c r="G443" s="1">
        <v>49</v>
      </c>
      <c r="H443" s="1">
        <v>0</v>
      </c>
      <c r="I443" t="s">
        <v>411</v>
      </c>
      <c r="J443" t="s">
        <v>276</v>
      </c>
      <c r="K443" s="1">
        <v>49000</v>
      </c>
      <c r="L443" s="1">
        <v>20</v>
      </c>
      <c r="M443" s="1"/>
      <c r="N443" s="1">
        <v>800000</v>
      </c>
      <c r="O443" s="1"/>
      <c r="P443" s="1">
        <v>1</v>
      </c>
      <c r="Q443" s="1">
        <v>0</v>
      </c>
    </row>
    <row r="444">
      <c r="A444" s="1">
        <v>2020</v>
      </c>
      <c r="B444" s="1">
        <v>41</v>
      </c>
      <c r="C444" s="1">
        <v>51</v>
      </c>
      <c r="D444" t="s">
        <v>3</v>
      </c>
      <c r="E444" t="s">
        <v>6</v>
      </c>
      <c r="F444" s="1">
        <v>41051</v>
      </c>
      <c r="G444" s="1">
        <v>49</v>
      </c>
      <c r="H444" s="1">
        <v>11</v>
      </c>
      <c r="I444" t="s">
        <v>37</v>
      </c>
      <c r="J444" t="s">
        <v>218</v>
      </c>
      <c r="K444" s="1">
        <v>49011</v>
      </c>
      <c r="L444" s="1">
        <v>103</v>
      </c>
      <c r="M444" s="1"/>
      <c r="N444" s="1">
        <v>2090900</v>
      </c>
      <c r="O444" s="1">
        <v>49011</v>
      </c>
      <c r="P444" s="1">
        <v>1</v>
      </c>
      <c r="Q444" s="1">
        <v>0</v>
      </c>
    </row>
    <row r="445">
      <c r="A445" s="1">
        <v>2020</v>
      </c>
      <c r="B445" s="1">
        <v>41</v>
      </c>
      <c r="C445" s="1">
        <v>51</v>
      </c>
      <c r="D445" t="s">
        <v>3</v>
      </c>
      <c r="E445" t="s">
        <v>6</v>
      </c>
      <c r="F445" s="1">
        <v>41051</v>
      </c>
      <c r="G445" s="1">
        <v>51</v>
      </c>
      <c r="H445" s="1">
        <v>810</v>
      </c>
      <c r="I445" t="s">
        <v>39</v>
      </c>
      <c r="J445" t="s">
        <v>294</v>
      </c>
      <c r="K445" s="1">
        <v>51810</v>
      </c>
      <c r="L445" s="1">
        <v>158</v>
      </c>
      <c r="M445" s="1">
        <v>77</v>
      </c>
      <c r="N445" s="1">
        <v>5670000</v>
      </c>
      <c r="O445" s="1">
        <v>51810</v>
      </c>
      <c r="P445" s="1">
        <v>1</v>
      </c>
      <c r="Q445" s="1">
        <v>0</v>
      </c>
    </row>
    <row r="446">
      <c r="A446" s="1">
        <v>2020</v>
      </c>
      <c r="B446" s="1">
        <v>41</v>
      </c>
      <c r="C446" s="1">
        <v>51</v>
      </c>
      <c r="D446" t="s">
        <v>3</v>
      </c>
      <c r="E446" t="s">
        <v>6</v>
      </c>
      <c r="F446" s="1">
        <v>41051</v>
      </c>
      <c r="G446" s="1">
        <v>53</v>
      </c>
      <c r="H446" s="1">
        <v>0</v>
      </c>
      <c r="I446" t="s">
        <v>411</v>
      </c>
      <c r="J446" t="s">
        <v>276</v>
      </c>
      <c r="K446" s="1">
        <v>53000</v>
      </c>
      <c r="L446" s="1">
        <v>2209</v>
      </c>
      <c r="M446" s="1">
        <v>502</v>
      </c>
      <c r="N446" s="1">
        <v>99271220</v>
      </c>
      <c r="O446" s="1"/>
      <c r="P446" s="1">
        <v>1</v>
      </c>
      <c r="Q446" s="1">
        <v>0</v>
      </c>
    </row>
    <row r="447">
      <c r="A447" s="1">
        <v>2020</v>
      </c>
      <c r="B447" s="1">
        <v>41</v>
      </c>
      <c r="C447" s="1">
        <v>51</v>
      </c>
      <c r="D447" t="s">
        <v>3</v>
      </c>
      <c r="E447" t="s">
        <v>6</v>
      </c>
      <c r="F447" s="1">
        <v>41051</v>
      </c>
      <c r="G447" s="1">
        <v>53</v>
      </c>
      <c r="H447" s="1">
        <v>11</v>
      </c>
      <c r="I447" t="s">
        <v>40</v>
      </c>
      <c r="J447" t="s">
        <v>112</v>
      </c>
      <c r="K447" s="1">
        <v>53011</v>
      </c>
      <c r="L447" s="1">
        <v>4756</v>
      </c>
      <c r="M447" s="1">
        <v>2239</v>
      </c>
      <c r="N447" s="1">
        <v>168310540</v>
      </c>
      <c r="O447" s="1">
        <v>53011</v>
      </c>
      <c r="P447" s="1">
        <v>1</v>
      </c>
      <c r="Q447" s="1">
        <v>0</v>
      </c>
    </row>
    <row r="448">
      <c r="A448" s="1">
        <v>2020</v>
      </c>
      <c r="B448" s="1">
        <v>41</v>
      </c>
      <c r="C448" s="1">
        <v>51</v>
      </c>
      <c r="D448" t="s">
        <v>3</v>
      </c>
      <c r="E448" t="s">
        <v>6</v>
      </c>
      <c r="F448" s="1">
        <v>41051</v>
      </c>
      <c r="G448" s="1">
        <v>53</v>
      </c>
      <c r="H448" s="1">
        <v>33</v>
      </c>
      <c r="I448" t="s">
        <v>40</v>
      </c>
      <c r="J448" t="s">
        <v>160</v>
      </c>
      <c r="K448" s="1">
        <v>53033</v>
      </c>
      <c r="L448" s="1">
        <v>944</v>
      </c>
      <c r="M448" s="1">
        <v>145</v>
      </c>
      <c r="N448" s="1">
        <v>97152580</v>
      </c>
      <c r="O448" s="1">
        <v>53033</v>
      </c>
      <c r="P448" s="1">
        <v>1</v>
      </c>
      <c r="Q448" s="1">
        <v>0</v>
      </c>
    </row>
    <row r="449">
      <c r="A449" s="1">
        <v>2020</v>
      </c>
      <c r="B449" s="1">
        <v>41</v>
      </c>
      <c r="C449" s="1">
        <v>51</v>
      </c>
      <c r="D449" t="s">
        <v>3</v>
      </c>
      <c r="E449" t="s">
        <v>6</v>
      </c>
      <c r="F449" s="1">
        <v>41051</v>
      </c>
      <c r="G449" s="1">
        <v>53</v>
      </c>
      <c r="H449" s="1">
        <v>53</v>
      </c>
      <c r="I449" t="s">
        <v>40</v>
      </c>
      <c r="J449" t="s">
        <v>165</v>
      </c>
      <c r="K449" s="1">
        <v>53053</v>
      </c>
      <c r="L449" s="1">
        <v>362</v>
      </c>
      <c r="M449" s="1">
        <v>157</v>
      </c>
      <c r="N449" s="1">
        <v>13594500</v>
      </c>
      <c r="O449" s="1">
        <v>53053</v>
      </c>
      <c r="P449" s="1">
        <v>1</v>
      </c>
      <c r="Q449" s="1">
        <v>0</v>
      </c>
    </row>
    <row r="450">
      <c r="A450" s="1">
        <v>2020</v>
      </c>
      <c r="B450" s="1">
        <v>41</v>
      </c>
      <c r="C450" s="1">
        <v>51</v>
      </c>
      <c r="D450" t="s">
        <v>3</v>
      </c>
      <c r="E450" t="s">
        <v>6</v>
      </c>
      <c r="F450" s="1">
        <v>41051</v>
      </c>
      <c r="G450" s="1">
        <v>53</v>
      </c>
      <c r="H450" s="1">
        <v>61</v>
      </c>
      <c r="I450" t="s">
        <v>40</v>
      </c>
      <c r="J450" t="s">
        <v>167</v>
      </c>
      <c r="K450" s="1">
        <v>53061</v>
      </c>
      <c r="L450" s="1">
        <v>228</v>
      </c>
      <c r="M450" s="1">
        <v>126</v>
      </c>
      <c r="N450" s="1">
        <v>15987000</v>
      </c>
      <c r="O450" s="1">
        <v>53061</v>
      </c>
      <c r="P450" s="1">
        <v>1</v>
      </c>
      <c r="Q450" s="1">
        <v>0</v>
      </c>
    </row>
    <row r="451">
      <c r="A451" s="1">
        <v>2020</v>
      </c>
      <c r="B451" s="1">
        <v>41</v>
      </c>
      <c r="C451" s="1">
        <v>51</v>
      </c>
      <c r="D451" t="s">
        <v>3</v>
      </c>
      <c r="E451" t="s">
        <v>6</v>
      </c>
      <c r="F451" s="1">
        <v>41051</v>
      </c>
      <c r="G451" s="1">
        <v>53</v>
      </c>
      <c r="H451" s="1">
        <v>63</v>
      </c>
      <c r="I451" t="s">
        <v>40</v>
      </c>
      <c r="J451" t="s">
        <v>168</v>
      </c>
      <c r="K451" s="1">
        <v>53063</v>
      </c>
      <c r="L451" s="1">
        <v>669</v>
      </c>
      <c r="M451" s="1">
        <v>290</v>
      </c>
      <c r="N451" s="1">
        <v>11321000</v>
      </c>
      <c r="O451" s="1">
        <v>53063</v>
      </c>
      <c r="P451" s="1">
        <v>1</v>
      </c>
      <c r="Q451" s="1">
        <v>0</v>
      </c>
    </row>
    <row r="452">
      <c r="A452" s="1">
        <v>2020</v>
      </c>
      <c r="B452" s="1">
        <v>41</v>
      </c>
      <c r="C452" s="1">
        <v>51</v>
      </c>
      <c r="D452" t="s">
        <v>3</v>
      </c>
      <c r="E452" t="s">
        <v>6</v>
      </c>
      <c r="F452" s="1">
        <v>41051</v>
      </c>
      <c r="G452" s="1">
        <v>53</v>
      </c>
      <c r="H452" s="1">
        <v>67</v>
      </c>
      <c r="I452" t="s">
        <v>40</v>
      </c>
      <c r="J452" t="s">
        <v>169</v>
      </c>
      <c r="K452" s="1">
        <v>53067</v>
      </c>
      <c r="L452" s="1">
        <v>430</v>
      </c>
      <c r="M452" s="1">
        <v>224</v>
      </c>
      <c r="N452" s="1">
        <v>23593600</v>
      </c>
      <c r="O452" s="1">
        <v>53067</v>
      </c>
      <c r="P452" s="1">
        <v>1</v>
      </c>
      <c r="Q452" s="1">
        <v>0</v>
      </c>
    </row>
    <row r="453">
      <c r="A453" s="1">
        <v>2020</v>
      </c>
      <c r="B453" s="1">
        <v>41</v>
      </c>
      <c r="C453" s="1">
        <v>51</v>
      </c>
      <c r="D453" t="s">
        <v>3</v>
      </c>
      <c r="E453" t="s">
        <v>6</v>
      </c>
      <c r="F453" s="1">
        <v>41051</v>
      </c>
      <c r="G453" s="1">
        <v>53</v>
      </c>
      <c r="H453" s="1">
        <v>73</v>
      </c>
      <c r="I453" t="s">
        <v>40</v>
      </c>
      <c r="J453" t="s">
        <v>171</v>
      </c>
      <c r="K453" s="1">
        <v>53073</v>
      </c>
      <c r="L453" s="1">
        <v>413</v>
      </c>
      <c r="M453" s="1"/>
      <c r="N453" s="1">
        <v>13020000</v>
      </c>
      <c r="O453" s="1">
        <v>53073</v>
      </c>
      <c r="P453" s="1">
        <v>1</v>
      </c>
      <c r="Q453" s="1">
        <v>0</v>
      </c>
    </row>
    <row r="454">
      <c r="A454" s="1">
        <v>2020</v>
      </c>
      <c r="B454" s="1">
        <v>41</v>
      </c>
      <c r="C454" s="1">
        <v>51</v>
      </c>
      <c r="D454" t="s">
        <v>3</v>
      </c>
      <c r="E454" t="s">
        <v>6</v>
      </c>
      <c r="F454" s="1">
        <v>41051</v>
      </c>
      <c r="G454" s="1">
        <v>56</v>
      </c>
      <c r="H454" s="1">
        <v>0</v>
      </c>
      <c r="I454" t="s">
        <v>411</v>
      </c>
      <c r="J454" t="s">
        <v>276</v>
      </c>
      <c r="K454" s="1">
        <v>56000</v>
      </c>
      <c r="L454" s="1">
        <v>473</v>
      </c>
      <c r="M454" s="1"/>
      <c r="N454" s="1">
        <v>10455000</v>
      </c>
      <c r="O454" s="1"/>
      <c r="P454" s="1">
        <v>1</v>
      </c>
      <c r="Q454" s="1">
        <v>0</v>
      </c>
    </row>
    <row r="455">
      <c r="A455" s="1">
        <v>2021</v>
      </c>
      <c r="B455" s="1">
        <v>41</v>
      </c>
      <c r="C455" s="1">
        <v>51</v>
      </c>
      <c r="D455" t="s">
        <v>3</v>
      </c>
      <c r="E455" t="s">
        <v>6</v>
      </c>
      <c r="F455" s="1">
        <v>41051</v>
      </c>
      <c r="G455" s="1">
        <v>4</v>
      </c>
      <c r="H455" s="1">
        <v>0</v>
      </c>
      <c r="I455" t="s">
        <v>411</v>
      </c>
      <c r="J455" t="s">
        <v>276</v>
      </c>
      <c r="K455" s="1">
        <v>4000</v>
      </c>
      <c r="L455" s="1">
        <v>356</v>
      </c>
      <c r="M455" s="1">
        <v>276</v>
      </c>
      <c r="N455" s="1">
        <v>8491200</v>
      </c>
      <c r="O455" s="1"/>
      <c r="P455" s="1">
        <v>1</v>
      </c>
      <c r="Q455" s="1">
        <v>0</v>
      </c>
    </row>
    <row r="456">
      <c r="A456" s="1">
        <v>2021</v>
      </c>
      <c r="B456" s="1">
        <v>41</v>
      </c>
      <c r="C456" s="1">
        <v>51</v>
      </c>
      <c r="D456" t="s">
        <v>3</v>
      </c>
      <c r="E456" t="s">
        <v>6</v>
      </c>
      <c r="F456" s="1">
        <v>41051</v>
      </c>
      <c r="G456" s="1">
        <v>4</v>
      </c>
      <c r="H456" s="1">
        <v>13</v>
      </c>
      <c r="I456" t="s">
        <v>10</v>
      </c>
      <c r="J456" t="s">
        <v>53</v>
      </c>
      <c r="K456" s="1">
        <v>4013</v>
      </c>
      <c r="L456" s="1">
        <v>746</v>
      </c>
      <c r="M456" s="1">
        <v>489</v>
      </c>
      <c r="N456" s="1">
        <v>66366600</v>
      </c>
      <c r="O456" s="1">
        <v>4013</v>
      </c>
      <c r="P456" s="1">
        <v>1</v>
      </c>
      <c r="Q456" s="1">
        <v>0</v>
      </c>
    </row>
    <row r="457">
      <c r="A457" s="1">
        <v>2021</v>
      </c>
      <c r="B457" s="1">
        <v>41</v>
      </c>
      <c r="C457" s="1">
        <v>51</v>
      </c>
      <c r="D457" t="s">
        <v>3</v>
      </c>
      <c r="E457" t="s">
        <v>6</v>
      </c>
      <c r="F457" s="1">
        <v>41051</v>
      </c>
      <c r="G457" s="1">
        <v>4</v>
      </c>
      <c r="H457" s="1">
        <v>19</v>
      </c>
      <c r="I457" t="s">
        <v>10</v>
      </c>
      <c r="J457" t="s">
        <v>54</v>
      </c>
      <c r="K457" s="1">
        <v>4019</v>
      </c>
      <c r="L457" s="1">
        <v>166</v>
      </c>
      <c r="M457" s="1"/>
      <c r="N457" s="1">
        <v>1660000</v>
      </c>
      <c r="O457" s="1">
        <v>4019</v>
      </c>
      <c r="P457" s="1">
        <v>1</v>
      </c>
      <c r="Q457" s="1">
        <v>0</v>
      </c>
    </row>
    <row r="458">
      <c r="A458" s="1">
        <v>2021</v>
      </c>
      <c r="B458" s="1">
        <v>41</v>
      </c>
      <c r="C458" s="1">
        <v>51</v>
      </c>
      <c r="D458" t="s">
        <v>3</v>
      </c>
      <c r="E458" t="s">
        <v>6</v>
      </c>
      <c r="F458" s="1">
        <v>41051</v>
      </c>
      <c r="G458" s="1">
        <v>4</v>
      </c>
      <c r="H458" s="1">
        <v>27</v>
      </c>
      <c r="I458" t="s">
        <v>10</v>
      </c>
      <c r="J458" t="s">
        <v>240</v>
      </c>
      <c r="K458" s="1">
        <v>4027</v>
      </c>
      <c r="L458" s="1">
        <v>59</v>
      </c>
      <c r="M458" s="1">
        <v>28</v>
      </c>
      <c r="N458" s="1">
        <v>1684800</v>
      </c>
      <c r="O458" s="1">
        <v>4027</v>
      </c>
      <c r="P458" s="1">
        <v>1</v>
      </c>
      <c r="Q458" s="1">
        <v>0</v>
      </c>
    </row>
    <row r="459">
      <c r="A459" s="1">
        <v>2021</v>
      </c>
      <c r="B459" s="1">
        <v>41</v>
      </c>
      <c r="C459" s="1">
        <v>51</v>
      </c>
      <c r="D459" t="s">
        <v>3</v>
      </c>
      <c r="E459" t="s">
        <v>6</v>
      </c>
      <c r="F459" s="1">
        <v>41051</v>
      </c>
      <c r="G459" s="1">
        <v>6</v>
      </c>
      <c r="H459" s="1">
        <v>0</v>
      </c>
      <c r="I459" t="s">
        <v>411</v>
      </c>
      <c r="J459" t="s">
        <v>276</v>
      </c>
      <c r="K459" s="1">
        <v>6000</v>
      </c>
      <c r="L459" s="1">
        <v>330</v>
      </c>
      <c r="M459" s="1"/>
      <c r="N459" s="1">
        <v>7195000</v>
      </c>
      <c r="O459" s="1"/>
      <c r="P459" s="1">
        <v>1</v>
      </c>
      <c r="Q459" s="1">
        <v>0</v>
      </c>
    </row>
    <row r="460">
      <c r="A460" s="1">
        <v>2021</v>
      </c>
      <c r="B460" s="1">
        <v>41</v>
      </c>
      <c r="C460" s="1">
        <v>51</v>
      </c>
      <c r="D460" t="s">
        <v>3</v>
      </c>
      <c r="E460" t="s">
        <v>6</v>
      </c>
      <c r="F460" s="1">
        <v>41051</v>
      </c>
      <c r="G460" s="1">
        <v>6</v>
      </c>
      <c r="H460" s="1">
        <v>1</v>
      </c>
      <c r="I460" t="s">
        <v>11</v>
      </c>
      <c r="J460" t="s">
        <v>56</v>
      </c>
      <c r="K460" s="1">
        <v>6001</v>
      </c>
      <c r="L460" s="1">
        <v>132</v>
      </c>
      <c r="M460" s="1">
        <v>61</v>
      </c>
      <c r="N460" s="1">
        <v>1048800</v>
      </c>
      <c r="O460" s="1">
        <v>6001</v>
      </c>
      <c r="P460" s="1">
        <v>1</v>
      </c>
      <c r="Q460" s="1">
        <v>0</v>
      </c>
    </row>
    <row r="461">
      <c r="A461" s="1">
        <v>2021</v>
      </c>
      <c r="B461" s="1">
        <v>41</v>
      </c>
      <c r="C461" s="1">
        <v>51</v>
      </c>
      <c r="D461" t="s">
        <v>3</v>
      </c>
      <c r="E461" t="s">
        <v>6</v>
      </c>
      <c r="F461" s="1">
        <v>41051</v>
      </c>
      <c r="G461" s="1">
        <v>6</v>
      </c>
      <c r="H461" s="1">
        <v>13</v>
      </c>
      <c r="I461" t="s">
        <v>11</v>
      </c>
      <c r="J461" t="s">
        <v>57</v>
      </c>
      <c r="K461" s="1">
        <v>6013</v>
      </c>
      <c r="L461" s="1">
        <v>243</v>
      </c>
      <c r="M461" s="1">
        <v>48</v>
      </c>
      <c r="N461" s="1">
        <v>6941000</v>
      </c>
      <c r="O461" s="1">
        <v>6013</v>
      </c>
      <c r="P461" s="1">
        <v>1</v>
      </c>
      <c r="Q461" s="1">
        <v>0</v>
      </c>
    </row>
    <row r="462">
      <c r="A462" s="1">
        <v>2021</v>
      </c>
      <c r="B462" s="1">
        <v>41</v>
      </c>
      <c r="C462" s="1">
        <v>51</v>
      </c>
      <c r="D462" t="s">
        <v>3</v>
      </c>
      <c r="E462" t="s">
        <v>6</v>
      </c>
      <c r="F462" s="1">
        <v>41051</v>
      </c>
      <c r="G462" s="1">
        <v>6</v>
      </c>
      <c r="H462" s="1">
        <v>17</v>
      </c>
      <c r="I462" t="s">
        <v>11</v>
      </c>
      <c r="J462" t="s">
        <v>229</v>
      </c>
      <c r="K462" s="1">
        <v>6017</v>
      </c>
      <c r="L462" s="1">
        <v>82</v>
      </c>
      <c r="M462" s="1"/>
      <c r="N462" s="1">
        <v>0</v>
      </c>
      <c r="O462" s="1">
        <v>6017</v>
      </c>
      <c r="P462" s="1">
        <v>1</v>
      </c>
      <c r="Q462" s="1">
        <v>0</v>
      </c>
    </row>
    <row r="463">
      <c r="A463" s="1">
        <v>2021</v>
      </c>
      <c r="B463" s="1">
        <v>41</v>
      </c>
      <c r="C463" s="1">
        <v>51</v>
      </c>
      <c r="D463" t="s">
        <v>3</v>
      </c>
      <c r="E463" t="s">
        <v>6</v>
      </c>
      <c r="F463" s="1">
        <v>41051</v>
      </c>
      <c r="G463" s="1">
        <v>6</v>
      </c>
      <c r="H463" s="1">
        <v>29</v>
      </c>
      <c r="I463" t="s">
        <v>11</v>
      </c>
      <c r="J463" t="s">
        <v>60</v>
      </c>
      <c r="K463" s="1">
        <v>6029</v>
      </c>
      <c r="L463" s="1">
        <v>115</v>
      </c>
      <c r="M463" s="1">
        <v>115</v>
      </c>
      <c r="N463" s="1">
        <v>89700</v>
      </c>
      <c r="O463" s="1">
        <v>6029</v>
      </c>
      <c r="P463" s="1">
        <v>1</v>
      </c>
      <c r="Q463" s="1">
        <v>0</v>
      </c>
    </row>
    <row r="464">
      <c r="A464" s="1">
        <v>2021</v>
      </c>
      <c r="B464" s="1">
        <v>41</v>
      </c>
      <c r="C464" s="1">
        <v>51</v>
      </c>
      <c r="D464" t="s">
        <v>3</v>
      </c>
      <c r="E464" t="s">
        <v>6</v>
      </c>
      <c r="F464" s="1">
        <v>41051</v>
      </c>
      <c r="G464" s="1">
        <v>6</v>
      </c>
      <c r="H464" s="1">
        <v>37</v>
      </c>
      <c r="I464" t="s">
        <v>11</v>
      </c>
      <c r="J464" t="s">
        <v>61</v>
      </c>
      <c r="K464" s="1">
        <v>6037</v>
      </c>
      <c r="L464" s="1">
        <v>1507</v>
      </c>
      <c r="M464" s="1">
        <v>870</v>
      </c>
      <c r="N464" s="1">
        <v>75150980</v>
      </c>
      <c r="O464" s="1">
        <v>6037</v>
      </c>
      <c r="P464" s="1">
        <v>1</v>
      </c>
      <c r="Q464" s="1">
        <v>0</v>
      </c>
    </row>
    <row r="465">
      <c r="A465" s="1">
        <v>2021</v>
      </c>
      <c r="B465" s="1">
        <v>41</v>
      </c>
      <c r="C465" s="1">
        <v>51</v>
      </c>
      <c r="D465" t="s">
        <v>3</v>
      </c>
      <c r="E465" t="s">
        <v>6</v>
      </c>
      <c r="F465" s="1">
        <v>41051</v>
      </c>
      <c r="G465" s="1">
        <v>6</v>
      </c>
      <c r="H465" s="1">
        <v>59</v>
      </c>
      <c r="I465" t="s">
        <v>11</v>
      </c>
      <c r="J465" t="s">
        <v>64</v>
      </c>
      <c r="K465" s="1">
        <v>6059</v>
      </c>
      <c r="L465" s="1">
        <v>743</v>
      </c>
      <c r="M465" s="1">
        <v>231</v>
      </c>
      <c r="N465" s="1">
        <v>46855200</v>
      </c>
      <c r="O465" s="1">
        <v>6059</v>
      </c>
      <c r="P465" s="1">
        <v>1</v>
      </c>
      <c r="Q465" s="1">
        <v>0</v>
      </c>
    </row>
    <row r="466">
      <c r="A466" s="1">
        <v>2021</v>
      </c>
      <c r="B466" s="1">
        <v>41</v>
      </c>
      <c r="C466" s="1">
        <v>51</v>
      </c>
      <c r="D466" t="s">
        <v>3</v>
      </c>
      <c r="E466" t="s">
        <v>6</v>
      </c>
      <c r="F466" s="1">
        <v>41051</v>
      </c>
      <c r="G466" s="1">
        <v>6</v>
      </c>
      <c r="H466" s="1">
        <v>61</v>
      </c>
      <c r="I466" t="s">
        <v>11</v>
      </c>
      <c r="J466" t="s">
        <v>65</v>
      </c>
      <c r="K466" s="1">
        <v>6061</v>
      </c>
      <c r="L466" s="1">
        <v>195</v>
      </c>
      <c r="M466" s="1"/>
      <c r="N466" s="1">
        <v>0</v>
      </c>
      <c r="O466" s="1">
        <v>6061</v>
      </c>
      <c r="P466" s="1">
        <v>1</v>
      </c>
      <c r="Q466" s="1">
        <v>0</v>
      </c>
    </row>
    <row r="467">
      <c r="A467" s="1">
        <v>2021</v>
      </c>
      <c r="B467" s="1">
        <v>41</v>
      </c>
      <c r="C467" s="1">
        <v>51</v>
      </c>
      <c r="D467" t="s">
        <v>3</v>
      </c>
      <c r="E467" t="s">
        <v>6</v>
      </c>
      <c r="F467" s="1">
        <v>41051</v>
      </c>
      <c r="G467" s="1">
        <v>6</v>
      </c>
      <c r="H467" s="1">
        <v>65</v>
      </c>
      <c r="I467" t="s">
        <v>11</v>
      </c>
      <c r="J467" t="s">
        <v>66</v>
      </c>
      <c r="K467" s="1">
        <v>6065</v>
      </c>
      <c r="L467" s="1">
        <v>15</v>
      </c>
      <c r="M467" s="1">
        <v>16</v>
      </c>
      <c r="N467" s="1">
        <v>510000</v>
      </c>
      <c r="O467" s="1">
        <v>6065</v>
      </c>
      <c r="P467" s="1">
        <v>1</v>
      </c>
      <c r="Q467" s="1">
        <v>0</v>
      </c>
    </row>
    <row r="468">
      <c r="A468" s="1">
        <v>2021</v>
      </c>
      <c r="B468" s="1">
        <v>41</v>
      </c>
      <c r="C468" s="1">
        <v>51</v>
      </c>
      <c r="D468" t="s">
        <v>3</v>
      </c>
      <c r="E468" t="s">
        <v>6</v>
      </c>
      <c r="F468" s="1">
        <v>41051</v>
      </c>
      <c r="G468" s="1">
        <v>6</v>
      </c>
      <c r="H468" s="1">
        <v>67</v>
      </c>
      <c r="I468" t="s">
        <v>11</v>
      </c>
      <c r="J468" t="s">
        <v>67</v>
      </c>
      <c r="K468" s="1">
        <v>6067</v>
      </c>
      <c r="L468" s="1">
        <v>52</v>
      </c>
      <c r="M468" s="1">
        <v>52</v>
      </c>
      <c r="N468" s="1">
        <v>5200000</v>
      </c>
      <c r="O468" s="1">
        <v>6067</v>
      </c>
      <c r="P468" s="1">
        <v>1</v>
      </c>
      <c r="Q468" s="1">
        <v>0</v>
      </c>
    </row>
    <row r="469">
      <c r="A469" s="1">
        <v>2021</v>
      </c>
      <c r="B469" s="1">
        <v>41</v>
      </c>
      <c r="C469" s="1">
        <v>51</v>
      </c>
      <c r="D469" t="s">
        <v>3</v>
      </c>
      <c r="E469" t="s">
        <v>6</v>
      </c>
      <c r="F469" s="1">
        <v>41051</v>
      </c>
      <c r="G469" s="1">
        <v>6</v>
      </c>
      <c r="H469" s="1">
        <v>73</v>
      </c>
      <c r="I469" t="s">
        <v>11</v>
      </c>
      <c r="J469" t="s">
        <v>69</v>
      </c>
      <c r="K469" s="1">
        <v>6073</v>
      </c>
      <c r="L469" s="1">
        <v>1239</v>
      </c>
      <c r="M469" s="1">
        <v>248</v>
      </c>
      <c r="N469" s="1">
        <v>49753900</v>
      </c>
      <c r="O469" s="1">
        <v>6073</v>
      </c>
      <c r="P469" s="1">
        <v>1</v>
      </c>
      <c r="Q469" s="1">
        <v>0</v>
      </c>
    </row>
    <row r="470">
      <c r="A470" s="1">
        <v>2021</v>
      </c>
      <c r="B470" s="1">
        <v>41</v>
      </c>
      <c r="C470" s="1">
        <v>51</v>
      </c>
      <c r="D470" t="s">
        <v>3</v>
      </c>
      <c r="E470" t="s">
        <v>6</v>
      </c>
      <c r="F470" s="1">
        <v>41051</v>
      </c>
      <c r="G470" s="1">
        <v>6</v>
      </c>
      <c r="H470" s="1">
        <v>75</v>
      </c>
      <c r="I470" t="s">
        <v>11</v>
      </c>
      <c r="J470" t="s">
        <v>70</v>
      </c>
      <c r="K470" s="1">
        <v>6075</v>
      </c>
      <c r="L470" s="1">
        <v>865</v>
      </c>
      <c r="M470" s="1">
        <v>652</v>
      </c>
      <c r="N470" s="1">
        <v>51380700</v>
      </c>
      <c r="O470" s="1">
        <v>6075</v>
      </c>
      <c r="P470" s="1">
        <v>1</v>
      </c>
      <c r="Q470" s="1">
        <v>0</v>
      </c>
    </row>
    <row r="471">
      <c r="A471" s="1">
        <v>2021</v>
      </c>
      <c r="B471" s="1">
        <v>41</v>
      </c>
      <c r="C471" s="1">
        <v>51</v>
      </c>
      <c r="D471" t="s">
        <v>3</v>
      </c>
      <c r="E471" t="s">
        <v>6</v>
      </c>
      <c r="F471" s="1">
        <v>41051</v>
      </c>
      <c r="G471" s="1">
        <v>6</v>
      </c>
      <c r="H471" s="1">
        <v>83</v>
      </c>
      <c r="I471" t="s">
        <v>11</v>
      </c>
      <c r="J471" t="s">
        <v>73</v>
      </c>
      <c r="K471" s="1">
        <v>6083</v>
      </c>
      <c r="L471" s="1">
        <v>169</v>
      </c>
      <c r="M471" s="1">
        <v>87</v>
      </c>
      <c r="N471" s="1">
        <v>8886800</v>
      </c>
      <c r="O471" s="1">
        <v>6083</v>
      </c>
      <c r="P471" s="1">
        <v>1</v>
      </c>
      <c r="Q471" s="1">
        <v>0</v>
      </c>
    </row>
    <row r="472">
      <c r="A472" s="1">
        <v>2021</v>
      </c>
      <c r="B472" s="1">
        <v>41</v>
      </c>
      <c r="C472" s="1">
        <v>51</v>
      </c>
      <c r="D472" t="s">
        <v>3</v>
      </c>
      <c r="E472" t="s">
        <v>6</v>
      </c>
      <c r="F472" s="1">
        <v>41051</v>
      </c>
      <c r="G472" s="1">
        <v>6</v>
      </c>
      <c r="H472" s="1">
        <v>85</v>
      </c>
      <c r="I472" t="s">
        <v>11</v>
      </c>
      <c r="J472" t="s">
        <v>74</v>
      </c>
      <c r="K472" s="1">
        <v>6085</v>
      </c>
      <c r="L472" s="1">
        <v>89</v>
      </c>
      <c r="M472" s="1"/>
      <c r="N472" s="1">
        <v>17800000</v>
      </c>
      <c r="O472" s="1">
        <v>6085</v>
      </c>
      <c r="P472" s="1">
        <v>1</v>
      </c>
      <c r="Q472" s="1">
        <v>0</v>
      </c>
    </row>
    <row r="473">
      <c r="A473" s="1">
        <v>2021</v>
      </c>
      <c r="B473" s="1">
        <v>41</v>
      </c>
      <c r="C473" s="1">
        <v>51</v>
      </c>
      <c r="D473" t="s">
        <v>3</v>
      </c>
      <c r="E473" t="s">
        <v>6</v>
      </c>
      <c r="F473" s="1">
        <v>41051</v>
      </c>
      <c r="G473" s="1">
        <v>6</v>
      </c>
      <c r="H473" s="1">
        <v>87</v>
      </c>
      <c r="I473" t="s">
        <v>11</v>
      </c>
      <c r="J473" t="s">
        <v>75</v>
      </c>
      <c r="K473" s="1">
        <v>6087</v>
      </c>
      <c r="L473" s="1">
        <v>28</v>
      </c>
      <c r="M473" s="1"/>
      <c r="N473" s="1">
        <v>56000</v>
      </c>
      <c r="O473" s="1">
        <v>6087</v>
      </c>
      <c r="P473" s="1">
        <v>1</v>
      </c>
      <c r="Q473" s="1">
        <v>0</v>
      </c>
    </row>
    <row r="474">
      <c r="A474" s="1">
        <v>2021</v>
      </c>
      <c r="B474" s="1">
        <v>41</v>
      </c>
      <c r="C474" s="1">
        <v>51</v>
      </c>
      <c r="D474" t="s">
        <v>3</v>
      </c>
      <c r="E474" t="s">
        <v>6</v>
      </c>
      <c r="F474" s="1">
        <v>41051</v>
      </c>
      <c r="G474" s="1">
        <v>6</v>
      </c>
      <c r="H474" s="1">
        <v>95</v>
      </c>
      <c r="I474" t="s">
        <v>11</v>
      </c>
      <c r="J474" t="s">
        <v>180</v>
      </c>
      <c r="K474" s="1">
        <v>6095</v>
      </c>
      <c r="L474" s="1">
        <v>321</v>
      </c>
      <c r="M474" s="1"/>
      <c r="N474" s="1">
        <v>21060000</v>
      </c>
      <c r="O474" s="1">
        <v>6095</v>
      </c>
      <c r="P474" s="1">
        <v>1</v>
      </c>
      <c r="Q474" s="1">
        <v>0</v>
      </c>
    </row>
    <row r="475">
      <c r="A475" s="1">
        <v>2021</v>
      </c>
      <c r="B475" s="1">
        <v>41</v>
      </c>
      <c r="C475" s="1">
        <v>51</v>
      </c>
      <c r="D475" t="s">
        <v>3</v>
      </c>
      <c r="E475" t="s">
        <v>6</v>
      </c>
      <c r="F475" s="1">
        <v>41051</v>
      </c>
      <c r="G475" s="1">
        <v>6</v>
      </c>
      <c r="H475" s="1">
        <v>111</v>
      </c>
      <c r="I475" t="s">
        <v>11</v>
      </c>
      <c r="J475" t="s">
        <v>78</v>
      </c>
      <c r="K475" s="1">
        <v>6111</v>
      </c>
      <c r="L475" s="1">
        <v>166</v>
      </c>
      <c r="M475" s="1"/>
      <c r="N475" s="1">
        <v>7005200</v>
      </c>
      <c r="O475" s="1">
        <v>6111</v>
      </c>
      <c r="P475" s="1">
        <v>1</v>
      </c>
      <c r="Q475" s="1">
        <v>0</v>
      </c>
    </row>
    <row r="476">
      <c r="A476" s="1">
        <v>2021</v>
      </c>
      <c r="B476" s="1">
        <v>41</v>
      </c>
      <c r="C476" s="1">
        <v>51</v>
      </c>
      <c r="D476" t="s">
        <v>3</v>
      </c>
      <c r="E476" t="s">
        <v>6</v>
      </c>
      <c r="F476" s="1">
        <v>41051</v>
      </c>
      <c r="G476" s="1">
        <v>8</v>
      </c>
      <c r="H476" s="1">
        <v>0</v>
      </c>
      <c r="I476" t="s">
        <v>411</v>
      </c>
      <c r="J476" t="s">
        <v>276</v>
      </c>
      <c r="K476" s="1">
        <v>8000</v>
      </c>
      <c r="L476" s="1">
        <v>290</v>
      </c>
      <c r="M476" s="1">
        <v>149</v>
      </c>
      <c r="N476" s="1">
        <v>12168200</v>
      </c>
      <c r="O476" s="1"/>
      <c r="P476" s="1">
        <v>1</v>
      </c>
      <c r="Q476" s="1">
        <v>0</v>
      </c>
    </row>
    <row r="477">
      <c r="A477" s="1">
        <v>2021</v>
      </c>
      <c r="B477" s="1">
        <v>41</v>
      </c>
      <c r="C477" s="1">
        <v>51</v>
      </c>
      <c r="D477" t="s">
        <v>3</v>
      </c>
      <c r="E477" t="s">
        <v>6</v>
      </c>
      <c r="F477" s="1">
        <v>41051</v>
      </c>
      <c r="G477" s="1">
        <v>9</v>
      </c>
      <c r="H477" s="1">
        <v>3</v>
      </c>
      <c r="I477" t="s">
        <v>13</v>
      </c>
      <c r="J477" t="s">
        <v>182</v>
      </c>
      <c r="K477" s="1">
        <v>9003</v>
      </c>
      <c r="L477" s="1">
        <v>56</v>
      </c>
      <c r="M477" s="1"/>
      <c r="N477" s="1">
        <v>196000</v>
      </c>
      <c r="O477" s="1">
        <v>9003</v>
      </c>
      <c r="P477" s="1">
        <v>1</v>
      </c>
      <c r="Q477" s="1">
        <v>0</v>
      </c>
    </row>
    <row r="478">
      <c r="A478" s="1">
        <v>2021</v>
      </c>
      <c r="B478" s="1">
        <v>41</v>
      </c>
      <c r="C478" s="1">
        <v>51</v>
      </c>
      <c r="D478" t="s">
        <v>3</v>
      </c>
      <c r="E478" t="s">
        <v>6</v>
      </c>
      <c r="F478" s="1">
        <v>41051</v>
      </c>
      <c r="G478" s="1">
        <v>11</v>
      </c>
      <c r="H478" s="1">
        <v>1</v>
      </c>
      <c r="I478" t="s">
        <v>14</v>
      </c>
      <c r="J478" t="s">
        <v>14</v>
      </c>
      <c r="K478" s="1">
        <v>11001</v>
      </c>
      <c r="L478" s="1">
        <v>91</v>
      </c>
      <c r="M478" s="1">
        <v>91</v>
      </c>
      <c r="N478" s="1">
        <v>2275000</v>
      </c>
      <c r="O478" s="1">
        <v>11001</v>
      </c>
      <c r="P478" s="1">
        <v>1</v>
      </c>
      <c r="Q478" s="1">
        <v>0</v>
      </c>
    </row>
    <row r="479">
      <c r="A479" s="1">
        <v>2021</v>
      </c>
      <c r="B479" s="1">
        <v>41</v>
      </c>
      <c r="C479" s="1">
        <v>51</v>
      </c>
      <c r="D479" t="s">
        <v>3</v>
      </c>
      <c r="E479" t="s">
        <v>6</v>
      </c>
      <c r="F479" s="1">
        <v>41051</v>
      </c>
      <c r="G479" s="1">
        <v>12</v>
      </c>
      <c r="H479" s="1">
        <v>0</v>
      </c>
      <c r="I479" t="s">
        <v>411</v>
      </c>
      <c r="J479" t="s">
        <v>276</v>
      </c>
      <c r="K479" s="1">
        <v>12000</v>
      </c>
      <c r="L479" s="1">
        <v>75</v>
      </c>
      <c r="M479" s="1"/>
      <c r="N479" s="1">
        <v>900000</v>
      </c>
      <c r="O479" s="1"/>
      <c r="P479" s="1">
        <v>1</v>
      </c>
      <c r="Q479" s="1">
        <v>0</v>
      </c>
    </row>
    <row r="480">
      <c r="A480" s="1">
        <v>2021</v>
      </c>
      <c r="B480" s="1">
        <v>41</v>
      </c>
      <c r="C480" s="1">
        <v>51</v>
      </c>
      <c r="D480" t="s">
        <v>3</v>
      </c>
      <c r="E480" t="s">
        <v>6</v>
      </c>
      <c r="F480" s="1">
        <v>41051</v>
      </c>
      <c r="G480" s="1">
        <v>12</v>
      </c>
      <c r="H480" s="1">
        <v>57</v>
      </c>
      <c r="I480" t="s">
        <v>15</v>
      </c>
      <c r="J480" t="s">
        <v>86</v>
      </c>
      <c r="K480" s="1">
        <v>12057</v>
      </c>
      <c r="L480" s="1">
        <v>54</v>
      </c>
      <c r="M480" s="1">
        <v>53</v>
      </c>
      <c r="N480" s="1">
        <v>2586600</v>
      </c>
      <c r="O480" s="1">
        <v>12057</v>
      </c>
      <c r="P480" s="1">
        <v>1</v>
      </c>
      <c r="Q480" s="1">
        <v>0</v>
      </c>
    </row>
    <row r="481">
      <c r="A481" s="1">
        <v>2021</v>
      </c>
      <c r="B481" s="1">
        <v>41</v>
      </c>
      <c r="C481" s="1">
        <v>51</v>
      </c>
      <c r="D481" t="s">
        <v>3</v>
      </c>
      <c r="E481" t="s">
        <v>6</v>
      </c>
      <c r="F481" s="1">
        <v>41051</v>
      </c>
      <c r="G481" s="1">
        <v>12</v>
      </c>
      <c r="H481" s="1">
        <v>95</v>
      </c>
      <c r="I481" t="s">
        <v>15</v>
      </c>
      <c r="J481" t="s">
        <v>64</v>
      </c>
      <c r="K481" s="1">
        <v>12095</v>
      </c>
      <c r="L481" s="1">
        <v>158</v>
      </c>
      <c r="M481" s="1"/>
      <c r="N481" s="1">
        <v>5190000</v>
      </c>
      <c r="O481" s="1">
        <v>12095</v>
      </c>
      <c r="P481" s="1">
        <v>1</v>
      </c>
      <c r="Q481" s="1">
        <v>0</v>
      </c>
    </row>
    <row r="482">
      <c r="A482" s="1">
        <v>2021</v>
      </c>
      <c r="B482" s="1">
        <v>41</v>
      </c>
      <c r="C482" s="1">
        <v>51</v>
      </c>
      <c r="D482" t="s">
        <v>3</v>
      </c>
      <c r="E482" t="s">
        <v>6</v>
      </c>
      <c r="F482" s="1">
        <v>41051</v>
      </c>
      <c r="G482" s="1">
        <v>12</v>
      </c>
      <c r="H482" s="1">
        <v>99</v>
      </c>
      <c r="I482" t="s">
        <v>15</v>
      </c>
      <c r="J482" t="s">
        <v>88</v>
      </c>
      <c r="K482" s="1">
        <v>12099</v>
      </c>
      <c r="L482" s="1">
        <v>328</v>
      </c>
      <c r="M482" s="1">
        <v>119</v>
      </c>
      <c r="N482" s="1">
        <v>4608000</v>
      </c>
      <c r="O482" s="1">
        <v>12099</v>
      </c>
      <c r="P482" s="1">
        <v>1</v>
      </c>
      <c r="Q482" s="1">
        <v>0</v>
      </c>
    </row>
    <row r="483">
      <c r="A483" s="1">
        <v>2021</v>
      </c>
      <c r="B483" s="1">
        <v>41</v>
      </c>
      <c r="C483" s="1">
        <v>51</v>
      </c>
      <c r="D483" t="s">
        <v>3</v>
      </c>
      <c r="E483" t="s">
        <v>6</v>
      </c>
      <c r="F483" s="1">
        <v>41051</v>
      </c>
      <c r="G483" s="1">
        <v>12</v>
      </c>
      <c r="H483" s="1">
        <v>101</v>
      </c>
      <c r="I483" t="s">
        <v>15</v>
      </c>
      <c r="J483" t="s">
        <v>249</v>
      </c>
      <c r="K483" s="1">
        <v>12101</v>
      </c>
      <c r="L483" s="1">
        <v>282</v>
      </c>
      <c r="M483" s="1">
        <v>282</v>
      </c>
      <c r="N483" s="1">
        <v>18894000</v>
      </c>
      <c r="O483" s="1">
        <v>12101</v>
      </c>
      <c r="P483" s="1">
        <v>1</v>
      </c>
      <c r="Q483" s="1">
        <v>0</v>
      </c>
    </row>
    <row r="484">
      <c r="A484" s="1">
        <v>2021</v>
      </c>
      <c r="B484" s="1">
        <v>41</v>
      </c>
      <c r="C484" s="1">
        <v>51</v>
      </c>
      <c r="D484" t="s">
        <v>3</v>
      </c>
      <c r="E484" t="s">
        <v>6</v>
      </c>
      <c r="F484" s="1">
        <v>41051</v>
      </c>
      <c r="G484" s="1">
        <v>13</v>
      </c>
      <c r="H484" s="1">
        <v>0</v>
      </c>
      <c r="I484" t="s">
        <v>411</v>
      </c>
      <c r="J484" t="s">
        <v>276</v>
      </c>
      <c r="K484" s="1">
        <v>13000</v>
      </c>
      <c r="L484" s="1">
        <v>936</v>
      </c>
      <c r="M484" s="1">
        <v>346</v>
      </c>
      <c r="N484" s="1">
        <v>28435000</v>
      </c>
      <c r="O484" s="1"/>
      <c r="P484" s="1">
        <v>1</v>
      </c>
      <c r="Q484" s="1">
        <v>0</v>
      </c>
    </row>
    <row r="485">
      <c r="A485" s="1">
        <v>2021</v>
      </c>
      <c r="B485" s="1">
        <v>41</v>
      </c>
      <c r="C485" s="1">
        <v>51</v>
      </c>
      <c r="D485" t="s">
        <v>3</v>
      </c>
      <c r="E485" t="s">
        <v>6</v>
      </c>
      <c r="F485" s="1">
        <v>41051</v>
      </c>
      <c r="G485" s="1">
        <v>16</v>
      </c>
      <c r="H485" s="1">
        <v>0</v>
      </c>
      <c r="I485" t="s">
        <v>411</v>
      </c>
      <c r="J485" t="s">
        <v>276</v>
      </c>
      <c r="K485" s="1">
        <v>16000</v>
      </c>
      <c r="L485" s="1">
        <v>182</v>
      </c>
      <c r="M485" s="1">
        <v>105</v>
      </c>
      <c r="N485" s="1">
        <v>7665000</v>
      </c>
      <c r="O485" s="1"/>
      <c r="P485" s="1">
        <v>1</v>
      </c>
      <c r="Q485" s="1">
        <v>0</v>
      </c>
    </row>
    <row r="486">
      <c r="A486" s="1">
        <v>2021</v>
      </c>
      <c r="B486" s="1">
        <v>41</v>
      </c>
      <c r="C486" s="1">
        <v>51</v>
      </c>
      <c r="D486" t="s">
        <v>3</v>
      </c>
      <c r="E486" t="s">
        <v>6</v>
      </c>
      <c r="F486" s="1">
        <v>41051</v>
      </c>
      <c r="G486" s="1">
        <v>17</v>
      </c>
      <c r="H486" s="1">
        <v>0</v>
      </c>
      <c r="I486" t="s">
        <v>411</v>
      </c>
      <c r="J486" t="s">
        <v>276</v>
      </c>
      <c r="K486" s="1">
        <v>17000</v>
      </c>
      <c r="L486" s="1">
        <v>93</v>
      </c>
      <c r="M486" s="1">
        <v>93</v>
      </c>
      <c r="N486" s="1">
        <v>7161000</v>
      </c>
      <c r="O486" s="1"/>
      <c r="P486" s="1">
        <v>1</v>
      </c>
      <c r="Q486" s="1">
        <v>0</v>
      </c>
    </row>
    <row r="487">
      <c r="A487" s="1">
        <v>2021</v>
      </c>
      <c r="B487" s="1">
        <v>41</v>
      </c>
      <c r="C487" s="1">
        <v>51</v>
      </c>
      <c r="D487" t="s">
        <v>3</v>
      </c>
      <c r="E487" t="s">
        <v>6</v>
      </c>
      <c r="F487" s="1">
        <v>41051</v>
      </c>
      <c r="G487" s="1">
        <v>17</v>
      </c>
      <c r="H487" s="1">
        <v>31</v>
      </c>
      <c r="I487" t="s">
        <v>19</v>
      </c>
      <c r="J487" t="s">
        <v>98</v>
      </c>
      <c r="K487" s="1">
        <v>17031</v>
      </c>
      <c r="L487" s="1">
        <v>252</v>
      </c>
      <c r="M487" s="1">
        <v>75</v>
      </c>
      <c r="N487" s="1">
        <v>3999000</v>
      </c>
      <c r="O487" s="1">
        <v>17031</v>
      </c>
      <c r="P487" s="1">
        <v>1</v>
      </c>
      <c r="Q487" s="1">
        <v>0</v>
      </c>
    </row>
    <row r="488">
      <c r="A488" s="1">
        <v>2021</v>
      </c>
      <c r="B488" s="1">
        <v>41</v>
      </c>
      <c r="C488" s="1">
        <v>51</v>
      </c>
      <c r="D488" t="s">
        <v>3</v>
      </c>
      <c r="E488" t="s">
        <v>6</v>
      </c>
      <c r="F488" s="1">
        <v>41051</v>
      </c>
      <c r="G488" s="1">
        <v>18</v>
      </c>
      <c r="H488" s="1">
        <v>97</v>
      </c>
      <c r="I488" t="s">
        <v>20</v>
      </c>
      <c r="J488" t="s">
        <v>99</v>
      </c>
      <c r="K488" s="1">
        <v>18097</v>
      </c>
      <c r="L488" s="1">
        <v>456</v>
      </c>
      <c r="M488" s="1">
        <v>214</v>
      </c>
      <c r="N488" s="1">
        <v>10972000</v>
      </c>
      <c r="O488" s="1">
        <v>18097</v>
      </c>
      <c r="P488" s="1">
        <v>1</v>
      </c>
      <c r="Q488" s="1">
        <v>0</v>
      </c>
    </row>
    <row r="489">
      <c r="A489" s="1">
        <v>2021</v>
      </c>
      <c r="B489" s="1">
        <v>41</v>
      </c>
      <c r="C489" s="1">
        <v>51</v>
      </c>
      <c r="D489" t="s">
        <v>3</v>
      </c>
      <c r="E489" t="s">
        <v>6</v>
      </c>
      <c r="F489" s="1">
        <v>41051</v>
      </c>
      <c r="G489" s="1">
        <v>19</v>
      </c>
      <c r="H489" s="1">
        <v>0</v>
      </c>
      <c r="I489" t="s">
        <v>411</v>
      </c>
      <c r="J489" t="s">
        <v>276</v>
      </c>
      <c r="K489" s="1">
        <v>19000</v>
      </c>
      <c r="L489" s="1">
        <v>135</v>
      </c>
      <c r="M489" s="1">
        <v>135</v>
      </c>
      <c r="N489" s="1">
        <v>5737500</v>
      </c>
      <c r="O489" s="1"/>
      <c r="P489" s="1">
        <v>1</v>
      </c>
      <c r="Q489" s="1">
        <v>0</v>
      </c>
    </row>
    <row r="490">
      <c r="A490" s="1">
        <v>2021</v>
      </c>
      <c r="B490" s="1">
        <v>41</v>
      </c>
      <c r="C490" s="1">
        <v>51</v>
      </c>
      <c r="D490" t="s">
        <v>3</v>
      </c>
      <c r="E490" t="s">
        <v>6</v>
      </c>
      <c r="F490" s="1">
        <v>41051</v>
      </c>
      <c r="G490" s="1">
        <v>20</v>
      </c>
      <c r="H490" s="1">
        <v>91</v>
      </c>
      <c r="I490" t="s">
        <v>42</v>
      </c>
      <c r="J490" t="s">
        <v>188</v>
      </c>
      <c r="K490" s="1">
        <v>20091</v>
      </c>
      <c r="L490" s="1">
        <v>192</v>
      </c>
      <c r="M490" s="1">
        <v>95</v>
      </c>
      <c r="N490" s="1">
        <v>5659200</v>
      </c>
      <c r="O490" s="1">
        <v>20091</v>
      </c>
      <c r="P490" s="1">
        <v>1</v>
      </c>
      <c r="Q490" s="1">
        <v>0</v>
      </c>
    </row>
    <row r="491">
      <c r="A491" s="1">
        <v>2021</v>
      </c>
      <c r="B491" s="1">
        <v>41</v>
      </c>
      <c r="C491" s="1">
        <v>51</v>
      </c>
      <c r="D491" t="s">
        <v>3</v>
      </c>
      <c r="E491" t="s">
        <v>6</v>
      </c>
      <c r="F491" s="1">
        <v>41051</v>
      </c>
      <c r="G491" s="1">
        <v>21</v>
      </c>
      <c r="H491" s="1">
        <v>0</v>
      </c>
      <c r="I491" t="s">
        <v>411</v>
      </c>
      <c r="J491" t="s">
        <v>276</v>
      </c>
      <c r="K491" s="1">
        <v>21000</v>
      </c>
      <c r="L491" s="1">
        <v>129</v>
      </c>
      <c r="M491" s="1">
        <v>68</v>
      </c>
      <c r="N491" s="1">
        <v>3979500</v>
      </c>
      <c r="O491" s="1"/>
      <c r="P491" s="1">
        <v>1</v>
      </c>
      <c r="Q491" s="1">
        <v>0</v>
      </c>
    </row>
    <row r="492">
      <c r="A492" s="1">
        <v>2021</v>
      </c>
      <c r="B492" s="1">
        <v>41</v>
      </c>
      <c r="C492" s="1">
        <v>51</v>
      </c>
      <c r="D492" t="s">
        <v>3</v>
      </c>
      <c r="E492" t="s">
        <v>6</v>
      </c>
      <c r="F492" s="1">
        <v>41051</v>
      </c>
      <c r="G492" s="1">
        <v>22</v>
      </c>
      <c r="H492" s="1">
        <v>71</v>
      </c>
      <c r="I492" t="s">
        <v>22</v>
      </c>
      <c r="J492" t="s">
        <v>101</v>
      </c>
      <c r="K492" s="1">
        <v>22071</v>
      </c>
      <c r="L492" s="1">
        <v>95</v>
      </c>
      <c r="M492" s="1"/>
      <c r="N492" s="1">
        <v>875000</v>
      </c>
      <c r="O492" s="1">
        <v>22071</v>
      </c>
      <c r="P492" s="1">
        <v>1</v>
      </c>
      <c r="Q492" s="1">
        <v>0</v>
      </c>
    </row>
    <row r="493">
      <c r="A493" s="1">
        <v>2021</v>
      </c>
      <c r="B493" s="1">
        <v>41</v>
      </c>
      <c r="C493" s="1">
        <v>51</v>
      </c>
      <c r="D493" t="s">
        <v>3</v>
      </c>
      <c r="E493" t="s">
        <v>6</v>
      </c>
      <c r="F493" s="1">
        <v>41051</v>
      </c>
      <c r="G493" s="1">
        <v>23</v>
      </c>
      <c r="H493" s="1">
        <v>0</v>
      </c>
      <c r="I493" t="s">
        <v>411</v>
      </c>
      <c r="J493" t="s">
        <v>276</v>
      </c>
      <c r="K493" s="1">
        <v>23000</v>
      </c>
      <c r="L493" s="1">
        <v>75</v>
      </c>
      <c r="M493" s="1"/>
      <c r="N493" s="1">
        <v>6900000</v>
      </c>
      <c r="O493" s="1"/>
      <c r="P493" s="1">
        <v>1</v>
      </c>
      <c r="Q493" s="1">
        <v>0</v>
      </c>
    </row>
    <row r="494">
      <c r="A494" s="1">
        <v>2021</v>
      </c>
      <c r="B494" s="1">
        <v>41</v>
      </c>
      <c r="C494" s="1">
        <v>51</v>
      </c>
      <c r="D494" t="s">
        <v>3</v>
      </c>
      <c r="E494" t="s">
        <v>6</v>
      </c>
      <c r="F494" s="1">
        <v>41051</v>
      </c>
      <c r="G494" s="1">
        <v>25</v>
      </c>
      <c r="H494" s="1">
        <v>0</v>
      </c>
      <c r="I494" t="s">
        <v>411</v>
      </c>
      <c r="J494" t="s">
        <v>276</v>
      </c>
      <c r="K494" s="1">
        <v>25000</v>
      </c>
      <c r="L494" s="1">
        <v>89</v>
      </c>
      <c r="M494" s="1">
        <v>89</v>
      </c>
      <c r="N494" s="1">
        <v>1028840</v>
      </c>
      <c r="O494" s="1"/>
      <c r="P494" s="1">
        <v>1</v>
      </c>
      <c r="Q494" s="1">
        <v>0</v>
      </c>
    </row>
    <row r="495">
      <c r="A495" s="1">
        <v>2021</v>
      </c>
      <c r="B495" s="1">
        <v>41</v>
      </c>
      <c r="C495" s="1">
        <v>51</v>
      </c>
      <c r="D495" t="s">
        <v>3</v>
      </c>
      <c r="E495" t="s">
        <v>6</v>
      </c>
      <c r="F495" s="1">
        <v>41051</v>
      </c>
      <c r="G495" s="1">
        <v>25</v>
      </c>
      <c r="H495" s="1">
        <v>25</v>
      </c>
      <c r="I495" t="s">
        <v>25</v>
      </c>
      <c r="J495" t="s">
        <v>105</v>
      </c>
      <c r="K495" s="1">
        <v>25025</v>
      </c>
      <c r="L495" s="1">
        <v>100</v>
      </c>
      <c r="M495" s="1">
        <v>46</v>
      </c>
      <c r="N495" s="1">
        <v>9222400</v>
      </c>
      <c r="O495" s="1">
        <v>25025</v>
      </c>
      <c r="P495" s="1">
        <v>1</v>
      </c>
      <c r="Q495" s="1">
        <v>0</v>
      </c>
    </row>
    <row r="496">
      <c r="A496" s="1">
        <v>2021</v>
      </c>
      <c r="B496" s="1">
        <v>41</v>
      </c>
      <c r="C496" s="1">
        <v>51</v>
      </c>
      <c r="D496" t="s">
        <v>3</v>
      </c>
      <c r="E496" t="s">
        <v>6</v>
      </c>
      <c r="F496" s="1">
        <v>41051</v>
      </c>
      <c r="G496" s="1">
        <v>26</v>
      </c>
      <c r="H496" s="1">
        <v>0</v>
      </c>
      <c r="I496" t="s">
        <v>411</v>
      </c>
      <c r="J496" t="s">
        <v>276</v>
      </c>
      <c r="K496" s="1">
        <v>26000</v>
      </c>
      <c r="L496" s="1">
        <v>217</v>
      </c>
      <c r="M496" s="1"/>
      <c r="N496" s="1">
        <v>9152400</v>
      </c>
      <c r="O496" s="1"/>
      <c r="P496" s="1">
        <v>1</v>
      </c>
      <c r="Q496" s="1">
        <v>0</v>
      </c>
    </row>
    <row r="497">
      <c r="A497" s="1">
        <v>2021</v>
      </c>
      <c r="B497" s="1">
        <v>41</v>
      </c>
      <c r="C497" s="1">
        <v>51</v>
      </c>
      <c r="D497" t="s">
        <v>3</v>
      </c>
      <c r="E497" t="s">
        <v>6</v>
      </c>
      <c r="F497" s="1">
        <v>41051</v>
      </c>
      <c r="G497" s="1">
        <v>26</v>
      </c>
      <c r="H497" s="1">
        <v>99</v>
      </c>
      <c r="I497" t="s">
        <v>26</v>
      </c>
      <c r="J497" t="s">
        <v>300</v>
      </c>
      <c r="K497" s="1">
        <v>26099</v>
      </c>
      <c r="L497" s="1">
        <v>280</v>
      </c>
      <c r="M497" s="1"/>
      <c r="N497" s="1">
        <v>35840000</v>
      </c>
      <c r="O497" s="1">
        <v>26099</v>
      </c>
      <c r="P497" s="1">
        <v>1</v>
      </c>
      <c r="Q497" s="1">
        <v>0</v>
      </c>
    </row>
    <row r="498">
      <c r="A498" s="1">
        <v>2021</v>
      </c>
      <c r="B498" s="1">
        <v>41</v>
      </c>
      <c r="C498" s="1">
        <v>51</v>
      </c>
      <c r="D498" t="s">
        <v>3</v>
      </c>
      <c r="E498" t="s">
        <v>6</v>
      </c>
      <c r="F498" s="1">
        <v>41051</v>
      </c>
      <c r="G498" s="1">
        <v>27</v>
      </c>
      <c r="H498" s="1">
        <v>0</v>
      </c>
      <c r="I498" t="s">
        <v>411</v>
      </c>
      <c r="J498" t="s">
        <v>276</v>
      </c>
      <c r="K498" s="1">
        <v>27000</v>
      </c>
      <c r="L498" s="1">
        <v>483</v>
      </c>
      <c r="M498" s="1">
        <v>38</v>
      </c>
      <c r="N498" s="1">
        <v>12106800</v>
      </c>
      <c r="O498" s="1"/>
      <c r="P498" s="1">
        <v>1</v>
      </c>
      <c r="Q498" s="1">
        <v>0</v>
      </c>
    </row>
    <row r="499">
      <c r="A499" s="1">
        <v>2021</v>
      </c>
      <c r="B499" s="1">
        <v>41</v>
      </c>
      <c r="C499" s="1">
        <v>51</v>
      </c>
      <c r="D499" t="s">
        <v>3</v>
      </c>
      <c r="E499" t="s">
        <v>6</v>
      </c>
      <c r="F499" s="1">
        <v>41051</v>
      </c>
      <c r="G499" s="1">
        <v>28</v>
      </c>
      <c r="H499" s="1">
        <v>0</v>
      </c>
      <c r="I499" t="s">
        <v>411</v>
      </c>
      <c r="J499" t="s">
        <v>276</v>
      </c>
      <c r="K499" s="1">
        <v>28000</v>
      </c>
      <c r="L499" s="1">
        <v>71</v>
      </c>
      <c r="M499" s="1">
        <v>71</v>
      </c>
      <c r="N499" s="1">
        <v>127800</v>
      </c>
      <c r="O499" s="1"/>
      <c r="P499" s="1">
        <v>1</v>
      </c>
      <c r="Q499" s="1">
        <v>0</v>
      </c>
    </row>
    <row r="500">
      <c r="A500" s="1">
        <v>2021</v>
      </c>
      <c r="B500" s="1">
        <v>41</v>
      </c>
      <c r="C500" s="1">
        <v>51</v>
      </c>
      <c r="D500" t="s">
        <v>3</v>
      </c>
      <c r="E500" t="s">
        <v>6</v>
      </c>
      <c r="F500" s="1">
        <v>41051</v>
      </c>
      <c r="G500" s="1">
        <v>29</v>
      </c>
      <c r="H500" s="1">
        <v>0</v>
      </c>
      <c r="I500" t="s">
        <v>411</v>
      </c>
      <c r="J500" t="s">
        <v>276</v>
      </c>
      <c r="K500" s="1">
        <v>29000</v>
      </c>
      <c r="L500" s="1">
        <v>191</v>
      </c>
      <c r="M500" s="1"/>
      <c r="N500" s="1">
        <v>3302000</v>
      </c>
      <c r="O500" s="1"/>
      <c r="P500" s="1">
        <v>1</v>
      </c>
      <c r="Q500" s="1">
        <v>0</v>
      </c>
    </row>
    <row r="501">
      <c r="A501" s="1">
        <v>2021</v>
      </c>
      <c r="B501" s="1">
        <v>41</v>
      </c>
      <c r="C501" s="1">
        <v>51</v>
      </c>
      <c r="D501" t="s">
        <v>3</v>
      </c>
      <c r="E501" t="s">
        <v>6</v>
      </c>
      <c r="F501" s="1">
        <v>41051</v>
      </c>
      <c r="G501" s="1">
        <v>29</v>
      </c>
      <c r="H501" s="1">
        <v>183</v>
      </c>
      <c r="I501" t="s">
        <v>44</v>
      </c>
      <c r="J501" t="s">
        <v>314</v>
      </c>
      <c r="K501" s="1">
        <v>29183</v>
      </c>
      <c r="L501" s="1">
        <v>87</v>
      </c>
      <c r="M501" s="1">
        <v>87</v>
      </c>
      <c r="N501" s="1">
        <v>4437000</v>
      </c>
      <c r="O501" s="1">
        <v>29183</v>
      </c>
      <c r="P501" s="1">
        <v>1</v>
      </c>
      <c r="Q501" s="1">
        <v>0</v>
      </c>
    </row>
    <row r="502">
      <c r="A502" s="1">
        <v>2021</v>
      </c>
      <c r="B502" s="1">
        <v>41</v>
      </c>
      <c r="C502" s="1">
        <v>51</v>
      </c>
      <c r="D502" t="s">
        <v>3</v>
      </c>
      <c r="E502" t="s">
        <v>6</v>
      </c>
      <c r="F502" s="1">
        <v>41051</v>
      </c>
      <c r="G502" s="1">
        <v>29</v>
      </c>
      <c r="H502" s="1">
        <v>510</v>
      </c>
      <c r="I502" t="s">
        <v>44</v>
      </c>
      <c r="J502" t="s">
        <v>198</v>
      </c>
      <c r="K502" s="1">
        <v>29510</v>
      </c>
      <c r="L502" s="1">
        <v>395</v>
      </c>
      <c r="M502" s="1">
        <v>311</v>
      </c>
      <c r="N502" s="1">
        <v>29507200</v>
      </c>
      <c r="O502" s="1">
        <v>29510</v>
      </c>
      <c r="P502" s="1">
        <v>1</v>
      </c>
      <c r="Q502" s="1">
        <v>0</v>
      </c>
    </row>
    <row r="503">
      <c r="A503" s="1">
        <v>2021</v>
      </c>
      <c r="B503" s="1">
        <v>41</v>
      </c>
      <c r="C503" s="1">
        <v>51</v>
      </c>
      <c r="D503" t="s">
        <v>3</v>
      </c>
      <c r="E503" t="s">
        <v>6</v>
      </c>
      <c r="F503" s="1">
        <v>41051</v>
      </c>
      <c r="G503" s="1">
        <v>30</v>
      </c>
      <c r="H503" s="1">
        <v>0</v>
      </c>
      <c r="I503" t="s">
        <v>411</v>
      </c>
      <c r="J503" t="s">
        <v>276</v>
      </c>
      <c r="K503" s="1">
        <v>30000</v>
      </c>
      <c r="L503" s="1">
        <v>142</v>
      </c>
      <c r="M503" s="1">
        <v>142</v>
      </c>
      <c r="N503" s="1">
        <v>1334800</v>
      </c>
      <c r="O503" s="1"/>
      <c r="P503" s="1">
        <v>1</v>
      </c>
      <c r="Q503" s="1">
        <v>0</v>
      </c>
    </row>
    <row r="504">
      <c r="A504" s="1">
        <v>2021</v>
      </c>
      <c r="B504" s="1">
        <v>41</v>
      </c>
      <c r="C504" s="1">
        <v>51</v>
      </c>
      <c r="D504" t="s">
        <v>3</v>
      </c>
      <c r="E504" t="s">
        <v>6</v>
      </c>
      <c r="F504" s="1">
        <v>41051</v>
      </c>
      <c r="G504" s="1">
        <v>31</v>
      </c>
      <c r="H504" s="1">
        <v>0</v>
      </c>
      <c r="I504" t="s">
        <v>411</v>
      </c>
      <c r="J504" t="s">
        <v>276</v>
      </c>
      <c r="K504" s="1">
        <v>31000</v>
      </c>
      <c r="L504" s="1">
        <v>292</v>
      </c>
      <c r="M504" s="1"/>
      <c r="N504" s="1">
        <v>3957000</v>
      </c>
      <c r="O504" s="1"/>
      <c r="P504" s="1">
        <v>1</v>
      </c>
      <c r="Q504" s="1">
        <v>0</v>
      </c>
    </row>
    <row r="505">
      <c r="A505" s="1">
        <v>2021</v>
      </c>
      <c r="B505" s="1">
        <v>41</v>
      </c>
      <c r="C505" s="1">
        <v>51</v>
      </c>
      <c r="D505" t="s">
        <v>3</v>
      </c>
      <c r="E505" t="s">
        <v>6</v>
      </c>
      <c r="F505" s="1">
        <v>41051</v>
      </c>
      <c r="G505" s="1">
        <v>31</v>
      </c>
      <c r="H505" s="1">
        <v>55</v>
      </c>
      <c r="I505" t="s">
        <v>45</v>
      </c>
      <c r="J505" t="s">
        <v>131</v>
      </c>
      <c r="K505" s="1">
        <v>31055</v>
      </c>
      <c r="L505" s="1">
        <v>168</v>
      </c>
      <c r="M505" s="1">
        <v>168</v>
      </c>
      <c r="N505" s="1">
        <v>4732200</v>
      </c>
      <c r="O505" s="1">
        <v>31055</v>
      </c>
      <c r="P505" s="1">
        <v>1</v>
      </c>
      <c r="Q505" s="1">
        <v>0</v>
      </c>
    </row>
    <row r="506">
      <c r="A506" s="1">
        <v>2021</v>
      </c>
      <c r="B506" s="1">
        <v>41</v>
      </c>
      <c r="C506" s="1">
        <v>51</v>
      </c>
      <c r="D506" t="s">
        <v>3</v>
      </c>
      <c r="E506" t="s">
        <v>6</v>
      </c>
      <c r="F506" s="1">
        <v>41051</v>
      </c>
      <c r="G506" s="1">
        <v>33</v>
      </c>
      <c r="H506" s="1">
        <v>0</v>
      </c>
      <c r="I506" t="s">
        <v>411</v>
      </c>
      <c r="J506" t="s">
        <v>276</v>
      </c>
      <c r="K506" s="1">
        <v>33000</v>
      </c>
      <c r="L506" s="1">
        <v>30</v>
      </c>
      <c r="M506" s="1"/>
      <c r="N506" s="1">
        <v>630000</v>
      </c>
      <c r="O506" s="1"/>
      <c r="P506" s="1">
        <v>1</v>
      </c>
      <c r="Q506" s="1">
        <v>0</v>
      </c>
    </row>
    <row r="507">
      <c r="A507" s="1">
        <v>2021</v>
      </c>
      <c r="B507" s="1">
        <v>41</v>
      </c>
      <c r="C507" s="1">
        <v>51</v>
      </c>
      <c r="D507" t="s">
        <v>3</v>
      </c>
      <c r="E507" t="s">
        <v>6</v>
      </c>
      <c r="F507" s="1">
        <v>41051</v>
      </c>
      <c r="G507" s="1">
        <v>35</v>
      </c>
      <c r="H507" s="1">
        <v>0</v>
      </c>
      <c r="I507" t="s">
        <v>411</v>
      </c>
      <c r="J507" t="s">
        <v>276</v>
      </c>
      <c r="K507" s="1">
        <v>35000</v>
      </c>
      <c r="L507" s="1">
        <v>707</v>
      </c>
      <c r="M507" s="1">
        <v>360</v>
      </c>
      <c r="N507" s="1">
        <v>51695000</v>
      </c>
      <c r="O507" s="1"/>
      <c r="P507" s="1">
        <v>1</v>
      </c>
      <c r="Q507" s="1">
        <v>0</v>
      </c>
    </row>
    <row r="508">
      <c r="A508" s="1">
        <v>2021</v>
      </c>
      <c r="B508" s="1">
        <v>41</v>
      </c>
      <c r="C508" s="1">
        <v>51</v>
      </c>
      <c r="D508" t="s">
        <v>3</v>
      </c>
      <c r="E508" t="s">
        <v>6</v>
      </c>
      <c r="F508" s="1">
        <v>41051</v>
      </c>
      <c r="G508" s="1">
        <v>36</v>
      </c>
      <c r="H508" s="1">
        <v>1</v>
      </c>
      <c r="I508" t="s">
        <v>31</v>
      </c>
      <c r="J508" t="s">
        <v>315</v>
      </c>
      <c r="K508" s="1">
        <v>36001</v>
      </c>
      <c r="L508" s="1">
        <v>47</v>
      </c>
      <c r="M508" s="1"/>
      <c r="N508" s="1">
        <v>517000</v>
      </c>
      <c r="O508" s="1">
        <v>36001</v>
      </c>
      <c r="P508" s="1">
        <v>1</v>
      </c>
      <c r="Q508" s="1">
        <v>0</v>
      </c>
    </row>
    <row r="509">
      <c r="A509" s="1">
        <v>2021</v>
      </c>
      <c r="B509" s="1">
        <v>41</v>
      </c>
      <c r="C509" s="1">
        <v>51</v>
      </c>
      <c r="D509" t="s">
        <v>3</v>
      </c>
      <c r="E509" t="s">
        <v>6</v>
      </c>
      <c r="F509" s="1">
        <v>41051</v>
      </c>
      <c r="G509" s="1">
        <v>36</v>
      </c>
      <c r="H509" s="1">
        <v>47</v>
      </c>
      <c r="I509" t="s">
        <v>31</v>
      </c>
      <c r="J509" t="s">
        <v>116</v>
      </c>
      <c r="K509" s="1">
        <v>36047</v>
      </c>
      <c r="L509" s="1">
        <v>368</v>
      </c>
      <c r="M509" s="1">
        <v>181</v>
      </c>
      <c r="N509" s="1">
        <v>30100000</v>
      </c>
      <c r="O509" s="1">
        <v>36047</v>
      </c>
      <c r="P509" s="1">
        <v>1</v>
      </c>
      <c r="Q509" s="1">
        <v>0</v>
      </c>
    </row>
    <row r="510">
      <c r="A510" s="1">
        <v>2021</v>
      </c>
      <c r="B510" s="1">
        <v>41</v>
      </c>
      <c r="C510" s="1">
        <v>51</v>
      </c>
      <c r="D510" t="s">
        <v>3</v>
      </c>
      <c r="E510" t="s">
        <v>6</v>
      </c>
      <c r="F510" s="1">
        <v>41051</v>
      </c>
      <c r="G510" s="1">
        <v>36</v>
      </c>
      <c r="H510" s="1">
        <v>59</v>
      </c>
      <c r="I510" t="s">
        <v>31</v>
      </c>
      <c r="J510" t="s">
        <v>316</v>
      </c>
      <c r="K510" s="1">
        <v>36059</v>
      </c>
      <c r="L510" s="1">
        <v>135</v>
      </c>
      <c r="M510" s="1"/>
      <c r="N510" s="1">
        <v>6075000</v>
      </c>
      <c r="O510" s="1">
        <v>36059</v>
      </c>
      <c r="P510" s="1">
        <v>1</v>
      </c>
      <c r="Q510" s="1">
        <v>0</v>
      </c>
    </row>
    <row r="511">
      <c r="A511" s="1">
        <v>2021</v>
      </c>
      <c r="B511" s="1">
        <v>41</v>
      </c>
      <c r="C511" s="1">
        <v>51</v>
      </c>
      <c r="D511" t="s">
        <v>3</v>
      </c>
      <c r="E511" t="s">
        <v>6</v>
      </c>
      <c r="F511" s="1">
        <v>41051</v>
      </c>
      <c r="G511" s="1">
        <v>36</v>
      </c>
      <c r="H511" s="1">
        <v>61</v>
      </c>
      <c r="I511" t="s">
        <v>31</v>
      </c>
      <c r="J511" t="s">
        <v>117</v>
      </c>
      <c r="K511" s="1">
        <v>36061</v>
      </c>
      <c r="L511" s="1">
        <v>113</v>
      </c>
      <c r="M511" s="1">
        <v>113</v>
      </c>
      <c r="N511" s="1">
        <v>11300000</v>
      </c>
      <c r="O511" s="1">
        <v>36061</v>
      </c>
      <c r="P511" s="1">
        <v>1</v>
      </c>
      <c r="Q511" s="1">
        <v>0</v>
      </c>
    </row>
    <row r="512">
      <c r="A512" s="1">
        <v>2021</v>
      </c>
      <c r="B512" s="1">
        <v>41</v>
      </c>
      <c r="C512" s="1">
        <v>51</v>
      </c>
      <c r="D512" t="s">
        <v>3</v>
      </c>
      <c r="E512" t="s">
        <v>6</v>
      </c>
      <c r="F512" s="1">
        <v>41051</v>
      </c>
      <c r="G512" s="1">
        <v>36</v>
      </c>
      <c r="H512" s="1">
        <v>83</v>
      </c>
      <c r="I512" t="s">
        <v>31</v>
      </c>
      <c r="J512" t="s">
        <v>317</v>
      </c>
      <c r="K512" s="1">
        <v>36083</v>
      </c>
      <c r="L512" s="1">
        <v>18</v>
      </c>
      <c r="M512" s="1"/>
      <c r="N512" s="1">
        <v>10800</v>
      </c>
      <c r="O512" s="1">
        <v>36083</v>
      </c>
      <c r="P512" s="1">
        <v>1</v>
      </c>
      <c r="Q512" s="1">
        <v>0</v>
      </c>
    </row>
    <row r="513">
      <c r="A513" s="1">
        <v>2021</v>
      </c>
      <c r="B513" s="1">
        <v>41</v>
      </c>
      <c r="C513" s="1">
        <v>51</v>
      </c>
      <c r="D513" t="s">
        <v>3</v>
      </c>
      <c r="E513" t="s">
        <v>6</v>
      </c>
      <c r="F513" s="1">
        <v>41051</v>
      </c>
      <c r="G513" s="1">
        <v>36</v>
      </c>
      <c r="H513" s="1">
        <v>103</v>
      </c>
      <c r="I513" t="s">
        <v>31</v>
      </c>
      <c r="J513" t="s">
        <v>105</v>
      </c>
      <c r="K513" s="1">
        <v>36103</v>
      </c>
      <c r="L513" s="1">
        <v>158</v>
      </c>
      <c r="M513" s="1">
        <v>48</v>
      </c>
      <c r="N513" s="1">
        <v>7540000</v>
      </c>
      <c r="O513" s="1">
        <v>36103</v>
      </c>
      <c r="P513" s="1">
        <v>1</v>
      </c>
      <c r="Q513" s="1">
        <v>0</v>
      </c>
    </row>
    <row r="514">
      <c r="A514" s="1">
        <v>2021</v>
      </c>
      <c r="B514" s="1">
        <v>41</v>
      </c>
      <c r="C514" s="1">
        <v>51</v>
      </c>
      <c r="D514" t="s">
        <v>3</v>
      </c>
      <c r="E514" t="s">
        <v>6</v>
      </c>
      <c r="F514" s="1">
        <v>41051</v>
      </c>
      <c r="G514" s="1">
        <v>36</v>
      </c>
      <c r="H514" s="1">
        <v>109</v>
      </c>
      <c r="I514" t="s">
        <v>31</v>
      </c>
      <c r="J514" t="s">
        <v>290</v>
      </c>
      <c r="K514" s="1">
        <v>36109</v>
      </c>
      <c r="L514" s="1">
        <v>207</v>
      </c>
      <c r="M514" s="1">
        <v>207</v>
      </c>
      <c r="N514" s="1">
        <v>20907000</v>
      </c>
      <c r="O514" s="1">
        <v>36109</v>
      </c>
      <c r="P514" s="1">
        <v>1</v>
      </c>
      <c r="Q514" s="1">
        <v>0</v>
      </c>
    </row>
    <row r="515">
      <c r="A515" s="1">
        <v>2021</v>
      </c>
      <c r="B515" s="1">
        <v>41</v>
      </c>
      <c r="C515" s="1">
        <v>51</v>
      </c>
      <c r="D515" t="s">
        <v>3</v>
      </c>
      <c r="E515" t="s">
        <v>6</v>
      </c>
      <c r="F515" s="1">
        <v>41051</v>
      </c>
      <c r="G515" s="1">
        <v>37</v>
      </c>
      <c r="H515" s="1">
        <v>21</v>
      </c>
      <c r="I515" t="s">
        <v>32</v>
      </c>
      <c r="J515" t="s">
        <v>120</v>
      </c>
      <c r="K515" s="1">
        <v>37021</v>
      </c>
      <c r="L515" s="1">
        <v>72</v>
      </c>
      <c r="M515" s="1">
        <v>37</v>
      </c>
      <c r="N515" s="1">
        <v>8685000</v>
      </c>
      <c r="O515" s="1">
        <v>37021</v>
      </c>
      <c r="P515" s="1">
        <v>1</v>
      </c>
      <c r="Q515" s="1">
        <v>0</v>
      </c>
    </row>
    <row r="516">
      <c r="A516" s="1">
        <v>2021</v>
      </c>
      <c r="B516" s="1">
        <v>41</v>
      </c>
      <c r="C516" s="1">
        <v>51</v>
      </c>
      <c r="D516" t="s">
        <v>3</v>
      </c>
      <c r="E516" t="s">
        <v>6</v>
      </c>
      <c r="F516" s="1">
        <v>41051</v>
      </c>
      <c r="G516" s="1">
        <v>37</v>
      </c>
      <c r="H516" s="1">
        <v>135</v>
      </c>
      <c r="I516" t="s">
        <v>32</v>
      </c>
      <c r="J516" t="s">
        <v>64</v>
      </c>
      <c r="K516" s="1">
        <v>37135</v>
      </c>
      <c r="L516" s="1">
        <v>98</v>
      </c>
      <c r="M516" s="1">
        <v>53</v>
      </c>
      <c r="N516" s="1">
        <v>889800</v>
      </c>
      <c r="O516" s="1">
        <v>37135</v>
      </c>
      <c r="P516" s="1">
        <v>1</v>
      </c>
      <c r="Q516" s="1">
        <v>0</v>
      </c>
    </row>
    <row r="517">
      <c r="A517" s="1">
        <v>2021</v>
      </c>
      <c r="B517" s="1">
        <v>41</v>
      </c>
      <c r="C517" s="1">
        <v>51</v>
      </c>
      <c r="D517" t="s">
        <v>3</v>
      </c>
      <c r="E517" t="s">
        <v>6</v>
      </c>
      <c r="F517" s="1">
        <v>41051</v>
      </c>
      <c r="G517" s="1">
        <v>37</v>
      </c>
      <c r="H517" s="1">
        <v>183</v>
      </c>
      <c r="I517" t="s">
        <v>32</v>
      </c>
      <c r="J517" t="s">
        <v>206</v>
      </c>
      <c r="K517" s="1">
        <v>37183</v>
      </c>
      <c r="L517" s="1">
        <v>51</v>
      </c>
      <c r="M517" s="1">
        <v>51</v>
      </c>
      <c r="N517" s="1">
        <v>2764200</v>
      </c>
      <c r="O517" s="1">
        <v>37183</v>
      </c>
      <c r="P517" s="1">
        <v>1</v>
      </c>
      <c r="Q517" s="1">
        <v>0</v>
      </c>
    </row>
    <row r="518">
      <c r="A518" s="1">
        <v>2021</v>
      </c>
      <c r="B518" s="1">
        <v>41</v>
      </c>
      <c r="C518" s="1">
        <v>51</v>
      </c>
      <c r="D518" t="s">
        <v>3</v>
      </c>
      <c r="E518" t="s">
        <v>6</v>
      </c>
      <c r="F518" s="1">
        <v>41051</v>
      </c>
      <c r="G518" s="1">
        <v>38</v>
      </c>
      <c r="H518" s="1">
        <v>0</v>
      </c>
      <c r="I518" t="s">
        <v>411</v>
      </c>
      <c r="J518" t="s">
        <v>276</v>
      </c>
      <c r="K518" s="1">
        <v>38000</v>
      </c>
      <c r="L518" s="1">
        <v>592</v>
      </c>
      <c r="M518" s="1">
        <v>592</v>
      </c>
      <c r="N518" s="1">
        <v>0</v>
      </c>
      <c r="O518" s="1"/>
      <c r="P518" s="1">
        <v>1</v>
      </c>
      <c r="Q518" s="1">
        <v>0</v>
      </c>
    </row>
    <row r="519">
      <c r="A519" s="1">
        <v>2021</v>
      </c>
      <c r="B519" s="1">
        <v>41</v>
      </c>
      <c r="C519" s="1">
        <v>51</v>
      </c>
      <c r="D519" t="s">
        <v>3</v>
      </c>
      <c r="E519" t="s">
        <v>6</v>
      </c>
      <c r="F519" s="1">
        <v>41051</v>
      </c>
      <c r="G519" s="1">
        <v>39</v>
      </c>
      <c r="H519" s="1">
        <v>0</v>
      </c>
      <c r="I519" t="s">
        <v>411</v>
      </c>
      <c r="J519" t="s">
        <v>276</v>
      </c>
      <c r="K519" s="1">
        <v>39000</v>
      </c>
      <c r="L519" s="1">
        <v>258</v>
      </c>
      <c r="M519" s="1">
        <v>158</v>
      </c>
      <c r="N519" s="1">
        <v>28014850</v>
      </c>
      <c r="O519" s="1"/>
      <c r="P519" s="1">
        <v>1</v>
      </c>
      <c r="Q519" s="1">
        <v>0</v>
      </c>
    </row>
    <row r="520">
      <c r="A520" s="1">
        <v>2021</v>
      </c>
      <c r="B520" s="1">
        <v>41</v>
      </c>
      <c r="C520" s="1">
        <v>51</v>
      </c>
      <c r="D520" t="s">
        <v>3</v>
      </c>
      <c r="E520" t="s">
        <v>6</v>
      </c>
      <c r="F520" s="1">
        <v>41051</v>
      </c>
      <c r="G520" s="1">
        <v>39</v>
      </c>
      <c r="H520" s="1">
        <v>35</v>
      </c>
      <c r="I520" t="s">
        <v>33</v>
      </c>
      <c r="J520" t="s">
        <v>207</v>
      </c>
      <c r="K520" s="1">
        <v>39035</v>
      </c>
      <c r="L520" s="1">
        <v>230</v>
      </c>
      <c r="M520" s="1">
        <v>133</v>
      </c>
      <c r="N520" s="1">
        <v>5230000</v>
      </c>
      <c r="O520" s="1">
        <v>39035</v>
      </c>
      <c r="P520" s="1">
        <v>1</v>
      </c>
      <c r="Q520" s="1">
        <v>0</v>
      </c>
    </row>
    <row r="521">
      <c r="A521" s="1">
        <v>2021</v>
      </c>
      <c r="B521" s="1">
        <v>41</v>
      </c>
      <c r="C521" s="1">
        <v>51</v>
      </c>
      <c r="D521" t="s">
        <v>3</v>
      </c>
      <c r="E521" t="s">
        <v>6</v>
      </c>
      <c r="F521" s="1">
        <v>41051</v>
      </c>
      <c r="G521" s="1">
        <v>40</v>
      </c>
      <c r="H521" s="1">
        <v>0</v>
      </c>
      <c r="I521" t="s">
        <v>411</v>
      </c>
      <c r="J521" t="s">
        <v>276</v>
      </c>
      <c r="K521" s="1">
        <v>40000</v>
      </c>
      <c r="L521" s="1">
        <v>91</v>
      </c>
      <c r="M521" s="1">
        <v>91</v>
      </c>
      <c r="N521" s="1">
        <v>6370000</v>
      </c>
      <c r="O521" s="1"/>
      <c r="P521" s="1">
        <v>1</v>
      </c>
      <c r="Q521" s="1">
        <v>0</v>
      </c>
    </row>
    <row r="522">
      <c r="A522" s="1">
        <v>2021</v>
      </c>
      <c r="B522" s="1">
        <v>41</v>
      </c>
      <c r="C522" s="1">
        <v>51</v>
      </c>
      <c r="D522" t="s">
        <v>3</v>
      </c>
      <c r="E522" t="s">
        <v>6</v>
      </c>
      <c r="F522" s="1">
        <v>41051</v>
      </c>
      <c r="G522" s="1">
        <v>41</v>
      </c>
      <c r="H522" s="1">
        <v>0</v>
      </c>
      <c r="I522" t="s">
        <v>411</v>
      </c>
      <c r="J522" t="s">
        <v>276</v>
      </c>
      <c r="K522" s="1">
        <v>41000</v>
      </c>
      <c r="L522" s="1">
        <v>3864</v>
      </c>
      <c r="M522" s="1">
        <v>1820</v>
      </c>
      <c r="N522" s="1">
        <v>148642730</v>
      </c>
      <c r="O522" s="1"/>
      <c r="P522" s="1">
        <v>1</v>
      </c>
      <c r="Q522" s="1">
        <v>0</v>
      </c>
    </row>
    <row r="523">
      <c r="A523" s="1">
        <v>2021</v>
      </c>
      <c r="B523" s="1">
        <v>41</v>
      </c>
      <c r="C523" s="1">
        <v>51</v>
      </c>
      <c r="D523" t="s">
        <v>3</v>
      </c>
      <c r="E523" t="s">
        <v>6</v>
      </c>
      <c r="F523" s="1">
        <v>41051</v>
      </c>
      <c r="G523" s="1">
        <v>41</v>
      </c>
      <c r="H523" s="1">
        <v>5</v>
      </c>
      <c r="I523" t="s">
        <v>3</v>
      </c>
      <c r="J523" t="s">
        <v>125</v>
      </c>
      <c r="K523" s="1">
        <v>41005</v>
      </c>
      <c r="L523" s="1">
        <v>7855</v>
      </c>
      <c r="M523" s="1">
        <v>4590</v>
      </c>
      <c r="N523" s="1">
        <v>481246060</v>
      </c>
      <c r="O523" s="1">
        <v>41005</v>
      </c>
      <c r="P523" s="1">
        <v>1</v>
      </c>
      <c r="Q523" s="1">
        <v>0</v>
      </c>
    </row>
    <row r="524">
      <c r="A524" s="1">
        <v>2021</v>
      </c>
      <c r="B524" s="1">
        <v>41</v>
      </c>
      <c r="C524" s="1">
        <v>51</v>
      </c>
      <c r="D524" t="s">
        <v>3</v>
      </c>
      <c r="E524" t="s">
        <v>6</v>
      </c>
      <c r="F524" s="1">
        <v>41051</v>
      </c>
      <c r="G524" s="1">
        <v>41</v>
      </c>
      <c r="H524" s="1">
        <v>17</v>
      </c>
      <c r="I524" t="s">
        <v>3</v>
      </c>
      <c r="J524" t="s">
        <v>130</v>
      </c>
      <c r="K524" s="1">
        <v>41017</v>
      </c>
      <c r="L524" s="1">
        <v>1949</v>
      </c>
      <c r="M524" s="1">
        <v>751</v>
      </c>
      <c r="N524" s="1">
        <v>133230200</v>
      </c>
      <c r="O524" s="1">
        <v>41017</v>
      </c>
      <c r="P524" s="1">
        <v>1</v>
      </c>
      <c r="Q524" s="1">
        <v>0</v>
      </c>
    </row>
    <row r="525">
      <c r="A525" s="1">
        <v>2021</v>
      </c>
      <c r="B525" s="1">
        <v>41</v>
      </c>
      <c r="C525" s="1">
        <v>51</v>
      </c>
      <c r="D525" t="s">
        <v>3</v>
      </c>
      <c r="E525" t="s">
        <v>6</v>
      </c>
      <c r="F525" s="1">
        <v>41051</v>
      </c>
      <c r="G525" s="1">
        <v>41</v>
      </c>
      <c r="H525" s="1">
        <v>19</v>
      </c>
      <c r="I525" t="s">
        <v>3</v>
      </c>
      <c r="J525" t="s">
        <v>131</v>
      </c>
      <c r="K525" s="1">
        <v>41019</v>
      </c>
      <c r="L525" s="1">
        <v>348</v>
      </c>
      <c r="M525" s="1">
        <v>144</v>
      </c>
      <c r="N525" s="1">
        <v>18132000</v>
      </c>
      <c r="O525" s="1">
        <v>41019</v>
      </c>
      <c r="P525" s="1">
        <v>1</v>
      </c>
      <c r="Q525" s="1">
        <v>0</v>
      </c>
    </row>
    <row r="526">
      <c r="A526" s="1">
        <v>2021</v>
      </c>
      <c r="B526" s="1">
        <v>41</v>
      </c>
      <c r="C526" s="1">
        <v>51</v>
      </c>
      <c r="D526" t="s">
        <v>3</v>
      </c>
      <c r="E526" t="s">
        <v>6</v>
      </c>
      <c r="F526" s="1">
        <v>41051</v>
      </c>
      <c r="G526" s="1">
        <v>41</v>
      </c>
      <c r="H526" s="1">
        <v>39</v>
      </c>
      <c r="I526" t="s">
        <v>3</v>
      </c>
      <c r="J526" t="s">
        <v>136</v>
      </c>
      <c r="K526" s="1">
        <v>41039</v>
      </c>
      <c r="L526" s="1">
        <v>1857</v>
      </c>
      <c r="M526" s="1">
        <v>573</v>
      </c>
      <c r="N526" s="1">
        <v>54825400</v>
      </c>
      <c r="O526" s="1">
        <v>41039</v>
      </c>
      <c r="P526" s="1">
        <v>1</v>
      </c>
      <c r="Q526" s="1">
        <v>0</v>
      </c>
    </row>
    <row r="527">
      <c r="A527" s="1">
        <v>2021</v>
      </c>
      <c r="B527" s="1">
        <v>41</v>
      </c>
      <c r="C527" s="1">
        <v>51</v>
      </c>
      <c r="D527" t="s">
        <v>3</v>
      </c>
      <c r="E527" t="s">
        <v>6</v>
      </c>
      <c r="F527" s="1">
        <v>41051</v>
      </c>
      <c r="G527" s="1">
        <v>41</v>
      </c>
      <c r="H527" s="1">
        <v>47</v>
      </c>
      <c r="I527" t="s">
        <v>3</v>
      </c>
      <c r="J527" t="s">
        <v>99</v>
      </c>
      <c r="K527" s="1">
        <v>41047</v>
      </c>
      <c r="L527" s="1">
        <v>598</v>
      </c>
      <c r="M527" s="1">
        <v>153</v>
      </c>
      <c r="N527" s="1">
        <v>28209300</v>
      </c>
      <c r="O527" s="1">
        <v>41047</v>
      </c>
      <c r="P527" s="1">
        <v>1</v>
      </c>
      <c r="Q527" s="1">
        <v>0</v>
      </c>
    </row>
    <row r="528">
      <c r="A528" s="1">
        <v>2021</v>
      </c>
      <c r="B528" s="1">
        <v>41</v>
      </c>
      <c r="C528" s="1">
        <v>51</v>
      </c>
      <c r="D528" t="s">
        <v>3</v>
      </c>
      <c r="E528" t="s">
        <v>6</v>
      </c>
      <c r="F528" s="1">
        <v>41051</v>
      </c>
      <c r="G528" s="1">
        <v>41</v>
      </c>
      <c r="H528" s="1">
        <v>51</v>
      </c>
      <c r="I528" t="s">
        <v>3</v>
      </c>
      <c r="J528" t="s">
        <v>6</v>
      </c>
      <c r="K528" s="1">
        <v>41051</v>
      </c>
      <c r="L528" s="1">
        <v>592986</v>
      </c>
      <c r="M528" s="1">
        <v>322040</v>
      </c>
      <c r="N528" s="1">
        <v>33479016054</v>
      </c>
      <c r="O528" s="1">
        <v>41051</v>
      </c>
      <c r="P528" s="1">
        <v>1</v>
      </c>
      <c r="Q528" s="1">
        <v>1</v>
      </c>
    </row>
    <row r="529">
      <c r="A529" s="1">
        <v>2021</v>
      </c>
      <c r="B529" s="1">
        <v>41</v>
      </c>
      <c r="C529" s="1">
        <v>51</v>
      </c>
      <c r="D529" t="s">
        <v>3</v>
      </c>
      <c r="E529" t="s">
        <v>6</v>
      </c>
      <c r="F529" s="1">
        <v>41051</v>
      </c>
      <c r="G529" s="1">
        <v>41</v>
      </c>
      <c r="H529" s="1">
        <v>67</v>
      </c>
      <c r="I529" t="s">
        <v>3</v>
      </c>
      <c r="J529" t="s">
        <v>143</v>
      </c>
      <c r="K529" s="1">
        <v>41067</v>
      </c>
      <c r="L529" s="1">
        <v>6706</v>
      </c>
      <c r="M529" s="1">
        <v>4134</v>
      </c>
      <c r="N529" s="1">
        <v>387212130</v>
      </c>
      <c r="O529" s="1">
        <v>41067</v>
      </c>
      <c r="P529" s="1">
        <v>1</v>
      </c>
      <c r="Q529" s="1">
        <v>0</v>
      </c>
    </row>
    <row r="530">
      <c r="A530" s="1">
        <v>2021</v>
      </c>
      <c r="B530" s="1">
        <v>41</v>
      </c>
      <c r="C530" s="1">
        <v>51</v>
      </c>
      <c r="D530" t="s">
        <v>3</v>
      </c>
      <c r="E530" t="s">
        <v>6</v>
      </c>
      <c r="F530" s="1">
        <v>41051</v>
      </c>
      <c r="G530" s="1">
        <v>42</v>
      </c>
      <c r="H530" s="1">
        <v>17</v>
      </c>
      <c r="I530" t="s">
        <v>34</v>
      </c>
      <c r="J530" t="s">
        <v>318</v>
      </c>
      <c r="K530" s="1">
        <v>42017</v>
      </c>
      <c r="L530" s="1">
        <v>89</v>
      </c>
      <c r="M530" s="1">
        <v>90</v>
      </c>
      <c r="N530" s="1">
        <v>2634400</v>
      </c>
      <c r="O530" s="1">
        <v>42017</v>
      </c>
      <c r="P530" s="1">
        <v>1</v>
      </c>
      <c r="Q530" s="1">
        <v>0</v>
      </c>
    </row>
    <row r="531">
      <c r="A531" s="1">
        <v>2021</v>
      </c>
      <c r="B531" s="1">
        <v>41</v>
      </c>
      <c r="C531" s="1">
        <v>51</v>
      </c>
      <c r="D531" t="s">
        <v>3</v>
      </c>
      <c r="E531" t="s">
        <v>6</v>
      </c>
      <c r="F531" s="1">
        <v>41051</v>
      </c>
      <c r="G531" s="1">
        <v>42</v>
      </c>
      <c r="H531" s="1">
        <v>101</v>
      </c>
      <c r="I531" t="s">
        <v>34</v>
      </c>
      <c r="J531" t="s">
        <v>146</v>
      </c>
      <c r="K531" s="1">
        <v>42101</v>
      </c>
      <c r="L531" s="1">
        <v>94</v>
      </c>
      <c r="M531" s="1">
        <v>45</v>
      </c>
      <c r="N531" s="1">
        <v>10378900</v>
      </c>
      <c r="O531" s="1">
        <v>42101</v>
      </c>
      <c r="P531" s="1">
        <v>1</v>
      </c>
      <c r="Q531" s="1">
        <v>0</v>
      </c>
    </row>
    <row r="532">
      <c r="A532" s="1">
        <v>2021</v>
      </c>
      <c r="B532" s="1">
        <v>41</v>
      </c>
      <c r="C532" s="1">
        <v>51</v>
      </c>
      <c r="D532" t="s">
        <v>3</v>
      </c>
      <c r="E532" t="s">
        <v>6</v>
      </c>
      <c r="F532" s="1">
        <v>41051</v>
      </c>
      <c r="G532" s="1">
        <v>45</v>
      </c>
      <c r="H532" s="1">
        <v>0</v>
      </c>
      <c r="I532" t="s">
        <v>411</v>
      </c>
      <c r="J532" t="s">
        <v>276</v>
      </c>
      <c r="K532" s="1">
        <v>45000</v>
      </c>
      <c r="L532" s="1">
        <v>69</v>
      </c>
      <c r="M532" s="1"/>
      <c r="N532" s="1">
        <v>2049300</v>
      </c>
      <c r="O532" s="1"/>
      <c r="P532" s="1">
        <v>1</v>
      </c>
      <c r="Q532" s="1">
        <v>0</v>
      </c>
    </row>
    <row r="533">
      <c r="A533" s="1">
        <v>2021</v>
      </c>
      <c r="B533" s="1">
        <v>41</v>
      </c>
      <c r="C533" s="1">
        <v>51</v>
      </c>
      <c r="D533" t="s">
        <v>3</v>
      </c>
      <c r="E533" t="s">
        <v>6</v>
      </c>
      <c r="F533" s="1">
        <v>41051</v>
      </c>
      <c r="G533" s="1">
        <v>45</v>
      </c>
      <c r="H533" s="1">
        <v>51</v>
      </c>
      <c r="I533" t="s">
        <v>49</v>
      </c>
      <c r="J533" t="s">
        <v>319</v>
      </c>
      <c r="K533" s="1">
        <v>45051</v>
      </c>
      <c r="L533" s="1">
        <v>296</v>
      </c>
      <c r="M533" s="1"/>
      <c r="N533" s="1">
        <v>10656000</v>
      </c>
      <c r="O533" s="1">
        <v>45051</v>
      </c>
      <c r="P533" s="1">
        <v>1</v>
      </c>
      <c r="Q533" s="1">
        <v>0</v>
      </c>
    </row>
    <row r="534">
      <c r="A534" s="1">
        <v>2021</v>
      </c>
      <c r="B534" s="1">
        <v>41</v>
      </c>
      <c r="C534" s="1">
        <v>51</v>
      </c>
      <c r="D534" t="s">
        <v>3</v>
      </c>
      <c r="E534" t="s">
        <v>6</v>
      </c>
      <c r="F534" s="1">
        <v>41051</v>
      </c>
      <c r="G534" s="1">
        <v>47</v>
      </c>
      <c r="H534" s="1">
        <v>0</v>
      </c>
      <c r="I534" t="s">
        <v>411</v>
      </c>
      <c r="J534" t="s">
        <v>276</v>
      </c>
      <c r="K534" s="1">
        <v>47000</v>
      </c>
      <c r="L534" s="1">
        <v>353</v>
      </c>
      <c r="M534" s="1">
        <v>72</v>
      </c>
      <c r="N534" s="1">
        <v>24834500</v>
      </c>
      <c r="O534" s="1"/>
      <c r="P534" s="1">
        <v>1</v>
      </c>
      <c r="Q534" s="1">
        <v>0</v>
      </c>
    </row>
    <row r="535">
      <c r="A535" s="1">
        <v>2021</v>
      </c>
      <c r="B535" s="1">
        <v>41</v>
      </c>
      <c r="C535" s="1">
        <v>51</v>
      </c>
      <c r="D535" t="s">
        <v>3</v>
      </c>
      <c r="E535" t="s">
        <v>6</v>
      </c>
      <c r="F535" s="1">
        <v>41051</v>
      </c>
      <c r="G535" s="1">
        <v>47</v>
      </c>
      <c r="H535" s="1">
        <v>149</v>
      </c>
      <c r="I535" t="s">
        <v>35</v>
      </c>
      <c r="J535" t="s">
        <v>320</v>
      </c>
      <c r="K535" s="1">
        <v>47149</v>
      </c>
      <c r="L535" s="1">
        <v>54</v>
      </c>
      <c r="M535" s="1"/>
      <c r="N535" s="1">
        <v>383400</v>
      </c>
      <c r="O535" s="1">
        <v>47149</v>
      </c>
      <c r="P535" s="1">
        <v>1</v>
      </c>
      <c r="Q535" s="1">
        <v>0</v>
      </c>
    </row>
    <row r="536">
      <c r="A536" s="1">
        <v>2021</v>
      </c>
      <c r="B536" s="1">
        <v>41</v>
      </c>
      <c r="C536" s="1">
        <v>51</v>
      </c>
      <c r="D536" t="s">
        <v>3</v>
      </c>
      <c r="E536" t="s">
        <v>6</v>
      </c>
      <c r="F536" s="1">
        <v>41051</v>
      </c>
      <c r="G536" s="1">
        <v>48</v>
      </c>
      <c r="H536" s="1">
        <v>29</v>
      </c>
      <c r="I536" t="s">
        <v>36</v>
      </c>
      <c r="J536" t="s">
        <v>149</v>
      </c>
      <c r="K536" s="1">
        <v>48029</v>
      </c>
      <c r="L536" s="1">
        <v>113</v>
      </c>
      <c r="M536" s="1"/>
      <c r="N536" s="1">
        <v>9040000</v>
      </c>
      <c r="O536" s="1">
        <v>48029</v>
      </c>
      <c r="P536" s="1">
        <v>1</v>
      </c>
      <c r="Q536" s="1">
        <v>0</v>
      </c>
    </row>
    <row r="537">
      <c r="A537" s="1">
        <v>2021</v>
      </c>
      <c r="B537" s="1">
        <v>41</v>
      </c>
      <c r="C537" s="1">
        <v>51</v>
      </c>
      <c r="D537" t="s">
        <v>3</v>
      </c>
      <c r="E537" t="s">
        <v>6</v>
      </c>
      <c r="F537" s="1">
        <v>41051</v>
      </c>
      <c r="G537" s="1">
        <v>48</v>
      </c>
      <c r="H537" s="1">
        <v>91</v>
      </c>
      <c r="I537" t="s">
        <v>36</v>
      </c>
      <c r="J537" t="s">
        <v>321</v>
      </c>
      <c r="K537" s="1">
        <v>48091</v>
      </c>
      <c r="L537" s="1">
        <v>456</v>
      </c>
      <c r="M537" s="1"/>
      <c r="N537" s="1">
        <v>17533200</v>
      </c>
      <c r="O537" s="1">
        <v>48091</v>
      </c>
      <c r="P537" s="1">
        <v>1</v>
      </c>
      <c r="Q537" s="1">
        <v>0</v>
      </c>
    </row>
    <row r="538">
      <c r="A538" s="1">
        <v>2021</v>
      </c>
      <c r="B538" s="1">
        <v>41</v>
      </c>
      <c r="C538" s="1">
        <v>51</v>
      </c>
      <c r="D538" t="s">
        <v>3</v>
      </c>
      <c r="E538" t="s">
        <v>6</v>
      </c>
      <c r="F538" s="1">
        <v>41051</v>
      </c>
      <c r="G538" s="1">
        <v>48</v>
      </c>
      <c r="H538" s="1">
        <v>113</v>
      </c>
      <c r="I538" t="s">
        <v>36</v>
      </c>
      <c r="J538" t="s">
        <v>150</v>
      </c>
      <c r="K538" s="1">
        <v>48113</v>
      </c>
      <c r="L538" s="1">
        <v>36</v>
      </c>
      <c r="M538" s="1"/>
      <c r="N538" s="1">
        <v>540000</v>
      </c>
      <c r="O538" s="1">
        <v>48113</v>
      </c>
      <c r="P538" s="1">
        <v>1</v>
      </c>
      <c r="Q538" s="1">
        <v>0</v>
      </c>
    </row>
    <row r="539">
      <c r="A539" s="1">
        <v>2021</v>
      </c>
      <c r="B539" s="1">
        <v>41</v>
      </c>
      <c r="C539" s="1">
        <v>51</v>
      </c>
      <c r="D539" t="s">
        <v>3</v>
      </c>
      <c r="E539" t="s">
        <v>6</v>
      </c>
      <c r="F539" s="1">
        <v>41051</v>
      </c>
      <c r="G539" s="1">
        <v>48</v>
      </c>
      <c r="H539" s="1">
        <v>201</v>
      </c>
      <c r="I539" t="s">
        <v>36</v>
      </c>
      <c r="J539" t="s">
        <v>151</v>
      </c>
      <c r="K539" s="1">
        <v>48201</v>
      </c>
      <c r="L539" s="1">
        <v>59</v>
      </c>
      <c r="M539" s="1">
        <v>59</v>
      </c>
      <c r="N539" s="1">
        <v>7552000</v>
      </c>
      <c r="O539" s="1">
        <v>48201</v>
      </c>
      <c r="P539" s="1">
        <v>1</v>
      </c>
      <c r="Q539" s="1">
        <v>0</v>
      </c>
    </row>
    <row r="540">
      <c r="A540" s="1">
        <v>2021</v>
      </c>
      <c r="B540" s="1">
        <v>41</v>
      </c>
      <c r="C540" s="1">
        <v>51</v>
      </c>
      <c r="D540" t="s">
        <v>3</v>
      </c>
      <c r="E540" t="s">
        <v>6</v>
      </c>
      <c r="F540" s="1">
        <v>41051</v>
      </c>
      <c r="G540" s="1">
        <v>48</v>
      </c>
      <c r="H540" s="1">
        <v>439</v>
      </c>
      <c r="I540" t="s">
        <v>36</v>
      </c>
      <c r="J540" t="s">
        <v>152</v>
      </c>
      <c r="K540" s="1">
        <v>48439</v>
      </c>
      <c r="L540" s="1">
        <v>137</v>
      </c>
      <c r="M540" s="1">
        <v>45</v>
      </c>
      <c r="N540" s="1">
        <v>14346000</v>
      </c>
      <c r="O540" s="1">
        <v>48439</v>
      </c>
      <c r="P540" s="1">
        <v>1</v>
      </c>
      <c r="Q540" s="1">
        <v>0</v>
      </c>
    </row>
    <row r="541">
      <c r="A541" s="1">
        <v>2021</v>
      </c>
      <c r="B541" s="1">
        <v>41</v>
      </c>
      <c r="C541" s="1">
        <v>51</v>
      </c>
      <c r="D541" t="s">
        <v>3</v>
      </c>
      <c r="E541" t="s">
        <v>6</v>
      </c>
      <c r="F541" s="1">
        <v>41051</v>
      </c>
      <c r="G541" s="1">
        <v>48</v>
      </c>
      <c r="H541" s="1">
        <v>453</v>
      </c>
      <c r="I541" t="s">
        <v>36</v>
      </c>
      <c r="J541" t="s">
        <v>153</v>
      </c>
      <c r="K541" s="1">
        <v>48453</v>
      </c>
      <c r="L541" s="1">
        <v>254</v>
      </c>
      <c r="M541" s="1">
        <v>253</v>
      </c>
      <c r="N541" s="1">
        <v>9558800</v>
      </c>
      <c r="O541" s="1">
        <v>48453</v>
      </c>
      <c r="P541" s="1">
        <v>1</v>
      </c>
      <c r="Q541" s="1">
        <v>0</v>
      </c>
    </row>
    <row r="542">
      <c r="A542" s="1">
        <v>2021</v>
      </c>
      <c r="B542" s="1">
        <v>41</v>
      </c>
      <c r="C542" s="1">
        <v>51</v>
      </c>
      <c r="D542" t="s">
        <v>3</v>
      </c>
      <c r="E542" t="s">
        <v>6</v>
      </c>
      <c r="F542" s="1">
        <v>41051</v>
      </c>
      <c r="G542" s="1">
        <v>49</v>
      </c>
      <c r="H542" s="1">
        <v>0</v>
      </c>
      <c r="I542" t="s">
        <v>411</v>
      </c>
      <c r="J542" t="s">
        <v>276</v>
      </c>
      <c r="K542" s="1">
        <v>49000</v>
      </c>
      <c r="L542" s="1">
        <v>41</v>
      </c>
      <c r="M542" s="1">
        <v>41</v>
      </c>
      <c r="N542" s="1">
        <v>246000</v>
      </c>
      <c r="O542" s="1"/>
      <c r="P542" s="1">
        <v>1</v>
      </c>
      <c r="Q542" s="1">
        <v>0</v>
      </c>
    </row>
    <row r="543">
      <c r="A543" s="1">
        <v>2021</v>
      </c>
      <c r="B543" s="1">
        <v>41</v>
      </c>
      <c r="C543" s="1">
        <v>51</v>
      </c>
      <c r="D543" t="s">
        <v>3</v>
      </c>
      <c r="E543" t="s">
        <v>6</v>
      </c>
      <c r="F543" s="1">
        <v>41051</v>
      </c>
      <c r="G543" s="1">
        <v>49</v>
      </c>
      <c r="H543" s="1">
        <v>35</v>
      </c>
      <c r="I543" t="s">
        <v>37</v>
      </c>
      <c r="J543" t="s">
        <v>154</v>
      </c>
      <c r="K543" s="1">
        <v>49035</v>
      </c>
      <c r="L543" s="1">
        <v>204</v>
      </c>
      <c r="M543" s="1">
        <v>204</v>
      </c>
      <c r="N543" s="1">
        <v>18360000</v>
      </c>
      <c r="O543" s="1">
        <v>49035</v>
      </c>
      <c r="P543" s="1">
        <v>1</v>
      </c>
      <c r="Q543" s="1">
        <v>0</v>
      </c>
    </row>
    <row r="544">
      <c r="A544" s="1">
        <v>2021</v>
      </c>
      <c r="B544" s="1">
        <v>41</v>
      </c>
      <c r="C544" s="1">
        <v>51</v>
      </c>
      <c r="D544" t="s">
        <v>3</v>
      </c>
      <c r="E544" t="s">
        <v>6</v>
      </c>
      <c r="F544" s="1">
        <v>41051</v>
      </c>
      <c r="G544" s="1">
        <v>49</v>
      </c>
      <c r="H544" s="1">
        <v>53</v>
      </c>
      <c r="I544" t="s">
        <v>37</v>
      </c>
      <c r="J544" t="s">
        <v>143</v>
      </c>
      <c r="K544" s="1">
        <v>49053</v>
      </c>
      <c r="L544" s="1">
        <v>193</v>
      </c>
      <c r="M544" s="1">
        <v>78</v>
      </c>
      <c r="N544" s="1">
        <v>10771000</v>
      </c>
      <c r="O544" s="1">
        <v>49053</v>
      </c>
      <c r="P544" s="1">
        <v>1</v>
      </c>
      <c r="Q544" s="1">
        <v>0</v>
      </c>
    </row>
    <row r="545">
      <c r="A545" s="1">
        <v>2021</v>
      </c>
      <c r="B545" s="1">
        <v>41</v>
      </c>
      <c r="C545" s="1">
        <v>51</v>
      </c>
      <c r="D545" t="s">
        <v>3</v>
      </c>
      <c r="E545" t="s">
        <v>6</v>
      </c>
      <c r="F545" s="1">
        <v>41051</v>
      </c>
      <c r="G545" s="1">
        <v>51</v>
      </c>
      <c r="H545" s="1">
        <v>0</v>
      </c>
      <c r="I545" t="s">
        <v>411</v>
      </c>
      <c r="J545" t="s">
        <v>276</v>
      </c>
      <c r="K545" s="1">
        <v>51000</v>
      </c>
      <c r="L545" s="1">
        <v>274</v>
      </c>
      <c r="M545" s="1">
        <v>170</v>
      </c>
      <c r="N545" s="1">
        <v>7293500</v>
      </c>
      <c r="O545" s="1"/>
      <c r="P545" s="1">
        <v>1</v>
      </c>
      <c r="Q545" s="1">
        <v>0</v>
      </c>
    </row>
    <row r="546">
      <c r="A546" s="1">
        <v>2021</v>
      </c>
      <c r="B546" s="1">
        <v>41</v>
      </c>
      <c r="C546" s="1">
        <v>51</v>
      </c>
      <c r="D546" t="s">
        <v>3</v>
      </c>
      <c r="E546" t="s">
        <v>6</v>
      </c>
      <c r="F546" s="1">
        <v>41051</v>
      </c>
      <c r="G546" s="1">
        <v>51</v>
      </c>
      <c r="H546" s="1">
        <v>760</v>
      </c>
      <c r="I546" t="s">
        <v>39</v>
      </c>
      <c r="J546" t="s">
        <v>227</v>
      </c>
      <c r="K546" s="1">
        <v>51760</v>
      </c>
      <c r="L546" s="1">
        <v>100</v>
      </c>
      <c r="M546" s="1">
        <v>37</v>
      </c>
      <c r="N546" s="1">
        <v>1355950</v>
      </c>
      <c r="O546" s="1">
        <v>51760</v>
      </c>
      <c r="P546" s="1">
        <v>1</v>
      </c>
      <c r="Q546" s="1">
        <v>0</v>
      </c>
    </row>
    <row r="547">
      <c r="A547" s="1">
        <v>2021</v>
      </c>
      <c r="B547" s="1">
        <v>41</v>
      </c>
      <c r="C547" s="1">
        <v>51</v>
      </c>
      <c r="D547" t="s">
        <v>3</v>
      </c>
      <c r="E547" t="s">
        <v>6</v>
      </c>
      <c r="F547" s="1">
        <v>41051</v>
      </c>
      <c r="G547" s="1">
        <v>53</v>
      </c>
      <c r="H547" s="1">
        <v>0</v>
      </c>
      <c r="I547" t="s">
        <v>411</v>
      </c>
      <c r="J547" t="s">
        <v>276</v>
      </c>
      <c r="K547" s="1">
        <v>53000</v>
      </c>
      <c r="L547" s="1">
        <v>2032</v>
      </c>
      <c r="M547" s="1">
        <v>1124</v>
      </c>
      <c r="N547" s="1">
        <v>89038600</v>
      </c>
      <c r="O547" s="1"/>
      <c r="P547" s="1">
        <v>1</v>
      </c>
      <c r="Q547" s="1">
        <v>0</v>
      </c>
    </row>
    <row r="548">
      <c r="A548" s="1">
        <v>2021</v>
      </c>
      <c r="B548" s="1">
        <v>41</v>
      </c>
      <c r="C548" s="1">
        <v>51</v>
      </c>
      <c r="D548" t="s">
        <v>3</v>
      </c>
      <c r="E548" t="s">
        <v>6</v>
      </c>
      <c r="F548" s="1">
        <v>41051</v>
      </c>
      <c r="G548" s="1">
        <v>53</v>
      </c>
      <c r="H548" s="1">
        <v>11</v>
      </c>
      <c r="I548" t="s">
        <v>40</v>
      </c>
      <c r="J548" t="s">
        <v>112</v>
      </c>
      <c r="K548" s="1">
        <v>53011</v>
      </c>
      <c r="L548" s="1">
        <v>4334</v>
      </c>
      <c r="M548" s="1">
        <v>1833</v>
      </c>
      <c r="N548" s="1">
        <v>270756210</v>
      </c>
      <c r="O548" s="1">
        <v>53011</v>
      </c>
      <c r="P548" s="1">
        <v>1</v>
      </c>
      <c r="Q548" s="1">
        <v>0</v>
      </c>
    </row>
    <row r="549">
      <c r="A549" s="1">
        <v>2021</v>
      </c>
      <c r="B549" s="1">
        <v>41</v>
      </c>
      <c r="C549" s="1">
        <v>51</v>
      </c>
      <c r="D549" t="s">
        <v>3</v>
      </c>
      <c r="E549" t="s">
        <v>6</v>
      </c>
      <c r="F549" s="1">
        <v>41051</v>
      </c>
      <c r="G549" s="1">
        <v>53</v>
      </c>
      <c r="H549" s="1">
        <v>33</v>
      </c>
      <c r="I549" t="s">
        <v>40</v>
      </c>
      <c r="J549" t="s">
        <v>160</v>
      </c>
      <c r="K549" s="1">
        <v>53033</v>
      </c>
      <c r="L549" s="1">
        <v>1095</v>
      </c>
      <c r="M549" s="1">
        <v>520</v>
      </c>
      <c r="N549" s="1">
        <v>75323900</v>
      </c>
      <c r="O549" s="1">
        <v>53033</v>
      </c>
      <c r="P549" s="1">
        <v>1</v>
      </c>
      <c r="Q549" s="1">
        <v>0</v>
      </c>
    </row>
    <row r="550">
      <c r="A550" s="1">
        <v>2021</v>
      </c>
      <c r="B550" s="1">
        <v>41</v>
      </c>
      <c r="C550" s="1">
        <v>51</v>
      </c>
      <c r="D550" t="s">
        <v>3</v>
      </c>
      <c r="E550" t="s">
        <v>6</v>
      </c>
      <c r="F550" s="1">
        <v>41051</v>
      </c>
      <c r="G550" s="1">
        <v>53</v>
      </c>
      <c r="H550" s="1">
        <v>35</v>
      </c>
      <c r="I550" t="s">
        <v>40</v>
      </c>
      <c r="J550" t="s">
        <v>161</v>
      </c>
      <c r="K550" s="1">
        <v>53035</v>
      </c>
      <c r="L550" s="1">
        <v>688</v>
      </c>
      <c r="M550" s="1">
        <v>437</v>
      </c>
      <c r="N550" s="1">
        <v>103362250</v>
      </c>
      <c r="O550" s="1">
        <v>53035</v>
      </c>
      <c r="P550" s="1">
        <v>1</v>
      </c>
      <c r="Q550" s="1">
        <v>0</v>
      </c>
    </row>
    <row r="551">
      <c r="A551" s="1">
        <v>2021</v>
      </c>
      <c r="B551" s="1">
        <v>41</v>
      </c>
      <c r="C551" s="1">
        <v>51</v>
      </c>
      <c r="D551" t="s">
        <v>3</v>
      </c>
      <c r="E551" t="s">
        <v>6</v>
      </c>
      <c r="F551" s="1">
        <v>41051</v>
      </c>
      <c r="G551" s="1">
        <v>53</v>
      </c>
      <c r="H551" s="1">
        <v>53</v>
      </c>
      <c r="I551" t="s">
        <v>40</v>
      </c>
      <c r="J551" t="s">
        <v>165</v>
      </c>
      <c r="K551" s="1">
        <v>53053</v>
      </c>
      <c r="L551" s="1">
        <v>221</v>
      </c>
      <c r="M551" s="1">
        <v>223</v>
      </c>
      <c r="N551" s="1">
        <v>6148600</v>
      </c>
      <c r="O551" s="1">
        <v>53053</v>
      </c>
      <c r="P551" s="1">
        <v>1</v>
      </c>
      <c r="Q551" s="1">
        <v>0</v>
      </c>
    </row>
    <row r="552">
      <c r="A552" s="1">
        <v>2021</v>
      </c>
      <c r="B552" s="1">
        <v>41</v>
      </c>
      <c r="C552" s="1">
        <v>51</v>
      </c>
      <c r="D552" t="s">
        <v>3</v>
      </c>
      <c r="E552" t="s">
        <v>6</v>
      </c>
      <c r="F552" s="1">
        <v>41051</v>
      </c>
      <c r="G552" s="1">
        <v>53</v>
      </c>
      <c r="H552" s="1">
        <v>61</v>
      </c>
      <c r="I552" t="s">
        <v>40</v>
      </c>
      <c r="J552" t="s">
        <v>167</v>
      </c>
      <c r="K552" s="1">
        <v>53061</v>
      </c>
      <c r="L552" s="1">
        <v>238</v>
      </c>
      <c r="M552" s="1"/>
      <c r="N552" s="1">
        <v>7997500</v>
      </c>
      <c r="O552" s="1">
        <v>53061</v>
      </c>
      <c r="P552" s="1">
        <v>1</v>
      </c>
      <c r="Q552" s="1">
        <v>0</v>
      </c>
    </row>
    <row r="553">
      <c r="A553" s="1">
        <v>2021</v>
      </c>
      <c r="B553" s="1">
        <v>41</v>
      </c>
      <c r="C553" s="1">
        <v>51</v>
      </c>
      <c r="D553" t="s">
        <v>3</v>
      </c>
      <c r="E553" t="s">
        <v>6</v>
      </c>
      <c r="F553" s="1">
        <v>41051</v>
      </c>
      <c r="G553" s="1">
        <v>53</v>
      </c>
      <c r="H553" s="1">
        <v>63</v>
      </c>
      <c r="I553" t="s">
        <v>40</v>
      </c>
      <c r="J553" t="s">
        <v>168</v>
      </c>
      <c r="K553" s="1">
        <v>53063</v>
      </c>
      <c r="L553" s="1">
        <v>110</v>
      </c>
      <c r="M553" s="1">
        <v>110</v>
      </c>
      <c r="N553" s="1">
        <v>2200000</v>
      </c>
      <c r="O553" s="1">
        <v>53063</v>
      </c>
      <c r="P553" s="1">
        <v>1</v>
      </c>
      <c r="Q553" s="1">
        <v>0</v>
      </c>
    </row>
    <row r="554">
      <c r="A554" s="1">
        <v>2021</v>
      </c>
      <c r="B554" s="1">
        <v>41</v>
      </c>
      <c r="C554" s="1">
        <v>51</v>
      </c>
      <c r="D554" t="s">
        <v>3</v>
      </c>
      <c r="E554" t="s">
        <v>6</v>
      </c>
      <c r="F554" s="1">
        <v>41051</v>
      </c>
      <c r="G554" s="1">
        <v>53</v>
      </c>
      <c r="H554" s="1">
        <v>67</v>
      </c>
      <c r="I554" t="s">
        <v>40</v>
      </c>
      <c r="J554" t="s">
        <v>169</v>
      </c>
      <c r="K554" s="1">
        <v>53067</v>
      </c>
      <c r="L554" s="1">
        <v>315</v>
      </c>
      <c r="M554" s="1">
        <v>73</v>
      </c>
      <c r="N554" s="1">
        <v>9953600</v>
      </c>
      <c r="O554" s="1">
        <v>53067</v>
      </c>
      <c r="P554" s="1">
        <v>1</v>
      </c>
      <c r="Q554" s="1">
        <v>0</v>
      </c>
    </row>
    <row r="555">
      <c r="A555" s="1">
        <v>2021</v>
      </c>
      <c r="B555" s="1">
        <v>41</v>
      </c>
      <c r="C555" s="1">
        <v>51</v>
      </c>
      <c r="D555" t="s">
        <v>3</v>
      </c>
      <c r="E555" t="s">
        <v>6</v>
      </c>
      <c r="F555" s="1">
        <v>41051</v>
      </c>
      <c r="G555" s="1">
        <v>53</v>
      </c>
      <c r="H555" s="1">
        <v>73</v>
      </c>
      <c r="I555" t="s">
        <v>40</v>
      </c>
      <c r="J555" t="s">
        <v>171</v>
      </c>
      <c r="K555" s="1">
        <v>53073</v>
      </c>
      <c r="L555" s="1">
        <v>66</v>
      </c>
      <c r="M555" s="1">
        <v>66</v>
      </c>
      <c r="N555" s="1">
        <v>0</v>
      </c>
      <c r="O555" s="1">
        <v>53073</v>
      </c>
      <c r="P555" s="1">
        <v>1</v>
      </c>
      <c r="Q555" s="1">
        <v>0</v>
      </c>
    </row>
    <row r="556">
      <c r="A556" s="1">
        <v>2021</v>
      </c>
      <c r="B556" s="1">
        <v>41</v>
      </c>
      <c r="C556" s="1">
        <v>51</v>
      </c>
      <c r="D556" t="s">
        <v>3</v>
      </c>
      <c r="E556" t="s">
        <v>6</v>
      </c>
      <c r="F556" s="1">
        <v>41051</v>
      </c>
      <c r="G556" s="1">
        <v>53</v>
      </c>
      <c r="H556" s="1">
        <v>77</v>
      </c>
      <c r="I556" t="s">
        <v>40</v>
      </c>
      <c r="J556" t="s">
        <v>172</v>
      </c>
      <c r="K556" s="1">
        <v>53077</v>
      </c>
      <c r="L556" s="1">
        <v>66</v>
      </c>
      <c r="M556" s="1">
        <v>65</v>
      </c>
      <c r="N556" s="1">
        <v>118800</v>
      </c>
      <c r="O556" s="1">
        <v>53077</v>
      </c>
      <c r="P556" s="1">
        <v>1</v>
      </c>
      <c r="Q556" s="1">
        <v>0</v>
      </c>
    </row>
    <row r="557">
      <c r="A557" s="1">
        <v>2021</v>
      </c>
      <c r="B557" s="1">
        <v>41</v>
      </c>
      <c r="C557" s="1">
        <v>51</v>
      </c>
      <c r="D557" t="s">
        <v>3</v>
      </c>
      <c r="E557" t="s">
        <v>6</v>
      </c>
      <c r="F557" s="1">
        <v>41051</v>
      </c>
      <c r="G557" s="1">
        <v>55</v>
      </c>
      <c r="H557" s="1">
        <v>0</v>
      </c>
      <c r="I557" t="s">
        <v>411</v>
      </c>
      <c r="J557" t="s">
        <v>276</v>
      </c>
      <c r="K557" s="1">
        <v>55000</v>
      </c>
      <c r="L557" s="1">
        <v>7</v>
      </c>
      <c r="M557" s="1"/>
      <c r="N557" s="1">
        <v>770000</v>
      </c>
      <c r="O557" s="1"/>
      <c r="P557" s="1">
        <v>1</v>
      </c>
      <c r="Q557" s="1">
        <v>0</v>
      </c>
    </row>
    <row r="558">
      <c r="A558" s="1">
        <v>2021</v>
      </c>
      <c r="B558" s="1">
        <v>41</v>
      </c>
      <c r="C558" s="1">
        <v>51</v>
      </c>
      <c r="D558" t="s">
        <v>3</v>
      </c>
      <c r="E558" t="s">
        <v>6</v>
      </c>
      <c r="F558" s="1">
        <v>41051</v>
      </c>
      <c r="G558" s="1">
        <v>55</v>
      </c>
      <c r="H558" s="1">
        <v>25</v>
      </c>
      <c r="I558" t="s">
        <v>41</v>
      </c>
      <c r="J558" t="s">
        <v>173</v>
      </c>
      <c r="K558" s="1">
        <v>55025</v>
      </c>
      <c r="L558" s="1">
        <v>311</v>
      </c>
      <c r="M558" s="1"/>
      <c r="N558" s="1">
        <v>32670550</v>
      </c>
      <c r="O558" s="1">
        <v>55025</v>
      </c>
      <c r="P558" s="1">
        <v>1</v>
      </c>
      <c r="Q558" s="1">
        <v>0</v>
      </c>
    </row>
    <row r="559">
      <c r="A559" s="1">
        <v>2021</v>
      </c>
      <c r="B559" s="1">
        <v>41</v>
      </c>
      <c r="C559" s="1">
        <v>51</v>
      </c>
      <c r="D559" t="s">
        <v>3</v>
      </c>
      <c r="E559" t="s">
        <v>6</v>
      </c>
      <c r="F559" s="1">
        <v>41051</v>
      </c>
      <c r="G559" s="1">
        <v>56</v>
      </c>
      <c r="H559" s="1">
        <v>0</v>
      </c>
      <c r="I559" t="s">
        <v>411</v>
      </c>
      <c r="J559" t="s">
        <v>276</v>
      </c>
      <c r="K559" s="1">
        <v>56000</v>
      </c>
      <c r="L559" s="1">
        <v>189</v>
      </c>
      <c r="M559" s="1">
        <v>189</v>
      </c>
      <c r="N559" s="1">
        <v>8845200</v>
      </c>
      <c r="O559" s="1"/>
      <c r="P559" s="1">
        <v>1</v>
      </c>
      <c r="Q559" s="1">
        <v>0</v>
      </c>
    </row>
    <row r="560">
      <c r="A560" s="1">
        <v>2022</v>
      </c>
      <c r="B560" s="1">
        <v>41</v>
      </c>
      <c r="C560" s="1">
        <v>51</v>
      </c>
      <c r="D560" t="s">
        <v>3</v>
      </c>
      <c r="E560" t="s">
        <v>6</v>
      </c>
      <c r="F560" s="1">
        <v>41051</v>
      </c>
      <c r="G560" s="1">
        <v>2</v>
      </c>
      <c r="H560" s="1">
        <v>0</v>
      </c>
      <c r="I560" t="s">
        <v>411</v>
      </c>
      <c r="J560" t="s">
        <v>276</v>
      </c>
      <c r="K560" s="1">
        <v>2000</v>
      </c>
      <c r="L560" s="1">
        <v>228</v>
      </c>
      <c r="M560" s="1">
        <v>182</v>
      </c>
      <c r="N560" s="1">
        <v>8740000</v>
      </c>
      <c r="O560" s="1"/>
      <c r="P560" s="1">
        <v>1</v>
      </c>
      <c r="Q560" s="1">
        <v>0</v>
      </c>
    </row>
    <row r="561">
      <c r="A561" s="1">
        <v>2022</v>
      </c>
      <c r="B561" s="1">
        <v>41</v>
      </c>
      <c r="C561" s="1">
        <v>51</v>
      </c>
      <c r="D561" t="s">
        <v>3</v>
      </c>
      <c r="E561" t="s">
        <v>6</v>
      </c>
      <c r="F561" s="1">
        <v>41051</v>
      </c>
      <c r="G561" s="1">
        <v>2</v>
      </c>
      <c r="H561" s="1">
        <v>20</v>
      </c>
      <c r="I561" t="s">
        <v>9</v>
      </c>
      <c r="J561" t="s">
        <v>52</v>
      </c>
      <c r="K561" s="1">
        <v>2020</v>
      </c>
      <c r="L561" s="1">
        <v>474</v>
      </c>
      <c r="M561" s="1"/>
      <c r="N561" s="1">
        <v>7110000</v>
      </c>
      <c r="O561" s="1">
        <v>2020</v>
      </c>
      <c r="P561" s="1">
        <v>1</v>
      </c>
      <c r="Q561" s="1">
        <v>0</v>
      </c>
    </row>
    <row r="562">
      <c r="A562" s="1">
        <v>2022</v>
      </c>
      <c r="B562" s="1">
        <v>41</v>
      </c>
      <c r="C562" s="1">
        <v>51</v>
      </c>
      <c r="D562" t="s">
        <v>3</v>
      </c>
      <c r="E562" t="s">
        <v>6</v>
      </c>
      <c r="F562" s="1">
        <v>41051</v>
      </c>
      <c r="G562" s="1">
        <v>4</v>
      </c>
      <c r="H562" s="1">
        <v>0</v>
      </c>
      <c r="I562" t="s">
        <v>411</v>
      </c>
      <c r="J562" t="s">
        <v>276</v>
      </c>
      <c r="K562" s="1">
        <v>4000</v>
      </c>
      <c r="L562" s="1">
        <v>797</v>
      </c>
      <c r="M562" s="1">
        <v>402</v>
      </c>
      <c r="N562" s="1">
        <v>95635890</v>
      </c>
      <c r="O562" s="1"/>
      <c r="P562" s="1">
        <v>1</v>
      </c>
      <c r="Q562" s="1">
        <v>0</v>
      </c>
    </row>
    <row r="563">
      <c r="A563" s="1">
        <v>2022</v>
      </c>
      <c r="B563" s="1">
        <v>41</v>
      </c>
      <c r="C563" s="1">
        <v>51</v>
      </c>
      <c r="D563" t="s">
        <v>3</v>
      </c>
      <c r="E563" t="s">
        <v>6</v>
      </c>
      <c r="F563" s="1">
        <v>41051</v>
      </c>
      <c r="G563" s="1">
        <v>4</v>
      </c>
      <c r="H563" s="1">
        <v>13</v>
      </c>
      <c r="I563" t="s">
        <v>10</v>
      </c>
      <c r="J563" t="s">
        <v>53</v>
      </c>
      <c r="K563" s="1">
        <v>4013</v>
      </c>
      <c r="L563" s="1">
        <v>509</v>
      </c>
      <c r="M563" s="1">
        <v>351</v>
      </c>
      <c r="N563" s="1">
        <v>43990700</v>
      </c>
      <c r="O563" s="1">
        <v>4013</v>
      </c>
      <c r="P563" s="1">
        <v>1</v>
      </c>
      <c r="Q563" s="1">
        <v>0</v>
      </c>
    </row>
    <row r="564">
      <c r="A564" s="1">
        <v>2022</v>
      </c>
      <c r="B564" s="1">
        <v>41</v>
      </c>
      <c r="C564" s="1">
        <v>51</v>
      </c>
      <c r="D564" t="s">
        <v>3</v>
      </c>
      <c r="E564" t="s">
        <v>6</v>
      </c>
      <c r="F564" s="1">
        <v>41051</v>
      </c>
      <c r="G564" s="1">
        <v>4</v>
      </c>
      <c r="H564" s="1">
        <v>25</v>
      </c>
      <c r="I564" t="s">
        <v>10</v>
      </c>
      <c r="J564" t="s">
        <v>176</v>
      </c>
      <c r="K564" s="1">
        <v>4025</v>
      </c>
      <c r="L564" s="1">
        <v>38</v>
      </c>
      <c r="M564" s="1"/>
      <c r="N564" s="1">
        <v>2660000</v>
      </c>
      <c r="O564" s="1">
        <v>4025</v>
      </c>
      <c r="P564" s="1">
        <v>1</v>
      </c>
      <c r="Q564" s="1">
        <v>0</v>
      </c>
    </row>
    <row r="565">
      <c r="A565" s="1">
        <v>2022</v>
      </c>
      <c r="B565" s="1">
        <v>41</v>
      </c>
      <c r="C565" s="1">
        <v>51</v>
      </c>
      <c r="D565" t="s">
        <v>3</v>
      </c>
      <c r="E565" t="s">
        <v>6</v>
      </c>
      <c r="F565" s="1">
        <v>41051</v>
      </c>
      <c r="G565" s="1">
        <v>6</v>
      </c>
      <c r="H565" s="1">
        <v>0</v>
      </c>
      <c r="I565" t="s">
        <v>411</v>
      </c>
      <c r="J565" t="s">
        <v>276</v>
      </c>
      <c r="K565" s="1">
        <v>6000</v>
      </c>
      <c r="L565" s="1">
        <v>217</v>
      </c>
      <c r="M565" s="1">
        <v>121</v>
      </c>
      <c r="N565" s="1">
        <v>8391900</v>
      </c>
      <c r="O565" s="1"/>
      <c r="P565" s="1">
        <v>1</v>
      </c>
      <c r="Q565" s="1">
        <v>0</v>
      </c>
    </row>
    <row r="566">
      <c r="A566" s="1">
        <v>2022</v>
      </c>
      <c r="B566" s="1">
        <v>41</v>
      </c>
      <c r="C566" s="1">
        <v>51</v>
      </c>
      <c r="D566" t="s">
        <v>3</v>
      </c>
      <c r="E566" t="s">
        <v>6</v>
      </c>
      <c r="F566" s="1">
        <v>41051</v>
      </c>
      <c r="G566" s="1">
        <v>6</v>
      </c>
      <c r="H566" s="1">
        <v>1</v>
      </c>
      <c r="I566" t="s">
        <v>11</v>
      </c>
      <c r="J566" t="s">
        <v>56</v>
      </c>
      <c r="K566" s="1">
        <v>6001</v>
      </c>
      <c r="L566" s="1">
        <v>149</v>
      </c>
      <c r="M566" s="1">
        <v>95</v>
      </c>
      <c r="N566" s="1">
        <v>7596200</v>
      </c>
      <c r="O566" s="1">
        <v>6001</v>
      </c>
      <c r="P566" s="1">
        <v>1</v>
      </c>
      <c r="Q566" s="1">
        <v>0</v>
      </c>
    </row>
    <row r="567">
      <c r="A567" s="1">
        <v>2022</v>
      </c>
      <c r="B567" s="1">
        <v>41</v>
      </c>
      <c r="C567" s="1">
        <v>51</v>
      </c>
      <c r="D567" t="s">
        <v>3</v>
      </c>
      <c r="E567" t="s">
        <v>6</v>
      </c>
      <c r="F567" s="1">
        <v>41051</v>
      </c>
      <c r="G567" s="1">
        <v>6</v>
      </c>
      <c r="H567" s="1">
        <v>13</v>
      </c>
      <c r="I567" t="s">
        <v>11</v>
      </c>
      <c r="J567" t="s">
        <v>57</v>
      </c>
      <c r="K567" s="1">
        <v>6013</v>
      </c>
      <c r="L567" s="1">
        <v>79</v>
      </c>
      <c r="M567" s="1">
        <v>79</v>
      </c>
      <c r="N567" s="1">
        <v>3952370</v>
      </c>
      <c r="O567" s="1">
        <v>6013</v>
      </c>
      <c r="P567" s="1">
        <v>1</v>
      </c>
      <c r="Q567" s="1">
        <v>0</v>
      </c>
    </row>
    <row r="568">
      <c r="A568" s="1">
        <v>2022</v>
      </c>
      <c r="B568" s="1">
        <v>41</v>
      </c>
      <c r="C568" s="1">
        <v>51</v>
      </c>
      <c r="D568" t="s">
        <v>3</v>
      </c>
      <c r="E568" t="s">
        <v>6</v>
      </c>
      <c r="F568" s="1">
        <v>41051</v>
      </c>
      <c r="G568" s="1">
        <v>6</v>
      </c>
      <c r="H568" s="1">
        <v>23</v>
      </c>
      <c r="I568" t="s">
        <v>11</v>
      </c>
      <c r="J568" t="s">
        <v>59</v>
      </c>
      <c r="K568" s="1">
        <v>6023</v>
      </c>
      <c r="L568" s="1">
        <v>72</v>
      </c>
      <c r="M568" s="1"/>
      <c r="N568" s="1">
        <v>1152000</v>
      </c>
      <c r="O568" s="1">
        <v>6023</v>
      </c>
      <c r="P568" s="1">
        <v>1</v>
      </c>
      <c r="Q568" s="1">
        <v>0</v>
      </c>
    </row>
    <row r="569">
      <c r="A569" s="1">
        <v>2022</v>
      </c>
      <c r="B569" s="1">
        <v>41</v>
      </c>
      <c r="C569" s="1">
        <v>51</v>
      </c>
      <c r="D569" t="s">
        <v>3</v>
      </c>
      <c r="E569" t="s">
        <v>6</v>
      </c>
      <c r="F569" s="1">
        <v>41051</v>
      </c>
      <c r="G569" s="1">
        <v>6</v>
      </c>
      <c r="H569" s="1">
        <v>37</v>
      </c>
      <c r="I569" t="s">
        <v>11</v>
      </c>
      <c r="J569" t="s">
        <v>61</v>
      </c>
      <c r="K569" s="1">
        <v>6037</v>
      </c>
      <c r="L569" s="1">
        <v>2276</v>
      </c>
      <c r="M569" s="1">
        <v>1084</v>
      </c>
      <c r="N569" s="1">
        <v>235063280</v>
      </c>
      <c r="O569" s="1">
        <v>6037</v>
      </c>
      <c r="P569" s="1">
        <v>1</v>
      </c>
      <c r="Q569" s="1">
        <v>0</v>
      </c>
    </row>
    <row r="570">
      <c r="A570" s="1">
        <v>2022</v>
      </c>
      <c r="B570" s="1">
        <v>41</v>
      </c>
      <c r="C570" s="1">
        <v>51</v>
      </c>
      <c r="D570" t="s">
        <v>3</v>
      </c>
      <c r="E570" t="s">
        <v>6</v>
      </c>
      <c r="F570" s="1">
        <v>41051</v>
      </c>
      <c r="G570" s="1">
        <v>6</v>
      </c>
      <c r="H570" s="1">
        <v>41</v>
      </c>
      <c r="I570" t="s">
        <v>11</v>
      </c>
      <c r="J570" t="s">
        <v>62</v>
      </c>
      <c r="K570" s="1">
        <v>6041</v>
      </c>
      <c r="L570" s="1">
        <v>160</v>
      </c>
      <c r="M570" s="1">
        <v>73</v>
      </c>
      <c r="N570" s="1">
        <v>4730000</v>
      </c>
      <c r="O570" s="1">
        <v>6041</v>
      </c>
      <c r="P570" s="1">
        <v>1</v>
      </c>
      <c r="Q570" s="1">
        <v>0</v>
      </c>
    </row>
    <row r="571">
      <c r="A571" s="1">
        <v>2022</v>
      </c>
      <c r="B571" s="1">
        <v>41</v>
      </c>
      <c r="C571" s="1">
        <v>51</v>
      </c>
      <c r="D571" t="s">
        <v>3</v>
      </c>
      <c r="E571" t="s">
        <v>6</v>
      </c>
      <c r="F571" s="1">
        <v>41051</v>
      </c>
      <c r="G571" s="1">
        <v>6</v>
      </c>
      <c r="H571" s="1">
        <v>65</v>
      </c>
      <c r="I571" t="s">
        <v>11</v>
      </c>
      <c r="J571" t="s">
        <v>66</v>
      </c>
      <c r="K571" s="1">
        <v>6065</v>
      </c>
      <c r="L571" s="1">
        <v>145</v>
      </c>
      <c r="M571" s="1">
        <v>35</v>
      </c>
      <c r="N571" s="1">
        <v>3789900</v>
      </c>
      <c r="O571" s="1">
        <v>6065</v>
      </c>
      <c r="P571" s="1">
        <v>1</v>
      </c>
      <c r="Q571" s="1">
        <v>0</v>
      </c>
    </row>
    <row r="572">
      <c r="A572" s="1">
        <v>2022</v>
      </c>
      <c r="B572" s="1">
        <v>41</v>
      </c>
      <c r="C572" s="1">
        <v>51</v>
      </c>
      <c r="D572" t="s">
        <v>3</v>
      </c>
      <c r="E572" t="s">
        <v>6</v>
      </c>
      <c r="F572" s="1">
        <v>41051</v>
      </c>
      <c r="G572" s="1">
        <v>6</v>
      </c>
      <c r="H572" s="1">
        <v>67</v>
      </c>
      <c r="I572" t="s">
        <v>11</v>
      </c>
      <c r="J572" t="s">
        <v>67</v>
      </c>
      <c r="K572" s="1">
        <v>6067</v>
      </c>
      <c r="L572" s="1">
        <v>600</v>
      </c>
      <c r="M572" s="1">
        <v>270</v>
      </c>
      <c r="N572" s="1">
        <v>27640000</v>
      </c>
      <c r="O572" s="1">
        <v>6067</v>
      </c>
      <c r="P572" s="1">
        <v>1</v>
      </c>
      <c r="Q572" s="1">
        <v>0</v>
      </c>
    </row>
    <row r="573">
      <c r="A573" s="1">
        <v>2022</v>
      </c>
      <c r="B573" s="1">
        <v>41</v>
      </c>
      <c r="C573" s="1">
        <v>51</v>
      </c>
      <c r="D573" t="s">
        <v>3</v>
      </c>
      <c r="E573" t="s">
        <v>6</v>
      </c>
      <c r="F573" s="1">
        <v>41051</v>
      </c>
      <c r="G573" s="1">
        <v>6</v>
      </c>
      <c r="H573" s="1">
        <v>71</v>
      </c>
      <c r="I573" t="s">
        <v>11</v>
      </c>
      <c r="J573" t="s">
        <v>68</v>
      </c>
      <c r="K573" s="1">
        <v>6071</v>
      </c>
      <c r="L573" s="1">
        <v>72</v>
      </c>
      <c r="M573" s="1"/>
      <c r="N573" s="1">
        <v>1800000</v>
      </c>
      <c r="O573" s="1">
        <v>6071</v>
      </c>
      <c r="P573" s="1">
        <v>1</v>
      </c>
      <c r="Q573" s="1">
        <v>0</v>
      </c>
    </row>
    <row r="574">
      <c r="A574" s="1">
        <v>2022</v>
      </c>
      <c r="B574" s="1">
        <v>41</v>
      </c>
      <c r="C574" s="1">
        <v>51</v>
      </c>
      <c r="D574" t="s">
        <v>3</v>
      </c>
      <c r="E574" t="s">
        <v>6</v>
      </c>
      <c r="F574" s="1">
        <v>41051</v>
      </c>
      <c r="G574" s="1">
        <v>6</v>
      </c>
      <c r="H574" s="1">
        <v>73</v>
      </c>
      <c r="I574" t="s">
        <v>11</v>
      </c>
      <c r="J574" t="s">
        <v>69</v>
      </c>
      <c r="K574" s="1">
        <v>6073</v>
      </c>
      <c r="L574" s="1">
        <v>110</v>
      </c>
      <c r="M574" s="1">
        <v>53</v>
      </c>
      <c r="N574" s="1">
        <v>3850000</v>
      </c>
      <c r="O574" s="1">
        <v>6073</v>
      </c>
      <c r="P574" s="1">
        <v>1</v>
      </c>
      <c r="Q574" s="1">
        <v>0</v>
      </c>
    </row>
    <row r="575">
      <c r="A575" s="1">
        <v>2022</v>
      </c>
      <c r="B575" s="1">
        <v>41</v>
      </c>
      <c r="C575" s="1">
        <v>51</v>
      </c>
      <c r="D575" t="s">
        <v>3</v>
      </c>
      <c r="E575" t="s">
        <v>6</v>
      </c>
      <c r="F575" s="1">
        <v>41051</v>
      </c>
      <c r="G575" s="1">
        <v>6</v>
      </c>
      <c r="H575" s="1">
        <v>75</v>
      </c>
      <c r="I575" t="s">
        <v>11</v>
      </c>
      <c r="J575" t="s">
        <v>70</v>
      </c>
      <c r="K575" s="1">
        <v>6075</v>
      </c>
      <c r="L575" s="1">
        <v>1368</v>
      </c>
      <c r="M575" s="1">
        <v>323</v>
      </c>
      <c r="N575" s="1">
        <v>58277600</v>
      </c>
      <c r="O575" s="1">
        <v>6075</v>
      </c>
      <c r="P575" s="1">
        <v>1</v>
      </c>
      <c r="Q575" s="1">
        <v>0</v>
      </c>
    </row>
    <row r="576">
      <c r="A576" s="1">
        <v>2022</v>
      </c>
      <c r="B576" s="1">
        <v>41</v>
      </c>
      <c r="C576" s="1">
        <v>51</v>
      </c>
      <c r="D576" t="s">
        <v>3</v>
      </c>
      <c r="E576" t="s">
        <v>6</v>
      </c>
      <c r="F576" s="1">
        <v>41051</v>
      </c>
      <c r="G576" s="1">
        <v>6</v>
      </c>
      <c r="H576" s="1">
        <v>77</v>
      </c>
      <c r="I576" t="s">
        <v>11</v>
      </c>
      <c r="J576" t="s">
        <v>179</v>
      </c>
      <c r="K576" s="1">
        <v>6077</v>
      </c>
      <c r="L576" s="1">
        <v>67</v>
      </c>
      <c r="M576" s="1"/>
      <c r="N576" s="1">
        <v>1742000</v>
      </c>
      <c r="O576" s="1">
        <v>6077</v>
      </c>
      <c r="P576" s="1">
        <v>1</v>
      </c>
      <c r="Q576" s="1">
        <v>0</v>
      </c>
    </row>
    <row r="577">
      <c r="A577" s="1">
        <v>2022</v>
      </c>
      <c r="B577" s="1">
        <v>41</v>
      </c>
      <c r="C577" s="1">
        <v>51</v>
      </c>
      <c r="D577" t="s">
        <v>3</v>
      </c>
      <c r="E577" t="s">
        <v>6</v>
      </c>
      <c r="F577" s="1">
        <v>41051</v>
      </c>
      <c r="G577" s="1">
        <v>6</v>
      </c>
      <c r="H577" s="1">
        <v>83</v>
      </c>
      <c r="I577" t="s">
        <v>11</v>
      </c>
      <c r="J577" t="s">
        <v>73</v>
      </c>
      <c r="K577" s="1">
        <v>6083</v>
      </c>
      <c r="L577" s="1">
        <v>56</v>
      </c>
      <c r="M577" s="1"/>
      <c r="N577" s="1">
        <v>84000</v>
      </c>
      <c r="O577" s="1">
        <v>6083</v>
      </c>
      <c r="P577" s="1">
        <v>1</v>
      </c>
      <c r="Q577" s="1">
        <v>0</v>
      </c>
    </row>
    <row r="578">
      <c r="A578" s="1">
        <v>2022</v>
      </c>
      <c r="B578" s="1">
        <v>41</v>
      </c>
      <c r="C578" s="1">
        <v>51</v>
      </c>
      <c r="D578" t="s">
        <v>3</v>
      </c>
      <c r="E578" t="s">
        <v>6</v>
      </c>
      <c r="F578" s="1">
        <v>41051</v>
      </c>
      <c r="G578" s="1">
        <v>6</v>
      </c>
      <c r="H578" s="1">
        <v>85</v>
      </c>
      <c r="I578" t="s">
        <v>11</v>
      </c>
      <c r="J578" t="s">
        <v>74</v>
      </c>
      <c r="K578" s="1">
        <v>6085</v>
      </c>
      <c r="L578" s="1">
        <v>1878</v>
      </c>
      <c r="M578" s="1">
        <v>1801</v>
      </c>
      <c r="N578" s="1">
        <v>228055000</v>
      </c>
      <c r="O578" s="1">
        <v>6085</v>
      </c>
      <c r="P578" s="1">
        <v>1</v>
      </c>
      <c r="Q578" s="1">
        <v>0</v>
      </c>
    </row>
    <row r="579">
      <c r="A579" s="1">
        <v>2022</v>
      </c>
      <c r="B579" s="1">
        <v>41</v>
      </c>
      <c r="C579" s="1">
        <v>51</v>
      </c>
      <c r="D579" t="s">
        <v>3</v>
      </c>
      <c r="E579" t="s">
        <v>6</v>
      </c>
      <c r="F579" s="1">
        <v>41051</v>
      </c>
      <c r="G579" s="1">
        <v>6</v>
      </c>
      <c r="H579" s="1">
        <v>89</v>
      </c>
      <c r="I579" t="s">
        <v>11</v>
      </c>
      <c r="J579" t="s">
        <v>76</v>
      </c>
      <c r="K579" s="1">
        <v>6089</v>
      </c>
      <c r="L579" s="1">
        <v>255</v>
      </c>
      <c r="M579" s="1">
        <v>256</v>
      </c>
      <c r="N579" s="1">
        <v>10414000</v>
      </c>
      <c r="O579" s="1">
        <v>6089</v>
      </c>
      <c r="P579" s="1">
        <v>1</v>
      </c>
      <c r="Q579" s="1">
        <v>0</v>
      </c>
    </row>
    <row r="580">
      <c r="A580" s="1">
        <v>2022</v>
      </c>
      <c r="B580" s="1">
        <v>41</v>
      </c>
      <c r="C580" s="1">
        <v>51</v>
      </c>
      <c r="D580" t="s">
        <v>3</v>
      </c>
      <c r="E580" t="s">
        <v>6</v>
      </c>
      <c r="F580" s="1">
        <v>41051</v>
      </c>
      <c r="G580" s="1">
        <v>8</v>
      </c>
      <c r="H580" s="1">
        <v>0</v>
      </c>
      <c r="I580" t="s">
        <v>411</v>
      </c>
      <c r="J580" t="s">
        <v>276</v>
      </c>
      <c r="K580" s="1">
        <v>8000</v>
      </c>
      <c r="L580" s="1">
        <v>1550</v>
      </c>
      <c r="M580" s="1">
        <v>831</v>
      </c>
      <c r="N580" s="1">
        <v>70226460</v>
      </c>
      <c r="O580" s="1"/>
      <c r="P580" s="1">
        <v>1</v>
      </c>
      <c r="Q580" s="1">
        <v>0</v>
      </c>
    </row>
    <row r="581">
      <c r="A581" s="1">
        <v>2022</v>
      </c>
      <c r="B581" s="1">
        <v>41</v>
      </c>
      <c r="C581" s="1">
        <v>51</v>
      </c>
      <c r="D581" t="s">
        <v>3</v>
      </c>
      <c r="E581" t="s">
        <v>6</v>
      </c>
      <c r="F581" s="1">
        <v>41051</v>
      </c>
      <c r="G581" s="1">
        <v>8</v>
      </c>
      <c r="H581" s="1">
        <v>69</v>
      </c>
      <c r="I581" t="s">
        <v>12</v>
      </c>
      <c r="J581" t="s">
        <v>84</v>
      </c>
      <c r="K581" s="1">
        <v>8069</v>
      </c>
      <c r="L581" s="1">
        <v>66</v>
      </c>
      <c r="M581" s="1">
        <v>66</v>
      </c>
      <c r="N581" s="1">
        <v>19800</v>
      </c>
      <c r="O581" s="1">
        <v>8069</v>
      </c>
      <c r="P581" s="1">
        <v>1</v>
      </c>
      <c r="Q581" s="1">
        <v>0</v>
      </c>
    </row>
    <row r="582">
      <c r="A582" s="1">
        <v>2022</v>
      </c>
      <c r="B582" s="1">
        <v>41</v>
      </c>
      <c r="C582" s="1">
        <v>51</v>
      </c>
      <c r="D582" t="s">
        <v>3</v>
      </c>
      <c r="E582" t="s">
        <v>6</v>
      </c>
      <c r="F582" s="1">
        <v>41051</v>
      </c>
      <c r="G582" s="1">
        <v>12</v>
      </c>
      <c r="H582" s="1">
        <v>57</v>
      </c>
      <c r="I582" t="s">
        <v>15</v>
      </c>
      <c r="J582" t="s">
        <v>86</v>
      </c>
      <c r="K582" s="1">
        <v>12057</v>
      </c>
      <c r="L582" s="1">
        <v>179</v>
      </c>
      <c r="M582" s="1">
        <v>89</v>
      </c>
      <c r="N582" s="1">
        <v>8703200</v>
      </c>
      <c r="O582" s="1">
        <v>12057</v>
      </c>
      <c r="P582" s="1">
        <v>1</v>
      </c>
      <c r="Q582" s="1">
        <v>0</v>
      </c>
    </row>
    <row r="583">
      <c r="A583" s="1">
        <v>2022</v>
      </c>
      <c r="B583" s="1">
        <v>41</v>
      </c>
      <c r="C583" s="1">
        <v>51</v>
      </c>
      <c r="D583" t="s">
        <v>3</v>
      </c>
      <c r="E583" t="s">
        <v>6</v>
      </c>
      <c r="F583" s="1">
        <v>41051</v>
      </c>
      <c r="G583" s="1">
        <v>12</v>
      </c>
      <c r="H583" s="1">
        <v>85</v>
      </c>
      <c r="I583" t="s">
        <v>15</v>
      </c>
      <c r="J583" t="s">
        <v>322</v>
      </c>
      <c r="K583" s="1">
        <v>12085</v>
      </c>
      <c r="L583" s="1">
        <v>100</v>
      </c>
      <c r="M583" s="1"/>
      <c r="N583" s="1">
        <v>10500000</v>
      </c>
      <c r="O583" s="1">
        <v>12085</v>
      </c>
      <c r="P583" s="1">
        <v>1</v>
      </c>
      <c r="Q583" s="1">
        <v>0</v>
      </c>
    </row>
    <row r="584">
      <c r="A584" s="1">
        <v>2022</v>
      </c>
      <c r="B584" s="1">
        <v>41</v>
      </c>
      <c r="C584" s="1">
        <v>51</v>
      </c>
      <c r="D584" t="s">
        <v>3</v>
      </c>
      <c r="E584" t="s">
        <v>6</v>
      </c>
      <c r="F584" s="1">
        <v>41051</v>
      </c>
      <c r="G584" s="1">
        <v>13</v>
      </c>
      <c r="H584" s="1">
        <v>0</v>
      </c>
      <c r="I584" t="s">
        <v>411</v>
      </c>
      <c r="J584" t="s">
        <v>276</v>
      </c>
      <c r="K584" s="1">
        <v>13000</v>
      </c>
      <c r="L584" s="1">
        <v>78</v>
      </c>
      <c r="M584" s="1"/>
      <c r="N584" s="1">
        <v>3510000</v>
      </c>
      <c r="O584" s="1"/>
      <c r="P584" s="1">
        <v>1</v>
      </c>
      <c r="Q584" s="1">
        <v>0</v>
      </c>
    </row>
    <row r="585">
      <c r="A585" s="1">
        <v>2022</v>
      </c>
      <c r="B585" s="1">
        <v>41</v>
      </c>
      <c r="C585" s="1">
        <v>51</v>
      </c>
      <c r="D585" t="s">
        <v>3</v>
      </c>
      <c r="E585" t="s">
        <v>6</v>
      </c>
      <c r="F585" s="1">
        <v>41051</v>
      </c>
      <c r="G585" s="1">
        <v>15</v>
      </c>
      <c r="H585" s="1">
        <v>1</v>
      </c>
      <c r="I585" t="s">
        <v>17</v>
      </c>
      <c r="J585" t="s">
        <v>92</v>
      </c>
      <c r="K585" s="1">
        <v>15001</v>
      </c>
      <c r="L585" s="1">
        <v>165</v>
      </c>
      <c r="M585" s="1">
        <v>165</v>
      </c>
      <c r="N585" s="1">
        <v>48840000</v>
      </c>
      <c r="O585" s="1">
        <v>15001</v>
      </c>
      <c r="P585" s="1">
        <v>1</v>
      </c>
      <c r="Q585" s="1">
        <v>0</v>
      </c>
    </row>
    <row r="586">
      <c r="A586" s="1">
        <v>2022</v>
      </c>
      <c r="B586" s="1">
        <v>41</v>
      </c>
      <c r="C586" s="1">
        <v>51</v>
      </c>
      <c r="D586" t="s">
        <v>3</v>
      </c>
      <c r="E586" t="s">
        <v>6</v>
      </c>
      <c r="F586" s="1">
        <v>41051</v>
      </c>
      <c r="G586" s="1">
        <v>15</v>
      </c>
      <c r="H586" s="1">
        <v>3</v>
      </c>
      <c r="I586" t="s">
        <v>17</v>
      </c>
      <c r="J586" t="s">
        <v>93</v>
      </c>
      <c r="K586" s="1">
        <v>15003</v>
      </c>
      <c r="L586" s="1">
        <v>447</v>
      </c>
      <c r="M586" s="1">
        <v>446</v>
      </c>
      <c r="N586" s="1">
        <v>1653900</v>
      </c>
      <c r="O586" s="1">
        <v>15003</v>
      </c>
      <c r="P586" s="1">
        <v>1</v>
      </c>
      <c r="Q586" s="1">
        <v>0</v>
      </c>
    </row>
    <row r="587">
      <c r="A587" s="1">
        <v>2022</v>
      </c>
      <c r="B587" s="1">
        <v>41</v>
      </c>
      <c r="C587" s="1">
        <v>51</v>
      </c>
      <c r="D587" t="s">
        <v>3</v>
      </c>
      <c r="E587" t="s">
        <v>6</v>
      </c>
      <c r="F587" s="1">
        <v>41051</v>
      </c>
      <c r="G587" s="1">
        <v>16</v>
      </c>
      <c r="H587" s="1">
        <v>0</v>
      </c>
      <c r="I587" t="s">
        <v>411</v>
      </c>
      <c r="J587" t="s">
        <v>276</v>
      </c>
      <c r="K587" s="1">
        <v>16000</v>
      </c>
      <c r="L587" s="1">
        <v>397</v>
      </c>
      <c r="M587" s="1">
        <v>228</v>
      </c>
      <c r="N587" s="1">
        <v>10701300</v>
      </c>
      <c r="O587" s="1"/>
      <c r="P587" s="1">
        <v>1</v>
      </c>
      <c r="Q587" s="1">
        <v>0</v>
      </c>
    </row>
    <row r="588">
      <c r="A588" s="1">
        <v>2022</v>
      </c>
      <c r="B588" s="1">
        <v>41</v>
      </c>
      <c r="C588" s="1">
        <v>51</v>
      </c>
      <c r="D588" t="s">
        <v>3</v>
      </c>
      <c r="E588" t="s">
        <v>6</v>
      </c>
      <c r="F588" s="1">
        <v>41051</v>
      </c>
      <c r="G588" s="1">
        <v>17</v>
      </c>
      <c r="H588" s="1">
        <v>31</v>
      </c>
      <c r="I588" t="s">
        <v>19</v>
      </c>
      <c r="J588" t="s">
        <v>98</v>
      </c>
      <c r="K588" s="1">
        <v>17031</v>
      </c>
      <c r="L588" s="1">
        <v>242</v>
      </c>
      <c r="M588" s="1">
        <v>241</v>
      </c>
      <c r="N588" s="1">
        <v>9876000</v>
      </c>
      <c r="O588" s="1">
        <v>17031</v>
      </c>
      <c r="P588" s="1">
        <v>1</v>
      </c>
      <c r="Q588" s="1">
        <v>0</v>
      </c>
    </row>
    <row r="589">
      <c r="A589" s="1">
        <v>2022</v>
      </c>
      <c r="B589" s="1">
        <v>41</v>
      </c>
      <c r="C589" s="1">
        <v>51</v>
      </c>
      <c r="D589" t="s">
        <v>3</v>
      </c>
      <c r="E589" t="s">
        <v>6</v>
      </c>
      <c r="F589" s="1">
        <v>41051</v>
      </c>
      <c r="G589" s="1">
        <v>17</v>
      </c>
      <c r="H589" s="1">
        <v>43</v>
      </c>
      <c r="I589" t="s">
        <v>19</v>
      </c>
      <c r="J589" t="s">
        <v>187</v>
      </c>
      <c r="K589" s="1">
        <v>17043</v>
      </c>
      <c r="L589" s="1">
        <v>177</v>
      </c>
      <c r="M589" s="1">
        <v>178</v>
      </c>
      <c r="N589" s="1">
        <v>109032000</v>
      </c>
      <c r="O589" s="1">
        <v>17043</v>
      </c>
      <c r="P589" s="1">
        <v>1</v>
      </c>
      <c r="Q589" s="1">
        <v>0</v>
      </c>
    </row>
    <row r="590">
      <c r="A590" s="1">
        <v>2022</v>
      </c>
      <c r="B590" s="1">
        <v>41</v>
      </c>
      <c r="C590" s="1">
        <v>51</v>
      </c>
      <c r="D590" t="s">
        <v>3</v>
      </c>
      <c r="E590" t="s">
        <v>6</v>
      </c>
      <c r="F590" s="1">
        <v>41051</v>
      </c>
      <c r="G590" s="1">
        <v>18</v>
      </c>
      <c r="H590" s="1">
        <v>97</v>
      </c>
      <c r="I590" t="s">
        <v>20</v>
      </c>
      <c r="J590" t="s">
        <v>99</v>
      </c>
      <c r="K590" s="1">
        <v>18097</v>
      </c>
      <c r="L590" s="1">
        <v>650</v>
      </c>
      <c r="M590" s="1">
        <v>255</v>
      </c>
      <c r="N590" s="1">
        <v>5710920</v>
      </c>
      <c r="O590" s="1">
        <v>18097</v>
      </c>
      <c r="P590" s="1">
        <v>1</v>
      </c>
      <c r="Q590" s="1">
        <v>0</v>
      </c>
    </row>
    <row r="591">
      <c r="A591" s="1">
        <v>2022</v>
      </c>
      <c r="B591" s="1">
        <v>41</v>
      </c>
      <c r="C591" s="1">
        <v>51</v>
      </c>
      <c r="D591" t="s">
        <v>3</v>
      </c>
      <c r="E591" t="s">
        <v>6</v>
      </c>
      <c r="F591" s="1">
        <v>41051</v>
      </c>
      <c r="G591" s="1">
        <v>21</v>
      </c>
      <c r="H591" s="1">
        <v>111</v>
      </c>
      <c r="I591" t="s">
        <v>43</v>
      </c>
      <c r="J591" t="s">
        <v>83</v>
      </c>
      <c r="K591" s="1">
        <v>21111</v>
      </c>
      <c r="L591" s="1">
        <v>100</v>
      </c>
      <c r="M591" s="1"/>
      <c r="N591" s="1">
        <v>790000</v>
      </c>
      <c r="O591" s="1">
        <v>21111</v>
      </c>
      <c r="P591" s="1">
        <v>1</v>
      </c>
      <c r="Q591" s="1">
        <v>0</v>
      </c>
    </row>
    <row r="592">
      <c r="A592" s="1">
        <v>2022</v>
      </c>
      <c r="B592" s="1">
        <v>41</v>
      </c>
      <c r="C592" s="1">
        <v>51</v>
      </c>
      <c r="D592" t="s">
        <v>3</v>
      </c>
      <c r="E592" t="s">
        <v>6</v>
      </c>
      <c r="F592" s="1">
        <v>41051</v>
      </c>
      <c r="G592" s="1">
        <v>24</v>
      </c>
      <c r="H592" s="1">
        <v>0</v>
      </c>
      <c r="I592" t="s">
        <v>411</v>
      </c>
      <c r="J592" t="s">
        <v>276</v>
      </c>
      <c r="K592" s="1">
        <v>24000</v>
      </c>
      <c r="L592" s="1">
        <v>98</v>
      </c>
      <c r="M592" s="1">
        <v>10</v>
      </c>
      <c r="N592" s="1">
        <v>9778000</v>
      </c>
      <c r="O592" s="1"/>
      <c r="P592" s="1">
        <v>1</v>
      </c>
      <c r="Q592" s="1">
        <v>0</v>
      </c>
    </row>
    <row r="593">
      <c r="A593" s="1">
        <v>2022</v>
      </c>
      <c r="B593" s="1">
        <v>41</v>
      </c>
      <c r="C593" s="1">
        <v>51</v>
      </c>
      <c r="D593" t="s">
        <v>3</v>
      </c>
      <c r="E593" t="s">
        <v>6</v>
      </c>
      <c r="F593" s="1">
        <v>41051</v>
      </c>
      <c r="G593" s="1">
        <v>24</v>
      </c>
      <c r="H593" s="1">
        <v>33</v>
      </c>
      <c r="I593" t="s">
        <v>24</v>
      </c>
      <c r="J593" t="s">
        <v>189</v>
      </c>
      <c r="K593" s="1">
        <v>24033</v>
      </c>
      <c r="L593" s="1">
        <v>75</v>
      </c>
      <c r="M593" s="1">
        <v>75</v>
      </c>
      <c r="N593" s="1">
        <v>6000000</v>
      </c>
      <c r="O593" s="1">
        <v>24033</v>
      </c>
      <c r="P593" s="1">
        <v>1</v>
      </c>
      <c r="Q593" s="1">
        <v>0</v>
      </c>
    </row>
    <row r="594">
      <c r="A594" s="1">
        <v>2022</v>
      </c>
      <c r="B594" s="1">
        <v>41</v>
      </c>
      <c r="C594" s="1">
        <v>51</v>
      </c>
      <c r="D594" t="s">
        <v>3</v>
      </c>
      <c r="E594" t="s">
        <v>6</v>
      </c>
      <c r="F594" s="1">
        <v>41051</v>
      </c>
      <c r="G594" s="1">
        <v>25</v>
      </c>
      <c r="H594" s="1">
        <v>17</v>
      </c>
      <c r="I594" t="s">
        <v>25</v>
      </c>
      <c r="J594" t="s">
        <v>104</v>
      </c>
      <c r="K594" s="1">
        <v>25017</v>
      </c>
      <c r="L594" s="1">
        <v>95</v>
      </c>
      <c r="M594" s="1"/>
      <c r="N594" s="1">
        <v>3135000</v>
      </c>
      <c r="O594" s="1">
        <v>25017</v>
      </c>
      <c r="P594" s="1">
        <v>1</v>
      </c>
      <c r="Q594" s="1">
        <v>0</v>
      </c>
    </row>
    <row r="595">
      <c r="A595" s="1">
        <v>2022</v>
      </c>
      <c r="B595" s="1">
        <v>41</v>
      </c>
      <c r="C595" s="1">
        <v>51</v>
      </c>
      <c r="D595" t="s">
        <v>3</v>
      </c>
      <c r="E595" t="s">
        <v>6</v>
      </c>
      <c r="F595" s="1">
        <v>41051</v>
      </c>
      <c r="G595" s="1">
        <v>25</v>
      </c>
      <c r="H595" s="1">
        <v>23</v>
      </c>
      <c r="I595" t="s">
        <v>25</v>
      </c>
      <c r="J595" t="s">
        <v>323</v>
      </c>
      <c r="K595" s="1">
        <v>25023</v>
      </c>
      <c r="L595" s="1">
        <v>127</v>
      </c>
      <c r="M595" s="1">
        <v>50</v>
      </c>
      <c r="N595" s="1">
        <v>13470000</v>
      </c>
      <c r="O595" s="1">
        <v>25023</v>
      </c>
      <c r="P595" s="1">
        <v>1</v>
      </c>
      <c r="Q595" s="1">
        <v>0</v>
      </c>
    </row>
    <row r="596">
      <c r="A596" s="1">
        <v>2022</v>
      </c>
      <c r="B596" s="1">
        <v>41</v>
      </c>
      <c r="C596" s="1">
        <v>51</v>
      </c>
      <c r="D596" t="s">
        <v>3</v>
      </c>
      <c r="E596" t="s">
        <v>6</v>
      </c>
      <c r="F596" s="1">
        <v>41051</v>
      </c>
      <c r="G596" s="1">
        <v>27</v>
      </c>
      <c r="H596" s="1">
        <v>53</v>
      </c>
      <c r="I596" t="s">
        <v>27</v>
      </c>
      <c r="J596" t="s">
        <v>107</v>
      </c>
      <c r="K596" s="1">
        <v>27053</v>
      </c>
      <c r="L596" s="1">
        <v>179</v>
      </c>
      <c r="M596" s="1">
        <v>180</v>
      </c>
      <c r="N596" s="1">
        <v>1074000</v>
      </c>
      <c r="O596" s="1">
        <v>27053</v>
      </c>
      <c r="P596" s="1">
        <v>1</v>
      </c>
      <c r="Q596" s="1">
        <v>0</v>
      </c>
    </row>
    <row r="597">
      <c r="A597" s="1">
        <v>2022</v>
      </c>
      <c r="B597" s="1">
        <v>41</v>
      </c>
      <c r="C597" s="1">
        <v>51</v>
      </c>
      <c r="D597" t="s">
        <v>3</v>
      </c>
      <c r="E597" t="s">
        <v>6</v>
      </c>
      <c r="F597" s="1">
        <v>41051</v>
      </c>
      <c r="G597" s="1">
        <v>29</v>
      </c>
      <c r="H597" s="1">
        <v>0</v>
      </c>
      <c r="I597" t="s">
        <v>411</v>
      </c>
      <c r="J597" t="s">
        <v>276</v>
      </c>
      <c r="K597" s="1">
        <v>29000</v>
      </c>
      <c r="L597" s="1">
        <v>93</v>
      </c>
      <c r="M597" s="1">
        <v>94</v>
      </c>
      <c r="N597" s="1">
        <v>1069500</v>
      </c>
      <c r="O597" s="1"/>
      <c r="P597" s="1">
        <v>1</v>
      </c>
      <c r="Q597" s="1">
        <v>0</v>
      </c>
    </row>
    <row r="598">
      <c r="A598" s="1">
        <v>2022</v>
      </c>
      <c r="B598" s="1">
        <v>41</v>
      </c>
      <c r="C598" s="1">
        <v>51</v>
      </c>
      <c r="D598" t="s">
        <v>3</v>
      </c>
      <c r="E598" t="s">
        <v>6</v>
      </c>
      <c r="F598" s="1">
        <v>41051</v>
      </c>
      <c r="G598" s="1">
        <v>29</v>
      </c>
      <c r="H598" s="1">
        <v>95</v>
      </c>
      <c r="I598" t="s">
        <v>44</v>
      </c>
      <c r="J598" t="s">
        <v>133</v>
      </c>
      <c r="K598" s="1">
        <v>29095</v>
      </c>
      <c r="L598" s="1">
        <v>103</v>
      </c>
      <c r="M598" s="1">
        <v>102</v>
      </c>
      <c r="N598" s="1">
        <v>1236000</v>
      </c>
      <c r="O598" s="1">
        <v>29095</v>
      </c>
      <c r="P598" s="1">
        <v>1</v>
      </c>
      <c r="Q598" s="1">
        <v>0</v>
      </c>
    </row>
    <row r="599">
      <c r="A599" s="1">
        <v>2022</v>
      </c>
      <c r="B599" s="1">
        <v>41</v>
      </c>
      <c r="C599" s="1">
        <v>51</v>
      </c>
      <c r="D599" t="s">
        <v>3</v>
      </c>
      <c r="E599" t="s">
        <v>6</v>
      </c>
      <c r="F599" s="1">
        <v>41051</v>
      </c>
      <c r="G599" s="1">
        <v>29</v>
      </c>
      <c r="H599" s="1">
        <v>510</v>
      </c>
      <c r="I599" t="s">
        <v>44</v>
      </c>
      <c r="J599" t="s">
        <v>198</v>
      </c>
      <c r="K599" s="1">
        <v>29510</v>
      </c>
      <c r="L599" s="1">
        <v>123</v>
      </c>
      <c r="M599" s="1">
        <v>62</v>
      </c>
      <c r="N599" s="1">
        <v>5359000</v>
      </c>
      <c r="O599" s="1">
        <v>29510</v>
      </c>
      <c r="P599" s="1">
        <v>1</v>
      </c>
      <c r="Q599" s="1">
        <v>0</v>
      </c>
    </row>
    <row r="600">
      <c r="A600" s="1">
        <v>2022</v>
      </c>
      <c r="B600" s="1">
        <v>41</v>
      </c>
      <c r="C600" s="1">
        <v>51</v>
      </c>
      <c r="D600" t="s">
        <v>3</v>
      </c>
      <c r="E600" t="s">
        <v>6</v>
      </c>
      <c r="F600" s="1">
        <v>41051</v>
      </c>
      <c r="G600" s="1">
        <v>30</v>
      </c>
      <c r="H600" s="1">
        <v>0</v>
      </c>
      <c r="I600" t="s">
        <v>411</v>
      </c>
      <c r="J600" t="s">
        <v>276</v>
      </c>
      <c r="K600" s="1">
        <v>30000</v>
      </c>
      <c r="L600" s="1">
        <v>75</v>
      </c>
      <c r="M600" s="1">
        <v>20</v>
      </c>
      <c r="N600" s="1">
        <v>616000</v>
      </c>
      <c r="O600" s="1"/>
      <c r="P600" s="1">
        <v>1</v>
      </c>
      <c r="Q600" s="1">
        <v>0</v>
      </c>
    </row>
    <row r="601">
      <c r="A601" s="1">
        <v>2022</v>
      </c>
      <c r="B601" s="1">
        <v>41</v>
      </c>
      <c r="C601" s="1">
        <v>51</v>
      </c>
      <c r="D601" t="s">
        <v>3</v>
      </c>
      <c r="E601" t="s">
        <v>6</v>
      </c>
      <c r="F601" s="1">
        <v>41051</v>
      </c>
      <c r="G601" s="1">
        <v>32</v>
      </c>
      <c r="H601" s="1">
        <v>0</v>
      </c>
      <c r="I601" t="s">
        <v>411</v>
      </c>
      <c r="J601" t="s">
        <v>276</v>
      </c>
      <c r="K601" s="1">
        <v>32000</v>
      </c>
      <c r="L601" s="1">
        <v>141</v>
      </c>
      <c r="M601" s="1"/>
      <c r="N601" s="1">
        <v>561600</v>
      </c>
      <c r="O601" s="1"/>
      <c r="P601" s="1">
        <v>1</v>
      </c>
      <c r="Q601" s="1">
        <v>0</v>
      </c>
    </row>
    <row r="602">
      <c r="A602" s="1">
        <v>2022</v>
      </c>
      <c r="B602" s="1">
        <v>41</v>
      </c>
      <c r="C602" s="1">
        <v>51</v>
      </c>
      <c r="D602" t="s">
        <v>3</v>
      </c>
      <c r="E602" t="s">
        <v>6</v>
      </c>
      <c r="F602" s="1">
        <v>41051</v>
      </c>
      <c r="G602" s="1">
        <v>32</v>
      </c>
      <c r="H602" s="1">
        <v>3</v>
      </c>
      <c r="I602" t="s">
        <v>29</v>
      </c>
      <c r="J602" t="s">
        <v>112</v>
      </c>
      <c r="K602" s="1">
        <v>32003</v>
      </c>
      <c r="L602" s="1">
        <v>360</v>
      </c>
      <c r="M602" s="1">
        <v>151</v>
      </c>
      <c r="N602" s="1">
        <v>24940300</v>
      </c>
      <c r="O602" s="1">
        <v>32003</v>
      </c>
      <c r="P602" s="1">
        <v>1</v>
      </c>
      <c r="Q602" s="1">
        <v>0</v>
      </c>
    </row>
    <row r="603">
      <c r="A603" s="1">
        <v>2022</v>
      </c>
      <c r="B603" s="1">
        <v>41</v>
      </c>
      <c r="C603" s="1">
        <v>51</v>
      </c>
      <c r="D603" t="s">
        <v>3</v>
      </c>
      <c r="E603" t="s">
        <v>6</v>
      </c>
      <c r="F603" s="1">
        <v>41051</v>
      </c>
      <c r="G603" s="1">
        <v>35</v>
      </c>
      <c r="H603" s="1">
        <v>0</v>
      </c>
      <c r="I603" t="s">
        <v>411</v>
      </c>
      <c r="J603" t="s">
        <v>276</v>
      </c>
      <c r="K603" s="1">
        <v>35000</v>
      </c>
      <c r="L603" s="1">
        <v>198</v>
      </c>
      <c r="M603" s="1">
        <v>98</v>
      </c>
      <c r="N603" s="1">
        <v>6393500</v>
      </c>
      <c r="O603" s="1"/>
      <c r="P603" s="1">
        <v>1</v>
      </c>
      <c r="Q603" s="1">
        <v>0</v>
      </c>
    </row>
    <row r="604">
      <c r="A604" s="1">
        <v>2022</v>
      </c>
      <c r="B604" s="1">
        <v>41</v>
      </c>
      <c r="C604" s="1">
        <v>51</v>
      </c>
      <c r="D604" t="s">
        <v>3</v>
      </c>
      <c r="E604" t="s">
        <v>6</v>
      </c>
      <c r="F604" s="1">
        <v>41051</v>
      </c>
      <c r="G604" s="1">
        <v>36</v>
      </c>
      <c r="H604" s="1">
        <v>0</v>
      </c>
      <c r="I604" t="s">
        <v>411</v>
      </c>
      <c r="J604" t="s">
        <v>276</v>
      </c>
      <c r="K604" s="1">
        <v>36000</v>
      </c>
      <c r="L604" s="1">
        <v>270</v>
      </c>
      <c r="M604" s="1">
        <v>97</v>
      </c>
      <c r="N604" s="1">
        <v>10635000</v>
      </c>
      <c r="O604" s="1"/>
      <c r="P604" s="1">
        <v>1</v>
      </c>
      <c r="Q604" s="1">
        <v>0</v>
      </c>
    </row>
    <row r="605">
      <c r="A605" s="1">
        <v>2022</v>
      </c>
      <c r="B605" s="1">
        <v>41</v>
      </c>
      <c r="C605" s="1">
        <v>51</v>
      </c>
      <c r="D605" t="s">
        <v>3</v>
      </c>
      <c r="E605" t="s">
        <v>6</v>
      </c>
      <c r="F605" s="1">
        <v>41051</v>
      </c>
      <c r="G605" s="1">
        <v>36</v>
      </c>
      <c r="H605" s="1">
        <v>29</v>
      </c>
      <c r="I605" t="s">
        <v>31</v>
      </c>
      <c r="J605" t="s">
        <v>202</v>
      </c>
      <c r="K605" s="1">
        <v>36029</v>
      </c>
      <c r="L605" s="1">
        <v>141</v>
      </c>
      <c r="M605" s="1">
        <v>75</v>
      </c>
      <c r="N605" s="1">
        <v>10815000</v>
      </c>
      <c r="O605" s="1">
        <v>36029</v>
      </c>
      <c r="P605" s="1">
        <v>1</v>
      </c>
      <c r="Q605" s="1">
        <v>0</v>
      </c>
    </row>
    <row r="606">
      <c r="A606" s="1">
        <v>2022</v>
      </c>
      <c r="B606" s="1">
        <v>41</v>
      </c>
      <c r="C606" s="1">
        <v>51</v>
      </c>
      <c r="D606" t="s">
        <v>3</v>
      </c>
      <c r="E606" t="s">
        <v>6</v>
      </c>
      <c r="F606" s="1">
        <v>41051</v>
      </c>
      <c r="G606" s="1">
        <v>36</v>
      </c>
      <c r="H606" s="1">
        <v>55</v>
      </c>
      <c r="I606" t="s">
        <v>31</v>
      </c>
      <c r="J606" t="s">
        <v>203</v>
      </c>
      <c r="K606" s="1">
        <v>36055</v>
      </c>
      <c r="L606" s="1">
        <v>168</v>
      </c>
      <c r="M606" s="1">
        <v>75</v>
      </c>
      <c r="N606" s="1">
        <v>5311200</v>
      </c>
      <c r="O606" s="1">
        <v>36055</v>
      </c>
      <c r="P606" s="1">
        <v>1</v>
      </c>
      <c r="Q606" s="1">
        <v>0</v>
      </c>
    </row>
    <row r="607">
      <c r="A607" s="1">
        <v>2022</v>
      </c>
      <c r="B607" s="1">
        <v>41</v>
      </c>
      <c r="C607" s="1">
        <v>51</v>
      </c>
      <c r="D607" t="s">
        <v>3</v>
      </c>
      <c r="E607" t="s">
        <v>6</v>
      </c>
      <c r="F607" s="1">
        <v>41051</v>
      </c>
      <c r="G607" s="1">
        <v>36</v>
      </c>
      <c r="H607" s="1">
        <v>71</v>
      </c>
      <c r="I607" t="s">
        <v>31</v>
      </c>
      <c r="J607" t="s">
        <v>64</v>
      </c>
      <c r="K607" s="1">
        <v>36071</v>
      </c>
      <c r="L607" s="1">
        <v>517</v>
      </c>
      <c r="M607" s="1">
        <v>517</v>
      </c>
      <c r="N607" s="1">
        <v>87890000</v>
      </c>
      <c r="O607" s="1">
        <v>36071</v>
      </c>
      <c r="P607" s="1">
        <v>1</v>
      </c>
      <c r="Q607" s="1">
        <v>0</v>
      </c>
    </row>
    <row r="608">
      <c r="A608" s="1">
        <v>2022</v>
      </c>
      <c r="B608" s="1">
        <v>41</v>
      </c>
      <c r="C608" s="1">
        <v>51</v>
      </c>
      <c r="D608" t="s">
        <v>3</v>
      </c>
      <c r="E608" t="s">
        <v>6</v>
      </c>
      <c r="F608" s="1">
        <v>41051</v>
      </c>
      <c r="G608" s="1">
        <v>36</v>
      </c>
      <c r="H608" s="1">
        <v>81</v>
      </c>
      <c r="I608" t="s">
        <v>31</v>
      </c>
      <c r="J608" t="s">
        <v>118</v>
      </c>
      <c r="K608" s="1">
        <v>36081</v>
      </c>
      <c r="L608" s="1">
        <v>344</v>
      </c>
      <c r="M608" s="1">
        <v>190</v>
      </c>
      <c r="N608" s="1">
        <v>12285000</v>
      </c>
      <c r="O608" s="1">
        <v>36081</v>
      </c>
      <c r="P608" s="1">
        <v>1</v>
      </c>
      <c r="Q608" s="1">
        <v>0</v>
      </c>
    </row>
    <row r="609">
      <c r="A609" s="1">
        <v>2022</v>
      </c>
      <c r="B609" s="1">
        <v>41</v>
      </c>
      <c r="C609" s="1">
        <v>51</v>
      </c>
      <c r="D609" t="s">
        <v>3</v>
      </c>
      <c r="E609" t="s">
        <v>6</v>
      </c>
      <c r="F609" s="1">
        <v>41051</v>
      </c>
      <c r="G609" s="1">
        <v>36</v>
      </c>
      <c r="H609" s="1">
        <v>103</v>
      </c>
      <c r="I609" t="s">
        <v>31</v>
      </c>
      <c r="J609" t="s">
        <v>105</v>
      </c>
      <c r="K609" s="1">
        <v>36103</v>
      </c>
      <c r="L609" s="1">
        <v>99</v>
      </c>
      <c r="M609" s="1">
        <v>57</v>
      </c>
      <c r="N609" s="1">
        <v>14250000</v>
      </c>
      <c r="O609" s="1">
        <v>36103</v>
      </c>
      <c r="P609" s="1">
        <v>1</v>
      </c>
      <c r="Q609" s="1">
        <v>0</v>
      </c>
    </row>
    <row r="610">
      <c r="A610" s="1">
        <v>2022</v>
      </c>
      <c r="B610" s="1">
        <v>41</v>
      </c>
      <c r="C610" s="1">
        <v>51</v>
      </c>
      <c r="D610" t="s">
        <v>3</v>
      </c>
      <c r="E610" t="s">
        <v>6</v>
      </c>
      <c r="F610" s="1">
        <v>41051</v>
      </c>
      <c r="G610" s="1">
        <v>37</v>
      </c>
      <c r="H610" s="1">
        <v>63</v>
      </c>
      <c r="I610" t="s">
        <v>32</v>
      </c>
      <c r="J610" t="s">
        <v>205</v>
      </c>
      <c r="K610" s="1">
        <v>37063</v>
      </c>
      <c r="L610" s="1">
        <v>374</v>
      </c>
      <c r="M610" s="1">
        <v>146</v>
      </c>
      <c r="N610" s="1">
        <v>30503000</v>
      </c>
      <c r="O610" s="1">
        <v>37063</v>
      </c>
      <c r="P610" s="1">
        <v>1</v>
      </c>
      <c r="Q610" s="1">
        <v>0</v>
      </c>
    </row>
    <row r="611">
      <c r="A611" s="1">
        <v>2022</v>
      </c>
      <c r="B611" s="1">
        <v>41</v>
      </c>
      <c r="C611" s="1">
        <v>51</v>
      </c>
      <c r="D611" t="s">
        <v>3</v>
      </c>
      <c r="E611" t="s">
        <v>6</v>
      </c>
      <c r="F611" s="1">
        <v>41051</v>
      </c>
      <c r="G611" s="1">
        <v>39</v>
      </c>
      <c r="H611" s="1">
        <v>41</v>
      </c>
      <c r="I611" t="s">
        <v>33</v>
      </c>
      <c r="J611" t="s">
        <v>292</v>
      </c>
      <c r="K611" s="1">
        <v>39041</v>
      </c>
      <c r="L611" s="1">
        <v>112</v>
      </c>
      <c r="M611" s="1"/>
      <c r="N611" s="1">
        <v>14000000</v>
      </c>
      <c r="O611" s="1">
        <v>39041</v>
      </c>
      <c r="P611" s="1">
        <v>1</v>
      </c>
      <c r="Q611" s="1">
        <v>0</v>
      </c>
    </row>
    <row r="612">
      <c r="A612" s="1">
        <v>2022</v>
      </c>
      <c r="B612" s="1">
        <v>41</v>
      </c>
      <c r="C612" s="1">
        <v>51</v>
      </c>
      <c r="D612" t="s">
        <v>3</v>
      </c>
      <c r="E612" t="s">
        <v>6</v>
      </c>
      <c r="F612" s="1">
        <v>41051</v>
      </c>
      <c r="G612" s="1">
        <v>39</v>
      </c>
      <c r="H612" s="1">
        <v>49</v>
      </c>
      <c r="I612" t="s">
        <v>33</v>
      </c>
      <c r="J612" t="s">
        <v>122</v>
      </c>
      <c r="K612" s="1">
        <v>39049</v>
      </c>
      <c r="L612" s="1">
        <v>215</v>
      </c>
      <c r="M612" s="1">
        <v>106</v>
      </c>
      <c r="N612" s="1">
        <v>27311000</v>
      </c>
      <c r="O612" s="1">
        <v>39049</v>
      </c>
      <c r="P612" s="1">
        <v>1</v>
      </c>
      <c r="Q612" s="1">
        <v>0</v>
      </c>
    </row>
    <row r="613">
      <c r="A613" s="1">
        <v>2022</v>
      </c>
      <c r="B613" s="1">
        <v>41</v>
      </c>
      <c r="C613" s="1">
        <v>51</v>
      </c>
      <c r="D613" t="s">
        <v>3</v>
      </c>
      <c r="E613" t="s">
        <v>6</v>
      </c>
      <c r="F613" s="1">
        <v>41051</v>
      </c>
      <c r="G613" s="1">
        <v>41</v>
      </c>
      <c r="H613" s="1">
        <v>0</v>
      </c>
      <c r="I613" t="s">
        <v>411</v>
      </c>
      <c r="J613" t="s">
        <v>276</v>
      </c>
      <c r="K613" s="1">
        <v>41000</v>
      </c>
      <c r="L613" s="1">
        <v>5600</v>
      </c>
      <c r="M613" s="1">
        <v>2253</v>
      </c>
      <c r="N613" s="1">
        <v>293977600</v>
      </c>
      <c r="O613" s="1"/>
      <c r="P613" s="1">
        <v>1</v>
      </c>
      <c r="Q613" s="1">
        <v>0</v>
      </c>
    </row>
    <row r="614">
      <c r="A614" s="1">
        <v>2022</v>
      </c>
      <c r="B614" s="1">
        <v>41</v>
      </c>
      <c r="C614" s="1">
        <v>51</v>
      </c>
      <c r="D614" t="s">
        <v>3</v>
      </c>
      <c r="E614" t="s">
        <v>6</v>
      </c>
      <c r="F614" s="1">
        <v>41051</v>
      </c>
      <c r="G614" s="1">
        <v>41</v>
      </c>
      <c r="H614" s="1">
        <v>5</v>
      </c>
      <c r="I614" t="s">
        <v>3</v>
      </c>
      <c r="J614" t="s">
        <v>125</v>
      </c>
      <c r="K614" s="1">
        <v>41005</v>
      </c>
      <c r="L614" s="1">
        <v>12306</v>
      </c>
      <c r="M614" s="1">
        <v>6858</v>
      </c>
      <c r="N614" s="1">
        <v>855801180</v>
      </c>
      <c r="O614" s="1">
        <v>41005</v>
      </c>
      <c r="P614" s="1">
        <v>1</v>
      </c>
      <c r="Q614" s="1">
        <v>0</v>
      </c>
    </row>
    <row r="615">
      <c r="A615" s="1">
        <v>2022</v>
      </c>
      <c r="B615" s="1">
        <v>41</v>
      </c>
      <c r="C615" s="1">
        <v>51</v>
      </c>
      <c r="D615" t="s">
        <v>3</v>
      </c>
      <c r="E615" t="s">
        <v>6</v>
      </c>
      <c r="F615" s="1">
        <v>41051</v>
      </c>
      <c r="G615" s="1">
        <v>41</v>
      </c>
      <c r="H615" s="1">
        <v>29</v>
      </c>
      <c r="I615" t="s">
        <v>3</v>
      </c>
      <c r="J615" t="s">
        <v>133</v>
      </c>
      <c r="K615" s="1">
        <v>41029</v>
      </c>
      <c r="L615" s="1">
        <v>102</v>
      </c>
      <c r="M615" s="1">
        <v>101</v>
      </c>
      <c r="N615" s="1">
        <v>10200</v>
      </c>
      <c r="O615" s="1">
        <v>41029</v>
      </c>
      <c r="P615" s="1">
        <v>1</v>
      </c>
      <c r="Q615" s="1">
        <v>0</v>
      </c>
    </row>
    <row r="616">
      <c r="A616" s="1">
        <v>2022</v>
      </c>
      <c r="B616" s="1">
        <v>41</v>
      </c>
      <c r="C616" s="1">
        <v>51</v>
      </c>
      <c r="D616" t="s">
        <v>3</v>
      </c>
      <c r="E616" t="s">
        <v>6</v>
      </c>
      <c r="F616" s="1">
        <v>41051</v>
      </c>
      <c r="G616" s="1">
        <v>41</v>
      </c>
      <c r="H616" s="1">
        <v>39</v>
      </c>
      <c r="I616" t="s">
        <v>3</v>
      </c>
      <c r="J616" t="s">
        <v>136</v>
      </c>
      <c r="K616" s="1">
        <v>41039</v>
      </c>
      <c r="L616" s="1">
        <v>854</v>
      </c>
      <c r="M616" s="1">
        <v>699</v>
      </c>
      <c r="N616" s="1">
        <v>24657540</v>
      </c>
      <c r="O616" s="1">
        <v>41039</v>
      </c>
      <c r="P616" s="1">
        <v>1</v>
      </c>
      <c r="Q616" s="1">
        <v>0</v>
      </c>
    </row>
    <row r="617">
      <c r="A617" s="1">
        <v>2022</v>
      </c>
      <c r="B617" s="1">
        <v>41</v>
      </c>
      <c r="C617" s="1">
        <v>51</v>
      </c>
      <c r="D617" t="s">
        <v>3</v>
      </c>
      <c r="E617" t="s">
        <v>6</v>
      </c>
      <c r="F617" s="1">
        <v>41051</v>
      </c>
      <c r="G617" s="1">
        <v>41</v>
      </c>
      <c r="H617" s="1">
        <v>47</v>
      </c>
      <c r="I617" t="s">
        <v>3</v>
      </c>
      <c r="J617" t="s">
        <v>99</v>
      </c>
      <c r="K617" s="1">
        <v>41047</v>
      </c>
      <c r="L617" s="1">
        <v>723</v>
      </c>
      <c r="M617" s="1">
        <v>171</v>
      </c>
      <c r="N617" s="1">
        <v>27715250</v>
      </c>
      <c r="O617" s="1">
        <v>41047</v>
      </c>
      <c r="P617" s="1">
        <v>1</v>
      </c>
      <c r="Q617" s="1">
        <v>0</v>
      </c>
    </row>
    <row r="618">
      <c r="A618" s="1">
        <v>2022</v>
      </c>
      <c r="B618" s="1">
        <v>41</v>
      </c>
      <c r="C618" s="1">
        <v>51</v>
      </c>
      <c r="D618" t="s">
        <v>3</v>
      </c>
      <c r="E618" t="s">
        <v>6</v>
      </c>
      <c r="F618" s="1">
        <v>41051</v>
      </c>
      <c r="G618" s="1">
        <v>41</v>
      </c>
      <c r="H618" s="1">
        <v>51</v>
      </c>
      <c r="I618" t="s">
        <v>3</v>
      </c>
      <c r="J618" t="s">
        <v>6</v>
      </c>
      <c r="K618" s="1">
        <v>41051</v>
      </c>
      <c r="L618" s="1">
        <v>585688</v>
      </c>
      <c r="M618" s="1">
        <v>319500</v>
      </c>
      <c r="N618" s="1">
        <v>36109375112</v>
      </c>
      <c r="O618" s="1">
        <v>41051</v>
      </c>
      <c r="P618" s="1">
        <v>1</v>
      </c>
      <c r="Q618" s="1">
        <v>1</v>
      </c>
    </row>
    <row r="619">
      <c r="A619" s="1">
        <v>2022</v>
      </c>
      <c r="B619" s="1">
        <v>41</v>
      </c>
      <c r="C619" s="1">
        <v>51</v>
      </c>
      <c r="D619" t="s">
        <v>3</v>
      </c>
      <c r="E619" t="s">
        <v>6</v>
      </c>
      <c r="F619" s="1">
        <v>41051</v>
      </c>
      <c r="G619" s="1">
        <v>41</v>
      </c>
      <c r="H619" s="1">
        <v>67</v>
      </c>
      <c r="I619" t="s">
        <v>3</v>
      </c>
      <c r="J619" t="s">
        <v>143</v>
      </c>
      <c r="K619" s="1">
        <v>41067</v>
      </c>
      <c r="L619" s="1">
        <v>8479</v>
      </c>
      <c r="M619" s="1">
        <v>5154</v>
      </c>
      <c r="N619" s="1">
        <v>455523050</v>
      </c>
      <c r="O619" s="1">
        <v>41067</v>
      </c>
      <c r="P619" s="1">
        <v>1</v>
      </c>
      <c r="Q619" s="1">
        <v>0</v>
      </c>
    </row>
    <row r="620">
      <c r="A620" s="1">
        <v>2022</v>
      </c>
      <c r="B620" s="1">
        <v>41</v>
      </c>
      <c r="C620" s="1">
        <v>51</v>
      </c>
      <c r="D620" t="s">
        <v>3</v>
      </c>
      <c r="E620" t="s">
        <v>6</v>
      </c>
      <c r="F620" s="1">
        <v>41051</v>
      </c>
      <c r="G620" s="1">
        <v>41</v>
      </c>
      <c r="H620" s="1">
        <v>71</v>
      </c>
      <c r="I620" t="s">
        <v>3</v>
      </c>
      <c r="J620" t="s">
        <v>144</v>
      </c>
      <c r="K620" s="1">
        <v>41071</v>
      </c>
      <c r="L620" s="1">
        <v>456</v>
      </c>
      <c r="M620" s="1">
        <v>48</v>
      </c>
      <c r="N620" s="1">
        <v>24040900</v>
      </c>
      <c r="O620" s="1">
        <v>41071</v>
      </c>
      <c r="P620" s="1">
        <v>1</v>
      </c>
      <c r="Q620" s="1">
        <v>0</v>
      </c>
    </row>
    <row r="621">
      <c r="A621" s="1">
        <v>2022</v>
      </c>
      <c r="B621" s="1">
        <v>41</v>
      </c>
      <c r="C621" s="1">
        <v>51</v>
      </c>
      <c r="D621" t="s">
        <v>3</v>
      </c>
      <c r="E621" t="s">
        <v>6</v>
      </c>
      <c r="F621" s="1">
        <v>41051</v>
      </c>
      <c r="G621" s="1">
        <v>42</v>
      </c>
      <c r="H621" s="1">
        <v>3</v>
      </c>
      <c r="I621" t="s">
        <v>34</v>
      </c>
      <c r="J621" t="s">
        <v>145</v>
      </c>
      <c r="K621" s="1">
        <v>42003</v>
      </c>
      <c r="L621" s="1">
        <v>108</v>
      </c>
      <c r="M621" s="1">
        <v>107</v>
      </c>
      <c r="N621" s="1">
        <v>4330800</v>
      </c>
      <c r="O621" s="1">
        <v>42003</v>
      </c>
      <c r="P621" s="1">
        <v>1</v>
      </c>
      <c r="Q621" s="1">
        <v>0</v>
      </c>
    </row>
    <row r="622">
      <c r="A622" s="1">
        <v>2022</v>
      </c>
      <c r="B622" s="1">
        <v>41</v>
      </c>
      <c r="C622" s="1">
        <v>51</v>
      </c>
      <c r="D622" t="s">
        <v>3</v>
      </c>
      <c r="E622" t="s">
        <v>6</v>
      </c>
      <c r="F622" s="1">
        <v>41051</v>
      </c>
      <c r="G622" s="1">
        <v>42</v>
      </c>
      <c r="H622" s="1">
        <v>11</v>
      </c>
      <c r="I622" t="s">
        <v>34</v>
      </c>
      <c r="J622" t="s">
        <v>324</v>
      </c>
      <c r="K622" s="1">
        <v>42011</v>
      </c>
      <c r="L622" s="1">
        <v>63</v>
      </c>
      <c r="M622" s="1"/>
      <c r="N622" s="1">
        <v>2835000</v>
      </c>
      <c r="O622" s="1">
        <v>42011</v>
      </c>
      <c r="P622" s="1">
        <v>1</v>
      </c>
      <c r="Q622" s="1">
        <v>0</v>
      </c>
    </row>
    <row r="623">
      <c r="A623" s="1">
        <v>2022</v>
      </c>
      <c r="B623" s="1">
        <v>41</v>
      </c>
      <c r="C623" s="1">
        <v>51</v>
      </c>
      <c r="D623" t="s">
        <v>3</v>
      </c>
      <c r="E623" t="s">
        <v>6</v>
      </c>
      <c r="F623" s="1">
        <v>41051</v>
      </c>
      <c r="G623" s="1">
        <v>45</v>
      </c>
      <c r="H623" s="1">
        <v>0</v>
      </c>
      <c r="I623" t="s">
        <v>411</v>
      </c>
      <c r="J623" t="s">
        <v>276</v>
      </c>
      <c r="K623" s="1">
        <v>45000</v>
      </c>
      <c r="L623" s="1">
        <v>314</v>
      </c>
      <c r="M623" s="1">
        <v>313</v>
      </c>
      <c r="N623" s="1">
        <v>6280000</v>
      </c>
      <c r="O623" s="1"/>
      <c r="P623" s="1">
        <v>1</v>
      </c>
      <c r="Q623" s="1">
        <v>0</v>
      </c>
    </row>
    <row r="624">
      <c r="A624" s="1">
        <v>2022</v>
      </c>
      <c r="B624" s="1">
        <v>41</v>
      </c>
      <c r="C624" s="1">
        <v>51</v>
      </c>
      <c r="D624" t="s">
        <v>3</v>
      </c>
      <c r="E624" t="s">
        <v>6</v>
      </c>
      <c r="F624" s="1">
        <v>41051</v>
      </c>
      <c r="G624" s="1">
        <v>47</v>
      </c>
      <c r="H624" s="1">
        <v>93</v>
      </c>
      <c r="I624" t="s">
        <v>35</v>
      </c>
      <c r="J624" t="s">
        <v>148</v>
      </c>
      <c r="K624" s="1">
        <v>47093</v>
      </c>
      <c r="L624" s="1">
        <v>127</v>
      </c>
      <c r="M624" s="1">
        <v>127</v>
      </c>
      <c r="N624" s="1">
        <v>13905000</v>
      </c>
      <c r="O624" s="1">
        <v>47093</v>
      </c>
      <c r="P624" s="1">
        <v>1</v>
      </c>
      <c r="Q624" s="1">
        <v>0</v>
      </c>
    </row>
    <row r="625">
      <c r="A625" s="1">
        <v>2022</v>
      </c>
      <c r="B625" s="1">
        <v>41</v>
      </c>
      <c r="C625" s="1">
        <v>51</v>
      </c>
      <c r="D625" t="s">
        <v>3</v>
      </c>
      <c r="E625" t="s">
        <v>6</v>
      </c>
      <c r="F625" s="1">
        <v>41051</v>
      </c>
      <c r="G625" s="1">
        <v>48</v>
      </c>
      <c r="H625" s="1">
        <v>85</v>
      </c>
      <c r="I625" t="s">
        <v>36</v>
      </c>
      <c r="J625" t="s">
        <v>216</v>
      </c>
      <c r="K625" s="1">
        <v>48085</v>
      </c>
      <c r="L625" s="1">
        <v>152</v>
      </c>
      <c r="M625" s="1">
        <v>151</v>
      </c>
      <c r="N625" s="1">
        <v>9128000</v>
      </c>
      <c r="O625" s="1">
        <v>48085</v>
      </c>
      <c r="P625" s="1">
        <v>1</v>
      </c>
      <c r="Q625" s="1">
        <v>0</v>
      </c>
    </row>
    <row r="626">
      <c r="A626" s="1">
        <v>2022</v>
      </c>
      <c r="B626" s="1">
        <v>41</v>
      </c>
      <c r="C626" s="1">
        <v>51</v>
      </c>
      <c r="D626" t="s">
        <v>3</v>
      </c>
      <c r="E626" t="s">
        <v>6</v>
      </c>
      <c r="F626" s="1">
        <v>41051</v>
      </c>
      <c r="G626" s="1">
        <v>48</v>
      </c>
      <c r="H626" s="1">
        <v>113</v>
      </c>
      <c r="I626" t="s">
        <v>36</v>
      </c>
      <c r="J626" t="s">
        <v>150</v>
      </c>
      <c r="K626" s="1">
        <v>48113</v>
      </c>
      <c r="L626" s="1">
        <v>483</v>
      </c>
      <c r="M626" s="1">
        <v>307</v>
      </c>
      <c r="N626" s="1">
        <v>51267680</v>
      </c>
      <c r="O626" s="1">
        <v>48113</v>
      </c>
      <c r="P626" s="1">
        <v>1</v>
      </c>
      <c r="Q626" s="1">
        <v>0</v>
      </c>
    </row>
    <row r="627">
      <c r="A627" s="1">
        <v>2022</v>
      </c>
      <c r="B627" s="1">
        <v>41</v>
      </c>
      <c r="C627" s="1">
        <v>51</v>
      </c>
      <c r="D627" t="s">
        <v>3</v>
      </c>
      <c r="E627" t="s">
        <v>6</v>
      </c>
      <c r="F627" s="1">
        <v>41051</v>
      </c>
      <c r="G627" s="1">
        <v>48</v>
      </c>
      <c r="H627" s="1">
        <v>201</v>
      </c>
      <c r="I627" t="s">
        <v>36</v>
      </c>
      <c r="J627" t="s">
        <v>151</v>
      </c>
      <c r="K627" s="1">
        <v>48201</v>
      </c>
      <c r="L627" s="1">
        <v>1040</v>
      </c>
      <c r="M627" s="1">
        <v>518</v>
      </c>
      <c r="N627" s="1">
        <v>15343300</v>
      </c>
      <c r="O627" s="1">
        <v>48201</v>
      </c>
      <c r="P627" s="1">
        <v>1</v>
      </c>
      <c r="Q627" s="1">
        <v>0</v>
      </c>
    </row>
    <row r="628">
      <c r="A628" s="1">
        <v>2022</v>
      </c>
      <c r="B628" s="1">
        <v>41</v>
      </c>
      <c r="C628" s="1">
        <v>51</v>
      </c>
      <c r="D628" t="s">
        <v>3</v>
      </c>
      <c r="E628" t="s">
        <v>6</v>
      </c>
      <c r="F628" s="1">
        <v>41051</v>
      </c>
      <c r="G628" s="1">
        <v>48</v>
      </c>
      <c r="H628" s="1">
        <v>209</v>
      </c>
      <c r="I628" t="s">
        <v>36</v>
      </c>
      <c r="J628" t="s">
        <v>235</v>
      </c>
      <c r="K628" s="1">
        <v>48209</v>
      </c>
      <c r="L628" s="1">
        <v>86</v>
      </c>
      <c r="M628" s="1">
        <v>86</v>
      </c>
      <c r="N628" s="1">
        <v>2150000</v>
      </c>
      <c r="O628" s="1">
        <v>48209</v>
      </c>
      <c r="P628" s="1">
        <v>1</v>
      </c>
      <c r="Q628" s="1">
        <v>0</v>
      </c>
    </row>
    <row r="629">
      <c r="A629" s="1">
        <v>2022</v>
      </c>
      <c r="B629" s="1">
        <v>41</v>
      </c>
      <c r="C629" s="1">
        <v>51</v>
      </c>
      <c r="D629" t="s">
        <v>3</v>
      </c>
      <c r="E629" t="s">
        <v>6</v>
      </c>
      <c r="F629" s="1">
        <v>41051</v>
      </c>
      <c r="G629" s="1">
        <v>48</v>
      </c>
      <c r="H629" s="1">
        <v>439</v>
      </c>
      <c r="I629" t="s">
        <v>36</v>
      </c>
      <c r="J629" t="s">
        <v>152</v>
      </c>
      <c r="K629" s="1">
        <v>48439</v>
      </c>
      <c r="L629" s="1">
        <v>241</v>
      </c>
      <c r="M629" s="1">
        <v>120</v>
      </c>
      <c r="N629" s="1">
        <v>16058000</v>
      </c>
      <c r="O629" s="1">
        <v>48439</v>
      </c>
      <c r="P629" s="1">
        <v>1</v>
      </c>
      <c r="Q629" s="1">
        <v>0</v>
      </c>
    </row>
    <row r="630">
      <c r="A630" s="1">
        <v>2022</v>
      </c>
      <c r="B630" s="1">
        <v>41</v>
      </c>
      <c r="C630" s="1">
        <v>51</v>
      </c>
      <c r="D630" t="s">
        <v>3</v>
      </c>
      <c r="E630" t="s">
        <v>6</v>
      </c>
      <c r="F630" s="1">
        <v>41051</v>
      </c>
      <c r="G630" s="1">
        <v>48</v>
      </c>
      <c r="H630" s="1">
        <v>453</v>
      </c>
      <c r="I630" t="s">
        <v>36</v>
      </c>
      <c r="J630" t="s">
        <v>153</v>
      </c>
      <c r="K630" s="1">
        <v>48453</v>
      </c>
      <c r="L630" s="1">
        <v>49</v>
      </c>
      <c r="M630" s="1">
        <v>49</v>
      </c>
      <c r="N630" s="1">
        <v>5880000</v>
      </c>
      <c r="O630" s="1">
        <v>48453</v>
      </c>
      <c r="P630" s="1">
        <v>1</v>
      </c>
      <c r="Q630" s="1">
        <v>0</v>
      </c>
    </row>
    <row r="631">
      <c r="A631" s="1">
        <v>2022</v>
      </c>
      <c r="B631" s="1">
        <v>41</v>
      </c>
      <c r="C631" s="1">
        <v>51</v>
      </c>
      <c r="D631" t="s">
        <v>3</v>
      </c>
      <c r="E631" t="s">
        <v>6</v>
      </c>
      <c r="F631" s="1">
        <v>41051</v>
      </c>
      <c r="G631" s="1">
        <v>48</v>
      </c>
      <c r="H631" s="1">
        <v>491</v>
      </c>
      <c r="I631" t="s">
        <v>36</v>
      </c>
      <c r="J631" t="s">
        <v>217</v>
      </c>
      <c r="K631" s="1">
        <v>48491</v>
      </c>
      <c r="L631" s="1">
        <v>366</v>
      </c>
      <c r="M631" s="1">
        <v>185</v>
      </c>
      <c r="N631" s="1">
        <v>24269000</v>
      </c>
      <c r="O631" s="1">
        <v>48491</v>
      </c>
      <c r="P631" s="1">
        <v>1</v>
      </c>
      <c r="Q631" s="1">
        <v>0</v>
      </c>
    </row>
    <row r="632">
      <c r="A632" s="1">
        <v>2022</v>
      </c>
      <c r="B632" s="1">
        <v>41</v>
      </c>
      <c r="C632" s="1">
        <v>51</v>
      </c>
      <c r="D632" t="s">
        <v>3</v>
      </c>
      <c r="E632" t="s">
        <v>6</v>
      </c>
      <c r="F632" s="1">
        <v>41051</v>
      </c>
      <c r="G632" s="1">
        <v>49</v>
      </c>
      <c r="H632" s="1">
        <v>49</v>
      </c>
      <c r="I632" t="s">
        <v>37</v>
      </c>
      <c r="J632" t="s">
        <v>219</v>
      </c>
      <c r="K632" s="1">
        <v>49049</v>
      </c>
      <c r="L632" s="1">
        <v>102</v>
      </c>
      <c r="M632" s="1"/>
      <c r="N632" s="1">
        <v>204000</v>
      </c>
      <c r="O632" s="1">
        <v>49049</v>
      </c>
      <c r="P632" s="1">
        <v>1</v>
      </c>
      <c r="Q632" s="1">
        <v>0</v>
      </c>
    </row>
    <row r="633">
      <c r="A633" s="1">
        <v>2022</v>
      </c>
      <c r="B633" s="1">
        <v>41</v>
      </c>
      <c r="C633" s="1">
        <v>51</v>
      </c>
      <c r="D633" t="s">
        <v>3</v>
      </c>
      <c r="E633" t="s">
        <v>6</v>
      </c>
      <c r="F633" s="1">
        <v>41051</v>
      </c>
      <c r="G633" s="1">
        <v>50</v>
      </c>
      <c r="H633" s="1">
        <v>0</v>
      </c>
      <c r="I633" t="s">
        <v>411</v>
      </c>
      <c r="J633" t="s">
        <v>276</v>
      </c>
      <c r="K633" s="1">
        <v>50000</v>
      </c>
      <c r="L633" s="1">
        <v>122</v>
      </c>
      <c r="M633" s="1">
        <v>31</v>
      </c>
      <c r="N633" s="1">
        <v>3642000</v>
      </c>
      <c r="O633" s="1"/>
      <c r="P633" s="1">
        <v>1</v>
      </c>
      <c r="Q633" s="1">
        <v>0</v>
      </c>
    </row>
    <row r="634">
      <c r="A634" s="1">
        <v>2022</v>
      </c>
      <c r="B634" s="1">
        <v>41</v>
      </c>
      <c r="C634" s="1">
        <v>51</v>
      </c>
      <c r="D634" t="s">
        <v>3</v>
      </c>
      <c r="E634" t="s">
        <v>6</v>
      </c>
      <c r="F634" s="1">
        <v>41051</v>
      </c>
      <c r="G634" s="1">
        <v>53</v>
      </c>
      <c r="H634" s="1">
        <v>0</v>
      </c>
      <c r="I634" t="s">
        <v>411</v>
      </c>
      <c r="J634" t="s">
        <v>276</v>
      </c>
      <c r="K634" s="1">
        <v>53000</v>
      </c>
      <c r="L634" s="1">
        <v>1324</v>
      </c>
      <c r="M634" s="1">
        <v>584</v>
      </c>
      <c r="N634" s="1">
        <v>73700760</v>
      </c>
      <c r="O634" s="1"/>
      <c r="P634" s="1">
        <v>1</v>
      </c>
      <c r="Q634" s="1">
        <v>0</v>
      </c>
    </row>
    <row r="635">
      <c r="A635" s="1">
        <v>2022</v>
      </c>
      <c r="B635" s="1">
        <v>41</v>
      </c>
      <c r="C635" s="1">
        <v>51</v>
      </c>
      <c r="D635" t="s">
        <v>3</v>
      </c>
      <c r="E635" t="s">
        <v>6</v>
      </c>
      <c r="F635" s="1">
        <v>41051</v>
      </c>
      <c r="G635" s="1">
        <v>53</v>
      </c>
      <c r="H635" s="1">
        <v>11</v>
      </c>
      <c r="I635" t="s">
        <v>40</v>
      </c>
      <c r="J635" t="s">
        <v>112</v>
      </c>
      <c r="K635" s="1">
        <v>53011</v>
      </c>
      <c r="L635" s="1">
        <v>6812</v>
      </c>
      <c r="M635" s="1">
        <v>3172</v>
      </c>
      <c r="N635" s="1">
        <v>580602400</v>
      </c>
      <c r="O635" s="1">
        <v>53011</v>
      </c>
      <c r="P635" s="1">
        <v>1</v>
      </c>
      <c r="Q635" s="1">
        <v>0</v>
      </c>
    </row>
    <row r="636">
      <c r="A636" s="1">
        <v>2022</v>
      </c>
      <c r="B636" s="1">
        <v>41</v>
      </c>
      <c r="C636" s="1">
        <v>51</v>
      </c>
      <c r="D636" t="s">
        <v>3</v>
      </c>
      <c r="E636" t="s">
        <v>6</v>
      </c>
      <c r="F636" s="1">
        <v>41051</v>
      </c>
      <c r="G636" s="1">
        <v>53</v>
      </c>
      <c r="H636" s="1">
        <v>33</v>
      </c>
      <c r="I636" t="s">
        <v>40</v>
      </c>
      <c r="J636" t="s">
        <v>160</v>
      </c>
      <c r="K636" s="1">
        <v>53033</v>
      </c>
      <c r="L636" s="1">
        <v>1724</v>
      </c>
      <c r="M636" s="1">
        <v>1161</v>
      </c>
      <c r="N636" s="1">
        <v>153484000</v>
      </c>
      <c r="O636" s="1">
        <v>53033</v>
      </c>
      <c r="P636" s="1">
        <v>1</v>
      </c>
      <c r="Q636" s="1">
        <v>0</v>
      </c>
    </row>
    <row r="637">
      <c r="A637" s="1">
        <v>2022</v>
      </c>
      <c r="B637" s="1">
        <v>41</v>
      </c>
      <c r="C637" s="1">
        <v>51</v>
      </c>
      <c r="D637" t="s">
        <v>3</v>
      </c>
      <c r="E637" t="s">
        <v>6</v>
      </c>
      <c r="F637" s="1">
        <v>41051</v>
      </c>
      <c r="G637" s="1">
        <v>53</v>
      </c>
      <c r="H637" s="1">
        <v>53</v>
      </c>
      <c r="I637" t="s">
        <v>40</v>
      </c>
      <c r="J637" t="s">
        <v>165</v>
      </c>
      <c r="K637" s="1">
        <v>53053</v>
      </c>
      <c r="L637" s="1">
        <v>356</v>
      </c>
      <c r="M637" s="1">
        <v>356</v>
      </c>
      <c r="N637" s="1">
        <v>23105000</v>
      </c>
      <c r="O637" s="1">
        <v>53053</v>
      </c>
      <c r="P637" s="1">
        <v>1</v>
      </c>
      <c r="Q637" s="1">
        <v>0</v>
      </c>
    </row>
    <row r="638">
      <c r="A638" s="1">
        <v>2022</v>
      </c>
      <c r="B638" s="1">
        <v>41</v>
      </c>
      <c r="C638" s="1">
        <v>51</v>
      </c>
      <c r="D638" t="s">
        <v>3</v>
      </c>
      <c r="E638" t="s">
        <v>6</v>
      </c>
      <c r="F638" s="1">
        <v>41051</v>
      </c>
      <c r="G638" s="1">
        <v>53</v>
      </c>
      <c r="H638" s="1">
        <v>57</v>
      </c>
      <c r="I638" t="s">
        <v>40</v>
      </c>
      <c r="J638" t="s">
        <v>223</v>
      </c>
      <c r="K638" s="1">
        <v>53057</v>
      </c>
      <c r="L638" s="1">
        <v>275</v>
      </c>
      <c r="M638" s="1">
        <v>108</v>
      </c>
      <c r="N638" s="1">
        <v>8158650</v>
      </c>
      <c r="O638" s="1">
        <v>53057</v>
      </c>
      <c r="P638" s="1">
        <v>1</v>
      </c>
      <c r="Q638" s="1">
        <v>0</v>
      </c>
    </row>
    <row r="639">
      <c r="A639" s="1">
        <v>2022</v>
      </c>
      <c r="B639" s="1">
        <v>41</v>
      </c>
      <c r="C639" s="1">
        <v>51</v>
      </c>
      <c r="D639" t="s">
        <v>3</v>
      </c>
      <c r="E639" t="s">
        <v>6</v>
      </c>
      <c r="F639" s="1">
        <v>41051</v>
      </c>
      <c r="G639" s="1">
        <v>53</v>
      </c>
      <c r="H639" s="1">
        <v>61</v>
      </c>
      <c r="I639" t="s">
        <v>40</v>
      </c>
      <c r="J639" t="s">
        <v>167</v>
      </c>
      <c r="K639" s="1">
        <v>53061</v>
      </c>
      <c r="L639" s="1">
        <v>215</v>
      </c>
      <c r="M639" s="1">
        <v>116</v>
      </c>
      <c r="N639" s="1">
        <v>23200000</v>
      </c>
      <c r="O639" s="1">
        <v>53061</v>
      </c>
      <c r="P639" s="1">
        <v>1</v>
      </c>
      <c r="Q639" s="1">
        <v>0</v>
      </c>
    </row>
    <row r="640">
      <c r="A640" s="1">
        <v>2022</v>
      </c>
      <c r="B640" s="1">
        <v>41</v>
      </c>
      <c r="C640" s="1">
        <v>51</v>
      </c>
      <c r="D640" t="s">
        <v>3</v>
      </c>
      <c r="E640" t="s">
        <v>6</v>
      </c>
      <c r="F640" s="1">
        <v>41051</v>
      </c>
      <c r="G640" s="1">
        <v>53</v>
      </c>
      <c r="H640" s="1">
        <v>63</v>
      </c>
      <c r="I640" t="s">
        <v>40</v>
      </c>
      <c r="J640" t="s">
        <v>168</v>
      </c>
      <c r="K640" s="1">
        <v>53063</v>
      </c>
      <c r="L640" s="1">
        <v>307</v>
      </c>
      <c r="M640" s="1">
        <v>187</v>
      </c>
      <c r="N640" s="1">
        <v>7305600</v>
      </c>
      <c r="O640" s="1">
        <v>53063</v>
      </c>
      <c r="P640" s="1">
        <v>1</v>
      </c>
      <c r="Q640" s="1">
        <v>0</v>
      </c>
    </row>
    <row r="641">
      <c r="A641" s="1">
        <v>2022</v>
      </c>
      <c r="B641" s="1">
        <v>41</v>
      </c>
      <c r="C641" s="1">
        <v>51</v>
      </c>
      <c r="D641" t="s">
        <v>3</v>
      </c>
      <c r="E641" t="s">
        <v>6</v>
      </c>
      <c r="F641" s="1">
        <v>41051</v>
      </c>
      <c r="G641" s="1">
        <v>53</v>
      </c>
      <c r="H641" s="1">
        <v>67</v>
      </c>
      <c r="I641" t="s">
        <v>40</v>
      </c>
      <c r="J641" t="s">
        <v>169</v>
      </c>
      <c r="K641" s="1">
        <v>53067</v>
      </c>
      <c r="L641" s="1">
        <v>96</v>
      </c>
      <c r="M641" s="1">
        <v>95</v>
      </c>
      <c r="N641" s="1">
        <v>7587840</v>
      </c>
      <c r="O641" s="1">
        <v>53067</v>
      </c>
      <c r="P641" s="1">
        <v>1</v>
      </c>
      <c r="Q641" s="1">
        <v>0</v>
      </c>
    </row>
    <row r="642">
      <c r="A642" s="1">
        <v>2022</v>
      </c>
      <c r="B642" s="1">
        <v>41</v>
      </c>
      <c r="C642" s="1">
        <v>51</v>
      </c>
      <c r="D642" t="s">
        <v>3</v>
      </c>
      <c r="E642" t="s">
        <v>6</v>
      </c>
      <c r="F642" s="1">
        <v>41051</v>
      </c>
      <c r="G642" s="1">
        <v>54</v>
      </c>
      <c r="H642" s="1">
        <v>0</v>
      </c>
      <c r="I642" t="s">
        <v>411</v>
      </c>
      <c r="J642" t="s">
        <v>276</v>
      </c>
      <c r="K642" s="1">
        <v>54000</v>
      </c>
      <c r="L642" s="1">
        <v>158</v>
      </c>
      <c r="M642" s="1"/>
      <c r="N642" s="1">
        <v>7268000</v>
      </c>
      <c r="O642" s="1"/>
      <c r="P642" s="1">
        <v>1</v>
      </c>
      <c r="Q642" s="1">
        <v>0</v>
      </c>
    </row>
    <row r="643">
      <c r="A643" s="1">
        <v>2022</v>
      </c>
      <c r="B643" s="1">
        <v>41</v>
      </c>
      <c r="C643" s="1">
        <v>51</v>
      </c>
      <c r="D643" t="s">
        <v>3</v>
      </c>
      <c r="E643" t="s">
        <v>6</v>
      </c>
      <c r="F643" s="1">
        <v>41051</v>
      </c>
      <c r="G643" s="1">
        <v>55</v>
      </c>
      <c r="H643" s="1">
        <v>25</v>
      </c>
      <c r="I643" t="s">
        <v>41</v>
      </c>
      <c r="J643" t="s">
        <v>173</v>
      </c>
      <c r="K643" s="1">
        <v>55025</v>
      </c>
      <c r="L643" s="1">
        <v>217</v>
      </c>
      <c r="M643" s="1">
        <v>114</v>
      </c>
      <c r="N643" s="1">
        <v>19500000</v>
      </c>
      <c r="O643" s="1">
        <v>55025</v>
      </c>
      <c r="P643" s="1">
        <v>1</v>
      </c>
      <c r="Q643" s="1">
        <v>0</v>
      </c>
    </row>
    <row r="644">
      <c r="A644" s="1">
        <v>2023</v>
      </c>
      <c r="B644" s="1">
        <v>41</v>
      </c>
      <c r="C644" s="1">
        <v>51</v>
      </c>
      <c r="D644" t="s">
        <v>3</v>
      </c>
      <c r="E644" t="s">
        <v>6</v>
      </c>
      <c r="F644" s="1">
        <v>41051</v>
      </c>
      <c r="G644" s="1">
        <v>1</v>
      </c>
      <c r="H644" s="1">
        <v>0</v>
      </c>
      <c r="I644" t="s">
        <v>411</v>
      </c>
      <c r="J644" t="s">
        <v>276</v>
      </c>
      <c r="K644" s="1">
        <v>1000</v>
      </c>
      <c r="L644" s="1">
        <v>560</v>
      </c>
      <c r="M644" s="1">
        <v>560</v>
      </c>
      <c r="N644" s="1">
        <v>2800000</v>
      </c>
      <c r="O644" s="1"/>
      <c r="P644" s="1">
        <v>1</v>
      </c>
      <c r="Q644" s="1">
        <v>0</v>
      </c>
    </row>
    <row r="645">
      <c r="A645" s="1">
        <v>2023</v>
      </c>
      <c r="B645" s="1">
        <v>41</v>
      </c>
      <c r="C645" s="1">
        <v>51</v>
      </c>
      <c r="D645" t="s">
        <v>3</v>
      </c>
      <c r="E645" t="s">
        <v>6</v>
      </c>
      <c r="F645" s="1">
        <v>41051</v>
      </c>
      <c r="G645" s="1">
        <v>1</v>
      </c>
      <c r="H645" s="1">
        <v>97</v>
      </c>
      <c r="I645" t="s">
        <v>268</v>
      </c>
      <c r="J645" t="s">
        <v>280</v>
      </c>
      <c r="K645" s="1">
        <v>1097</v>
      </c>
      <c r="L645" s="1">
        <v>237</v>
      </c>
      <c r="M645" s="1">
        <v>236</v>
      </c>
      <c r="N645" s="1">
        <v>11850000</v>
      </c>
      <c r="O645" s="1">
        <v>1097</v>
      </c>
      <c r="P645" s="1">
        <v>1</v>
      </c>
      <c r="Q645" s="1">
        <v>0</v>
      </c>
    </row>
    <row r="646">
      <c r="A646" s="1">
        <v>2023</v>
      </c>
      <c r="B646" s="1">
        <v>41</v>
      </c>
      <c r="C646" s="1">
        <v>51</v>
      </c>
      <c r="D646" t="s">
        <v>3</v>
      </c>
      <c r="E646" t="s">
        <v>6</v>
      </c>
      <c r="F646" s="1">
        <v>41051</v>
      </c>
      <c r="G646" s="1">
        <v>2</v>
      </c>
      <c r="H646" s="1">
        <v>0</v>
      </c>
      <c r="I646" t="s">
        <v>411</v>
      </c>
      <c r="J646" t="s">
        <v>276</v>
      </c>
      <c r="K646" s="1">
        <v>2000</v>
      </c>
      <c r="L646" s="1">
        <v>192</v>
      </c>
      <c r="M646" s="1">
        <v>24</v>
      </c>
      <c r="N646" s="1">
        <v>7735400</v>
      </c>
      <c r="O646" s="1"/>
      <c r="P646" s="1">
        <v>1</v>
      </c>
      <c r="Q646" s="1">
        <v>0</v>
      </c>
    </row>
    <row r="647">
      <c r="A647" s="1">
        <v>2023</v>
      </c>
      <c r="B647" s="1">
        <v>41</v>
      </c>
      <c r="C647" s="1">
        <v>51</v>
      </c>
      <c r="D647" t="s">
        <v>3</v>
      </c>
      <c r="E647" t="s">
        <v>6</v>
      </c>
      <c r="F647" s="1">
        <v>41051</v>
      </c>
      <c r="G647" s="1">
        <v>4</v>
      </c>
      <c r="H647" s="1">
        <v>0</v>
      </c>
      <c r="I647" t="s">
        <v>411</v>
      </c>
      <c r="J647" t="s">
        <v>276</v>
      </c>
      <c r="K647" s="1">
        <v>4000</v>
      </c>
      <c r="L647" s="1">
        <v>596</v>
      </c>
      <c r="M647" s="1">
        <v>170</v>
      </c>
      <c r="N647" s="1">
        <v>90780100</v>
      </c>
      <c r="O647" s="1"/>
      <c r="P647" s="1">
        <v>1</v>
      </c>
      <c r="Q647" s="1">
        <v>0</v>
      </c>
    </row>
    <row r="648">
      <c r="A648" s="1">
        <v>2023</v>
      </c>
      <c r="B648" s="1">
        <v>41</v>
      </c>
      <c r="C648" s="1">
        <v>51</v>
      </c>
      <c r="D648" t="s">
        <v>3</v>
      </c>
      <c r="E648" t="s">
        <v>6</v>
      </c>
      <c r="F648" s="1">
        <v>41051</v>
      </c>
      <c r="G648" s="1">
        <v>4</v>
      </c>
      <c r="H648" s="1">
        <v>13</v>
      </c>
      <c r="I648" t="s">
        <v>10</v>
      </c>
      <c r="J648" t="s">
        <v>53</v>
      </c>
      <c r="K648" s="1">
        <v>4013</v>
      </c>
      <c r="L648" s="1">
        <v>511</v>
      </c>
      <c r="M648" s="1">
        <v>297</v>
      </c>
      <c r="N648" s="1">
        <v>46735890</v>
      </c>
      <c r="O648" s="1">
        <v>4013</v>
      </c>
      <c r="P648" s="1">
        <v>1</v>
      </c>
      <c r="Q648" s="1">
        <v>0</v>
      </c>
    </row>
    <row r="649">
      <c r="A649" s="1">
        <v>2023</v>
      </c>
      <c r="B649" s="1">
        <v>41</v>
      </c>
      <c r="C649" s="1">
        <v>51</v>
      </c>
      <c r="D649" t="s">
        <v>3</v>
      </c>
      <c r="E649" t="s">
        <v>6</v>
      </c>
      <c r="F649" s="1">
        <v>41051</v>
      </c>
      <c r="G649" s="1">
        <v>4</v>
      </c>
      <c r="H649" s="1">
        <v>15</v>
      </c>
      <c r="I649" t="s">
        <v>10</v>
      </c>
      <c r="J649" t="s">
        <v>224</v>
      </c>
      <c r="K649" s="1">
        <v>4015</v>
      </c>
      <c r="L649" s="1">
        <v>96</v>
      </c>
      <c r="M649" s="1">
        <v>96</v>
      </c>
      <c r="N649" s="1">
        <v>2016000</v>
      </c>
      <c r="O649" s="1">
        <v>4015</v>
      </c>
      <c r="P649" s="1">
        <v>1</v>
      </c>
      <c r="Q649" s="1">
        <v>0</v>
      </c>
    </row>
    <row r="650">
      <c r="A650" s="1">
        <v>2023</v>
      </c>
      <c r="B650" s="1">
        <v>41</v>
      </c>
      <c r="C650" s="1">
        <v>51</v>
      </c>
      <c r="D650" t="s">
        <v>3</v>
      </c>
      <c r="E650" t="s">
        <v>6</v>
      </c>
      <c r="F650" s="1">
        <v>41051</v>
      </c>
      <c r="G650" s="1">
        <v>4</v>
      </c>
      <c r="H650" s="1">
        <v>25</v>
      </c>
      <c r="I650" t="s">
        <v>10</v>
      </c>
      <c r="J650" t="s">
        <v>176</v>
      </c>
      <c r="K650" s="1">
        <v>4025</v>
      </c>
      <c r="L650" s="1">
        <v>637</v>
      </c>
      <c r="M650" s="1">
        <v>161</v>
      </c>
      <c r="N650" s="1">
        <v>15608600</v>
      </c>
      <c r="O650" s="1">
        <v>4025</v>
      </c>
      <c r="P650" s="1">
        <v>1</v>
      </c>
      <c r="Q650" s="1">
        <v>0</v>
      </c>
    </row>
    <row r="651">
      <c r="A651" s="1">
        <v>2023</v>
      </c>
      <c r="B651" s="1">
        <v>41</v>
      </c>
      <c r="C651" s="1">
        <v>51</v>
      </c>
      <c r="D651" t="s">
        <v>3</v>
      </c>
      <c r="E651" t="s">
        <v>6</v>
      </c>
      <c r="F651" s="1">
        <v>41051</v>
      </c>
      <c r="G651" s="1">
        <v>6</v>
      </c>
      <c r="H651" s="1">
        <v>0</v>
      </c>
      <c r="I651" t="s">
        <v>411</v>
      </c>
      <c r="J651" t="s">
        <v>276</v>
      </c>
      <c r="K651" s="1">
        <v>6000</v>
      </c>
      <c r="L651" s="1">
        <v>116</v>
      </c>
      <c r="M651" s="1">
        <v>41</v>
      </c>
      <c r="N651" s="1">
        <v>2100600</v>
      </c>
      <c r="O651" s="1"/>
      <c r="P651" s="1">
        <v>1</v>
      </c>
      <c r="Q651" s="1">
        <v>0</v>
      </c>
    </row>
    <row r="652">
      <c r="A652" s="1">
        <v>2023</v>
      </c>
      <c r="B652" s="1">
        <v>41</v>
      </c>
      <c r="C652" s="1">
        <v>51</v>
      </c>
      <c r="D652" t="s">
        <v>3</v>
      </c>
      <c r="E652" t="s">
        <v>6</v>
      </c>
      <c r="F652" s="1">
        <v>41051</v>
      </c>
      <c r="G652" s="1">
        <v>6</v>
      </c>
      <c r="H652" s="1">
        <v>1</v>
      </c>
      <c r="I652" t="s">
        <v>11</v>
      </c>
      <c r="J652" t="s">
        <v>56</v>
      </c>
      <c r="K652" s="1">
        <v>6001</v>
      </c>
      <c r="L652" s="1">
        <v>37</v>
      </c>
      <c r="M652" s="1">
        <v>37</v>
      </c>
      <c r="N652" s="1">
        <v>4625000</v>
      </c>
      <c r="O652" s="1">
        <v>6001</v>
      </c>
      <c r="P652" s="1">
        <v>1</v>
      </c>
      <c r="Q652" s="1">
        <v>0</v>
      </c>
    </row>
    <row r="653">
      <c r="A653" s="1">
        <v>2023</v>
      </c>
      <c r="B653" s="1">
        <v>41</v>
      </c>
      <c r="C653" s="1">
        <v>51</v>
      </c>
      <c r="D653" t="s">
        <v>3</v>
      </c>
      <c r="E653" t="s">
        <v>6</v>
      </c>
      <c r="F653" s="1">
        <v>41051</v>
      </c>
      <c r="G653" s="1">
        <v>6</v>
      </c>
      <c r="H653" s="1">
        <v>7</v>
      </c>
      <c r="I653" t="s">
        <v>11</v>
      </c>
      <c r="J653" t="s">
        <v>177</v>
      </c>
      <c r="K653" s="1">
        <v>6007</v>
      </c>
      <c r="L653" s="1">
        <v>42</v>
      </c>
      <c r="M653" s="1"/>
      <c r="N653" s="1">
        <v>0</v>
      </c>
      <c r="O653" s="1">
        <v>6007</v>
      </c>
      <c r="P653" s="1">
        <v>1</v>
      </c>
      <c r="Q653" s="1">
        <v>0</v>
      </c>
    </row>
    <row r="654">
      <c r="A654" s="1">
        <v>2023</v>
      </c>
      <c r="B654" s="1">
        <v>41</v>
      </c>
      <c r="C654" s="1">
        <v>51</v>
      </c>
      <c r="D654" t="s">
        <v>3</v>
      </c>
      <c r="E654" t="s">
        <v>6</v>
      </c>
      <c r="F654" s="1">
        <v>41051</v>
      </c>
      <c r="G654" s="1">
        <v>6</v>
      </c>
      <c r="H654" s="1">
        <v>37</v>
      </c>
      <c r="I654" t="s">
        <v>11</v>
      </c>
      <c r="J654" t="s">
        <v>61</v>
      </c>
      <c r="K654" s="1">
        <v>6037</v>
      </c>
      <c r="L654" s="1">
        <v>1247</v>
      </c>
      <c r="M654" s="1">
        <v>603</v>
      </c>
      <c r="N654" s="1">
        <v>91099300</v>
      </c>
      <c r="O654" s="1">
        <v>6037</v>
      </c>
      <c r="P654" s="1">
        <v>1</v>
      </c>
      <c r="Q654" s="1">
        <v>0</v>
      </c>
    </row>
    <row r="655">
      <c r="A655" s="1">
        <v>2023</v>
      </c>
      <c r="B655" s="1">
        <v>41</v>
      </c>
      <c r="C655" s="1">
        <v>51</v>
      </c>
      <c r="D655" t="s">
        <v>3</v>
      </c>
      <c r="E655" t="s">
        <v>6</v>
      </c>
      <c r="F655" s="1">
        <v>41051</v>
      </c>
      <c r="G655" s="1">
        <v>6</v>
      </c>
      <c r="H655" s="1">
        <v>41</v>
      </c>
      <c r="I655" t="s">
        <v>11</v>
      </c>
      <c r="J655" t="s">
        <v>62</v>
      </c>
      <c r="K655" s="1">
        <v>6041</v>
      </c>
      <c r="L655" s="1">
        <v>97</v>
      </c>
      <c r="M655" s="1">
        <v>97</v>
      </c>
      <c r="N655" s="1">
        <v>13211400</v>
      </c>
      <c r="O655" s="1">
        <v>6041</v>
      </c>
      <c r="P655" s="1">
        <v>1</v>
      </c>
      <c r="Q655" s="1">
        <v>0</v>
      </c>
    </row>
    <row r="656">
      <c r="A656" s="1">
        <v>2023</v>
      </c>
      <c r="B656" s="1">
        <v>41</v>
      </c>
      <c r="C656" s="1">
        <v>51</v>
      </c>
      <c r="D656" t="s">
        <v>3</v>
      </c>
      <c r="E656" t="s">
        <v>6</v>
      </c>
      <c r="F656" s="1">
        <v>41051</v>
      </c>
      <c r="G656" s="1">
        <v>6</v>
      </c>
      <c r="H656" s="1">
        <v>59</v>
      </c>
      <c r="I656" t="s">
        <v>11</v>
      </c>
      <c r="J656" t="s">
        <v>64</v>
      </c>
      <c r="K656" s="1">
        <v>6059</v>
      </c>
      <c r="L656" s="1">
        <v>73</v>
      </c>
      <c r="M656" s="1">
        <v>73</v>
      </c>
      <c r="N656" s="1">
        <v>1825730</v>
      </c>
      <c r="O656" s="1">
        <v>6059</v>
      </c>
      <c r="P656" s="1">
        <v>1</v>
      </c>
      <c r="Q656" s="1">
        <v>0</v>
      </c>
    </row>
    <row r="657">
      <c r="A657" s="1">
        <v>2023</v>
      </c>
      <c r="B657" s="1">
        <v>41</v>
      </c>
      <c r="C657" s="1">
        <v>51</v>
      </c>
      <c r="D657" t="s">
        <v>3</v>
      </c>
      <c r="E657" t="s">
        <v>6</v>
      </c>
      <c r="F657" s="1">
        <v>41051</v>
      </c>
      <c r="G657" s="1">
        <v>6</v>
      </c>
      <c r="H657" s="1">
        <v>65</v>
      </c>
      <c r="I657" t="s">
        <v>11</v>
      </c>
      <c r="J657" t="s">
        <v>66</v>
      </c>
      <c r="K657" s="1">
        <v>6065</v>
      </c>
      <c r="L657" s="1">
        <v>548</v>
      </c>
      <c r="M657" s="1">
        <v>345</v>
      </c>
      <c r="N657" s="1">
        <v>12929500</v>
      </c>
      <c r="O657" s="1">
        <v>6065</v>
      </c>
      <c r="P657" s="1">
        <v>1</v>
      </c>
      <c r="Q657" s="1">
        <v>0</v>
      </c>
    </row>
    <row r="658">
      <c r="A658" s="1">
        <v>2023</v>
      </c>
      <c r="B658" s="1">
        <v>41</v>
      </c>
      <c r="C658" s="1">
        <v>51</v>
      </c>
      <c r="D658" t="s">
        <v>3</v>
      </c>
      <c r="E658" t="s">
        <v>6</v>
      </c>
      <c r="F658" s="1">
        <v>41051</v>
      </c>
      <c r="G658" s="1">
        <v>6</v>
      </c>
      <c r="H658" s="1">
        <v>67</v>
      </c>
      <c r="I658" t="s">
        <v>11</v>
      </c>
      <c r="J658" t="s">
        <v>67</v>
      </c>
      <c r="K658" s="1">
        <v>6067</v>
      </c>
      <c r="L658" s="1">
        <v>269</v>
      </c>
      <c r="M658" s="1">
        <v>194</v>
      </c>
      <c r="N658" s="1">
        <v>9105000</v>
      </c>
      <c r="O658" s="1">
        <v>6067</v>
      </c>
      <c r="P658" s="1">
        <v>1</v>
      </c>
      <c r="Q658" s="1">
        <v>0</v>
      </c>
    </row>
    <row r="659">
      <c r="A659" s="1">
        <v>2023</v>
      </c>
      <c r="B659" s="1">
        <v>41</v>
      </c>
      <c r="C659" s="1">
        <v>51</v>
      </c>
      <c r="D659" t="s">
        <v>3</v>
      </c>
      <c r="E659" t="s">
        <v>6</v>
      </c>
      <c r="F659" s="1">
        <v>41051</v>
      </c>
      <c r="G659" s="1">
        <v>6</v>
      </c>
      <c r="H659" s="1">
        <v>73</v>
      </c>
      <c r="I659" t="s">
        <v>11</v>
      </c>
      <c r="J659" t="s">
        <v>69</v>
      </c>
      <c r="K659" s="1">
        <v>6073</v>
      </c>
      <c r="L659" s="1">
        <v>300</v>
      </c>
      <c r="M659" s="1">
        <v>214</v>
      </c>
      <c r="N659" s="1">
        <v>95059000</v>
      </c>
      <c r="O659" s="1">
        <v>6073</v>
      </c>
      <c r="P659" s="1">
        <v>1</v>
      </c>
      <c r="Q659" s="1">
        <v>0</v>
      </c>
    </row>
    <row r="660">
      <c r="A660" s="1">
        <v>2023</v>
      </c>
      <c r="B660" s="1">
        <v>41</v>
      </c>
      <c r="C660" s="1">
        <v>51</v>
      </c>
      <c r="D660" t="s">
        <v>3</v>
      </c>
      <c r="E660" t="s">
        <v>6</v>
      </c>
      <c r="F660" s="1">
        <v>41051</v>
      </c>
      <c r="G660" s="1">
        <v>6</v>
      </c>
      <c r="H660" s="1">
        <v>75</v>
      </c>
      <c r="I660" t="s">
        <v>11</v>
      </c>
      <c r="J660" t="s">
        <v>70</v>
      </c>
      <c r="K660" s="1">
        <v>6075</v>
      </c>
      <c r="L660" s="1">
        <v>122</v>
      </c>
      <c r="M660" s="1">
        <v>62</v>
      </c>
      <c r="N660" s="1">
        <v>20350000</v>
      </c>
      <c r="O660" s="1">
        <v>6075</v>
      </c>
      <c r="P660" s="1">
        <v>1</v>
      </c>
      <c r="Q660" s="1">
        <v>0</v>
      </c>
    </row>
    <row r="661">
      <c r="A661" s="1">
        <v>2023</v>
      </c>
      <c r="B661" s="1">
        <v>41</v>
      </c>
      <c r="C661" s="1">
        <v>51</v>
      </c>
      <c r="D661" t="s">
        <v>3</v>
      </c>
      <c r="E661" t="s">
        <v>6</v>
      </c>
      <c r="F661" s="1">
        <v>41051</v>
      </c>
      <c r="G661" s="1">
        <v>6</v>
      </c>
      <c r="H661" s="1">
        <v>79</v>
      </c>
      <c r="I661" t="s">
        <v>11</v>
      </c>
      <c r="J661" t="s">
        <v>71</v>
      </c>
      <c r="K661" s="1">
        <v>6079</v>
      </c>
      <c r="L661" s="1">
        <v>45</v>
      </c>
      <c r="M661" s="1"/>
      <c r="N661" s="1">
        <v>1350000</v>
      </c>
      <c r="O661" s="1">
        <v>6079</v>
      </c>
      <c r="P661" s="1">
        <v>1</v>
      </c>
      <c r="Q661" s="1">
        <v>0</v>
      </c>
    </row>
    <row r="662">
      <c r="A662" s="1">
        <v>2023</v>
      </c>
      <c r="B662" s="1">
        <v>41</v>
      </c>
      <c r="C662" s="1">
        <v>51</v>
      </c>
      <c r="D662" t="s">
        <v>3</v>
      </c>
      <c r="E662" t="s">
        <v>6</v>
      </c>
      <c r="F662" s="1">
        <v>41051</v>
      </c>
      <c r="G662" s="1">
        <v>6</v>
      </c>
      <c r="H662" s="1">
        <v>85</v>
      </c>
      <c r="I662" t="s">
        <v>11</v>
      </c>
      <c r="J662" t="s">
        <v>74</v>
      </c>
      <c r="K662" s="1">
        <v>6085</v>
      </c>
      <c r="L662" s="1">
        <v>390</v>
      </c>
      <c r="M662" s="1">
        <v>330</v>
      </c>
      <c r="N662" s="1">
        <v>35460000</v>
      </c>
      <c r="O662" s="1">
        <v>6085</v>
      </c>
      <c r="P662" s="1">
        <v>1</v>
      </c>
      <c r="Q662" s="1">
        <v>0</v>
      </c>
    </row>
    <row r="663">
      <c r="A663" s="1">
        <v>2023</v>
      </c>
      <c r="B663" s="1">
        <v>41</v>
      </c>
      <c r="C663" s="1">
        <v>51</v>
      </c>
      <c r="D663" t="s">
        <v>3</v>
      </c>
      <c r="E663" t="s">
        <v>6</v>
      </c>
      <c r="F663" s="1">
        <v>41051</v>
      </c>
      <c r="G663" s="1">
        <v>6</v>
      </c>
      <c r="H663" s="1">
        <v>87</v>
      </c>
      <c r="I663" t="s">
        <v>11</v>
      </c>
      <c r="J663" t="s">
        <v>75</v>
      </c>
      <c r="K663" s="1">
        <v>6087</v>
      </c>
      <c r="L663" s="1">
        <v>63</v>
      </c>
      <c r="M663" s="1"/>
      <c r="N663" s="1">
        <v>882000</v>
      </c>
      <c r="O663" s="1">
        <v>6087</v>
      </c>
      <c r="P663" s="1">
        <v>1</v>
      </c>
      <c r="Q663" s="1">
        <v>0</v>
      </c>
    </row>
    <row r="664">
      <c r="A664" s="1">
        <v>2023</v>
      </c>
      <c r="B664" s="1">
        <v>41</v>
      </c>
      <c r="C664" s="1">
        <v>51</v>
      </c>
      <c r="D664" t="s">
        <v>3</v>
      </c>
      <c r="E664" t="s">
        <v>6</v>
      </c>
      <c r="F664" s="1">
        <v>41051</v>
      </c>
      <c r="G664" s="1">
        <v>6</v>
      </c>
      <c r="H664" s="1">
        <v>89</v>
      </c>
      <c r="I664" t="s">
        <v>11</v>
      </c>
      <c r="J664" t="s">
        <v>76</v>
      </c>
      <c r="K664" s="1">
        <v>6089</v>
      </c>
      <c r="L664" s="1">
        <v>227</v>
      </c>
      <c r="M664" s="1">
        <v>100</v>
      </c>
      <c r="N664" s="1">
        <v>48641000</v>
      </c>
      <c r="O664" s="1">
        <v>6089</v>
      </c>
      <c r="P664" s="1">
        <v>1</v>
      </c>
      <c r="Q664" s="1">
        <v>0</v>
      </c>
    </row>
    <row r="665">
      <c r="A665" s="1">
        <v>2023</v>
      </c>
      <c r="B665" s="1">
        <v>41</v>
      </c>
      <c r="C665" s="1">
        <v>51</v>
      </c>
      <c r="D665" t="s">
        <v>3</v>
      </c>
      <c r="E665" t="s">
        <v>6</v>
      </c>
      <c r="F665" s="1">
        <v>41051</v>
      </c>
      <c r="G665" s="1">
        <v>6</v>
      </c>
      <c r="H665" s="1">
        <v>97</v>
      </c>
      <c r="I665" t="s">
        <v>11</v>
      </c>
      <c r="J665" t="s">
        <v>77</v>
      </c>
      <c r="K665" s="1">
        <v>6097</v>
      </c>
      <c r="L665" s="1">
        <v>414</v>
      </c>
      <c r="M665" s="1">
        <v>113</v>
      </c>
      <c r="N665" s="1">
        <v>33972000</v>
      </c>
      <c r="O665" s="1">
        <v>6097</v>
      </c>
      <c r="P665" s="1">
        <v>1</v>
      </c>
      <c r="Q665" s="1">
        <v>0</v>
      </c>
    </row>
    <row r="666">
      <c r="A666" s="1">
        <v>2023</v>
      </c>
      <c r="B666" s="1">
        <v>41</v>
      </c>
      <c r="C666" s="1">
        <v>51</v>
      </c>
      <c r="D666" t="s">
        <v>3</v>
      </c>
      <c r="E666" t="s">
        <v>6</v>
      </c>
      <c r="F666" s="1">
        <v>41051</v>
      </c>
      <c r="G666" s="1">
        <v>6</v>
      </c>
      <c r="H666" s="1">
        <v>99</v>
      </c>
      <c r="I666" t="s">
        <v>11</v>
      </c>
      <c r="J666" t="s">
        <v>325</v>
      </c>
      <c r="K666" s="1">
        <v>6099</v>
      </c>
      <c r="L666" s="1">
        <v>72</v>
      </c>
      <c r="M666" s="1"/>
      <c r="N666" s="1">
        <v>1440000</v>
      </c>
      <c r="O666" s="1">
        <v>6099</v>
      </c>
      <c r="P666" s="1">
        <v>1</v>
      </c>
      <c r="Q666" s="1">
        <v>0</v>
      </c>
    </row>
    <row r="667">
      <c r="A667" s="1">
        <v>2023</v>
      </c>
      <c r="B667" s="1">
        <v>41</v>
      </c>
      <c r="C667" s="1">
        <v>51</v>
      </c>
      <c r="D667" t="s">
        <v>3</v>
      </c>
      <c r="E667" t="s">
        <v>6</v>
      </c>
      <c r="F667" s="1">
        <v>41051</v>
      </c>
      <c r="G667" s="1">
        <v>8</v>
      </c>
      <c r="H667" s="1">
        <v>0</v>
      </c>
      <c r="I667" t="s">
        <v>411</v>
      </c>
      <c r="J667" t="s">
        <v>276</v>
      </c>
      <c r="K667" s="1">
        <v>8000</v>
      </c>
      <c r="L667" s="1">
        <v>513</v>
      </c>
      <c r="M667" s="1">
        <v>367</v>
      </c>
      <c r="N667" s="1">
        <v>29239600</v>
      </c>
      <c r="O667" s="1"/>
      <c r="P667" s="1">
        <v>1</v>
      </c>
      <c r="Q667" s="1">
        <v>0</v>
      </c>
    </row>
    <row r="668">
      <c r="A668" s="1">
        <v>2023</v>
      </c>
      <c r="B668" s="1">
        <v>41</v>
      </c>
      <c r="C668" s="1">
        <v>51</v>
      </c>
      <c r="D668" t="s">
        <v>3</v>
      </c>
      <c r="E668" t="s">
        <v>6</v>
      </c>
      <c r="F668" s="1">
        <v>41051</v>
      </c>
      <c r="G668" s="1">
        <v>11</v>
      </c>
      <c r="H668" s="1">
        <v>1</v>
      </c>
      <c r="I668" t="s">
        <v>14</v>
      </c>
      <c r="J668" t="s">
        <v>14</v>
      </c>
      <c r="K668" s="1">
        <v>11001</v>
      </c>
      <c r="L668" s="1">
        <v>60</v>
      </c>
      <c r="M668" s="1">
        <v>60</v>
      </c>
      <c r="N668" s="1">
        <v>3000000</v>
      </c>
      <c r="O668" s="1">
        <v>11001</v>
      </c>
      <c r="P668" s="1">
        <v>1</v>
      </c>
      <c r="Q668" s="1">
        <v>0</v>
      </c>
    </row>
    <row r="669">
      <c r="A669" s="1">
        <v>2023</v>
      </c>
      <c r="B669" s="1">
        <v>41</v>
      </c>
      <c r="C669" s="1">
        <v>51</v>
      </c>
      <c r="D669" t="s">
        <v>3</v>
      </c>
      <c r="E669" t="s">
        <v>6</v>
      </c>
      <c r="F669" s="1">
        <v>41051</v>
      </c>
      <c r="G669" s="1">
        <v>12</v>
      </c>
      <c r="H669" s="1">
        <v>57</v>
      </c>
      <c r="I669" t="s">
        <v>15</v>
      </c>
      <c r="J669" t="s">
        <v>86</v>
      </c>
      <c r="K669" s="1">
        <v>12057</v>
      </c>
      <c r="L669" s="1">
        <v>176</v>
      </c>
      <c r="M669" s="1">
        <v>65</v>
      </c>
      <c r="N669" s="1">
        <v>12128000</v>
      </c>
      <c r="O669" s="1">
        <v>12057</v>
      </c>
      <c r="P669" s="1">
        <v>1</v>
      </c>
      <c r="Q669" s="1">
        <v>0</v>
      </c>
    </row>
    <row r="670">
      <c r="A670" s="1">
        <v>2023</v>
      </c>
      <c r="B670" s="1">
        <v>41</v>
      </c>
      <c r="C670" s="1">
        <v>51</v>
      </c>
      <c r="D670" t="s">
        <v>3</v>
      </c>
      <c r="E670" t="s">
        <v>6</v>
      </c>
      <c r="F670" s="1">
        <v>41051</v>
      </c>
      <c r="G670" s="1">
        <v>12</v>
      </c>
      <c r="H670" s="1">
        <v>71</v>
      </c>
      <c r="I670" t="s">
        <v>15</v>
      </c>
      <c r="J670" t="s">
        <v>226</v>
      </c>
      <c r="K670" s="1">
        <v>12071</v>
      </c>
      <c r="L670" s="1">
        <v>161</v>
      </c>
      <c r="M670" s="1">
        <v>79</v>
      </c>
      <c r="N670" s="1">
        <v>15496000</v>
      </c>
      <c r="O670" s="1">
        <v>12071</v>
      </c>
      <c r="P670" s="1">
        <v>1</v>
      </c>
      <c r="Q670" s="1">
        <v>0</v>
      </c>
    </row>
    <row r="671">
      <c r="A671" s="1">
        <v>2023</v>
      </c>
      <c r="B671" s="1">
        <v>41</v>
      </c>
      <c r="C671" s="1">
        <v>51</v>
      </c>
      <c r="D671" t="s">
        <v>3</v>
      </c>
      <c r="E671" t="s">
        <v>6</v>
      </c>
      <c r="F671" s="1">
        <v>41051</v>
      </c>
      <c r="G671" s="1">
        <v>12</v>
      </c>
      <c r="H671" s="1">
        <v>83</v>
      </c>
      <c r="I671" t="s">
        <v>15</v>
      </c>
      <c r="J671" t="s">
        <v>99</v>
      </c>
      <c r="K671" s="1">
        <v>12083</v>
      </c>
      <c r="L671" s="1">
        <v>180</v>
      </c>
      <c r="M671" s="1">
        <v>87</v>
      </c>
      <c r="N671" s="1">
        <v>16098000</v>
      </c>
      <c r="O671" s="1">
        <v>12083</v>
      </c>
      <c r="P671" s="1">
        <v>1</v>
      </c>
      <c r="Q671" s="1">
        <v>0</v>
      </c>
    </row>
    <row r="672">
      <c r="A672" s="1">
        <v>2023</v>
      </c>
      <c r="B672" s="1">
        <v>41</v>
      </c>
      <c r="C672" s="1">
        <v>51</v>
      </c>
      <c r="D672" t="s">
        <v>3</v>
      </c>
      <c r="E672" t="s">
        <v>6</v>
      </c>
      <c r="F672" s="1">
        <v>41051</v>
      </c>
      <c r="G672" s="1">
        <v>12</v>
      </c>
      <c r="H672" s="1">
        <v>99</v>
      </c>
      <c r="I672" t="s">
        <v>15</v>
      </c>
      <c r="J672" t="s">
        <v>88</v>
      </c>
      <c r="K672" s="1">
        <v>12099</v>
      </c>
      <c r="L672" s="1">
        <v>48</v>
      </c>
      <c r="M672" s="1">
        <v>48</v>
      </c>
      <c r="N672" s="1">
        <v>4320000</v>
      </c>
      <c r="O672" s="1">
        <v>12099</v>
      </c>
      <c r="P672" s="1">
        <v>1</v>
      </c>
      <c r="Q672" s="1">
        <v>0</v>
      </c>
    </row>
    <row r="673">
      <c r="A673" s="1">
        <v>2023</v>
      </c>
      <c r="B673" s="1">
        <v>41</v>
      </c>
      <c r="C673" s="1">
        <v>51</v>
      </c>
      <c r="D673" t="s">
        <v>3</v>
      </c>
      <c r="E673" t="s">
        <v>6</v>
      </c>
      <c r="F673" s="1">
        <v>41051</v>
      </c>
      <c r="G673" s="1">
        <v>12</v>
      </c>
      <c r="H673" s="1">
        <v>127</v>
      </c>
      <c r="I673" t="s">
        <v>15</v>
      </c>
      <c r="J673" t="s">
        <v>250</v>
      </c>
      <c r="K673" s="1">
        <v>12127</v>
      </c>
      <c r="L673" s="1">
        <v>40</v>
      </c>
      <c r="M673" s="1">
        <v>40</v>
      </c>
      <c r="N673" s="1">
        <v>448000</v>
      </c>
      <c r="O673" s="1">
        <v>12127</v>
      </c>
      <c r="P673" s="1">
        <v>1</v>
      </c>
      <c r="Q673" s="1">
        <v>0</v>
      </c>
    </row>
    <row r="674">
      <c r="A674" s="1">
        <v>2023</v>
      </c>
      <c r="B674" s="1">
        <v>41</v>
      </c>
      <c r="C674" s="1">
        <v>51</v>
      </c>
      <c r="D674" t="s">
        <v>3</v>
      </c>
      <c r="E674" t="s">
        <v>6</v>
      </c>
      <c r="F674" s="1">
        <v>41051</v>
      </c>
      <c r="G674" s="1">
        <v>13</v>
      </c>
      <c r="H674" s="1">
        <v>15</v>
      </c>
      <c r="I674" t="s">
        <v>16</v>
      </c>
      <c r="J674" t="s">
        <v>326</v>
      </c>
      <c r="K674" s="1">
        <v>13015</v>
      </c>
      <c r="L674" s="1">
        <v>275</v>
      </c>
      <c r="M674" s="1">
        <v>81</v>
      </c>
      <c r="N674" s="1">
        <v>27145650</v>
      </c>
      <c r="O674" s="1">
        <v>13015</v>
      </c>
      <c r="P674" s="1">
        <v>1</v>
      </c>
      <c r="Q674" s="1">
        <v>0</v>
      </c>
    </row>
    <row r="675">
      <c r="A675" s="1">
        <v>2023</v>
      </c>
      <c r="B675" s="1">
        <v>41</v>
      </c>
      <c r="C675" s="1">
        <v>51</v>
      </c>
      <c r="D675" t="s">
        <v>3</v>
      </c>
      <c r="E675" t="s">
        <v>6</v>
      </c>
      <c r="F675" s="1">
        <v>41051</v>
      </c>
      <c r="G675" s="1">
        <v>13</v>
      </c>
      <c r="H675" s="1">
        <v>51</v>
      </c>
      <c r="I675" t="s">
        <v>16</v>
      </c>
      <c r="J675" t="s">
        <v>327</v>
      </c>
      <c r="K675" s="1">
        <v>13051</v>
      </c>
      <c r="L675" s="1">
        <v>46</v>
      </c>
      <c r="M675" s="1">
        <v>46</v>
      </c>
      <c r="N675" s="1">
        <v>920000</v>
      </c>
      <c r="O675" s="1">
        <v>13051</v>
      </c>
      <c r="P675" s="1">
        <v>1</v>
      </c>
      <c r="Q675" s="1">
        <v>0</v>
      </c>
    </row>
    <row r="676">
      <c r="A676" s="1">
        <v>2023</v>
      </c>
      <c r="B676" s="1">
        <v>41</v>
      </c>
      <c r="C676" s="1">
        <v>51</v>
      </c>
      <c r="D676" t="s">
        <v>3</v>
      </c>
      <c r="E676" t="s">
        <v>6</v>
      </c>
      <c r="F676" s="1">
        <v>41051</v>
      </c>
      <c r="G676" s="1">
        <v>13</v>
      </c>
      <c r="H676" s="1">
        <v>121</v>
      </c>
      <c r="I676" t="s">
        <v>16</v>
      </c>
      <c r="J676" t="s">
        <v>91</v>
      </c>
      <c r="K676" s="1">
        <v>13121</v>
      </c>
      <c r="L676" s="1">
        <v>84</v>
      </c>
      <c r="M676" s="1"/>
      <c r="N676" s="1">
        <v>6300000</v>
      </c>
      <c r="O676" s="1">
        <v>13121</v>
      </c>
      <c r="P676" s="1">
        <v>1</v>
      </c>
      <c r="Q676" s="1">
        <v>0</v>
      </c>
    </row>
    <row r="677">
      <c r="A677" s="1">
        <v>2023</v>
      </c>
      <c r="B677" s="1">
        <v>41</v>
      </c>
      <c r="C677" s="1">
        <v>51</v>
      </c>
      <c r="D677" t="s">
        <v>3</v>
      </c>
      <c r="E677" t="s">
        <v>6</v>
      </c>
      <c r="F677" s="1">
        <v>41051</v>
      </c>
      <c r="G677" s="1">
        <v>13</v>
      </c>
      <c r="H677" s="1">
        <v>135</v>
      </c>
      <c r="I677" t="s">
        <v>16</v>
      </c>
      <c r="J677" t="s">
        <v>251</v>
      </c>
      <c r="K677" s="1">
        <v>13135</v>
      </c>
      <c r="L677" s="1">
        <v>173</v>
      </c>
      <c r="M677" s="1">
        <v>85</v>
      </c>
      <c r="N677" s="1">
        <v>9410000</v>
      </c>
      <c r="O677" s="1">
        <v>13135</v>
      </c>
      <c r="P677" s="1">
        <v>1</v>
      </c>
      <c r="Q677" s="1">
        <v>0</v>
      </c>
    </row>
    <row r="678">
      <c r="A678" s="1">
        <v>2023</v>
      </c>
      <c r="B678" s="1">
        <v>41</v>
      </c>
      <c r="C678" s="1">
        <v>51</v>
      </c>
      <c r="D678" t="s">
        <v>3</v>
      </c>
      <c r="E678" t="s">
        <v>6</v>
      </c>
      <c r="F678" s="1">
        <v>41051</v>
      </c>
      <c r="G678" s="1">
        <v>15</v>
      </c>
      <c r="H678" s="1">
        <v>3</v>
      </c>
      <c r="I678" t="s">
        <v>17</v>
      </c>
      <c r="J678" t="s">
        <v>93</v>
      </c>
      <c r="K678" s="1">
        <v>15003</v>
      </c>
      <c r="L678" s="1">
        <v>79</v>
      </c>
      <c r="M678" s="1"/>
      <c r="N678" s="1">
        <v>18802000</v>
      </c>
      <c r="O678" s="1">
        <v>15003</v>
      </c>
      <c r="P678" s="1">
        <v>1</v>
      </c>
      <c r="Q678" s="1">
        <v>0</v>
      </c>
    </row>
    <row r="679">
      <c r="A679" s="1">
        <v>2023</v>
      </c>
      <c r="B679" s="1">
        <v>41</v>
      </c>
      <c r="C679" s="1">
        <v>51</v>
      </c>
      <c r="D679" t="s">
        <v>3</v>
      </c>
      <c r="E679" t="s">
        <v>6</v>
      </c>
      <c r="F679" s="1">
        <v>41051</v>
      </c>
      <c r="G679" s="1">
        <v>16</v>
      </c>
      <c r="H679" s="1">
        <v>0</v>
      </c>
      <c r="I679" t="s">
        <v>411</v>
      </c>
      <c r="J679" t="s">
        <v>276</v>
      </c>
      <c r="K679" s="1">
        <v>16000</v>
      </c>
      <c r="L679" s="1">
        <v>323</v>
      </c>
      <c r="M679" s="1">
        <v>155</v>
      </c>
      <c r="N679" s="1">
        <v>10546900</v>
      </c>
      <c r="O679" s="1"/>
      <c r="P679" s="1">
        <v>1</v>
      </c>
      <c r="Q679" s="1">
        <v>0</v>
      </c>
    </row>
    <row r="680">
      <c r="A680" s="1">
        <v>2023</v>
      </c>
      <c r="B680" s="1">
        <v>41</v>
      </c>
      <c r="C680" s="1">
        <v>51</v>
      </c>
      <c r="D680" t="s">
        <v>3</v>
      </c>
      <c r="E680" t="s">
        <v>6</v>
      </c>
      <c r="F680" s="1">
        <v>41051</v>
      </c>
      <c r="G680" s="1">
        <v>17</v>
      </c>
      <c r="H680" s="1">
        <v>0</v>
      </c>
      <c r="I680" t="s">
        <v>411</v>
      </c>
      <c r="J680" t="s">
        <v>276</v>
      </c>
      <c r="K680" s="1">
        <v>17000</v>
      </c>
      <c r="L680" s="1">
        <v>269</v>
      </c>
      <c r="M680" s="1"/>
      <c r="N680" s="1">
        <v>3228000</v>
      </c>
      <c r="O680" s="1"/>
      <c r="P680" s="1">
        <v>1</v>
      </c>
      <c r="Q680" s="1">
        <v>0</v>
      </c>
    </row>
    <row r="681">
      <c r="A681" s="1">
        <v>2023</v>
      </c>
      <c r="B681" s="1">
        <v>41</v>
      </c>
      <c r="C681" s="1">
        <v>51</v>
      </c>
      <c r="D681" t="s">
        <v>3</v>
      </c>
      <c r="E681" t="s">
        <v>6</v>
      </c>
      <c r="F681" s="1">
        <v>41051</v>
      </c>
      <c r="G681" s="1">
        <v>17</v>
      </c>
      <c r="H681" s="1">
        <v>31</v>
      </c>
      <c r="I681" t="s">
        <v>19</v>
      </c>
      <c r="J681" t="s">
        <v>98</v>
      </c>
      <c r="K681" s="1">
        <v>17031</v>
      </c>
      <c r="L681" s="1">
        <v>240</v>
      </c>
      <c r="M681" s="1">
        <v>166</v>
      </c>
      <c r="N681" s="1">
        <v>33379200</v>
      </c>
      <c r="O681" s="1">
        <v>17031</v>
      </c>
      <c r="P681" s="1">
        <v>1</v>
      </c>
      <c r="Q681" s="1">
        <v>0</v>
      </c>
    </row>
    <row r="682">
      <c r="A682" s="1">
        <v>2023</v>
      </c>
      <c r="B682" s="1">
        <v>41</v>
      </c>
      <c r="C682" s="1">
        <v>51</v>
      </c>
      <c r="D682" t="s">
        <v>3</v>
      </c>
      <c r="E682" t="s">
        <v>6</v>
      </c>
      <c r="F682" s="1">
        <v>41051</v>
      </c>
      <c r="G682" s="1">
        <v>18</v>
      </c>
      <c r="H682" s="1">
        <v>97</v>
      </c>
      <c r="I682" t="s">
        <v>20</v>
      </c>
      <c r="J682" t="s">
        <v>99</v>
      </c>
      <c r="K682" s="1">
        <v>18097</v>
      </c>
      <c r="L682" s="1">
        <v>168</v>
      </c>
      <c r="M682" s="1">
        <v>73</v>
      </c>
      <c r="N682" s="1">
        <v>11053500</v>
      </c>
      <c r="O682" s="1">
        <v>18097</v>
      </c>
      <c r="P682" s="1">
        <v>1</v>
      </c>
      <c r="Q682" s="1">
        <v>0</v>
      </c>
    </row>
    <row r="683">
      <c r="A683" s="1">
        <v>2023</v>
      </c>
      <c r="B683" s="1">
        <v>41</v>
      </c>
      <c r="C683" s="1">
        <v>51</v>
      </c>
      <c r="D683" t="s">
        <v>3</v>
      </c>
      <c r="E683" t="s">
        <v>6</v>
      </c>
      <c r="F683" s="1">
        <v>41051</v>
      </c>
      <c r="G683" s="1">
        <v>18</v>
      </c>
      <c r="H683" s="1">
        <v>141</v>
      </c>
      <c r="I683" t="s">
        <v>20</v>
      </c>
      <c r="J683" t="s">
        <v>282</v>
      </c>
      <c r="K683" s="1">
        <v>18141</v>
      </c>
      <c r="L683" s="1">
        <v>38</v>
      </c>
      <c r="M683" s="1"/>
      <c r="N683" s="1">
        <v>3306000</v>
      </c>
      <c r="O683" s="1">
        <v>18141</v>
      </c>
      <c r="P683" s="1">
        <v>1</v>
      </c>
      <c r="Q683" s="1">
        <v>0</v>
      </c>
    </row>
    <row r="684">
      <c r="A684" s="1">
        <v>2023</v>
      </c>
      <c r="B684" s="1">
        <v>41</v>
      </c>
      <c r="C684" s="1">
        <v>51</v>
      </c>
      <c r="D684" t="s">
        <v>3</v>
      </c>
      <c r="E684" t="s">
        <v>6</v>
      </c>
      <c r="F684" s="1">
        <v>41051</v>
      </c>
      <c r="G684" s="1">
        <v>19</v>
      </c>
      <c r="H684" s="1">
        <v>0</v>
      </c>
      <c r="I684" t="s">
        <v>411</v>
      </c>
      <c r="J684" t="s">
        <v>276</v>
      </c>
      <c r="K684" s="1">
        <v>19000</v>
      </c>
      <c r="L684" s="1">
        <v>33</v>
      </c>
      <c r="M684" s="1">
        <v>17</v>
      </c>
      <c r="N684" s="1">
        <v>4877000</v>
      </c>
      <c r="O684" s="1"/>
      <c r="P684" s="1">
        <v>1</v>
      </c>
      <c r="Q684" s="1">
        <v>0</v>
      </c>
    </row>
    <row r="685">
      <c r="A685" s="1">
        <v>2023</v>
      </c>
      <c r="B685" s="1">
        <v>41</v>
      </c>
      <c r="C685" s="1">
        <v>51</v>
      </c>
      <c r="D685" t="s">
        <v>3</v>
      </c>
      <c r="E685" t="s">
        <v>6</v>
      </c>
      <c r="F685" s="1">
        <v>41051</v>
      </c>
      <c r="G685" s="1">
        <v>24</v>
      </c>
      <c r="H685" s="1">
        <v>0</v>
      </c>
      <c r="I685" t="s">
        <v>411</v>
      </c>
      <c r="J685" t="s">
        <v>276</v>
      </c>
      <c r="K685" s="1">
        <v>24000</v>
      </c>
      <c r="L685" s="1">
        <v>436</v>
      </c>
      <c r="M685" s="1">
        <v>271</v>
      </c>
      <c r="N685" s="1">
        <v>23155000</v>
      </c>
      <c r="O685" s="1"/>
      <c r="P685" s="1">
        <v>1</v>
      </c>
      <c r="Q685" s="1">
        <v>0</v>
      </c>
    </row>
    <row r="686">
      <c r="A686" s="1">
        <v>2023</v>
      </c>
      <c r="B686" s="1">
        <v>41</v>
      </c>
      <c r="C686" s="1">
        <v>51</v>
      </c>
      <c r="D686" t="s">
        <v>3</v>
      </c>
      <c r="E686" t="s">
        <v>6</v>
      </c>
      <c r="F686" s="1">
        <v>41051</v>
      </c>
      <c r="G686" s="1">
        <v>24</v>
      </c>
      <c r="H686" s="1">
        <v>31</v>
      </c>
      <c r="I686" t="s">
        <v>24</v>
      </c>
      <c r="J686" t="s">
        <v>103</v>
      </c>
      <c r="K686" s="1">
        <v>24031</v>
      </c>
      <c r="L686" s="1">
        <v>125</v>
      </c>
      <c r="M686" s="1">
        <v>124</v>
      </c>
      <c r="N686" s="1">
        <v>3252500</v>
      </c>
      <c r="O686" s="1">
        <v>24031</v>
      </c>
      <c r="P686" s="1">
        <v>1</v>
      </c>
      <c r="Q686" s="1">
        <v>0</v>
      </c>
    </row>
    <row r="687">
      <c r="A687" s="1">
        <v>2023</v>
      </c>
      <c r="B687" s="1">
        <v>41</v>
      </c>
      <c r="C687" s="1">
        <v>51</v>
      </c>
      <c r="D687" t="s">
        <v>3</v>
      </c>
      <c r="E687" t="s">
        <v>6</v>
      </c>
      <c r="F687" s="1">
        <v>41051</v>
      </c>
      <c r="G687" s="1">
        <v>24</v>
      </c>
      <c r="H687" s="1">
        <v>510</v>
      </c>
      <c r="I687" t="s">
        <v>24</v>
      </c>
      <c r="J687" t="s">
        <v>190</v>
      </c>
      <c r="K687" s="1">
        <v>24510</v>
      </c>
      <c r="L687" s="1">
        <v>78</v>
      </c>
      <c r="M687" s="1"/>
      <c r="N687" s="1">
        <v>9360000</v>
      </c>
      <c r="O687" s="1">
        <v>24510</v>
      </c>
      <c r="P687" s="1">
        <v>1</v>
      </c>
      <c r="Q687" s="1">
        <v>0</v>
      </c>
    </row>
    <row r="688">
      <c r="A688" s="1">
        <v>2023</v>
      </c>
      <c r="B688" s="1">
        <v>41</v>
      </c>
      <c r="C688" s="1">
        <v>51</v>
      </c>
      <c r="D688" t="s">
        <v>3</v>
      </c>
      <c r="E688" t="s">
        <v>6</v>
      </c>
      <c r="F688" s="1">
        <v>41051</v>
      </c>
      <c r="G688" s="1">
        <v>25</v>
      </c>
      <c r="H688" s="1">
        <v>9</v>
      </c>
      <c r="I688" t="s">
        <v>25</v>
      </c>
      <c r="J688" t="s">
        <v>305</v>
      </c>
      <c r="K688" s="1">
        <v>25009</v>
      </c>
      <c r="L688" s="1">
        <v>126</v>
      </c>
      <c r="M688" s="1">
        <v>63</v>
      </c>
      <c r="N688" s="1">
        <v>10632200</v>
      </c>
      <c r="O688" s="1">
        <v>25009</v>
      </c>
      <c r="P688" s="1">
        <v>1</v>
      </c>
      <c r="Q688" s="1">
        <v>0</v>
      </c>
    </row>
    <row r="689">
      <c r="A689" s="1">
        <v>2023</v>
      </c>
      <c r="B689" s="1">
        <v>41</v>
      </c>
      <c r="C689" s="1">
        <v>51</v>
      </c>
      <c r="D689" t="s">
        <v>3</v>
      </c>
      <c r="E689" t="s">
        <v>6</v>
      </c>
      <c r="F689" s="1">
        <v>41051</v>
      </c>
      <c r="G689" s="1">
        <v>26</v>
      </c>
      <c r="H689" s="1">
        <v>0</v>
      </c>
      <c r="I689" t="s">
        <v>411</v>
      </c>
      <c r="J689" t="s">
        <v>276</v>
      </c>
      <c r="K689" s="1">
        <v>26000</v>
      </c>
      <c r="L689" s="1">
        <v>127</v>
      </c>
      <c r="M689" s="1">
        <v>127</v>
      </c>
      <c r="N689" s="1">
        <v>1778000</v>
      </c>
      <c r="O689" s="1"/>
      <c r="P689" s="1">
        <v>1</v>
      </c>
      <c r="Q689" s="1">
        <v>0</v>
      </c>
    </row>
    <row r="690">
      <c r="A690" s="1">
        <v>2023</v>
      </c>
      <c r="B690" s="1">
        <v>41</v>
      </c>
      <c r="C690" s="1">
        <v>51</v>
      </c>
      <c r="D690" t="s">
        <v>3</v>
      </c>
      <c r="E690" t="s">
        <v>6</v>
      </c>
      <c r="F690" s="1">
        <v>41051</v>
      </c>
      <c r="G690" s="1">
        <v>26</v>
      </c>
      <c r="H690" s="1">
        <v>77</v>
      </c>
      <c r="I690" t="s">
        <v>26</v>
      </c>
      <c r="J690" t="s">
        <v>328</v>
      </c>
      <c r="K690" s="1">
        <v>26077</v>
      </c>
      <c r="L690" s="1">
        <v>70</v>
      </c>
      <c r="M690" s="1">
        <v>70</v>
      </c>
      <c r="N690" s="1">
        <v>3850000</v>
      </c>
      <c r="O690" s="1">
        <v>26077</v>
      </c>
      <c r="P690" s="1">
        <v>1</v>
      </c>
      <c r="Q690" s="1">
        <v>0</v>
      </c>
    </row>
    <row r="691">
      <c r="A691" s="1">
        <v>2023</v>
      </c>
      <c r="B691" s="1">
        <v>41</v>
      </c>
      <c r="C691" s="1">
        <v>51</v>
      </c>
      <c r="D691" t="s">
        <v>3</v>
      </c>
      <c r="E691" t="s">
        <v>6</v>
      </c>
      <c r="F691" s="1">
        <v>41051</v>
      </c>
      <c r="G691" s="1">
        <v>26</v>
      </c>
      <c r="H691" s="1">
        <v>125</v>
      </c>
      <c r="I691" t="s">
        <v>26</v>
      </c>
      <c r="J691" t="s">
        <v>194</v>
      </c>
      <c r="K691" s="1">
        <v>26125</v>
      </c>
      <c r="L691" s="1">
        <v>91</v>
      </c>
      <c r="M691" s="1">
        <v>91</v>
      </c>
      <c r="N691" s="1">
        <v>4004000</v>
      </c>
      <c r="O691" s="1">
        <v>26125</v>
      </c>
      <c r="P691" s="1">
        <v>1</v>
      </c>
      <c r="Q691" s="1">
        <v>0</v>
      </c>
    </row>
    <row r="692">
      <c r="A692" s="1">
        <v>2023</v>
      </c>
      <c r="B692" s="1">
        <v>41</v>
      </c>
      <c r="C692" s="1">
        <v>51</v>
      </c>
      <c r="D692" t="s">
        <v>3</v>
      </c>
      <c r="E692" t="s">
        <v>6</v>
      </c>
      <c r="F692" s="1">
        <v>41051</v>
      </c>
      <c r="G692" s="1">
        <v>27</v>
      </c>
      <c r="H692" s="1">
        <v>0</v>
      </c>
      <c r="I692" t="s">
        <v>411</v>
      </c>
      <c r="J692" t="s">
        <v>276</v>
      </c>
      <c r="K692" s="1">
        <v>27000</v>
      </c>
      <c r="L692" s="1">
        <v>69</v>
      </c>
      <c r="M692" s="1">
        <v>19</v>
      </c>
      <c r="N692" s="1">
        <v>2950000</v>
      </c>
      <c r="O692" s="1"/>
      <c r="P692" s="1">
        <v>1</v>
      </c>
      <c r="Q692" s="1">
        <v>0</v>
      </c>
    </row>
    <row r="693">
      <c r="A693" s="1">
        <v>2023</v>
      </c>
      <c r="B693" s="1">
        <v>41</v>
      </c>
      <c r="C693" s="1">
        <v>51</v>
      </c>
      <c r="D693" t="s">
        <v>3</v>
      </c>
      <c r="E693" t="s">
        <v>6</v>
      </c>
      <c r="F693" s="1">
        <v>41051</v>
      </c>
      <c r="G693" s="1">
        <v>27</v>
      </c>
      <c r="H693" s="1">
        <v>53</v>
      </c>
      <c r="I693" t="s">
        <v>27</v>
      </c>
      <c r="J693" t="s">
        <v>107</v>
      </c>
      <c r="K693" s="1">
        <v>27053</v>
      </c>
      <c r="L693" s="1">
        <v>415</v>
      </c>
      <c r="M693" s="1">
        <v>291</v>
      </c>
      <c r="N693" s="1">
        <v>39552000</v>
      </c>
      <c r="O693" s="1">
        <v>27053</v>
      </c>
      <c r="P693" s="1">
        <v>1</v>
      </c>
      <c r="Q693" s="1">
        <v>0</v>
      </c>
    </row>
    <row r="694">
      <c r="A694" s="1">
        <v>2023</v>
      </c>
      <c r="B694" s="1">
        <v>41</v>
      </c>
      <c r="C694" s="1">
        <v>51</v>
      </c>
      <c r="D694" t="s">
        <v>3</v>
      </c>
      <c r="E694" t="s">
        <v>6</v>
      </c>
      <c r="F694" s="1">
        <v>41051</v>
      </c>
      <c r="G694" s="1">
        <v>27</v>
      </c>
      <c r="H694" s="1">
        <v>163</v>
      </c>
      <c r="I694" t="s">
        <v>27</v>
      </c>
      <c r="J694" t="s">
        <v>143</v>
      </c>
      <c r="K694" s="1">
        <v>27163</v>
      </c>
      <c r="L694" s="1">
        <v>106</v>
      </c>
      <c r="M694" s="1"/>
      <c r="N694" s="1">
        <v>0</v>
      </c>
      <c r="O694" s="1">
        <v>27163</v>
      </c>
      <c r="P694" s="1">
        <v>1</v>
      </c>
      <c r="Q694" s="1">
        <v>0</v>
      </c>
    </row>
    <row r="695">
      <c r="A695" s="1">
        <v>2023</v>
      </c>
      <c r="B695" s="1">
        <v>41</v>
      </c>
      <c r="C695" s="1">
        <v>51</v>
      </c>
      <c r="D695" t="s">
        <v>3</v>
      </c>
      <c r="E695" t="s">
        <v>6</v>
      </c>
      <c r="F695" s="1">
        <v>41051</v>
      </c>
      <c r="G695" s="1">
        <v>29</v>
      </c>
      <c r="H695" s="1">
        <v>95</v>
      </c>
      <c r="I695" t="s">
        <v>44</v>
      </c>
      <c r="J695" t="s">
        <v>133</v>
      </c>
      <c r="K695" s="1">
        <v>29095</v>
      </c>
      <c r="L695" s="1">
        <v>100</v>
      </c>
      <c r="M695" s="1"/>
      <c r="N695" s="1">
        <v>3800000</v>
      </c>
      <c r="O695" s="1">
        <v>29095</v>
      </c>
      <c r="P695" s="1">
        <v>1</v>
      </c>
      <c r="Q695" s="1">
        <v>0</v>
      </c>
    </row>
    <row r="696">
      <c r="A696" s="1">
        <v>2023</v>
      </c>
      <c r="B696" s="1">
        <v>41</v>
      </c>
      <c r="C696" s="1">
        <v>51</v>
      </c>
      <c r="D696" t="s">
        <v>3</v>
      </c>
      <c r="E696" t="s">
        <v>6</v>
      </c>
      <c r="F696" s="1">
        <v>41051</v>
      </c>
      <c r="G696" s="1">
        <v>30</v>
      </c>
      <c r="H696" s="1">
        <v>31</v>
      </c>
      <c r="I696" t="s">
        <v>28</v>
      </c>
      <c r="J696" t="s">
        <v>109</v>
      </c>
      <c r="K696" s="1">
        <v>30031</v>
      </c>
      <c r="L696" s="1">
        <v>170</v>
      </c>
      <c r="M696" s="1">
        <v>170</v>
      </c>
      <c r="N696" s="1">
        <v>5627000</v>
      </c>
      <c r="O696" s="1">
        <v>30031</v>
      </c>
      <c r="P696" s="1">
        <v>1</v>
      </c>
      <c r="Q696" s="1">
        <v>0</v>
      </c>
    </row>
    <row r="697">
      <c r="A697" s="1">
        <v>2023</v>
      </c>
      <c r="B697" s="1">
        <v>41</v>
      </c>
      <c r="C697" s="1">
        <v>51</v>
      </c>
      <c r="D697" t="s">
        <v>3</v>
      </c>
      <c r="E697" t="s">
        <v>6</v>
      </c>
      <c r="F697" s="1">
        <v>41051</v>
      </c>
      <c r="G697" s="1">
        <v>31</v>
      </c>
      <c r="H697" s="1">
        <v>55</v>
      </c>
      <c r="I697" t="s">
        <v>45</v>
      </c>
      <c r="J697" t="s">
        <v>131</v>
      </c>
      <c r="K697" s="1">
        <v>31055</v>
      </c>
      <c r="L697" s="1">
        <v>81</v>
      </c>
      <c r="M697" s="1"/>
      <c r="N697" s="1">
        <v>1458000</v>
      </c>
      <c r="O697" s="1">
        <v>31055</v>
      </c>
      <c r="P697" s="1">
        <v>1</v>
      </c>
      <c r="Q697" s="1">
        <v>0</v>
      </c>
    </row>
    <row r="698">
      <c r="A698" s="1">
        <v>2023</v>
      </c>
      <c r="B698" s="1">
        <v>41</v>
      </c>
      <c r="C698" s="1">
        <v>51</v>
      </c>
      <c r="D698" t="s">
        <v>3</v>
      </c>
      <c r="E698" t="s">
        <v>6</v>
      </c>
      <c r="F698" s="1">
        <v>41051</v>
      </c>
      <c r="G698" s="1">
        <v>32</v>
      </c>
      <c r="H698" s="1">
        <v>3</v>
      </c>
      <c r="I698" t="s">
        <v>29</v>
      </c>
      <c r="J698" t="s">
        <v>112</v>
      </c>
      <c r="K698" s="1">
        <v>32003</v>
      </c>
      <c r="L698" s="1">
        <v>667</v>
      </c>
      <c r="M698" s="1">
        <v>186</v>
      </c>
      <c r="N698" s="1">
        <v>11971600</v>
      </c>
      <c r="O698" s="1">
        <v>32003</v>
      </c>
      <c r="P698" s="1">
        <v>1</v>
      </c>
      <c r="Q698" s="1">
        <v>0</v>
      </c>
    </row>
    <row r="699">
      <c r="A699" s="1">
        <v>2023</v>
      </c>
      <c r="B699" s="1">
        <v>41</v>
      </c>
      <c r="C699" s="1">
        <v>51</v>
      </c>
      <c r="D699" t="s">
        <v>3</v>
      </c>
      <c r="E699" t="s">
        <v>6</v>
      </c>
      <c r="F699" s="1">
        <v>41051</v>
      </c>
      <c r="G699" s="1">
        <v>34</v>
      </c>
      <c r="H699" s="1">
        <v>7</v>
      </c>
      <c r="I699" t="s">
        <v>46</v>
      </c>
      <c r="J699" t="s">
        <v>329</v>
      </c>
      <c r="K699" s="1">
        <v>34007</v>
      </c>
      <c r="L699" s="1">
        <v>49</v>
      </c>
      <c r="M699" s="1">
        <v>49</v>
      </c>
      <c r="N699" s="1">
        <v>1661100</v>
      </c>
      <c r="O699" s="1">
        <v>34007</v>
      </c>
      <c r="P699" s="1">
        <v>1</v>
      </c>
      <c r="Q699" s="1">
        <v>0</v>
      </c>
    </row>
    <row r="700">
      <c r="A700" s="1">
        <v>2023</v>
      </c>
      <c r="B700" s="1">
        <v>41</v>
      </c>
      <c r="C700" s="1">
        <v>51</v>
      </c>
      <c r="D700" t="s">
        <v>3</v>
      </c>
      <c r="E700" t="s">
        <v>6</v>
      </c>
      <c r="F700" s="1">
        <v>41051</v>
      </c>
      <c r="G700" s="1">
        <v>34</v>
      </c>
      <c r="H700" s="1">
        <v>19</v>
      </c>
      <c r="I700" t="s">
        <v>46</v>
      </c>
      <c r="J700" t="s">
        <v>330</v>
      </c>
      <c r="K700" s="1">
        <v>34019</v>
      </c>
      <c r="L700" s="1">
        <v>46</v>
      </c>
      <c r="M700" s="1">
        <v>24</v>
      </c>
      <c r="N700" s="1">
        <v>1490000</v>
      </c>
      <c r="O700" s="1">
        <v>34019</v>
      </c>
      <c r="P700" s="1">
        <v>1</v>
      </c>
      <c r="Q700" s="1">
        <v>0</v>
      </c>
    </row>
    <row r="701">
      <c r="A701" s="1">
        <v>2023</v>
      </c>
      <c r="B701" s="1">
        <v>41</v>
      </c>
      <c r="C701" s="1">
        <v>51</v>
      </c>
      <c r="D701" t="s">
        <v>3</v>
      </c>
      <c r="E701" t="s">
        <v>6</v>
      </c>
      <c r="F701" s="1">
        <v>41051</v>
      </c>
      <c r="G701" s="1">
        <v>36</v>
      </c>
      <c r="H701" s="1">
        <v>13</v>
      </c>
      <c r="I701" t="s">
        <v>31</v>
      </c>
      <c r="J701" t="s">
        <v>331</v>
      </c>
      <c r="K701" s="1">
        <v>36013</v>
      </c>
      <c r="L701" s="1">
        <v>93</v>
      </c>
      <c r="M701" s="1">
        <v>56</v>
      </c>
      <c r="N701" s="1">
        <v>3323000</v>
      </c>
      <c r="O701" s="1">
        <v>36013</v>
      </c>
      <c r="P701" s="1">
        <v>1</v>
      </c>
      <c r="Q701" s="1">
        <v>0</v>
      </c>
    </row>
    <row r="702">
      <c r="A702" s="1">
        <v>2023</v>
      </c>
      <c r="B702" s="1">
        <v>41</v>
      </c>
      <c r="C702" s="1">
        <v>51</v>
      </c>
      <c r="D702" t="s">
        <v>3</v>
      </c>
      <c r="E702" t="s">
        <v>6</v>
      </c>
      <c r="F702" s="1">
        <v>41051</v>
      </c>
      <c r="G702" s="1">
        <v>36</v>
      </c>
      <c r="H702" s="1">
        <v>47</v>
      </c>
      <c r="I702" t="s">
        <v>31</v>
      </c>
      <c r="J702" t="s">
        <v>116</v>
      </c>
      <c r="K702" s="1">
        <v>36047</v>
      </c>
      <c r="L702" s="1">
        <v>120</v>
      </c>
      <c r="M702" s="1">
        <v>84</v>
      </c>
      <c r="N702" s="1">
        <v>22602000</v>
      </c>
      <c r="O702" s="1">
        <v>36047</v>
      </c>
      <c r="P702" s="1">
        <v>1</v>
      </c>
      <c r="Q702" s="1">
        <v>0</v>
      </c>
    </row>
    <row r="703">
      <c r="A703" s="1">
        <v>2023</v>
      </c>
      <c r="B703" s="1">
        <v>41</v>
      </c>
      <c r="C703" s="1">
        <v>51</v>
      </c>
      <c r="D703" t="s">
        <v>3</v>
      </c>
      <c r="E703" t="s">
        <v>6</v>
      </c>
      <c r="F703" s="1">
        <v>41051</v>
      </c>
      <c r="G703" s="1">
        <v>36</v>
      </c>
      <c r="H703" s="1">
        <v>59</v>
      </c>
      <c r="I703" t="s">
        <v>31</v>
      </c>
      <c r="J703" t="s">
        <v>316</v>
      </c>
      <c r="K703" s="1">
        <v>36059</v>
      </c>
      <c r="L703" s="1">
        <v>80</v>
      </c>
      <c r="M703" s="1">
        <v>47</v>
      </c>
      <c r="N703" s="1">
        <v>21195000</v>
      </c>
      <c r="O703" s="1">
        <v>36059</v>
      </c>
      <c r="P703" s="1">
        <v>1</v>
      </c>
      <c r="Q703" s="1">
        <v>0</v>
      </c>
    </row>
    <row r="704">
      <c r="A704" s="1">
        <v>2023</v>
      </c>
      <c r="B704" s="1">
        <v>41</v>
      </c>
      <c r="C704" s="1">
        <v>51</v>
      </c>
      <c r="D704" t="s">
        <v>3</v>
      </c>
      <c r="E704" t="s">
        <v>6</v>
      </c>
      <c r="F704" s="1">
        <v>41051</v>
      </c>
      <c r="G704" s="1">
        <v>36</v>
      </c>
      <c r="H704" s="1">
        <v>61</v>
      </c>
      <c r="I704" t="s">
        <v>31</v>
      </c>
      <c r="J704" t="s">
        <v>117</v>
      </c>
      <c r="K704" s="1">
        <v>36061</v>
      </c>
      <c r="L704" s="1">
        <v>49</v>
      </c>
      <c r="M704" s="1">
        <v>48</v>
      </c>
      <c r="N704" s="1">
        <v>1274000</v>
      </c>
      <c r="O704" s="1">
        <v>36061</v>
      </c>
      <c r="P704" s="1">
        <v>1</v>
      </c>
      <c r="Q704" s="1">
        <v>0</v>
      </c>
    </row>
    <row r="705">
      <c r="A705" s="1">
        <v>2023</v>
      </c>
      <c r="B705" s="1">
        <v>41</v>
      </c>
      <c r="C705" s="1">
        <v>51</v>
      </c>
      <c r="D705" t="s">
        <v>3</v>
      </c>
      <c r="E705" t="s">
        <v>6</v>
      </c>
      <c r="F705" s="1">
        <v>41051</v>
      </c>
      <c r="G705" s="1">
        <v>37</v>
      </c>
      <c r="H705" s="1">
        <v>21</v>
      </c>
      <c r="I705" t="s">
        <v>32</v>
      </c>
      <c r="J705" t="s">
        <v>120</v>
      </c>
      <c r="K705" s="1">
        <v>37021</v>
      </c>
      <c r="L705" s="1">
        <v>274</v>
      </c>
      <c r="M705" s="1">
        <v>199</v>
      </c>
      <c r="N705" s="1">
        <v>21506500</v>
      </c>
      <c r="O705" s="1">
        <v>37021</v>
      </c>
      <c r="P705" s="1">
        <v>1</v>
      </c>
      <c r="Q705" s="1">
        <v>0</v>
      </c>
    </row>
    <row r="706">
      <c r="A706" s="1">
        <v>2023</v>
      </c>
      <c r="B706" s="1">
        <v>41</v>
      </c>
      <c r="C706" s="1">
        <v>51</v>
      </c>
      <c r="D706" t="s">
        <v>3</v>
      </c>
      <c r="E706" t="s">
        <v>6</v>
      </c>
      <c r="F706" s="1">
        <v>41051</v>
      </c>
      <c r="G706" s="1">
        <v>37</v>
      </c>
      <c r="H706" s="1">
        <v>63</v>
      </c>
      <c r="I706" t="s">
        <v>32</v>
      </c>
      <c r="J706" t="s">
        <v>205</v>
      </c>
      <c r="K706" s="1">
        <v>37063</v>
      </c>
      <c r="L706" s="1">
        <v>51</v>
      </c>
      <c r="M706" s="1">
        <v>51</v>
      </c>
      <c r="N706" s="1">
        <v>2040000</v>
      </c>
      <c r="O706" s="1">
        <v>37063</v>
      </c>
      <c r="P706" s="1">
        <v>1</v>
      </c>
      <c r="Q706" s="1">
        <v>0</v>
      </c>
    </row>
    <row r="707">
      <c r="A707" s="1">
        <v>2023</v>
      </c>
      <c r="B707" s="1">
        <v>41</v>
      </c>
      <c r="C707" s="1">
        <v>51</v>
      </c>
      <c r="D707" t="s">
        <v>3</v>
      </c>
      <c r="E707" t="s">
        <v>6</v>
      </c>
      <c r="F707" s="1">
        <v>41051</v>
      </c>
      <c r="G707" s="1">
        <v>40</v>
      </c>
      <c r="H707" s="1">
        <v>0</v>
      </c>
      <c r="I707" t="s">
        <v>411</v>
      </c>
      <c r="J707" t="s">
        <v>276</v>
      </c>
      <c r="K707" s="1">
        <v>40000</v>
      </c>
      <c r="L707" s="1">
        <v>64</v>
      </c>
      <c r="M707" s="1"/>
      <c r="N707" s="1">
        <v>307200</v>
      </c>
      <c r="O707" s="1"/>
      <c r="P707" s="1">
        <v>1</v>
      </c>
      <c r="Q707" s="1">
        <v>0</v>
      </c>
    </row>
    <row r="708">
      <c r="A708" s="1">
        <v>2023</v>
      </c>
      <c r="B708" s="1">
        <v>41</v>
      </c>
      <c r="C708" s="1">
        <v>51</v>
      </c>
      <c r="D708" t="s">
        <v>3</v>
      </c>
      <c r="E708" t="s">
        <v>6</v>
      </c>
      <c r="F708" s="1">
        <v>41051</v>
      </c>
      <c r="G708" s="1">
        <v>40</v>
      </c>
      <c r="H708" s="1">
        <v>143</v>
      </c>
      <c r="I708" t="s">
        <v>47</v>
      </c>
      <c r="J708" t="s">
        <v>233</v>
      </c>
      <c r="K708" s="1">
        <v>40143</v>
      </c>
      <c r="L708" s="1">
        <v>264</v>
      </c>
      <c r="M708" s="1">
        <v>118</v>
      </c>
      <c r="N708" s="1">
        <v>4130000</v>
      </c>
      <c r="O708" s="1">
        <v>40143</v>
      </c>
      <c r="P708" s="1">
        <v>1</v>
      </c>
      <c r="Q708" s="1">
        <v>0</v>
      </c>
    </row>
    <row r="709">
      <c r="A709" s="1">
        <v>2023</v>
      </c>
      <c r="B709" s="1">
        <v>41</v>
      </c>
      <c r="C709" s="1">
        <v>51</v>
      </c>
      <c r="D709" t="s">
        <v>3</v>
      </c>
      <c r="E709" t="s">
        <v>6</v>
      </c>
      <c r="F709" s="1">
        <v>41051</v>
      </c>
      <c r="G709" s="1">
        <v>41</v>
      </c>
      <c r="H709" s="1">
        <v>0</v>
      </c>
      <c r="I709" t="s">
        <v>411</v>
      </c>
      <c r="J709" t="s">
        <v>276</v>
      </c>
      <c r="K709" s="1">
        <v>41000</v>
      </c>
      <c r="L709" s="1">
        <v>6123</v>
      </c>
      <c r="M709" s="1">
        <v>2532</v>
      </c>
      <c r="N709" s="1">
        <v>417996300</v>
      </c>
      <c r="O709" s="1"/>
      <c r="P709" s="1">
        <v>1</v>
      </c>
      <c r="Q709" s="1">
        <v>0</v>
      </c>
    </row>
    <row r="710">
      <c r="A710" s="1">
        <v>2023</v>
      </c>
      <c r="B710" s="1">
        <v>41</v>
      </c>
      <c r="C710" s="1">
        <v>51</v>
      </c>
      <c r="D710" t="s">
        <v>3</v>
      </c>
      <c r="E710" t="s">
        <v>6</v>
      </c>
      <c r="F710" s="1">
        <v>41051</v>
      </c>
      <c r="G710" s="1">
        <v>41</v>
      </c>
      <c r="H710" s="1">
        <v>5</v>
      </c>
      <c r="I710" t="s">
        <v>3</v>
      </c>
      <c r="J710" t="s">
        <v>125</v>
      </c>
      <c r="K710" s="1">
        <v>41005</v>
      </c>
      <c r="L710" s="1">
        <v>5964</v>
      </c>
      <c r="M710" s="1">
        <v>2806</v>
      </c>
      <c r="N710" s="1">
        <v>785269050</v>
      </c>
      <c r="O710" s="1">
        <v>41005</v>
      </c>
      <c r="P710" s="1">
        <v>1</v>
      </c>
      <c r="Q710" s="1">
        <v>0</v>
      </c>
    </row>
    <row r="711">
      <c r="A711" s="1">
        <v>2023</v>
      </c>
      <c r="B711" s="1">
        <v>41</v>
      </c>
      <c r="C711" s="1">
        <v>51</v>
      </c>
      <c r="D711" t="s">
        <v>3</v>
      </c>
      <c r="E711" t="s">
        <v>6</v>
      </c>
      <c r="F711" s="1">
        <v>41051</v>
      </c>
      <c r="G711" s="1">
        <v>41</v>
      </c>
      <c r="H711" s="1">
        <v>19</v>
      </c>
      <c r="I711" t="s">
        <v>3</v>
      </c>
      <c r="J711" t="s">
        <v>131</v>
      </c>
      <c r="K711" s="1">
        <v>41019</v>
      </c>
      <c r="L711" s="1">
        <v>65</v>
      </c>
      <c r="M711" s="1"/>
      <c r="N711" s="1">
        <v>403000</v>
      </c>
      <c r="O711" s="1">
        <v>41019</v>
      </c>
      <c r="P711" s="1">
        <v>1</v>
      </c>
      <c r="Q711" s="1">
        <v>0</v>
      </c>
    </row>
    <row r="712">
      <c r="A712" s="1">
        <v>2023</v>
      </c>
      <c r="B712" s="1">
        <v>41</v>
      </c>
      <c r="C712" s="1">
        <v>51</v>
      </c>
      <c r="D712" t="s">
        <v>3</v>
      </c>
      <c r="E712" t="s">
        <v>6</v>
      </c>
      <c r="F712" s="1">
        <v>41051</v>
      </c>
      <c r="G712" s="1">
        <v>41</v>
      </c>
      <c r="H712" s="1">
        <v>29</v>
      </c>
      <c r="I712" t="s">
        <v>3</v>
      </c>
      <c r="J712" t="s">
        <v>133</v>
      </c>
      <c r="K712" s="1">
        <v>41029</v>
      </c>
      <c r="L712" s="1">
        <v>159</v>
      </c>
      <c r="M712" s="1">
        <v>157</v>
      </c>
      <c r="N712" s="1">
        <v>9338600</v>
      </c>
      <c r="O712" s="1">
        <v>41029</v>
      </c>
      <c r="P712" s="1">
        <v>1</v>
      </c>
      <c r="Q712" s="1">
        <v>0</v>
      </c>
    </row>
    <row r="713">
      <c r="A713" s="1">
        <v>2023</v>
      </c>
      <c r="B713" s="1">
        <v>41</v>
      </c>
      <c r="C713" s="1">
        <v>51</v>
      </c>
      <c r="D713" t="s">
        <v>3</v>
      </c>
      <c r="E713" t="s">
        <v>6</v>
      </c>
      <c r="F713" s="1">
        <v>41051</v>
      </c>
      <c r="G713" s="1">
        <v>41</v>
      </c>
      <c r="H713" s="1">
        <v>39</v>
      </c>
      <c r="I713" t="s">
        <v>3</v>
      </c>
      <c r="J713" t="s">
        <v>136</v>
      </c>
      <c r="K713" s="1">
        <v>41039</v>
      </c>
      <c r="L713" s="1">
        <v>671</v>
      </c>
      <c r="M713" s="1">
        <v>382</v>
      </c>
      <c r="N713" s="1">
        <v>57517200</v>
      </c>
      <c r="O713" s="1">
        <v>41039</v>
      </c>
      <c r="P713" s="1">
        <v>1</v>
      </c>
      <c r="Q713" s="1">
        <v>0</v>
      </c>
    </row>
    <row r="714">
      <c r="A714" s="1">
        <v>2023</v>
      </c>
      <c r="B714" s="1">
        <v>41</v>
      </c>
      <c r="C714" s="1">
        <v>51</v>
      </c>
      <c r="D714" t="s">
        <v>3</v>
      </c>
      <c r="E714" t="s">
        <v>6</v>
      </c>
      <c r="F714" s="1">
        <v>41051</v>
      </c>
      <c r="G714" s="1">
        <v>41</v>
      </c>
      <c r="H714" s="1">
        <v>47</v>
      </c>
      <c r="I714" t="s">
        <v>3</v>
      </c>
      <c r="J714" t="s">
        <v>99</v>
      </c>
      <c r="K714" s="1">
        <v>41047</v>
      </c>
      <c r="L714" s="1">
        <v>808</v>
      </c>
      <c r="M714" s="1">
        <v>468</v>
      </c>
      <c r="N714" s="1">
        <v>27756000</v>
      </c>
      <c r="O714" s="1">
        <v>41047</v>
      </c>
      <c r="P714" s="1">
        <v>1</v>
      </c>
      <c r="Q714" s="1">
        <v>0</v>
      </c>
    </row>
    <row r="715">
      <c r="A715" s="1">
        <v>2023</v>
      </c>
      <c r="B715" s="1">
        <v>41</v>
      </c>
      <c r="C715" s="1">
        <v>51</v>
      </c>
      <c r="D715" t="s">
        <v>3</v>
      </c>
      <c r="E715" t="s">
        <v>6</v>
      </c>
      <c r="F715" s="1">
        <v>41051</v>
      </c>
      <c r="G715" s="1">
        <v>41</v>
      </c>
      <c r="H715" s="1">
        <v>51</v>
      </c>
      <c r="I715" t="s">
        <v>3</v>
      </c>
      <c r="J715" t="s">
        <v>6</v>
      </c>
      <c r="K715" s="1">
        <v>41051</v>
      </c>
      <c r="L715" s="1">
        <v>580087</v>
      </c>
      <c r="M715" s="1">
        <v>327299</v>
      </c>
      <c r="N715" s="1">
        <v>37462494354</v>
      </c>
      <c r="O715" s="1">
        <v>41051</v>
      </c>
      <c r="P715" s="1">
        <v>1</v>
      </c>
      <c r="Q715" s="1">
        <v>1</v>
      </c>
    </row>
    <row r="716">
      <c r="A716" s="1">
        <v>2023</v>
      </c>
      <c r="B716" s="1">
        <v>41</v>
      </c>
      <c r="C716" s="1">
        <v>51</v>
      </c>
      <c r="D716" t="s">
        <v>3</v>
      </c>
      <c r="E716" t="s">
        <v>6</v>
      </c>
      <c r="F716" s="1">
        <v>41051</v>
      </c>
      <c r="G716" s="1">
        <v>41</v>
      </c>
      <c r="H716" s="1">
        <v>67</v>
      </c>
      <c r="I716" t="s">
        <v>3</v>
      </c>
      <c r="J716" t="s">
        <v>143</v>
      </c>
      <c r="K716" s="1">
        <v>41067</v>
      </c>
      <c r="L716" s="1">
        <v>5786</v>
      </c>
      <c r="M716" s="1">
        <v>2872</v>
      </c>
      <c r="N716" s="1">
        <v>403495840</v>
      </c>
      <c r="O716" s="1">
        <v>41067</v>
      </c>
      <c r="P716" s="1">
        <v>1</v>
      </c>
      <c r="Q716" s="1">
        <v>0</v>
      </c>
    </row>
    <row r="717">
      <c r="A717" s="1">
        <v>2023</v>
      </c>
      <c r="B717" s="1">
        <v>41</v>
      </c>
      <c r="C717" s="1">
        <v>51</v>
      </c>
      <c r="D717" t="s">
        <v>3</v>
      </c>
      <c r="E717" t="s">
        <v>6</v>
      </c>
      <c r="F717" s="1">
        <v>41051</v>
      </c>
      <c r="G717" s="1">
        <v>41</v>
      </c>
      <c r="H717" s="1">
        <v>71</v>
      </c>
      <c r="I717" t="s">
        <v>3</v>
      </c>
      <c r="J717" t="s">
        <v>144</v>
      </c>
      <c r="K717" s="1">
        <v>41071</v>
      </c>
      <c r="L717" s="1">
        <v>203</v>
      </c>
      <c r="M717" s="1">
        <v>104</v>
      </c>
      <c r="N717" s="1">
        <v>14102000</v>
      </c>
      <c r="O717" s="1">
        <v>41071</v>
      </c>
      <c r="P717" s="1">
        <v>1</v>
      </c>
      <c r="Q717" s="1">
        <v>0</v>
      </c>
    </row>
    <row r="718">
      <c r="A718" s="1">
        <v>2023</v>
      </c>
      <c r="B718" s="1">
        <v>41</v>
      </c>
      <c r="C718" s="1">
        <v>51</v>
      </c>
      <c r="D718" t="s">
        <v>3</v>
      </c>
      <c r="E718" t="s">
        <v>6</v>
      </c>
      <c r="F718" s="1">
        <v>41051</v>
      </c>
      <c r="G718" s="1">
        <v>42</v>
      </c>
      <c r="H718" s="1">
        <v>49</v>
      </c>
      <c r="I718" t="s">
        <v>34</v>
      </c>
      <c r="J718" t="s">
        <v>202</v>
      </c>
      <c r="K718" s="1">
        <v>42049</v>
      </c>
      <c r="L718" s="1">
        <v>182</v>
      </c>
      <c r="M718" s="1">
        <v>182</v>
      </c>
      <c r="N718" s="1">
        <v>13286000</v>
      </c>
      <c r="O718" s="1">
        <v>42049</v>
      </c>
      <c r="P718" s="1">
        <v>1</v>
      </c>
      <c r="Q718" s="1">
        <v>0</v>
      </c>
    </row>
    <row r="719">
      <c r="A719" s="1">
        <v>2023</v>
      </c>
      <c r="B719" s="1">
        <v>41</v>
      </c>
      <c r="C719" s="1">
        <v>51</v>
      </c>
      <c r="D719" t="s">
        <v>3</v>
      </c>
      <c r="E719" t="s">
        <v>6</v>
      </c>
      <c r="F719" s="1">
        <v>41051</v>
      </c>
      <c r="G719" s="1">
        <v>42</v>
      </c>
      <c r="H719" s="1">
        <v>101</v>
      </c>
      <c r="I719" t="s">
        <v>34</v>
      </c>
      <c r="J719" t="s">
        <v>146</v>
      </c>
      <c r="K719" s="1">
        <v>42101</v>
      </c>
      <c r="L719" s="1">
        <v>351</v>
      </c>
      <c r="M719" s="1">
        <v>351</v>
      </c>
      <c r="N719" s="1">
        <v>11583000</v>
      </c>
      <c r="O719" s="1">
        <v>42101</v>
      </c>
      <c r="P719" s="1">
        <v>1</v>
      </c>
      <c r="Q719" s="1">
        <v>0</v>
      </c>
    </row>
    <row r="720">
      <c r="A720" s="1">
        <v>2023</v>
      </c>
      <c r="B720" s="1">
        <v>41</v>
      </c>
      <c r="C720" s="1">
        <v>51</v>
      </c>
      <c r="D720" t="s">
        <v>3</v>
      </c>
      <c r="E720" t="s">
        <v>6</v>
      </c>
      <c r="F720" s="1">
        <v>41051</v>
      </c>
      <c r="G720" s="1">
        <v>45</v>
      </c>
      <c r="H720" s="1">
        <v>15</v>
      </c>
      <c r="I720" t="s">
        <v>49</v>
      </c>
      <c r="J720" t="s">
        <v>332</v>
      </c>
      <c r="K720" s="1">
        <v>45015</v>
      </c>
      <c r="L720" s="1">
        <v>19</v>
      </c>
      <c r="M720" s="1">
        <v>19</v>
      </c>
      <c r="N720" s="1">
        <v>2109000</v>
      </c>
      <c r="O720" s="1">
        <v>45015</v>
      </c>
      <c r="P720" s="1">
        <v>1</v>
      </c>
      <c r="Q720" s="1">
        <v>0</v>
      </c>
    </row>
    <row r="721">
      <c r="A721" s="1">
        <v>2023</v>
      </c>
      <c r="B721" s="1">
        <v>41</v>
      </c>
      <c r="C721" s="1">
        <v>51</v>
      </c>
      <c r="D721" t="s">
        <v>3</v>
      </c>
      <c r="E721" t="s">
        <v>6</v>
      </c>
      <c r="F721" s="1">
        <v>41051</v>
      </c>
      <c r="G721" s="1">
        <v>46</v>
      </c>
      <c r="H721" s="1">
        <v>0</v>
      </c>
      <c r="I721" t="s">
        <v>411</v>
      </c>
      <c r="J721" t="s">
        <v>276</v>
      </c>
      <c r="K721" s="1">
        <v>46000</v>
      </c>
      <c r="L721" s="1">
        <v>209</v>
      </c>
      <c r="M721" s="1">
        <v>209</v>
      </c>
      <c r="N721" s="1">
        <v>7315000</v>
      </c>
      <c r="O721" s="1"/>
      <c r="P721" s="1">
        <v>1</v>
      </c>
      <c r="Q721" s="1">
        <v>0</v>
      </c>
    </row>
    <row r="722">
      <c r="A722" s="1">
        <v>2023</v>
      </c>
      <c r="B722" s="1">
        <v>41</v>
      </c>
      <c r="C722" s="1">
        <v>51</v>
      </c>
      <c r="D722" t="s">
        <v>3</v>
      </c>
      <c r="E722" t="s">
        <v>6</v>
      </c>
      <c r="F722" s="1">
        <v>41051</v>
      </c>
      <c r="G722" s="1">
        <v>47</v>
      </c>
      <c r="H722" s="1">
        <v>37</v>
      </c>
      <c r="I722" t="s">
        <v>35</v>
      </c>
      <c r="J722" t="s">
        <v>147</v>
      </c>
      <c r="K722" s="1">
        <v>47037</v>
      </c>
      <c r="L722" s="1">
        <v>73</v>
      </c>
      <c r="M722" s="1">
        <v>73</v>
      </c>
      <c r="N722" s="1">
        <v>16060000</v>
      </c>
      <c r="O722" s="1">
        <v>47037</v>
      </c>
      <c r="P722" s="1">
        <v>1</v>
      </c>
      <c r="Q722" s="1">
        <v>0</v>
      </c>
    </row>
    <row r="723">
      <c r="A723" s="1">
        <v>2023</v>
      </c>
      <c r="B723" s="1">
        <v>41</v>
      </c>
      <c r="C723" s="1">
        <v>51</v>
      </c>
      <c r="D723" t="s">
        <v>3</v>
      </c>
      <c r="E723" t="s">
        <v>6</v>
      </c>
      <c r="F723" s="1">
        <v>41051</v>
      </c>
      <c r="G723" s="1">
        <v>48</v>
      </c>
      <c r="H723" s="1">
        <v>0</v>
      </c>
      <c r="I723" t="s">
        <v>411</v>
      </c>
      <c r="J723" t="s">
        <v>276</v>
      </c>
      <c r="K723" s="1">
        <v>48000</v>
      </c>
      <c r="L723" s="1">
        <v>110</v>
      </c>
      <c r="M723" s="1">
        <v>51</v>
      </c>
      <c r="N723" s="1">
        <v>3018000</v>
      </c>
      <c r="O723" s="1"/>
      <c r="P723" s="1">
        <v>1</v>
      </c>
      <c r="Q723" s="1">
        <v>0</v>
      </c>
    </row>
    <row r="724">
      <c r="A724" s="1">
        <v>2023</v>
      </c>
      <c r="B724" s="1">
        <v>41</v>
      </c>
      <c r="C724" s="1">
        <v>51</v>
      </c>
      <c r="D724" t="s">
        <v>3</v>
      </c>
      <c r="E724" t="s">
        <v>6</v>
      </c>
      <c r="F724" s="1">
        <v>41051</v>
      </c>
      <c r="G724" s="1">
        <v>48</v>
      </c>
      <c r="H724" s="1">
        <v>85</v>
      </c>
      <c r="I724" t="s">
        <v>36</v>
      </c>
      <c r="J724" t="s">
        <v>216</v>
      </c>
      <c r="K724" s="1">
        <v>48085</v>
      </c>
      <c r="L724" s="1">
        <v>35</v>
      </c>
      <c r="M724" s="1"/>
      <c r="N724" s="1">
        <v>0</v>
      </c>
      <c r="O724" s="1">
        <v>48085</v>
      </c>
      <c r="P724" s="1">
        <v>1</v>
      </c>
      <c r="Q724" s="1">
        <v>0</v>
      </c>
    </row>
    <row r="725">
      <c r="A725" s="1">
        <v>2023</v>
      </c>
      <c r="B725" s="1">
        <v>41</v>
      </c>
      <c r="C725" s="1">
        <v>51</v>
      </c>
      <c r="D725" t="s">
        <v>3</v>
      </c>
      <c r="E725" t="s">
        <v>6</v>
      </c>
      <c r="F725" s="1">
        <v>41051</v>
      </c>
      <c r="G725" s="1">
        <v>48</v>
      </c>
      <c r="H725" s="1">
        <v>201</v>
      </c>
      <c r="I725" t="s">
        <v>36</v>
      </c>
      <c r="J725" t="s">
        <v>151</v>
      </c>
      <c r="K725" s="1">
        <v>48201</v>
      </c>
      <c r="L725" s="1">
        <v>432</v>
      </c>
      <c r="M725" s="1">
        <v>67</v>
      </c>
      <c r="N725" s="1">
        <v>7746000</v>
      </c>
      <c r="O725" s="1">
        <v>48201</v>
      </c>
      <c r="P725" s="1">
        <v>1</v>
      </c>
      <c r="Q725" s="1">
        <v>0</v>
      </c>
    </row>
    <row r="726">
      <c r="A726" s="1">
        <v>2023</v>
      </c>
      <c r="B726" s="1">
        <v>41</v>
      </c>
      <c r="C726" s="1">
        <v>51</v>
      </c>
      <c r="D726" t="s">
        <v>3</v>
      </c>
      <c r="E726" t="s">
        <v>6</v>
      </c>
      <c r="F726" s="1">
        <v>41051</v>
      </c>
      <c r="G726" s="1">
        <v>48</v>
      </c>
      <c r="H726" s="1">
        <v>453</v>
      </c>
      <c r="I726" t="s">
        <v>36</v>
      </c>
      <c r="J726" t="s">
        <v>153</v>
      </c>
      <c r="K726" s="1">
        <v>48453</v>
      </c>
      <c r="L726" s="1">
        <v>341</v>
      </c>
      <c r="M726" s="1">
        <v>240</v>
      </c>
      <c r="N726" s="1">
        <v>20369300</v>
      </c>
      <c r="O726" s="1">
        <v>48453</v>
      </c>
      <c r="P726" s="1">
        <v>1</v>
      </c>
      <c r="Q726" s="1">
        <v>0</v>
      </c>
    </row>
    <row r="727">
      <c r="A727" s="1">
        <v>2023</v>
      </c>
      <c r="B727" s="1">
        <v>41</v>
      </c>
      <c r="C727" s="1">
        <v>51</v>
      </c>
      <c r="D727" t="s">
        <v>3</v>
      </c>
      <c r="E727" t="s">
        <v>6</v>
      </c>
      <c r="F727" s="1">
        <v>41051</v>
      </c>
      <c r="G727" s="1">
        <v>48</v>
      </c>
      <c r="H727" s="1">
        <v>491</v>
      </c>
      <c r="I727" t="s">
        <v>36</v>
      </c>
      <c r="J727" t="s">
        <v>217</v>
      </c>
      <c r="K727" s="1">
        <v>48491</v>
      </c>
      <c r="L727" s="1">
        <v>183</v>
      </c>
      <c r="M727" s="1">
        <v>88</v>
      </c>
      <c r="N727" s="1">
        <v>4716000</v>
      </c>
      <c r="O727" s="1">
        <v>48491</v>
      </c>
      <c r="P727" s="1">
        <v>1</v>
      </c>
      <c r="Q727" s="1">
        <v>0</v>
      </c>
    </row>
    <row r="728">
      <c r="A728" s="1">
        <v>2023</v>
      </c>
      <c r="B728" s="1">
        <v>41</v>
      </c>
      <c r="C728" s="1">
        <v>51</v>
      </c>
      <c r="D728" t="s">
        <v>3</v>
      </c>
      <c r="E728" t="s">
        <v>6</v>
      </c>
      <c r="F728" s="1">
        <v>41051</v>
      </c>
      <c r="G728" s="1">
        <v>49</v>
      </c>
      <c r="H728" s="1">
        <v>35</v>
      </c>
      <c r="I728" t="s">
        <v>37</v>
      </c>
      <c r="J728" t="s">
        <v>154</v>
      </c>
      <c r="K728" s="1">
        <v>49035</v>
      </c>
      <c r="L728" s="1">
        <v>88</v>
      </c>
      <c r="M728" s="1"/>
      <c r="N728" s="1">
        <v>0</v>
      </c>
      <c r="O728" s="1">
        <v>49035</v>
      </c>
      <c r="P728" s="1">
        <v>1</v>
      </c>
      <c r="Q728" s="1">
        <v>0</v>
      </c>
    </row>
    <row r="729">
      <c r="A729" s="1">
        <v>2023</v>
      </c>
      <c r="B729" s="1">
        <v>41</v>
      </c>
      <c r="C729" s="1">
        <v>51</v>
      </c>
      <c r="D729" t="s">
        <v>3</v>
      </c>
      <c r="E729" t="s">
        <v>6</v>
      </c>
      <c r="F729" s="1">
        <v>41051</v>
      </c>
      <c r="G729" s="1">
        <v>49</v>
      </c>
      <c r="H729" s="1">
        <v>53</v>
      </c>
      <c r="I729" t="s">
        <v>37</v>
      </c>
      <c r="J729" t="s">
        <v>143</v>
      </c>
      <c r="K729" s="1">
        <v>49053</v>
      </c>
      <c r="L729" s="1">
        <v>79</v>
      </c>
      <c r="M729" s="1"/>
      <c r="N729" s="1">
        <v>1185000</v>
      </c>
      <c r="O729" s="1">
        <v>49053</v>
      </c>
      <c r="P729" s="1">
        <v>1</v>
      </c>
      <c r="Q729" s="1">
        <v>0</v>
      </c>
    </row>
    <row r="730">
      <c r="A730" s="1">
        <v>2023</v>
      </c>
      <c r="B730" s="1">
        <v>41</v>
      </c>
      <c r="C730" s="1">
        <v>51</v>
      </c>
      <c r="D730" t="s">
        <v>3</v>
      </c>
      <c r="E730" t="s">
        <v>6</v>
      </c>
      <c r="F730" s="1">
        <v>41051</v>
      </c>
      <c r="G730" s="1">
        <v>49</v>
      </c>
      <c r="H730" s="1">
        <v>57</v>
      </c>
      <c r="I730" t="s">
        <v>37</v>
      </c>
      <c r="J730" t="s">
        <v>220</v>
      </c>
      <c r="K730" s="1">
        <v>49057</v>
      </c>
      <c r="L730" s="1">
        <v>192</v>
      </c>
      <c r="M730" s="1">
        <v>103</v>
      </c>
      <c r="N730" s="1">
        <v>11148300</v>
      </c>
      <c r="O730" s="1">
        <v>49057</v>
      </c>
      <c r="P730" s="1">
        <v>1</v>
      </c>
      <c r="Q730" s="1">
        <v>0</v>
      </c>
    </row>
    <row r="731">
      <c r="A731" s="1">
        <v>2023</v>
      </c>
      <c r="B731" s="1">
        <v>41</v>
      </c>
      <c r="C731" s="1">
        <v>51</v>
      </c>
      <c r="D731" t="s">
        <v>3</v>
      </c>
      <c r="E731" t="s">
        <v>6</v>
      </c>
      <c r="F731" s="1">
        <v>41051</v>
      </c>
      <c r="G731" s="1">
        <v>50</v>
      </c>
      <c r="H731" s="1">
        <v>0</v>
      </c>
      <c r="I731" t="s">
        <v>411</v>
      </c>
      <c r="J731" t="s">
        <v>276</v>
      </c>
      <c r="K731" s="1">
        <v>50000</v>
      </c>
      <c r="L731" s="1">
        <v>305</v>
      </c>
      <c r="M731" s="1">
        <v>26</v>
      </c>
      <c r="N731" s="1">
        <v>14963000</v>
      </c>
      <c r="O731" s="1"/>
      <c r="P731" s="1">
        <v>1</v>
      </c>
      <c r="Q731" s="1">
        <v>0</v>
      </c>
    </row>
    <row r="732">
      <c r="A732" s="1">
        <v>2023</v>
      </c>
      <c r="B732" s="1">
        <v>41</v>
      </c>
      <c r="C732" s="1">
        <v>51</v>
      </c>
      <c r="D732" t="s">
        <v>3</v>
      </c>
      <c r="E732" t="s">
        <v>6</v>
      </c>
      <c r="F732" s="1">
        <v>41051</v>
      </c>
      <c r="G732" s="1">
        <v>50</v>
      </c>
      <c r="H732" s="1">
        <v>7</v>
      </c>
      <c r="I732" t="s">
        <v>38</v>
      </c>
      <c r="J732" t="s">
        <v>155</v>
      </c>
      <c r="K732" s="1">
        <v>50007</v>
      </c>
      <c r="L732" s="1">
        <v>286</v>
      </c>
      <c r="M732" s="1">
        <v>139</v>
      </c>
      <c r="N732" s="1">
        <v>32640000</v>
      </c>
      <c r="O732" s="1">
        <v>50007</v>
      </c>
      <c r="P732" s="1">
        <v>1</v>
      </c>
      <c r="Q732" s="1">
        <v>0</v>
      </c>
    </row>
    <row r="733">
      <c r="A733" s="1">
        <v>2023</v>
      </c>
      <c r="B733" s="1">
        <v>41</v>
      </c>
      <c r="C733" s="1">
        <v>51</v>
      </c>
      <c r="D733" t="s">
        <v>3</v>
      </c>
      <c r="E733" t="s">
        <v>6</v>
      </c>
      <c r="F733" s="1">
        <v>41051</v>
      </c>
      <c r="G733" s="1">
        <v>51</v>
      </c>
      <c r="H733" s="1">
        <v>0</v>
      </c>
      <c r="I733" t="s">
        <v>411</v>
      </c>
      <c r="J733" t="s">
        <v>276</v>
      </c>
      <c r="K733" s="1">
        <v>51000</v>
      </c>
      <c r="L733" s="1">
        <v>8</v>
      </c>
      <c r="M733" s="1">
        <v>8</v>
      </c>
      <c r="N733" s="1">
        <v>688000</v>
      </c>
      <c r="O733" s="1"/>
      <c r="P733" s="1">
        <v>1</v>
      </c>
      <c r="Q733" s="1">
        <v>0</v>
      </c>
    </row>
    <row r="734">
      <c r="A734" s="1">
        <v>2023</v>
      </c>
      <c r="B734" s="1">
        <v>41</v>
      </c>
      <c r="C734" s="1">
        <v>51</v>
      </c>
      <c r="D734" t="s">
        <v>3</v>
      </c>
      <c r="E734" t="s">
        <v>6</v>
      </c>
      <c r="F734" s="1">
        <v>41051</v>
      </c>
      <c r="G734" s="1">
        <v>51</v>
      </c>
      <c r="H734" s="1">
        <v>13</v>
      </c>
      <c r="I734" t="s">
        <v>39</v>
      </c>
      <c r="J734" t="s">
        <v>221</v>
      </c>
      <c r="K734" s="1">
        <v>51013</v>
      </c>
      <c r="L734" s="1">
        <v>120</v>
      </c>
      <c r="M734" s="1">
        <v>56</v>
      </c>
      <c r="N734" s="1">
        <v>10688000</v>
      </c>
      <c r="O734" s="1">
        <v>51013</v>
      </c>
      <c r="P734" s="1">
        <v>1</v>
      </c>
      <c r="Q734" s="1">
        <v>0</v>
      </c>
    </row>
    <row r="735">
      <c r="A735" s="1">
        <v>2023</v>
      </c>
      <c r="B735" s="1">
        <v>41</v>
      </c>
      <c r="C735" s="1">
        <v>51</v>
      </c>
      <c r="D735" t="s">
        <v>3</v>
      </c>
      <c r="E735" t="s">
        <v>6</v>
      </c>
      <c r="F735" s="1">
        <v>41051</v>
      </c>
      <c r="G735" s="1">
        <v>51</v>
      </c>
      <c r="H735" s="1">
        <v>87</v>
      </c>
      <c r="I735" t="s">
        <v>39</v>
      </c>
      <c r="J735" t="s">
        <v>333</v>
      </c>
      <c r="K735" s="1">
        <v>51087</v>
      </c>
      <c r="L735" s="1">
        <v>39</v>
      </c>
      <c r="M735" s="1"/>
      <c r="N735" s="1">
        <v>2145000</v>
      </c>
      <c r="O735" s="1">
        <v>51087</v>
      </c>
      <c r="P735" s="1">
        <v>1</v>
      </c>
      <c r="Q735" s="1">
        <v>0</v>
      </c>
    </row>
    <row r="736">
      <c r="A736" s="1">
        <v>2023</v>
      </c>
      <c r="B736" s="1">
        <v>41</v>
      </c>
      <c r="C736" s="1">
        <v>51</v>
      </c>
      <c r="D736" t="s">
        <v>3</v>
      </c>
      <c r="E736" t="s">
        <v>6</v>
      </c>
      <c r="F736" s="1">
        <v>41051</v>
      </c>
      <c r="G736" s="1">
        <v>51</v>
      </c>
      <c r="H736" s="1">
        <v>510</v>
      </c>
      <c r="I736" t="s">
        <v>39</v>
      </c>
      <c r="J736" t="s">
        <v>334</v>
      </c>
      <c r="K736" s="1">
        <v>51510</v>
      </c>
      <c r="L736" s="1">
        <v>157</v>
      </c>
      <c r="M736" s="1"/>
      <c r="N736" s="1">
        <v>2826000</v>
      </c>
      <c r="O736" s="1">
        <v>51510</v>
      </c>
      <c r="P736" s="1">
        <v>1</v>
      </c>
      <c r="Q736" s="1">
        <v>0</v>
      </c>
    </row>
    <row r="737">
      <c r="A737" s="1">
        <v>2023</v>
      </c>
      <c r="B737" s="1">
        <v>41</v>
      </c>
      <c r="C737" s="1">
        <v>51</v>
      </c>
      <c r="D737" t="s">
        <v>3</v>
      </c>
      <c r="E737" t="s">
        <v>6</v>
      </c>
      <c r="F737" s="1">
        <v>41051</v>
      </c>
      <c r="G737" s="1">
        <v>51</v>
      </c>
      <c r="H737" s="1">
        <v>650</v>
      </c>
      <c r="I737" t="s">
        <v>39</v>
      </c>
      <c r="J737" t="s">
        <v>335</v>
      </c>
      <c r="K737" s="1">
        <v>51650</v>
      </c>
      <c r="L737" s="1">
        <v>99</v>
      </c>
      <c r="M737" s="1"/>
      <c r="N737" s="1">
        <v>3168000</v>
      </c>
      <c r="O737" s="1">
        <v>51650</v>
      </c>
      <c r="P737" s="1">
        <v>1</v>
      </c>
      <c r="Q737" s="1">
        <v>0</v>
      </c>
    </row>
    <row r="738">
      <c r="A738" s="1">
        <v>2023</v>
      </c>
      <c r="B738" s="1">
        <v>41</v>
      </c>
      <c r="C738" s="1">
        <v>51</v>
      </c>
      <c r="D738" t="s">
        <v>3</v>
      </c>
      <c r="E738" t="s">
        <v>6</v>
      </c>
      <c r="F738" s="1">
        <v>41051</v>
      </c>
      <c r="G738" s="1">
        <v>53</v>
      </c>
      <c r="H738" s="1">
        <v>0</v>
      </c>
      <c r="I738" t="s">
        <v>411</v>
      </c>
      <c r="J738" t="s">
        <v>276</v>
      </c>
      <c r="K738" s="1">
        <v>53000</v>
      </c>
      <c r="L738" s="1">
        <v>1475</v>
      </c>
      <c r="M738" s="1">
        <v>473</v>
      </c>
      <c r="N738" s="1">
        <v>98830000</v>
      </c>
      <c r="O738" s="1"/>
      <c r="P738" s="1">
        <v>1</v>
      </c>
      <c r="Q738" s="1">
        <v>0</v>
      </c>
    </row>
    <row r="739">
      <c r="A739" s="1">
        <v>2023</v>
      </c>
      <c r="B739" s="1">
        <v>41</v>
      </c>
      <c r="C739" s="1">
        <v>51</v>
      </c>
      <c r="D739" t="s">
        <v>3</v>
      </c>
      <c r="E739" t="s">
        <v>6</v>
      </c>
      <c r="F739" s="1">
        <v>41051</v>
      </c>
      <c r="G739" s="1">
        <v>53</v>
      </c>
      <c r="H739" s="1">
        <v>11</v>
      </c>
      <c r="I739" t="s">
        <v>40</v>
      </c>
      <c r="J739" t="s">
        <v>112</v>
      </c>
      <c r="K739" s="1">
        <v>53011</v>
      </c>
      <c r="L739" s="1">
        <v>4137</v>
      </c>
      <c r="M739" s="1">
        <v>1675</v>
      </c>
      <c r="N739" s="1">
        <v>407373830</v>
      </c>
      <c r="O739" s="1">
        <v>53011</v>
      </c>
      <c r="P739" s="1">
        <v>1</v>
      </c>
      <c r="Q739" s="1">
        <v>0</v>
      </c>
    </row>
    <row r="740">
      <c r="A740" s="1">
        <v>2023</v>
      </c>
      <c r="B740" s="1">
        <v>41</v>
      </c>
      <c r="C740" s="1">
        <v>51</v>
      </c>
      <c r="D740" t="s">
        <v>3</v>
      </c>
      <c r="E740" t="s">
        <v>6</v>
      </c>
      <c r="F740" s="1">
        <v>41051</v>
      </c>
      <c r="G740" s="1">
        <v>53</v>
      </c>
      <c r="H740" s="1">
        <v>33</v>
      </c>
      <c r="I740" t="s">
        <v>40</v>
      </c>
      <c r="J740" t="s">
        <v>160</v>
      </c>
      <c r="K740" s="1">
        <v>53033</v>
      </c>
      <c r="L740" s="1">
        <v>1061</v>
      </c>
      <c r="M740" s="1">
        <v>869</v>
      </c>
      <c r="N740" s="1">
        <v>132166900</v>
      </c>
      <c r="O740" s="1">
        <v>53033</v>
      </c>
      <c r="P740" s="1">
        <v>1</v>
      </c>
      <c r="Q740" s="1">
        <v>0</v>
      </c>
    </row>
    <row r="741">
      <c r="A741" s="1">
        <v>2023</v>
      </c>
      <c r="B741" s="1">
        <v>41</v>
      </c>
      <c r="C741" s="1">
        <v>51</v>
      </c>
      <c r="D741" t="s">
        <v>3</v>
      </c>
      <c r="E741" t="s">
        <v>6</v>
      </c>
      <c r="F741" s="1">
        <v>41051</v>
      </c>
      <c r="G741" s="1">
        <v>53</v>
      </c>
      <c r="H741" s="1">
        <v>35</v>
      </c>
      <c r="I741" t="s">
        <v>40</v>
      </c>
      <c r="J741" t="s">
        <v>161</v>
      </c>
      <c r="K741" s="1">
        <v>53035</v>
      </c>
      <c r="L741" s="1">
        <v>94</v>
      </c>
      <c r="M741" s="1">
        <v>24</v>
      </c>
      <c r="N741" s="1">
        <v>1598500</v>
      </c>
      <c r="O741" s="1">
        <v>53035</v>
      </c>
      <c r="P741" s="1">
        <v>1</v>
      </c>
      <c r="Q741" s="1">
        <v>0</v>
      </c>
    </row>
    <row r="742">
      <c r="A742" s="1">
        <v>2023</v>
      </c>
      <c r="B742" s="1">
        <v>41</v>
      </c>
      <c r="C742" s="1">
        <v>51</v>
      </c>
      <c r="D742" t="s">
        <v>3</v>
      </c>
      <c r="E742" t="s">
        <v>6</v>
      </c>
      <c r="F742" s="1">
        <v>41051</v>
      </c>
      <c r="G742" s="1">
        <v>53</v>
      </c>
      <c r="H742" s="1">
        <v>61</v>
      </c>
      <c r="I742" t="s">
        <v>40</v>
      </c>
      <c r="J742" t="s">
        <v>167</v>
      </c>
      <c r="K742" s="1">
        <v>53061</v>
      </c>
      <c r="L742" s="1">
        <v>200</v>
      </c>
      <c r="M742" s="1"/>
      <c r="N742" s="1">
        <v>0</v>
      </c>
      <c r="O742" s="1">
        <v>53061</v>
      </c>
      <c r="P742" s="1">
        <v>1</v>
      </c>
      <c r="Q742" s="1">
        <v>0</v>
      </c>
    </row>
    <row r="743">
      <c r="A743" s="1">
        <v>2023</v>
      </c>
      <c r="B743" s="1">
        <v>41</v>
      </c>
      <c r="C743" s="1">
        <v>51</v>
      </c>
      <c r="D743" t="s">
        <v>3</v>
      </c>
      <c r="E743" t="s">
        <v>6</v>
      </c>
      <c r="F743" s="1">
        <v>41051</v>
      </c>
      <c r="G743" s="1">
        <v>53</v>
      </c>
      <c r="H743" s="1">
        <v>63</v>
      </c>
      <c r="I743" t="s">
        <v>40</v>
      </c>
      <c r="J743" t="s">
        <v>168</v>
      </c>
      <c r="K743" s="1">
        <v>53063</v>
      </c>
      <c r="L743" s="1">
        <v>244</v>
      </c>
      <c r="M743" s="1">
        <v>116</v>
      </c>
      <c r="N743" s="1">
        <v>7771000</v>
      </c>
      <c r="O743" s="1">
        <v>53063</v>
      </c>
      <c r="P743" s="1">
        <v>1</v>
      </c>
      <c r="Q743" s="1">
        <v>0</v>
      </c>
    </row>
    <row r="744">
      <c r="A744" s="1">
        <v>2023</v>
      </c>
      <c r="B744" s="1">
        <v>41</v>
      </c>
      <c r="C744" s="1">
        <v>51</v>
      </c>
      <c r="D744" t="s">
        <v>3</v>
      </c>
      <c r="E744" t="s">
        <v>6</v>
      </c>
      <c r="F744" s="1">
        <v>41051</v>
      </c>
      <c r="G744" s="1">
        <v>53</v>
      </c>
      <c r="H744" s="1">
        <v>67</v>
      </c>
      <c r="I744" t="s">
        <v>40</v>
      </c>
      <c r="J744" t="s">
        <v>169</v>
      </c>
      <c r="K744" s="1">
        <v>53067</v>
      </c>
      <c r="L744" s="1">
        <v>688</v>
      </c>
      <c r="M744" s="1">
        <v>301</v>
      </c>
      <c r="N744" s="1">
        <v>32560600</v>
      </c>
      <c r="O744" s="1">
        <v>53067</v>
      </c>
      <c r="P744" s="1">
        <v>1</v>
      </c>
      <c r="Q744" s="1">
        <v>0</v>
      </c>
    </row>
    <row r="745">
      <c r="A745" s="1">
        <v>2023</v>
      </c>
      <c r="B745" s="1">
        <v>41</v>
      </c>
      <c r="C745" s="1">
        <v>51</v>
      </c>
      <c r="D745" t="s">
        <v>3</v>
      </c>
      <c r="E745" t="s">
        <v>6</v>
      </c>
      <c r="F745" s="1">
        <v>41051</v>
      </c>
      <c r="G745" s="1">
        <v>53</v>
      </c>
      <c r="H745" s="1">
        <v>73</v>
      </c>
      <c r="I745" t="s">
        <v>40</v>
      </c>
      <c r="J745" t="s">
        <v>171</v>
      </c>
      <c r="K745" s="1">
        <v>53073</v>
      </c>
      <c r="L745" s="1">
        <v>52</v>
      </c>
      <c r="M745" s="1">
        <v>53</v>
      </c>
      <c r="N745" s="1">
        <v>1560000</v>
      </c>
      <c r="O745" s="1">
        <v>53073</v>
      </c>
      <c r="P745" s="1">
        <v>1</v>
      </c>
      <c r="Q745" s="1">
        <v>0</v>
      </c>
    </row>
    <row r="746">
      <c r="A746" s="1">
        <v>2023</v>
      </c>
      <c r="B746" s="1">
        <v>41</v>
      </c>
      <c r="C746" s="1">
        <v>51</v>
      </c>
      <c r="D746" t="s">
        <v>3</v>
      </c>
      <c r="E746" t="s">
        <v>6</v>
      </c>
      <c r="F746" s="1">
        <v>41051</v>
      </c>
      <c r="G746" s="1">
        <v>55</v>
      </c>
      <c r="H746" s="1">
        <v>79</v>
      </c>
      <c r="I746" t="s">
        <v>41</v>
      </c>
      <c r="J746" t="s">
        <v>174</v>
      </c>
      <c r="K746" s="1">
        <v>55079</v>
      </c>
      <c r="L746" s="1">
        <v>247</v>
      </c>
      <c r="M746" s="1">
        <v>246</v>
      </c>
      <c r="N746" s="1">
        <v>11856000</v>
      </c>
      <c r="O746" s="1">
        <v>55079</v>
      </c>
      <c r="P746" s="1">
        <v>1</v>
      </c>
      <c r="Q746" s="1">
        <v>0</v>
      </c>
    </row>
    <row r="747">
      <c r="A747" s="1">
        <v>2023</v>
      </c>
      <c r="B747" s="1">
        <v>41</v>
      </c>
      <c r="C747" s="1">
        <v>51</v>
      </c>
      <c r="D747" t="s">
        <v>3</v>
      </c>
      <c r="E747" t="s">
        <v>6</v>
      </c>
      <c r="F747" s="1">
        <v>41051</v>
      </c>
      <c r="G747" s="1">
        <v>55</v>
      </c>
      <c r="H747" s="1">
        <v>139</v>
      </c>
      <c r="I747" t="s">
        <v>41</v>
      </c>
      <c r="J747" t="s">
        <v>336</v>
      </c>
      <c r="K747" s="1">
        <v>55139</v>
      </c>
      <c r="L747" s="1">
        <v>400</v>
      </c>
      <c r="M747" s="1"/>
      <c r="N747" s="1">
        <v>9200000</v>
      </c>
      <c r="O747" s="1">
        <v>55139</v>
      </c>
      <c r="P747" s="1">
        <v>1</v>
      </c>
      <c r="Q747" s="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04"/>
  <sheetViews>
    <sheetView workbookViewId="0">
      <selection activeCell="J10" sqref="A1:R804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264</v>
      </c>
      <c r="G1" t="s">
        <v>7</v>
      </c>
      <c r="H1" t="s">
        <v>50</v>
      </c>
      <c r="I1" t="s">
        <v>8</v>
      </c>
      <c r="J1" t="s">
        <v>51</v>
      </c>
      <c r="K1" t="s">
        <v>265</v>
      </c>
      <c r="L1" t="s">
        <v>337</v>
      </c>
      <c r="M1" t="s">
        <v>338</v>
      </c>
      <c r="N1" t="s">
        <v>339</v>
      </c>
      <c r="O1" t="s">
        <v>263</v>
      </c>
      <c r="P1" t="s">
        <v>266</v>
      </c>
      <c r="Q1" t="s">
        <v>267</v>
      </c>
    </row>
    <row r="2">
      <c r="A2" s="1">
        <v>2015</v>
      </c>
      <c r="B2" s="1">
        <v>2</v>
      </c>
      <c r="C2" s="1">
        <v>0</v>
      </c>
      <c r="D2" t="s">
        <v>411</v>
      </c>
      <c r="E2" t="s">
        <v>276</v>
      </c>
      <c r="F2" s="1">
        <v>2000</v>
      </c>
      <c r="G2" s="1">
        <v>41</v>
      </c>
      <c r="H2" s="1">
        <v>51</v>
      </c>
      <c r="I2" t="s">
        <v>3</v>
      </c>
      <c r="J2" t="s">
        <v>6</v>
      </c>
      <c r="K2" s="1">
        <v>41051</v>
      </c>
      <c r="L2" s="1">
        <v>166</v>
      </c>
      <c r="M2" s="1"/>
      <c r="N2" s="1">
        <v>298800</v>
      </c>
      <c r="O2" s="1">
        <v>41051</v>
      </c>
      <c r="P2" s="1">
        <v>0</v>
      </c>
      <c r="Q2" s="1">
        <v>1</v>
      </c>
    </row>
    <row r="3">
      <c r="A3" s="1">
        <v>2015</v>
      </c>
      <c r="B3" s="1">
        <v>2</v>
      </c>
      <c r="C3" s="1">
        <v>20</v>
      </c>
      <c r="D3" t="s">
        <v>9</v>
      </c>
      <c r="E3" t="s">
        <v>52</v>
      </c>
      <c r="F3" s="1">
        <v>2020</v>
      </c>
      <c r="G3" s="1">
        <v>41</v>
      </c>
      <c r="H3" s="1">
        <v>51</v>
      </c>
      <c r="I3" t="s">
        <v>3</v>
      </c>
      <c r="J3" t="s">
        <v>6</v>
      </c>
      <c r="K3" s="1">
        <v>41051</v>
      </c>
      <c r="L3" s="1">
        <v>266</v>
      </c>
      <c r="M3" s="1"/>
      <c r="N3" s="1">
        <v>1096000</v>
      </c>
      <c r="O3" s="1">
        <v>41051</v>
      </c>
      <c r="P3" s="1">
        <v>0</v>
      </c>
      <c r="Q3" s="1">
        <v>1</v>
      </c>
    </row>
    <row r="4">
      <c r="A4" s="1">
        <v>2015</v>
      </c>
      <c r="B4" s="1">
        <v>4</v>
      </c>
      <c r="C4" s="1">
        <v>0</v>
      </c>
      <c r="D4" t="s">
        <v>411</v>
      </c>
      <c r="E4" t="s">
        <v>276</v>
      </c>
      <c r="F4" s="1">
        <v>4000</v>
      </c>
      <c r="G4" s="1">
        <v>41</v>
      </c>
      <c r="H4" s="1">
        <v>51</v>
      </c>
      <c r="I4" t="s">
        <v>3</v>
      </c>
      <c r="J4" t="s">
        <v>6</v>
      </c>
      <c r="K4" s="1">
        <v>41051</v>
      </c>
      <c r="L4" s="1">
        <v>870</v>
      </c>
      <c r="M4" s="1">
        <v>368</v>
      </c>
      <c r="N4" s="1">
        <v>19421000</v>
      </c>
      <c r="O4" s="1">
        <v>41051</v>
      </c>
      <c r="P4" s="1">
        <v>0</v>
      </c>
      <c r="Q4" s="1">
        <v>1</v>
      </c>
    </row>
    <row r="5">
      <c r="A5" s="1">
        <v>2015</v>
      </c>
      <c r="B5" s="1">
        <v>4</v>
      </c>
      <c r="C5" s="1">
        <v>5</v>
      </c>
      <c r="D5" t="s">
        <v>10</v>
      </c>
      <c r="E5" t="s">
        <v>175</v>
      </c>
      <c r="F5" s="1">
        <v>4005</v>
      </c>
      <c r="G5" s="1">
        <v>41</v>
      </c>
      <c r="H5" s="1">
        <v>51</v>
      </c>
      <c r="I5" t="s">
        <v>3</v>
      </c>
      <c r="J5" t="s">
        <v>6</v>
      </c>
      <c r="K5" s="1">
        <v>41051</v>
      </c>
      <c r="L5" s="1">
        <v>174</v>
      </c>
      <c r="M5" s="1">
        <v>175</v>
      </c>
      <c r="N5" s="1">
        <v>4350000</v>
      </c>
      <c r="O5" s="1">
        <v>41051</v>
      </c>
      <c r="P5" s="1">
        <v>0</v>
      </c>
      <c r="Q5" s="1">
        <v>1</v>
      </c>
    </row>
    <row r="6">
      <c r="A6" s="1">
        <v>2015</v>
      </c>
      <c r="B6" s="1">
        <v>4</v>
      </c>
      <c r="C6" s="1">
        <v>13</v>
      </c>
      <c r="D6" t="s">
        <v>10</v>
      </c>
      <c r="E6" t="s">
        <v>53</v>
      </c>
      <c r="F6" s="1">
        <v>4013</v>
      </c>
      <c r="G6" s="1">
        <v>41</v>
      </c>
      <c r="H6" s="1">
        <v>51</v>
      </c>
      <c r="I6" t="s">
        <v>3</v>
      </c>
      <c r="J6" t="s">
        <v>6</v>
      </c>
      <c r="K6" s="1">
        <v>41051</v>
      </c>
      <c r="L6" s="1">
        <v>1557</v>
      </c>
      <c r="M6" s="1">
        <v>591</v>
      </c>
      <c r="N6" s="1">
        <v>44026040</v>
      </c>
      <c r="O6" s="1">
        <v>41051</v>
      </c>
      <c r="P6" s="1">
        <v>0</v>
      </c>
      <c r="Q6" s="1">
        <v>1</v>
      </c>
    </row>
    <row r="7">
      <c r="A7" s="1">
        <v>2015</v>
      </c>
      <c r="B7" s="1">
        <v>5</v>
      </c>
      <c r="C7" s="1">
        <v>0</v>
      </c>
      <c r="D7" t="s">
        <v>411</v>
      </c>
      <c r="E7" t="s">
        <v>276</v>
      </c>
      <c r="F7" s="1">
        <v>5000</v>
      </c>
      <c r="G7" s="1">
        <v>41</v>
      </c>
      <c r="H7" s="1">
        <v>51</v>
      </c>
      <c r="I7" t="s">
        <v>3</v>
      </c>
      <c r="J7" t="s">
        <v>6</v>
      </c>
      <c r="K7" s="1">
        <v>41051</v>
      </c>
      <c r="L7" s="1">
        <v>489</v>
      </c>
      <c r="M7" s="1">
        <v>73</v>
      </c>
      <c r="N7" s="1">
        <v>20347200</v>
      </c>
      <c r="O7" s="1">
        <v>41051</v>
      </c>
      <c r="P7" s="1">
        <v>0</v>
      </c>
      <c r="Q7" s="1">
        <v>1</v>
      </c>
    </row>
    <row r="8">
      <c r="A8" s="1">
        <v>2015</v>
      </c>
      <c r="B8" s="1">
        <v>6</v>
      </c>
      <c r="C8" s="1">
        <v>0</v>
      </c>
      <c r="D8" t="s">
        <v>411</v>
      </c>
      <c r="E8" t="s">
        <v>276</v>
      </c>
      <c r="F8" s="1">
        <v>6000</v>
      </c>
      <c r="G8" s="1">
        <v>41</v>
      </c>
      <c r="H8" s="1">
        <v>51</v>
      </c>
      <c r="I8" t="s">
        <v>3</v>
      </c>
      <c r="J8" t="s">
        <v>6</v>
      </c>
      <c r="K8" s="1">
        <v>41051</v>
      </c>
      <c r="L8" s="1">
        <v>202</v>
      </c>
      <c r="M8" s="1">
        <v>91</v>
      </c>
      <c r="N8" s="1">
        <v>3149000</v>
      </c>
      <c r="O8" s="1">
        <v>41051</v>
      </c>
      <c r="P8" s="1">
        <v>0</v>
      </c>
      <c r="Q8" s="1">
        <v>1</v>
      </c>
    </row>
    <row r="9">
      <c r="A9" s="1">
        <v>2015</v>
      </c>
      <c r="B9" s="1">
        <v>6</v>
      </c>
      <c r="C9" s="1">
        <v>1</v>
      </c>
      <c r="D9" t="s">
        <v>11</v>
      </c>
      <c r="E9" t="s">
        <v>56</v>
      </c>
      <c r="F9" s="1">
        <v>6001</v>
      </c>
      <c r="G9" s="1">
        <v>41</v>
      </c>
      <c r="H9" s="1">
        <v>51</v>
      </c>
      <c r="I9" t="s">
        <v>3</v>
      </c>
      <c r="J9" t="s">
        <v>6</v>
      </c>
      <c r="K9" s="1">
        <v>41051</v>
      </c>
      <c r="L9" s="1">
        <v>251</v>
      </c>
      <c r="M9" s="1">
        <v>215</v>
      </c>
      <c r="N9" s="1">
        <v>13664600</v>
      </c>
      <c r="O9" s="1">
        <v>41051</v>
      </c>
      <c r="P9" s="1">
        <v>0</v>
      </c>
      <c r="Q9" s="1">
        <v>1</v>
      </c>
    </row>
    <row r="10">
      <c r="A10" s="1">
        <v>2015</v>
      </c>
      <c r="B10" s="1">
        <v>6</v>
      </c>
      <c r="C10" s="1">
        <v>13</v>
      </c>
      <c r="D10" t="s">
        <v>11</v>
      </c>
      <c r="E10" t="s">
        <v>57</v>
      </c>
      <c r="F10" s="1">
        <v>6013</v>
      </c>
      <c r="G10" s="1">
        <v>41</v>
      </c>
      <c r="H10" s="1">
        <v>51</v>
      </c>
      <c r="I10" t="s">
        <v>3</v>
      </c>
      <c r="J10" t="s">
        <v>6</v>
      </c>
      <c r="K10" s="1">
        <v>41051</v>
      </c>
      <c r="L10" s="1">
        <v>229</v>
      </c>
      <c r="M10" s="1"/>
      <c r="N10" s="1">
        <v>4787200</v>
      </c>
      <c r="O10" s="1">
        <v>41051</v>
      </c>
      <c r="P10" s="1">
        <v>0</v>
      </c>
      <c r="Q10" s="1">
        <v>1</v>
      </c>
    </row>
    <row r="11">
      <c r="A11" s="1">
        <v>2015</v>
      </c>
      <c r="B11" s="1">
        <v>6</v>
      </c>
      <c r="C11" s="1">
        <v>19</v>
      </c>
      <c r="D11" t="s">
        <v>11</v>
      </c>
      <c r="E11" t="s">
        <v>58</v>
      </c>
      <c r="F11" s="1">
        <v>6019</v>
      </c>
      <c r="G11" s="1">
        <v>41</v>
      </c>
      <c r="H11" s="1">
        <v>51</v>
      </c>
      <c r="I11" t="s">
        <v>3</v>
      </c>
      <c r="J11" t="s">
        <v>6</v>
      </c>
      <c r="K11" s="1">
        <v>41051</v>
      </c>
      <c r="L11" s="1">
        <v>338</v>
      </c>
      <c r="M11" s="1">
        <v>144</v>
      </c>
      <c r="N11" s="1">
        <v>5617600</v>
      </c>
      <c r="O11" s="1">
        <v>41051</v>
      </c>
      <c r="P11" s="1">
        <v>0</v>
      </c>
      <c r="Q11" s="1">
        <v>1</v>
      </c>
    </row>
    <row r="12">
      <c r="A12" s="1">
        <v>2015</v>
      </c>
      <c r="B12" s="1">
        <v>6</v>
      </c>
      <c r="C12" s="1">
        <v>29</v>
      </c>
      <c r="D12" t="s">
        <v>11</v>
      </c>
      <c r="E12" t="s">
        <v>60</v>
      </c>
      <c r="F12" s="1">
        <v>6029</v>
      </c>
      <c r="G12" s="1">
        <v>41</v>
      </c>
      <c r="H12" s="1">
        <v>51</v>
      </c>
      <c r="I12" t="s">
        <v>3</v>
      </c>
      <c r="J12" t="s">
        <v>6</v>
      </c>
      <c r="K12" s="1">
        <v>41051</v>
      </c>
      <c r="L12" s="1">
        <v>73</v>
      </c>
      <c r="M12" s="1"/>
      <c r="N12" s="1">
        <v>949000</v>
      </c>
      <c r="O12" s="1">
        <v>41051</v>
      </c>
      <c r="P12" s="1">
        <v>0</v>
      </c>
      <c r="Q12" s="1">
        <v>1</v>
      </c>
    </row>
    <row r="13">
      <c r="A13" s="1">
        <v>2015</v>
      </c>
      <c r="B13" s="1">
        <v>6</v>
      </c>
      <c r="C13" s="1">
        <v>37</v>
      </c>
      <c r="D13" t="s">
        <v>11</v>
      </c>
      <c r="E13" t="s">
        <v>61</v>
      </c>
      <c r="F13" s="1">
        <v>6037</v>
      </c>
      <c r="G13" s="1">
        <v>41</v>
      </c>
      <c r="H13" s="1">
        <v>51</v>
      </c>
      <c r="I13" t="s">
        <v>3</v>
      </c>
      <c r="J13" t="s">
        <v>6</v>
      </c>
      <c r="K13" s="1">
        <v>41051</v>
      </c>
      <c r="L13" s="1">
        <v>1332</v>
      </c>
      <c r="M13" s="1">
        <v>275</v>
      </c>
      <c r="N13" s="1">
        <v>20827220</v>
      </c>
      <c r="O13" s="1">
        <v>41051</v>
      </c>
      <c r="P13" s="1">
        <v>0</v>
      </c>
      <c r="Q13" s="1">
        <v>1</v>
      </c>
    </row>
    <row r="14">
      <c r="A14" s="1">
        <v>2015</v>
      </c>
      <c r="B14" s="1">
        <v>6</v>
      </c>
      <c r="C14" s="1">
        <v>55</v>
      </c>
      <c r="D14" t="s">
        <v>11</v>
      </c>
      <c r="E14" t="s">
        <v>299</v>
      </c>
      <c r="F14" s="1">
        <v>6055</v>
      </c>
      <c r="G14" s="1">
        <v>41</v>
      </c>
      <c r="H14" s="1">
        <v>51</v>
      </c>
      <c r="I14" t="s">
        <v>3</v>
      </c>
      <c r="J14" t="s">
        <v>6</v>
      </c>
      <c r="K14" s="1">
        <v>41051</v>
      </c>
      <c r="L14" s="1">
        <v>144</v>
      </c>
      <c r="M14" s="1">
        <v>73</v>
      </c>
      <c r="N14" s="1">
        <v>5368000</v>
      </c>
      <c r="O14" s="1">
        <v>41051</v>
      </c>
      <c r="P14" s="1">
        <v>0</v>
      </c>
      <c r="Q14" s="1">
        <v>1</v>
      </c>
    </row>
    <row r="15">
      <c r="A15" s="1">
        <v>2015</v>
      </c>
      <c r="B15" s="1">
        <v>6</v>
      </c>
      <c r="C15" s="1">
        <v>59</v>
      </c>
      <c r="D15" t="s">
        <v>11</v>
      </c>
      <c r="E15" t="s">
        <v>64</v>
      </c>
      <c r="F15" s="1">
        <v>6059</v>
      </c>
      <c r="G15" s="1">
        <v>41</v>
      </c>
      <c r="H15" s="1">
        <v>51</v>
      </c>
      <c r="I15" t="s">
        <v>3</v>
      </c>
      <c r="J15" t="s">
        <v>6</v>
      </c>
      <c r="K15" s="1">
        <v>41051</v>
      </c>
      <c r="L15" s="1">
        <v>267</v>
      </c>
      <c r="M15" s="1"/>
      <c r="N15" s="1">
        <v>8856000</v>
      </c>
      <c r="O15" s="1">
        <v>41051</v>
      </c>
      <c r="P15" s="1">
        <v>0</v>
      </c>
      <c r="Q15" s="1">
        <v>1</v>
      </c>
    </row>
    <row r="16">
      <c r="A16" s="1">
        <v>2015</v>
      </c>
      <c r="B16" s="1">
        <v>6</v>
      </c>
      <c r="C16" s="1">
        <v>67</v>
      </c>
      <c r="D16" t="s">
        <v>11</v>
      </c>
      <c r="E16" t="s">
        <v>67</v>
      </c>
      <c r="F16" s="1">
        <v>6067</v>
      </c>
      <c r="G16" s="1">
        <v>41</v>
      </c>
      <c r="H16" s="1">
        <v>51</v>
      </c>
      <c r="I16" t="s">
        <v>3</v>
      </c>
      <c r="J16" t="s">
        <v>6</v>
      </c>
      <c r="K16" s="1">
        <v>41051</v>
      </c>
      <c r="L16" s="1">
        <v>221</v>
      </c>
      <c r="M16" s="1">
        <v>221</v>
      </c>
      <c r="N16" s="1">
        <v>910000</v>
      </c>
      <c r="O16" s="1">
        <v>41051</v>
      </c>
      <c r="P16" s="1">
        <v>0</v>
      </c>
      <c r="Q16" s="1">
        <v>1</v>
      </c>
    </row>
    <row r="17">
      <c r="A17" s="1">
        <v>2015</v>
      </c>
      <c r="B17" s="1">
        <v>6</v>
      </c>
      <c r="C17" s="1">
        <v>71</v>
      </c>
      <c r="D17" t="s">
        <v>11</v>
      </c>
      <c r="E17" t="s">
        <v>68</v>
      </c>
      <c r="F17" s="1">
        <v>6071</v>
      </c>
      <c r="G17" s="1">
        <v>41</v>
      </c>
      <c r="H17" s="1">
        <v>51</v>
      </c>
      <c r="I17" t="s">
        <v>3</v>
      </c>
      <c r="J17" t="s">
        <v>6</v>
      </c>
      <c r="K17" s="1">
        <v>41051</v>
      </c>
      <c r="L17" s="1">
        <v>117</v>
      </c>
      <c r="M17" s="1"/>
      <c r="N17" s="1">
        <v>7371000</v>
      </c>
      <c r="O17" s="1">
        <v>41051</v>
      </c>
      <c r="P17" s="1">
        <v>0</v>
      </c>
      <c r="Q17" s="1">
        <v>1</v>
      </c>
    </row>
    <row r="18">
      <c r="A18" s="1">
        <v>2015</v>
      </c>
      <c r="B18" s="1">
        <v>6</v>
      </c>
      <c r="C18" s="1">
        <v>73</v>
      </c>
      <c r="D18" t="s">
        <v>11</v>
      </c>
      <c r="E18" t="s">
        <v>69</v>
      </c>
      <c r="F18" s="1">
        <v>6073</v>
      </c>
      <c r="G18" s="1">
        <v>41</v>
      </c>
      <c r="H18" s="1">
        <v>51</v>
      </c>
      <c r="I18" t="s">
        <v>3</v>
      </c>
      <c r="J18" t="s">
        <v>6</v>
      </c>
      <c r="K18" s="1">
        <v>41051</v>
      </c>
      <c r="L18" s="1">
        <v>309</v>
      </c>
      <c r="M18" s="1">
        <v>86</v>
      </c>
      <c r="N18" s="1">
        <v>8343000</v>
      </c>
      <c r="O18" s="1">
        <v>41051</v>
      </c>
      <c r="P18" s="1">
        <v>0</v>
      </c>
      <c r="Q18" s="1">
        <v>1</v>
      </c>
    </row>
    <row r="19">
      <c r="A19" s="1">
        <v>2015</v>
      </c>
      <c r="B19" s="1">
        <v>6</v>
      </c>
      <c r="C19" s="1">
        <v>75</v>
      </c>
      <c r="D19" t="s">
        <v>11</v>
      </c>
      <c r="E19" t="s">
        <v>70</v>
      </c>
      <c r="F19" s="1">
        <v>6075</v>
      </c>
      <c r="G19" s="1">
        <v>41</v>
      </c>
      <c r="H19" s="1">
        <v>51</v>
      </c>
      <c r="I19" t="s">
        <v>3</v>
      </c>
      <c r="J19" t="s">
        <v>6</v>
      </c>
      <c r="K19" s="1">
        <v>41051</v>
      </c>
      <c r="L19" s="1">
        <v>574</v>
      </c>
      <c r="M19" s="1">
        <v>462</v>
      </c>
      <c r="N19" s="1">
        <v>30976300</v>
      </c>
      <c r="O19" s="1">
        <v>41051</v>
      </c>
      <c r="P19" s="1">
        <v>0</v>
      </c>
      <c r="Q19" s="1">
        <v>1</v>
      </c>
    </row>
    <row r="20">
      <c r="A20" s="1">
        <v>2015</v>
      </c>
      <c r="B20" s="1">
        <v>6</v>
      </c>
      <c r="C20" s="1">
        <v>79</v>
      </c>
      <c r="D20" t="s">
        <v>11</v>
      </c>
      <c r="E20" t="s">
        <v>71</v>
      </c>
      <c r="F20" s="1">
        <v>6079</v>
      </c>
      <c r="G20" s="1">
        <v>41</v>
      </c>
      <c r="H20" s="1">
        <v>51</v>
      </c>
      <c r="I20" t="s">
        <v>3</v>
      </c>
      <c r="J20" t="s">
        <v>6</v>
      </c>
      <c r="K20" s="1">
        <v>41051</v>
      </c>
      <c r="L20" s="1">
        <v>53</v>
      </c>
      <c r="M20" s="1">
        <v>27</v>
      </c>
      <c r="N20" s="1">
        <v>816800</v>
      </c>
      <c r="O20" s="1">
        <v>41051</v>
      </c>
      <c r="P20" s="1">
        <v>0</v>
      </c>
      <c r="Q20" s="1">
        <v>1</v>
      </c>
    </row>
    <row r="21">
      <c r="A21" s="1">
        <v>2015</v>
      </c>
      <c r="B21" s="1">
        <v>6</v>
      </c>
      <c r="C21" s="1">
        <v>83</v>
      </c>
      <c r="D21" t="s">
        <v>11</v>
      </c>
      <c r="E21" t="s">
        <v>73</v>
      </c>
      <c r="F21" s="1">
        <v>6083</v>
      </c>
      <c r="G21" s="1">
        <v>41</v>
      </c>
      <c r="H21" s="1">
        <v>51</v>
      </c>
      <c r="I21" t="s">
        <v>3</v>
      </c>
      <c r="J21" t="s">
        <v>6</v>
      </c>
      <c r="K21" s="1">
        <v>41051</v>
      </c>
      <c r="L21" s="1">
        <v>86</v>
      </c>
      <c r="M21" s="1"/>
      <c r="N21" s="1">
        <v>2270400</v>
      </c>
      <c r="O21" s="1">
        <v>41051</v>
      </c>
      <c r="P21" s="1">
        <v>0</v>
      </c>
      <c r="Q21" s="1">
        <v>1</v>
      </c>
    </row>
    <row r="22">
      <c r="A22" s="1">
        <v>2015</v>
      </c>
      <c r="B22" s="1">
        <v>6</v>
      </c>
      <c r="C22" s="1">
        <v>85</v>
      </c>
      <c r="D22" t="s">
        <v>11</v>
      </c>
      <c r="E22" t="s">
        <v>74</v>
      </c>
      <c r="F22" s="1">
        <v>6085</v>
      </c>
      <c r="G22" s="1">
        <v>41</v>
      </c>
      <c r="H22" s="1">
        <v>51</v>
      </c>
      <c r="I22" t="s">
        <v>3</v>
      </c>
      <c r="J22" t="s">
        <v>6</v>
      </c>
      <c r="K22" s="1">
        <v>41051</v>
      </c>
      <c r="L22" s="1">
        <v>281</v>
      </c>
      <c r="M22" s="1">
        <v>154</v>
      </c>
      <c r="N22" s="1">
        <v>5646100</v>
      </c>
      <c r="O22" s="1">
        <v>41051</v>
      </c>
      <c r="P22" s="1">
        <v>0</v>
      </c>
      <c r="Q22" s="1">
        <v>1</v>
      </c>
    </row>
    <row r="23">
      <c r="A23" s="1">
        <v>2015</v>
      </c>
      <c r="B23" s="1">
        <v>6</v>
      </c>
      <c r="C23" s="1">
        <v>97</v>
      </c>
      <c r="D23" t="s">
        <v>11</v>
      </c>
      <c r="E23" t="s">
        <v>77</v>
      </c>
      <c r="F23" s="1">
        <v>6097</v>
      </c>
      <c r="G23" s="1">
        <v>41</v>
      </c>
      <c r="H23" s="1">
        <v>51</v>
      </c>
      <c r="I23" t="s">
        <v>3</v>
      </c>
      <c r="J23" t="s">
        <v>6</v>
      </c>
      <c r="K23" s="1">
        <v>41051</v>
      </c>
      <c r="L23" s="1">
        <v>242</v>
      </c>
      <c r="M23" s="1">
        <v>242</v>
      </c>
      <c r="N23" s="1">
        <v>19360000</v>
      </c>
      <c r="O23" s="1">
        <v>41051</v>
      </c>
      <c r="P23" s="1">
        <v>0</v>
      </c>
      <c r="Q23" s="1">
        <v>1</v>
      </c>
    </row>
    <row r="24">
      <c r="A24" s="1">
        <v>2015</v>
      </c>
      <c r="B24" s="1">
        <v>6</v>
      </c>
      <c r="C24" s="1">
        <v>99</v>
      </c>
      <c r="D24" t="s">
        <v>11</v>
      </c>
      <c r="E24" t="s">
        <v>325</v>
      </c>
      <c r="F24" s="1">
        <v>6099</v>
      </c>
      <c r="G24" s="1">
        <v>41</v>
      </c>
      <c r="H24" s="1">
        <v>51</v>
      </c>
      <c r="I24" t="s">
        <v>3</v>
      </c>
      <c r="J24" t="s">
        <v>6</v>
      </c>
      <c r="K24" s="1">
        <v>41051</v>
      </c>
      <c r="L24" s="1">
        <v>262</v>
      </c>
      <c r="M24" s="1">
        <v>132</v>
      </c>
      <c r="N24" s="1">
        <v>16086000</v>
      </c>
      <c r="O24" s="1">
        <v>41051</v>
      </c>
      <c r="P24" s="1">
        <v>0</v>
      </c>
      <c r="Q24" s="1">
        <v>1</v>
      </c>
    </row>
    <row r="25">
      <c r="A25" s="1">
        <v>2015</v>
      </c>
      <c r="B25" s="1">
        <v>6</v>
      </c>
      <c r="C25" s="1">
        <v>107</v>
      </c>
      <c r="D25" t="s">
        <v>11</v>
      </c>
      <c r="E25" t="s">
        <v>365</v>
      </c>
      <c r="F25" s="1">
        <v>6107</v>
      </c>
      <c r="G25" s="1">
        <v>41</v>
      </c>
      <c r="H25" s="1">
        <v>51</v>
      </c>
      <c r="I25" t="s">
        <v>3</v>
      </c>
      <c r="J25" t="s">
        <v>6</v>
      </c>
      <c r="K25" s="1">
        <v>41051</v>
      </c>
      <c r="L25" s="1">
        <v>195</v>
      </c>
      <c r="M25" s="1"/>
      <c r="N25" s="1">
        <v>3607500</v>
      </c>
      <c r="O25" s="1">
        <v>41051</v>
      </c>
      <c r="P25" s="1">
        <v>0</v>
      </c>
      <c r="Q25" s="1">
        <v>1</v>
      </c>
    </row>
    <row r="26">
      <c r="A26" s="1">
        <v>2015</v>
      </c>
      <c r="B26" s="1">
        <v>8</v>
      </c>
      <c r="C26" s="1">
        <v>0</v>
      </c>
      <c r="D26" t="s">
        <v>411</v>
      </c>
      <c r="E26" t="s">
        <v>276</v>
      </c>
      <c r="F26" s="1">
        <v>8000</v>
      </c>
      <c r="G26" s="1">
        <v>41</v>
      </c>
      <c r="H26" s="1">
        <v>51</v>
      </c>
      <c r="I26" t="s">
        <v>3</v>
      </c>
      <c r="J26" t="s">
        <v>6</v>
      </c>
      <c r="K26" s="1">
        <v>41051</v>
      </c>
      <c r="L26" s="1">
        <v>198</v>
      </c>
      <c r="M26" s="1">
        <v>101</v>
      </c>
      <c r="N26" s="1">
        <v>10353000</v>
      </c>
      <c r="O26" s="1">
        <v>41051</v>
      </c>
      <c r="P26" s="1">
        <v>0</v>
      </c>
      <c r="Q26" s="1">
        <v>1</v>
      </c>
    </row>
    <row r="27">
      <c r="A27" s="1">
        <v>2015</v>
      </c>
      <c r="B27" s="1">
        <v>11</v>
      </c>
      <c r="C27" s="1">
        <v>1</v>
      </c>
      <c r="D27" t="s">
        <v>14</v>
      </c>
      <c r="E27" t="s">
        <v>14</v>
      </c>
      <c r="F27" s="1">
        <v>11001</v>
      </c>
      <c r="G27" s="1">
        <v>41</v>
      </c>
      <c r="H27" s="1">
        <v>51</v>
      </c>
      <c r="I27" t="s">
        <v>3</v>
      </c>
      <c r="J27" t="s">
        <v>6</v>
      </c>
      <c r="K27" s="1">
        <v>41051</v>
      </c>
      <c r="L27" s="1">
        <v>277</v>
      </c>
      <c r="M27" s="1">
        <v>134</v>
      </c>
      <c r="N27" s="1">
        <v>28804550</v>
      </c>
      <c r="O27" s="1">
        <v>41051</v>
      </c>
      <c r="P27" s="1">
        <v>0</v>
      </c>
      <c r="Q27" s="1">
        <v>1</v>
      </c>
    </row>
    <row r="28">
      <c r="A28" s="1">
        <v>2015</v>
      </c>
      <c r="B28" s="1">
        <v>12</v>
      </c>
      <c r="C28" s="1">
        <v>0</v>
      </c>
      <c r="D28" t="s">
        <v>411</v>
      </c>
      <c r="E28" t="s">
        <v>276</v>
      </c>
      <c r="F28" s="1">
        <v>12000</v>
      </c>
      <c r="G28" s="1">
        <v>41</v>
      </c>
      <c r="H28" s="1">
        <v>51</v>
      </c>
      <c r="I28" t="s">
        <v>3</v>
      </c>
      <c r="J28" t="s">
        <v>6</v>
      </c>
      <c r="K28" s="1">
        <v>41051</v>
      </c>
      <c r="L28" s="1">
        <v>382</v>
      </c>
      <c r="M28" s="1">
        <v>193</v>
      </c>
      <c r="N28" s="1">
        <v>14592000</v>
      </c>
      <c r="O28" s="1">
        <v>41051</v>
      </c>
      <c r="P28" s="1">
        <v>0</v>
      </c>
      <c r="Q28" s="1">
        <v>1</v>
      </c>
    </row>
    <row r="29">
      <c r="A29" s="1">
        <v>2015</v>
      </c>
      <c r="B29" s="1">
        <v>12</v>
      </c>
      <c r="C29" s="1">
        <v>31</v>
      </c>
      <c r="D29" t="s">
        <v>15</v>
      </c>
      <c r="E29" t="s">
        <v>184</v>
      </c>
      <c r="F29" s="1">
        <v>12031</v>
      </c>
      <c r="G29" s="1">
        <v>41</v>
      </c>
      <c r="H29" s="1">
        <v>51</v>
      </c>
      <c r="I29" t="s">
        <v>3</v>
      </c>
      <c r="J29" t="s">
        <v>6</v>
      </c>
      <c r="K29" s="1">
        <v>41051</v>
      </c>
      <c r="L29" s="1">
        <v>268</v>
      </c>
      <c r="M29" s="1">
        <v>133</v>
      </c>
      <c r="N29" s="1">
        <v>86610600</v>
      </c>
      <c r="O29" s="1">
        <v>41051</v>
      </c>
      <c r="P29" s="1">
        <v>0</v>
      </c>
      <c r="Q29" s="1">
        <v>1</v>
      </c>
    </row>
    <row r="30">
      <c r="A30" s="1">
        <v>2015</v>
      </c>
      <c r="B30" s="1">
        <v>12</v>
      </c>
      <c r="C30" s="1">
        <v>71</v>
      </c>
      <c r="D30" t="s">
        <v>15</v>
      </c>
      <c r="E30" t="s">
        <v>226</v>
      </c>
      <c r="F30" s="1">
        <v>12071</v>
      </c>
      <c r="G30" s="1">
        <v>41</v>
      </c>
      <c r="H30" s="1">
        <v>51</v>
      </c>
      <c r="I30" t="s">
        <v>3</v>
      </c>
      <c r="J30" t="s">
        <v>6</v>
      </c>
      <c r="K30" s="1">
        <v>41051</v>
      </c>
      <c r="L30" s="1">
        <v>133</v>
      </c>
      <c r="M30" s="1"/>
      <c r="N30" s="1">
        <v>1143800</v>
      </c>
      <c r="O30" s="1">
        <v>41051</v>
      </c>
      <c r="P30" s="1">
        <v>0</v>
      </c>
      <c r="Q30" s="1">
        <v>1</v>
      </c>
    </row>
    <row r="31">
      <c r="A31" s="1">
        <v>2015</v>
      </c>
      <c r="B31" s="1">
        <v>13</v>
      </c>
      <c r="C31" s="1">
        <v>135</v>
      </c>
      <c r="D31" t="s">
        <v>16</v>
      </c>
      <c r="E31" t="s">
        <v>251</v>
      </c>
      <c r="F31" s="1">
        <v>13135</v>
      </c>
      <c r="G31" s="1">
        <v>41</v>
      </c>
      <c r="H31" s="1">
        <v>51</v>
      </c>
      <c r="I31" t="s">
        <v>3</v>
      </c>
      <c r="J31" t="s">
        <v>6</v>
      </c>
      <c r="K31" s="1">
        <v>41051</v>
      </c>
      <c r="L31" s="1">
        <v>116</v>
      </c>
      <c r="M31" s="1"/>
      <c r="N31" s="1">
        <v>3828000</v>
      </c>
      <c r="O31" s="1">
        <v>41051</v>
      </c>
      <c r="P31" s="1">
        <v>0</v>
      </c>
      <c r="Q31" s="1">
        <v>1</v>
      </c>
    </row>
    <row r="32">
      <c r="A32" s="1">
        <v>2015</v>
      </c>
      <c r="B32" s="1">
        <v>15</v>
      </c>
      <c r="C32" s="1">
        <v>1</v>
      </c>
      <c r="D32" t="s">
        <v>17</v>
      </c>
      <c r="E32" t="s">
        <v>92</v>
      </c>
      <c r="F32" s="1">
        <v>15001</v>
      </c>
      <c r="G32" s="1">
        <v>41</v>
      </c>
      <c r="H32" s="1">
        <v>51</v>
      </c>
      <c r="I32" t="s">
        <v>3</v>
      </c>
      <c r="J32" t="s">
        <v>6</v>
      </c>
      <c r="K32" s="1">
        <v>41051</v>
      </c>
      <c r="L32" s="1">
        <v>78</v>
      </c>
      <c r="M32" s="1"/>
      <c r="N32" s="1">
        <v>78000</v>
      </c>
      <c r="O32" s="1">
        <v>41051</v>
      </c>
      <c r="P32" s="1">
        <v>0</v>
      </c>
      <c r="Q32" s="1">
        <v>1</v>
      </c>
    </row>
    <row r="33">
      <c r="A33" s="1">
        <v>2015</v>
      </c>
      <c r="B33" s="1">
        <v>15</v>
      </c>
      <c r="C33" s="1">
        <v>3</v>
      </c>
      <c r="D33" t="s">
        <v>17</v>
      </c>
      <c r="E33" t="s">
        <v>93</v>
      </c>
      <c r="F33" s="1">
        <v>15003</v>
      </c>
      <c r="G33" s="1">
        <v>41</v>
      </c>
      <c r="H33" s="1">
        <v>51</v>
      </c>
      <c r="I33" t="s">
        <v>3</v>
      </c>
      <c r="J33" t="s">
        <v>6</v>
      </c>
      <c r="K33" s="1">
        <v>41051</v>
      </c>
      <c r="L33" s="1">
        <v>204</v>
      </c>
      <c r="M33" s="1">
        <v>60</v>
      </c>
      <c r="N33" s="1">
        <v>4092000</v>
      </c>
      <c r="O33" s="1">
        <v>41051</v>
      </c>
      <c r="P33" s="1">
        <v>0</v>
      </c>
      <c r="Q33" s="1">
        <v>1</v>
      </c>
    </row>
    <row r="34">
      <c r="A34" s="1">
        <v>2015</v>
      </c>
      <c r="B34" s="1">
        <v>16</v>
      </c>
      <c r="C34" s="1">
        <v>0</v>
      </c>
      <c r="D34" t="s">
        <v>411</v>
      </c>
      <c r="E34" t="s">
        <v>276</v>
      </c>
      <c r="F34" s="1">
        <v>16000</v>
      </c>
      <c r="G34" s="1">
        <v>41</v>
      </c>
      <c r="H34" s="1">
        <v>51</v>
      </c>
      <c r="I34" t="s">
        <v>3</v>
      </c>
      <c r="J34" t="s">
        <v>6</v>
      </c>
      <c r="K34" s="1">
        <v>41051</v>
      </c>
      <c r="L34" s="1">
        <v>66</v>
      </c>
      <c r="M34" s="1">
        <v>66</v>
      </c>
      <c r="N34" s="1">
        <v>2772000</v>
      </c>
      <c r="O34" s="1">
        <v>41051</v>
      </c>
      <c r="P34" s="1">
        <v>0</v>
      </c>
      <c r="Q34" s="1">
        <v>1</v>
      </c>
    </row>
    <row r="35">
      <c r="A35" s="1">
        <v>2015</v>
      </c>
      <c r="B35" s="1">
        <v>16</v>
      </c>
      <c r="C35" s="1">
        <v>19</v>
      </c>
      <c r="D35" t="s">
        <v>18</v>
      </c>
      <c r="E35" t="s">
        <v>245</v>
      </c>
      <c r="F35" s="1">
        <v>16019</v>
      </c>
      <c r="G35" s="1">
        <v>41</v>
      </c>
      <c r="H35" s="1">
        <v>51</v>
      </c>
      <c r="I35" t="s">
        <v>3</v>
      </c>
      <c r="J35" t="s">
        <v>6</v>
      </c>
      <c r="K35" s="1">
        <v>41051</v>
      </c>
      <c r="L35" s="1">
        <v>235</v>
      </c>
      <c r="M35" s="1"/>
      <c r="N35" s="1">
        <v>7825500</v>
      </c>
      <c r="O35" s="1">
        <v>41051</v>
      </c>
      <c r="P35" s="1">
        <v>0</v>
      </c>
      <c r="Q35" s="1">
        <v>1</v>
      </c>
    </row>
    <row r="36">
      <c r="A36" s="1">
        <v>2015</v>
      </c>
      <c r="B36" s="1">
        <v>17</v>
      </c>
      <c r="C36" s="1">
        <v>31</v>
      </c>
      <c r="D36" t="s">
        <v>19</v>
      </c>
      <c r="E36" t="s">
        <v>98</v>
      </c>
      <c r="F36" s="1">
        <v>17031</v>
      </c>
      <c r="G36" s="1">
        <v>41</v>
      </c>
      <c r="H36" s="1">
        <v>51</v>
      </c>
      <c r="I36" t="s">
        <v>3</v>
      </c>
      <c r="J36" t="s">
        <v>6</v>
      </c>
      <c r="K36" s="1">
        <v>41051</v>
      </c>
      <c r="L36" s="1">
        <v>137</v>
      </c>
      <c r="M36" s="1">
        <v>78</v>
      </c>
      <c r="N36" s="1">
        <v>6579000</v>
      </c>
      <c r="O36" s="1">
        <v>41051</v>
      </c>
      <c r="P36" s="1">
        <v>0</v>
      </c>
      <c r="Q36" s="1">
        <v>1</v>
      </c>
    </row>
    <row r="37">
      <c r="A37" s="1">
        <v>2015</v>
      </c>
      <c r="B37" s="1">
        <v>17</v>
      </c>
      <c r="C37" s="1">
        <v>113</v>
      </c>
      <c r="D37" t="s">
        <v>19</v>
      </c>
      <c r="E37" t="s">
        <v>366</v>
      </c>
      <c r="F37" s="1">
        <v>17113</v>
      </c>
      <c r="G37" s="1">
        <v>41</v>
      </c>
      <c r="H37" s="1">
        <v>51</v>
      </c>
      <c r="I37" t="s">
        <v>3</v>
      </c>
      <c r="J37" t="s">
        <v>6</v>
      </c>
      <c r="K37" s="1">
        <v>41051</v>
      </c>
      <c r="L37" s="1">
        <v>208</v>
      </c>
      <c r="M37" s="1">
        <v>98</v>
      </c>
      <c r="N37" s="1">
        <v>4657610</v>
      </c>
      <c r="O37" s="1">
        <v>41051</v>
      </c>
      <c r="P37" s="1">
        <v>0</v>
      </c>
      <c r="Q37" s="1">
        <v>1</v>
      </c>
    </row>
    <row r="38">
      <c r="A38" s="1">
        <v>2015</v>
      </c>
      <c r="B38" s="1">
        <v>18</v>
      </c>
      <c r="C38" s="1">
        <v>0</v>
      </c>
      <c r="D38" t="s">
        <v>411</v>
      </c>
      <c r="E38" t="s">
        <v>276</v>
      </c>
      <c r="F38" s="1">
        <v>18000</v>
      </c>
      <c r="G38" s="1">
        <v>41</v>
      </c>
      <c r="H38" s="1">
        <v>51</v>
      </c>
      <c r="I38" t="s">
        <v>3</v>
      </c>
      <c r="J38" t="s">
        <v>6</v>
      </c>
      <c r="K38" s="1">
        <v>41051</v>
      </c>
      <c r="L38" s="1">
        <v>203</v>
      </c>
      <c r="M38" s="1">
        <v>101</v>
      </c>
      <c r="N38" s="1">
        <v>41387000</v>
      </c>
      <c r="O38" s="1">
        <v>41051</v>
      </c>
      <c r="P38" s="1">
        <v>0</v>
      </c>
      <c r="Q38" s="1">
        <v>1</v>
      </c>
    </row>
    <row r="39">
      <c r="A39" s="1">
        <v>2015</v>
      </c>
      <c r="B39" s="1">
        <v>18</v>
      </c>
      <c r="C39" s="1">
        <v>105</v>
      </c>
      <c r="D39" t="s">
        <v>20</v>
      </c>
      <c r="E39" t="s">
        <v>203</v>
      </c>
      <c r="F39" s="1">
        <v>18105</v>
      </c>
      <c r="G39" s="1">
        <v>41</v>
      </c>
      <c r="H39" s="1">
        <v>51</v>
      </c>
      <c r="I39" t="s">
        <v>3</v>
      </c>
      <c r="J39" t="s">
        <v>6</v>
      </c>
      <c r="K39" s="1">
        <v>41051</v>
      </c>
      <c r="L39" s="1">
        <v>131</v>
      </c>
      <c r="M39" s="1">
        <v>131</v>
      </c>
      <c r="N39" s="1">
        <v>366800</v>
      </c>
      <c r="O39" s="1">
        <v>41051</v>
      </c>
      <c r="P39" s="1">
        <v>0</v>
      </c>
      <c r="Q39" s="1">
        <v>1</v>
      </c>
    </row>
    <row r="40">
      <c r="A40" s="1">
        <v>2015</v>
      </c>
      <c r="B40" s="1">
        <v>18</v>
      </c>
      <c r="C40" s="1">
        <v>157</v>
      </c>
      <c r="D40" t="s">
        <v>20</v>
      </c>
      <c r="E40" t="s">
        <v>304</v>
      </c>
      <c r="F40" s="1">
        <v>18157</v>
      </c>
      <c r="G40" s="1">
        <v>41</v>
      </c>
      <c r="H40" s="1">
        <v>51</v>
      </c>
      <c r="I40" t="s">
        <v>3</v>
      </c>
      <c r="J40" t="s">
        <v>6</v>
      </c>
      <c r="K40" s="1">
        <v>41051</v>
      </c>
      <c r="L40" s="1">
        <v>128</v>
      </c>
      <c r="M40" s="1">
        <v>129</v>
      </c>
      <c r="N40" s="1">
        <v>6400000</v>
      </c>
      <c r="O40" s="1">
        <v>41051</v>
      </c>
      <c r="P40" s="1">
        <v>0</v>
      </c>
      <c r="Q40" s="1">
        <v>1</v>
      </c>
    </row>
    <row r="41">
      <c r="A41" s="1">
        <v>2015</v>
      </c>
      <c r="B41" s="1">
        <v>19</v>
      </c>
      <c r="C41" s="1">
        <v>103</v>
      </c>
      <c r="D41" t="s">
        <v>21</v>
      </c>
      <c r="E41" t="s">
        <v>188</v>
      </c>
      <c r="F41" s="1">
        <v>19103</v>
      </c>
      <c r="G41" s="1">
        <v>41</v>
      </c>
      <c r="H41" s="1">
        <v>51</v>
      </c>
      <c r="I41" t="s">
        <v>3</v>
      </c>
      <c r="J41" t="s">
        <v>6</v>
      </c>
      <c r="K41" s="1">
        <v>41051</v>
      </c>
      <c r="L41" s="1">
        <v>586</v>
      </c>
      <c r="M41" s="1">
        <v>269</v>
      </c>
      <c r="N41" s="1">
        <v>24471020</v>
      </c>
      <c r="O41" s="1">
        <v>41051</v>
      </c>
      <c r="P41" s="1">
        <v>0</v>
      </c>
      <c r="Q41" s="1">
        <v>1</v>
      </c>
    </row>
    <row r="42">
      <c r="A42" s="1">
        <v>2015</v>
      </c>
      <c r="B42" s="1">
        <v>22</v>
      </c>
      <c r="C42" s="1">
        <v>0</v>
      </c>
      <c r="D42" t="s">
        <v>411</v>
      </c>
      <c r="E42" t="s">
        <v>276</v>
      </c>
      <c r="F42" s="1">
        <v>22000</v>
      </c>
      <c r="G42" s="1">
        <v>41</v>
      </c>
      <c r="H42" s="1">
        <v>51</v>
      </c>
      <c r="I42" t="s">
        <v>3</v>
      </c>
      <c r="J42" t="s">
        <v>6</v>
      </c>
      <c r="K42" s="1">
        <v>41051</v>
      </c>
      <c r="L42" s="1">
        <v>152</v>
      </c>
      <c r="M42" s="1"/>
      <c r="N42" s="1">
        <v>3496000</v>
      </c>
      <c r="O42" s="1">
        <v>41051</v>
      </c>
      <c r="P42" s="1">
        <v>0</v>
      </c>
      <c r="Q42" s="1">
        <v>1</v>
      </c>
    </row>
    <row r="43">
      <c r="A43" s="1">
        <v>2015</v>
      </c>
      <c r="B43" s="1">
        <v>24</v>
      </c>
      <c r="C43" s="1">
        <v>27</v>
      </c>
      <c r="D43" t="s">
        <v>24</v>
      </c>
      <c r="E43" t="s">
        <v>353</v>
      </c>
      <c r="F43" s="1">
        <v>24027</v>
      </c>
      <c r="G43" s="1">
        <v>41</v>
      </c>
      <c r="H43" s="1">
        <v>51</v>
      </c>
      <c r="I43" t="s">
        <v>3</v>
      </c>
      <c r="J43" t="s">
        <v>6</v>
      </c>
      <c r="K43" s="1">
        <v>41051</v>
      </c>
      <c r="L43" s="1">
        <v>275</v>
      </c>
      <c r="M43" s="1">
        <v>134</v>
      </c>
      <c r="N43" s="1">
        <v>19386200</v>
      </c>
      <c r="O43" s="1">
        <v>41051</v>
      </c>
      <c r="P43" s="1">
        <v>0</v>
      </c>
      <c r="Q43" s="1">
        <v>1</v>
      </c>
    </row>
    <row r="44">
      <c r="A44" s="1">
        <v>2015</v>
      </c>
      <c r="B44" s="1">
        <v>24</v>
      </c>
      <c r="C44" s="1">
        <v>510</v>
      </c>
      <c r="D44" t="s">
        <v>24</v>
      </c>
      <c r="E44" t="s">
        <v>190</v>
      </c>
      <c r="F44" s="1">
        <v>24510</v>
      </c>
      <c r="G44" s="1">
        <v>41</v>
      </c>
      <c r="H44" s="1">
        <v>51</v>
      </c>
      <c r="I44" t="s">
        <v>3</v>
      </c>
      <c r="J44" t="s">
        <v>6</v>
      </c>
      <c r="K44" s="1">
        <v>41051</v>
      </c>
      <c r="L44" s="1">
        <v>137</v>
      </c>
      <c r="M44" s="1"/>
      <c r="N44" s="1">
        <v>6970000</v>
      </c>
      <c r="O44" s="1">
        <v>41051</v>
      </c>
      <c r="P44" s="1">
        <v>0</v>
      </c>
      <c r="Q44" s="1">
        <v>1</v>
      </c>
    </row>
    <row r="45">
      <c r="A45" s="1">
        <v>2015</v>
      </c>
      <c r="B45" s="1">
        <v>25</v>
      </c>
      <c r="C45" s="1">
        <v>0</v>
      </c>
      <c r="D45" t="s">
        <v>411</v>
      </c>
      <c r="E45" t="s">
        <v>276</v>
      </c>
      <c r="F45" s="1">
        <v>25000</v>
      </c>
      <c r="G45" s="1">
        <v>41</v>
      </c>
      <c r="H45" s="1">
        <v>51</v>
      </c>
      <c r="I45" t="s">
        <v>3</v>
      </c>
      <c r="J45" t="s">
        <v>6</v>
      </c>
      <c r="K45" s="1">
        <v>41051</v>
      </c>
      <c r="L45" s="1">
        <v>1480</v>
      </c>
      <c r="M45" s="1">
        <v>683</v>
      </c>
      <c r="N45" s="1">
        <v>28855000</v>
      </c>
      <c r="O45" s="1">
        <v>41051</v>
      </c>
      <c r="P45" s="1">
        <v>0</v>
      </c>
      <c r="Q45" s="1">
        <v>1</v>
      </c>
    </row>
    <row r="46">
      <c r="A46" s="1">
        <v>2015</v>
      </c>
      <c r="B46" s="1">
        <v>25</v>
      </c>
      <c r="C46" s="1">
        <v>25</v>
      </c>
      <c r="D46" t="s">
        <v>25</v>
      </c>
      <c r="E46" t="s">
        <v>105</v>
      </c>
      <c r="F46" s="1">
        <v>25025</v>
      </c>
      <c r="G46" s="1">
        <v>41</v>
      </c>
      <c r="H46" s="1">
        <v>51</v>
      </c>
      <c r="I46" t="s">
        <v>3</v>
      </c>
      <c r="J46" t="s">
        <v>6</v>
      </c>
      <c r="K46" s="1">
        <v>41051</v>
      </c>
      <c r="L46" s="1">
        <v>71</v>
      </c>
      <c r="M46" s="1"/>
      <c r="N46" s="1">
        <v>852000</v>
      </c>
      <c r="O46" s="1">
        <v>41051</v>
      </c>
      <c r="P46" s="1">
        <v>0</v>
      </c>
      <c r="Q46" s="1">
        <v>1</v>
      </c>
    </row>
    <row r="47">
      <c r="A47" s="1">
        <v>2015</v>
      </c>
      <c r="B47" s="1">
        <v>27</v>
      </c>
      <c r="C47" s="1">
        <v>53</v>
      </c>
      <c r="D47" t="s">
        <v>27</v>
      </c>
      <c r="E47" t="s">
        <v>107</v>
      </c>
      <c r="F47" s="1">
        <v>27053</v>
      </c>
      <c r="G47" s="1">
        <v>41</v>
      </c>
      <c r="H47" s="1">
        <v>51</v>
      </c>
      <c r="I47" t="s">
        <v>3</v>
      </c>
      <c r="J47" t="s">
        <v>6</v>
      </c>
      <c r="K47" s="1">
        <v>41051</v>
      </c>
      <c r="L47" s="1">
        <v>273</v>
      </c>
      <c r="M47" s="1">
        <v>171</v>
      </c>
      <c r="N47" s="1">
        <v>12904500</v>
      </c>
      <c r="O47" s="1">
        <v>41051</v>
      </c>
      <c r="P47" s="1">
        <v>0</v>
      </c>
      <c r="Q47" s="1">
        <v>1</v>
      </c>
    </row>
    <row r="48">
      <c r="A48" s="1">
        <v>2015</v>
      </c>
      <c r="B48" s="1">
        <v>29</v>
      </c>
      <c r="C48" s="1">
        <v>183</v>
      </c>
      <c r="D48" t="s">
        <v>44</v>
      </c>
      <c r="E48" t="s">
        <v>314</v>
      </c>
      <c r="F48" s="1">
        <v>29183</v>
      </c>
      <c r="G48" s="1">
        <v>41</v>
      </c>
      <c r="H48" s="1">
        <v>51</v>
      </c>
      <c r="I48" t="s">
        <v>3</v>
      </c>
      <c r="J48" t="s">
        <v>6</v>
      </c>
      <c r="K48" s="1">
        <v>41051</v>
      </c>
      <c r="L48" s="1">
        <v>167</v>
      </c>
      <c r="M48" s="1">
        <v>88</v>
      </c>
      <c r="N48" s="1">
        <v>10892000</v>
      </c>
      <c r="O48" s="1">
        <v>41051</v>
      </c>
      <c r="P48" s="1">
        <v>0</v>
      </c>
      <c r="Q48" s="1">
        <v>1</v>
      </c>
    </row>
    <row r="49">
      <c r="A49" s="1">
        <v>2015</v>
      </c>
      <c r="B49" s="1">
        <v>32</v>
      </c>
      <c r="C49" s="1">
        <v>3</v>
      </c>
      <c r="D49" t="s">
        <v>29</v>
      </c>
      <c r="E49" t="s">
        <v>112</v>
      </c>
      <c r="F49" s="1">
        <v>32003</v>
      </c>
      <c r="G49" s="1">
        <v>41</v>
      </c>
      <c r="H49" s="1">
        <v>51</v>
      </c>
      <c r="I49" t="s">
        <v>3</v>
      </c>
      <c r="J49" t="s">
        <v>6</v>
      </c>
      <c r="K49" s="1">
        <v>41051</v>
      </c>
      <c r="L49" s="1">
        <v>676</v>
      </c>
      <c r="M49" s="1">
        <v>262</v>
      </c>
      <c r="N49" s="1">
        <v>14384200</v>
      </c>
      <c r="O49" s="1">
        <v>41051</v>
      </c>
      <c r="P49" s="1">
        <v>0</v>
      </c>
      <c r="Q49" s="1">
        <v>1</v>
      </c>
    </row>
    <row r="50">
      <c r="A50" s="1">
        <v>2015</v>
      </c>
      <c r="B50" s="1">
        <v>33</v>
      </c>
      <c r="C50" s="1">
        <v>0</v>
      </c>
      <c r="D50" t="s">
        <v>411</v>
      </c>
      <c r="E50" t="s">
        <v>276</v>
      </c>
      <c r="F50" s="1">
        <v>33000</v>
      </c>
      <c r="G50" s="1">
        <v>41</v>
      </c>
      <c r="H50" s="1">
        <v>51</v>
      </c>
      <c r="I50" t="s">
        <v>3</v>
      </c>
      <c r="J50" t="s">
        <v>6</v>
      </c>
      <c r="K50" s="1">
        <v>41051</v>
      </c>
      <c r="L50" s="1">
        <v>247</v>
      </c>
      <c r="M50" s="1">
        <v>162</v>
      </c>
      <c r="N50" s="1">
        <v>16992600</v>
      </c>
      <c r="O50" s="1">
        <v>41051</v>
      </c>
      <c r="P50" s="1">
        <v>0</v>
      </c>
      <c r="Q50" s="1">
        <v>1</v>
      </c>
    </row>
    <row r="51">
      <c r="A51" s="1">
        <v>2015</v>
      </c>
      <c r="B51" s="1">
        <v>36</v>
      </c>
      <c r="C51" s="1">
        <v>5</v>
      </c>
      <c r="D51" t="s">
        <v>31</v>
      </c>
      <c r="E51" t="s">
        <v>288</v>
      </c>
      <c r="F51" s="1">
        <v>36005</v>
      </c>
      <c r="G51" s="1">
        <v>41</v>
      </c>
      <c r="H51" s="1">
        <v>51</v>
      </c>
      <c r="I51" t="s">
        <v>3</v>
      </c>
      <c r="J51" t="s">
        <v>6</v>
      </c>
      <c r="K51" s="1">
        <v>41051</v>
      </c>
      <c r="L51" s="1">
        <v>297</v>
      </c>
      <c r="M51" s="1">
        <v>139</v>
      </c>
      <c r="N51" s="1">
        <v>7233200</v>
      </c>
      <c r="O51" s="1">
        <v>41051</v>
      </c>
      <c r="P51" s="1">
        <v>0</v>
      </c>
      <c r="Q51" s="1">
        <v>1</v>
      </c>
    </row>
    <row r="52">
      <c r="A52" s="1">
        <v>2015</v>
      </c>
      <c r="B52" s="1">
        <v>36</v>
      </c>
      <c r="C52" s="1">
        <v>47</v>
      </c>
      <c r="D52" t="s">
        <v>31</v>
      </c>
      <c r="E52" t="s">
        <v>116</v>
      </c>
      <c r="F52" s="1">
        <v>36047</v>
      </c>
      <c r="G52" s="1">
        <v>41</v>
      </c>
      <c r="H52" s="1">
        <v>51</v>
      </c>
      <c r="I52" t="s">
        <v>3</v>
      </c>
      <c r="J52" t="s">
        <v>6</v>
      </c>
      <c r="K52" s="1">
        <v>41051</v>
      </c>
      <c r="L52" s="1">
        <v>240</v>
      </c>
      <c r="M52" s="1">
        <v>176</v>
      </c>
      <c r="N52" s="1">
        <v>12955200</v>
      </c>
      <c r="O52" s="1">
        <v>41051</v>
      </c>
      <c r="P52" s="1">
        <v>0</v>
      </c>
      <c r="Q52" s="1">
        <v>1</v>
      </c>
    </row>
    <row r="53">
      <c r="A53" s="1">
        <v>2015</v>
      </c>
      <c r="B53" s="1">
        <v>36</v>
      </c>
      <c r="C53" s="1">
        <v>55</v>
      </c>
      <c r="D53" t="s">
        <v>31</v>
      </c>
      <c r="E53" t="s">
        <v>203</v>
      </c>
      <c r="F53" s="1">
        <v>36055</v>
      </c>
      <c r="G53" s="1">
        <v>41</v>
      </c>
      <c r="H53" s="1">
        <v>51</v>
      </c>
      <c r="I53" t="s">
        <v>3</v>
      </c>
      <c r="J53" t="s">
        <v>6</v>
      </c>
      <c r="K53" s="1">
        <v>41051</v>
      </c>
      <c r="L53" s="1">
        <v>87</v>
      </c>
      <c r="M53" s="1"/>
      <c r="N53" s="1">
        <v>348870</v>
      </c>
      <c r="O53" s="1">
        <v>41051</v>
      </c>
      <c r="P53" s="1">
        <v>0</v>
      </c>
      <c r="Q53" s="1">
        <v>1</v>
      </c>
    </row>
    <row r="54">
      <c r="A54" s="1">
        <v>2015</v>
      </c>
      <c r="B54" s="1">
        <v>36</v>
      </c>
      <c r="C54" s="1">
        <v>61</v>
      </c>
      <c r="D54" t="s">
        <v>31</v>
      </c>
      <c r="E54" t="s">
        <v>117</v>
      </c>
      <c r="F54" s="1">
        <v>36061</v>
      </c>
      <c r="G54" s="1">
        <v>41</v>
      </c>
      <c r="H54" s="1">
        <v>51</v>
      </c>
      <c r="I54" t="s">
        <v>3</v>
      </c>
      <c r="J54" t="s">
        <v>6</v>
      </c>
      <c r="K54" s="1">
        <v>41051</v>
      </c>
      <c r="L54" s="1">
        <v>82</v>
      </c>
      <c r="M54" s="1">
        <v>81</v>
      </c>
      <c r="N54" s="1">
        <v>8200000</v>
      </c>
      <c r="O54" s="1">
        <v>41051</v>
      </c>
      <c r="P54" s="1">
        <v>0</v>
      </c>
      <c r="Q54" s="1">
        <v>1</v>
      </c>
    </row>
    <row r="55">
      <c r="A55" s="1">
        <v>2015</v>
      </c>
      <c r="B55" s="1">
        <v>37</v>
      </c>
      <c r="C55" s="1">
        <v>135</v>
      </c>
      <c r="D55" t="s">
        <v>32</v>
      </c>
      <c r="E55" t="s">
        <v>64</v>
      </c>
      <c r="F55" s="1">
        <v>37135</v>
      </c>
      <c r="G55" s="1">
        <v>41</v>
      </c>
      <c r="H55" s="1">
        <v>51</v>
      </c>
      <c r="I55" t="s">
        <v>3</v>
      </c>
      <c r="J55" t="s">
        <v>6</v>
      </c>
      <c r="K55" s="1">
        <v>41051</v>
      </c>
      <c r="L55" s="1">
        <v>251</v>
      </c>
      <c r="M55" s="1">
        <v>92</v>
      </c>
      <c r="N55" s="1">
        <v>14848000</v>
      </c>
      <c r="O55" s="1">
        <v>41051</v>
      </c>
      <c r="P55" s="1">
        <v>0</v>
      </c>
      <c r="Q55" s="1">
        <v>1</v>
      </c>
    </row>
    <row r="56">
      <c r="A56" s="1">
        <v>2015</v>
      </c>
      <c r="B56" s="1">
        <v>39</v>
      </c>
      <c r="C56" s="1">
        <v>0</v>
      </c>
      <c r="D56" t="s">
        <v>411</v>
      </c>
      <c r="E56" t="s">
        <v>276</v>
      </c>
      <c r="F56" s="1">
        <v>39000</v>
      </c>
      <c r="G56" s="1">
        <v>41</v>
      </c>
      <c r="H56" s="1">
        <v>51</v>
      </c>
      <c r="I56" t="s">
        <v>3</v>
      </c>
      <c r="J56" t="s">
        <v>6</v>
      </c>
      <c r="K56" s="1">
        <v>41051</v>
      </c>
      <c r="L56" s="1">
        <v>112</v>
      </c>
      <c r="M56" s="1">
        <v>112</v>
      </c>
      <c r="N56" s="1">
        <v>9520000</v>
      </c>
      <c r="O56" s="1">
        <v>41051</v>
      </c>
      <c r="P56" s="1">
        <v>0</v>
      </c>
      <c r="Q56" s="1">
        <v>1</v>
      </c>
    </row>
    <row r="57">
      <c r="A57" s="1">
        <v>2015</v>
      </c>
      <c r="B57" s="1">
        <v>39</v>
      </c>
      <c r="C57" s="1">
        <v>49</v>
      </c>
      <c r="D57" t="s">
        <v>33</v>
      </c>
      <c r="E57" t="s">
        <v>122</v>
      </c>
      <c r="F57" s="1">
        <v>39049</v>
      </c>
      <c r="G57" s="1">
        <v>41</v>
      </c>
      <c r="H57" s="1">
        <v>51</v>
      </c>
      <c r="I57" t="s">
        <v>3</v>
      </c>
      <c r="J57" t="s">
        <v>6</v>
      </c>
      <c r="K57" s="1">
        <v>41051</v>
      </c>
      <c r="L57" s="1">
        <v>672</v>
      </c>
      <c r="M57" s="1">
        <v>288</v>
      </c>
      <c r="N57" s="1">
        <v>16780800</v>
      </c>
      <c r="O57" s="1">
        <v>41051</v>
      </c>
      <c r="P57" s="1">
        <v>0</v>
      </c>
      <c r="Q57" s="1">
        <v>1</v>
      </c>
    </row>
    <row r="58">
      <c r="A58" s="1">
        <v>2015</v>
      </c>
      <c r="B58" s="1">
        <v>39</v>
      </c>
      <c r="C58" s="1">
        <v>153</v>
      </c>
      <c r="D58" t="s">
        <v>33</v>
      </c>
      <c r="E58" t="s">
        <v>367</v>
      </c>
      <c r="F58" s="1">
        <v>39153</v>
      </c>
      <c r="G58" s="1">
        <v>41</v>
      </c>
      <c r="H58" s="1">
        <v>51</v>
      </c>
      <c r="I58" t="s">
        <v>3</v>
      </c>
      <c r="J58" t="s">
        <v>6</v>
      </c>
      <c r="K58" s="1">
        <v>41051</v>
      </c>
      <c r="L58" s="1">
        <v>99</v>
      </c>
      <c r="M58" s="1"/>
      <c r="N58" s="1">
        <v>831600</v>
      </c>
      <c r="O58" s="1">
        <v>41051</v>
      </c>
      <c r="P58" s="1">
        <v>0</v>
      </c>
      <c r="Q58" s="1">
        <v>1</v>
      </c>
    </row>
    <row r="59">
      <c r="A59" s="1">
        <v>2015</v>
      </c>
      <c r="B59" s="1">
        <v>41</v>
      </c>
      <c r="C59" s="1">
        <v>0</v>
      </c>
      <c r="D59" t="s">
        <v>411</v>
      </c>
      <c r="E59" t="s">
        <v>276</v>
      </c>
      <c r="F59" s="1">
        <v>41000</v>
      </c>
      <c r="G59" s="1">
        <v>41</v>
      </c>
      <c r="H59" s="1">
        <v>51</v>
      </c>
      <c r="I59" t="s">
        <v>3</v>
      </c>
      <c r="J59" t="s">
        <v>6</v>
      </c>
      <c r="K59" s="1">
        <v>41051</v>
      </c>
      <c r="L59" s="1">
        <v>1546</v>
      </c>
      <c r="M59" s="1">
        <v>124</v>
      </c>
      <c r="N59" s="1">
        <v>46983710</v>
      </c>
      <c r="O59" s="1">
        <v>41051</v>
      </c>
      <c r="P59" s="1">
        <v>0</v>
      </c>
      <c r="Q59" s="1">
        <v>1</v>
      </c>
    </row>
    <row r="60">
      <c r="A60" s="1">
        <v>2015</v>
      </c>
      <c r="B60" s="1">
        <v>41</v>
      </c>
      <c r="C60" s="1">
        <v>5</v>
      </c>
      <c r="D60" t="s">
        <v>3</v>
      </c>
      <c r="E60" t="s">
        <v>125</v>
      </c>
      <c r="F60" s="1">
        <v>41005</v>
      </c>
      <c r="G60" s="1">
        <v>41</v>
      </c>
      <c r="H60" s="1">
        <v>51</v>
      </c>
      <c r="I60" t="s">
        <v>3</v>
      </c>
      <c r="J60" t="s">
        <v>6</v>
      </c>
      <c r="K60" s="1">
        <v>41051</v>
      </c>
      <c r="L60" s="1">
        <v>6012</v>
      </c>
      <c r="M60" s="1">
        <v>2333</v>
      </c>
      <c r="N60" s="1">
        <v>168582200</v>
      </c>
      <c r="O60" s="1">
        <v>41051</v>
      </c>
      <c r="P60" s="1">
        <v>0</v>
      </c>
      <c r="Q60" s="1">
        <v>1</v>
      </c>
    </row>
    <row r="61">
      <c r="A61" s="1">
        <v>2015</v>
      </c>
      <c r="B61" s="1">
        <v>41</v>
      </c>
      <c r="C61" s="1">
        <v>17</v>
      </c>
      <c r="D61" t="s">
        <v>3</v>
      </c>
      <c r="E61" t="s">
        <v>130</v>
      </c>
      <c r="F61" s="1">
        <v>41017</v>
      </c>
      <c r="G61" s="1">
        <v>41</v>
      </c>
      <c r="H61" s="1">
        <v>51</v>
      </c>
      <c r="I61" t="s">
        <v>3</v>
      </c>
      <c r="J61" t="s">
        <v>6</v>
      </c>
      <c r="K61" s="1">
        <v>41051</v>
      </c>
      <c r="L61" s="1">
        <v>436</v>
      </c>
      <c r="M61" s="1">
        <v>304</v>
      </c>
      <c r="N61" s="1">
        <v>13352150</v>
      </c>
      <c r="O61" s="1">
        <v>41051</v>
      </c>
      <c r="P61" s="1">
        <v>0</v>
      </c>
      <c r="Q61" s="1">
        <v>1</v>
      </c>
    </row>
    <row r="62">
      <c r="A62" s="1">
        <v>2015</v>
      </c>
      <c r="B62" s="1">
        <v>41</v>
      </c>
      <c r="C62" s="1">
        <v>29</v>
      </c>
      <c r="D62" t="s">
        <v>3</v>
      </c>
      <c r="E62" t="s">
        <v>133</v>
      </c>
      <c r="F62" s="1">
        <v>41029</v>
      </c>
      <c r="G62" s="1">
        <v>41</v>
      </c>
      <c r="H62" s="1">
        <v>51</v>
      </c>
      <c r="I62" t="s">
        <v>3</v>
      </c>
      <c r="J62" t="s">
        <v>6</v>
      </c>
      <c r="K62" s="1">
        <v>41051</v>
      </c>
      <c r="L62" s="1">
        <v>501</v>
      </c>
      <c r="M62" s="1">
        <v>189</v>
      </c>
      <c r="N62" s="1">
        <v>6957400</v>
      </c>
      <c r="O62" s="1">
        <v>41051</v>
      </c>
      <c r="P62" s="1">
        <v>0</v>
      </c>
      <c r="Q62" s="1">
        <v>1</v>
      </c>
    </row>
    <row r="63">
      <c r="A63" s="1">
        <v>2015</v>
      </c>
      <c r="B63" s="1">
        <v>41</v>
      </c>
      <c r="C63" s="1">
        <v>39</v>
      </c>
      <c r="D63" t="s">
        <v>3</v>
      </c>
      <c r="E63" t="s">
        <v>136</v>
      </c>
      <c r="F63" s="1">
        <v>41039</v>
      </c>
      <c r="G63" s="1">
        <v>41</v>
      </c>
      <c r="H63" s="1">
        <v>51</v>
      </c>
      <c r="I63" t="s">
        <v>3</v>
      </c>
      <c r="J63" t="s">
        <v>6</v>
      </c>
      <c r="K63" s="1">
        <v>41051</v>
      </c>
      <c r="L63" s="1">
        <v>793</v>
      </c>
      <c r="M63" s="1">
        <v>72</v>
      </c>
      <c r="N63" s="1">
        <v>25690950</v>
      </c>
      <c r="O63" s="1">
        <v>41051</v>
      </c>
      <c r="P63" s="1">
        <v>0</v>
      </c>
      <c r="Q63" s="1">
        <v>1</v>
      </c>
    </row>
    <row r="64">
      <c r="A64" s="1">
        <v>2015</v>
      </c>
      <c r="B64" s="1">
        <v>41</v>
      </c>
      <c r="C64" s="1">
        <v>47</v>
      </c>
      <c r="D64" t="s">
        <v>3</v>
      </c>
      <c r="E64" t="s">
        <v>99</v>
      </c>
      <c r="F64" s="1">
        <v>41047</v>
      </c>
      <c r="G64" s="1">
        <v>41</v>
      </c>
      <c r="H64" s="1">
        <v>51</v>
      </c>
      <c r="I64" t="s">
        <v>3</v>
      </c>
      <c r="J64" t="s">
        <v>6</v>
      </c>
      <c r="K64" s="1">
        <v>41051</v>
      </c>
      <c r="L64" s="1">
        <v>318</v>
      </c>
      <c r="M64" s="1">
        <v>267</v>
      </c>
      <c r="N64" s="1">
        <v>9950200</v>
      </c>
      <c r="O64" s="1">
        <v>41051</v>
      </c>
      <c r="P64" s="1">
        <v>0</v>
      </c>
      <c r="Q64" s="1">
        <v>1</v>
      </c>
    </row>
    <row r="65">
      <c r="A65" s="1">
        <v>2015</v>
      </c>
      <c r="B65" s="1">
        <v>41</v>
      </c>
      <c r="C65" s="1">
        <v>51</v>
      </c>
      <c r="D65" t="s">
        <v>3</v>
      </c>
      <c r="E65" t="s">
        <v>6</v>
      </c>
      <c r="F65" s="1">
        <v>41051</v>
      </c>
      <c r="G65" s="1">
        <v>41</v>
      </c>
      <c r="H65" s="1">
        <v>51</v>
      </c>
      <c r="I65" t="s">
        <v>3</v>
      </c>
      <c r="J65" t="s">
        <v>6</v>
      </c>
      <c r="K65" s="1">
        <v>41051</v>
      </c>
      <c r="L65" s="1">
        <v>571896</v>
      </c>
      <c r="M65" s="1">
        <v>292849</v>
      </c>
      <c r="N65" s="1">
        <v>24467590794</v>
      </c>
      <c r="O65" s="1">
        <v>41051</v>
      </c>
      <c r="P65" s="1">
        <v>1</v>
      </c>
      <c r="Q65" s="1">
        <v>1</v>
      </c>
    </row>
    <row r="66">
      <c r="A66" s="1">
        <v>2015</v>
      </c>
      <c r="B66" s="1">
        <v>41</v>
      </c>
      <c r="C66" s="1">
        <v>67</v>
      </c>
      <c r="D66" t="s">
        <v>3</v>
      </c>
      <c r="E66" t="s">
        <v>143</v>
      </c>
      <c r="F66" s="1">
        <v>41067</v>
      </c>
      <c r="G66" s="1">
        <v>41</v>
      </c>
      <c r="H66" s="1">
        <v>51</v>
      </c>
      <c r="I66" t="s">
        <v>3</v>
      </c>
      <c r="J66" t="s">
        <v>6</v>
      </c>
      <c r="K66" s="1">
        <v>41051</v>
      </c>
      <c r="L66" s="1">
        <v>4421</v>
      </c>
      <c r="M66" s="1">
        <v>1450</v>
      </c>
      <c r="N66" s="1">
        <v>168963280</v>
      </c>
      <c r="O66" s="1">
        <v>41051</v>
      </c>
      <c r="P66" s="1">
        <v>0</v>
      </c>
      <c r="Q66" s="1">
        <v>1</v>
      </c>
    </row>
    <row r="67">
      <c r="A67" s="1">
        <v>2015</v>
      </c>
      <c r="B67" s="1">
        <v>42</v>
      </c>
      <c r="C67" s="1">
        <v>0</v>
      </c>
      <c r="D67" t="s">
        <v>411</v>
      </c>
      <c r="E67" t="s">
        <v>276</v>
      </c>
      <c r="F67" s="1">
        <v>42000</v>
      </c>
      <c r="G67" s="1">
        <v>41</v>
      </c>
      <c r="H67" s="1">
        <v>51</v>
      </c>
      <c r="I67" t="s">
        <v>3</v>
      </c>
      <c r="J67" t="s">
        <v>6</v>
      </c>
      <c r="K67" s="1">
        <v>41051</v>
      </c>
      <c r="L67" s="1">
        <v>108</v>
      </c>
      <c r="M67" s="1">
        <v>108</v>
      </c>
      <c r="N67" s="1">
        <v>2700000</v>
      </c>
      <c r="O67" s="1">
        <v>41051</v>
      </c>
      <c r="P67" s="1">
        <v>0</v>
      </c>
      <c r="Q67" s="1">
        <v>1</v>
      </c>
    </row>
    <row r="68">
      <c r="A68" s="1">
        <v>2015</v>
      </c>
      <c r="B68" s="1">
        <v>42</v>
      </c>
      <c r="C68" s="1">
        <v>27</v>
      </c>
      <c r="D68" t="s">
        <v>34</v>
      </c>
      <c r="E68" t="s">
        <v>312</v>
      </c>
      <c r="F68" s="1">
        <v>42027</v>
      </c>
      <c r="G68" s="1">
        <v>41</v>
      </c>
      <c r="H68" s="1">
        <v>51</v>
      </c>
      <c r="I68" t="s">
        <v>3</v>
      </c>
      <c r="J68" t="s">
        <v>6</v>
      </c>
      <c r="K68" s="1">
        <v>41051</v>
      </c>
      <c r="L68" s="1">
        <v>103</v>
      </c>
      <c r="M68" s="1">
        <v>56</v>
      </c>
      <c r="N68" s="1">
        <v>1599500</v>
      </c>
      <c r="O68" s="1">
        <v>41051</v>
      </c>
      <c r="P68" s="1">
        <v>0</v>
      </c>
      <c r="Q68" s="1">
        <v>1</v>
      </c>
    </row>
    <row r="69">
      <c r="A69" s="1">
        <v>2015</v>
      </c>
      <c r="B69" s="1">
        <v>42</v>
      </c>
      <c r="C69" s="1">
        <v>91</v>
      </c>
      <c r="D69" t="s">
        <v>34</v>
      </c>
      <c r="E69" t="s">
        <v>103</v>
      </c>
      <c r="F69" s="1">
        <v>42091</v>
      </c>
      <c r="G69" s="1">
        <v>41</v>
      </c>
      <c r="H69" s="1">
        <v>51</v>
      </c>
      <c r="I69" t="s">
        <v>3</v>
      </c>
      <c r="J69" t="s">
        <v>6</v>
      </c>
      <c r="K69" s="1">
        <v>41051</v>
      </c>
      <c r="L69" s="1">
        <v>60</v>
      </c>
      <c r="M69" s="1"/>
      <c r="N69" s="1">
        <v>720000</v>
      </c>
      <c r="O69" s="1">
        <v>41051</v>
      </c>
      <c r="P69" s="1">
        <v>0</v>
      </c>
      <c r="Q69" s="1">
        <v>1</v>
      </c>
    </row>
    <row r="70">
      <c r="A70" s="1">
        <v>2015</v>
      </c>
      <c r="B70" s="1">
        <v>42</v>
      </c>
      <c r="C70" s="1">
        <v>101</v>
      </c>
      <c r="D70" t="s">
        <v>34</v>
      </c>
      <c r="E70" t="s">
        <v>146</v>
      </c>
      <c r="F70" s="1">
        <v>42101</v>
      </c>
      <c r="G70" s="1">
        <v>41</v>
      </c>
      <c r="H70" s="1">
        <v>51</v>
      </c>
      <c r="I70" t="s">
        <v>3</v>
      </c>
      <c r="J70" t="s">
        <v>6</v>
      </c>
      <c r="K70" s="1">
        <v>41051</v>
      </c>
      <c r="L70" s="1">
        <v>174</v>
      </c>
      <c r="M70" s="1">
        <v>174</v>
      </c>
      <c r="N70" s="1">
        <v>10440000</v>
      </c>
      <c r="O70" s="1">
        <v>41051</v>
      </c>
      <c r="P70" s="1">
        <v>0</v>
      </c>
      <c r="Q70" s="1">
        <v>1</v>
      </c>
    </row>
    <row r="71">
      <c r="A71" s="1">
        <v>2015</v>
      </c>
      <c r="B71" s="1">
        <v>44</v>
      </c>
      <c r="C71" s="1">
        <v>7</v>
      </c>
      <c r="D71" t="s">
        <v>48</v>
      </c>
      <c r="E71" t="s">
        <v>212</v>
      </c>
      <c r="F71" s="1">
        <v>44007</v>
      </c>
      <c r="G71" s="1">
        <v>41</v>
      </c>
      <c r="H71" s="1">
        <v>51</v>
      </c>
      <c r="I71" t="s">
        <v>3</v>
      </c>
      <c r="J71" t="s">
        <v>6</v>
      </c>
      <c r="K71" s="1">
        <v>41051</v>
      </c>
      <c r="L71" s="1">
        <v>132</v>
      </c>
      <c r="M71" s="1">
        <v>62</v>
      </c>
      <c r="N71" s="1">
        <v>2640000</v>
      </c>
      <c r="O71" s="1">
        <v>41051</v>
      </c>
      <c r="P71" s="1">
        <v>0</v>
      </c>
      <c r="Q71" s="1">
        <v>1</v>
      </c>
    </row>
    <row r="72">
      <c r="A72" s="1">
        <v>2015</v>
      </c>
      <c r="B72" s="1">
        <v>47</v>
      </c>
      <c r="C72" s="1">
        <v>37</v>
      </c>
      <c r="D72" t="s">
        <v>35</v>
      </c>
      <c r="E72" t="s">
        <v>147</v>
      </c>
      <c r="F72" s="1">
        <v>47037</v>
      </c>
      <c r="G72" s="1">
        <v>41</v>
      </c>
      <c r="H72" s="1">
        <v>51</v>
      </c>
      <c r="I72" t="s">
        <v>3</v>
      </c>
      <c r="J72" t="s">
        <v>6</v>
      </c>
      <c r="K72" s="1">
        <v>41051</v>
      </c>
      <c r="L72" s="1">
        <v>149</v>
      </c>
      <c r="M72" s="1">
        <v>148</v>
      </c>
      <c r="N72" s="1">
        <v>894000</v>
      </c>
      <c r="O72" s="1">
        <v>41051</v>
      </c>
      <c r="P72" s="1">
        <v>0</v>
      </c>
      <c r="Q72" s="1">
        <v>1</v>
      </c>
    </row>
    <row r="73">
      <c r="A73" s="1">
        <v>2015</v>
      </c>
      <c r="B73" s="1">
        <v>48</v>
      </c>
      <c r="C73" s="1">
        <v>85</v>
      </c>
      <c r="D73" t="s">
        <v>36</v>
      </c>
      <c r="E73" t="s">
        <v>216</v>
      </c>
      <c r="F73" s="1">
        <v>48085</v>
      </c>
      <c r="G73" s="1">
        <v>41</v>
      </c>
      <c r="H73" s="1">
        <v>51</v>
      </c>
      <c r="I73" t="s">
        <v>3</v>
      </c>
      <c r="J73" t="s">
        <v>6</v>
      </c>
      <c r="K73" s="1">
        <v>41051</v>
      </c>
      <c r="L73" s="1">
        <v>128</v>
      </c>
      <c r="M73" s="1">
        <v>65</v>
      </c>
      <c r="N73" s="1">
        <v>2752000</v>
      </c>
      <c r="O73" s="1">
        <v>41051</v>
      </c>
      <c r="P73" s="1">
        <v>0</v>
      </c>
      <c r="Q73" s="1">
        <v>1</v>
      </c>
    </row>
    <row r="74">
      <c r="A74" s="1">
        <v>2015</v>
      </c>
      <c r="B74" s="1">
        <v>48</v>
      </c>
      <c r="C74" s="1">
        <v>453</v>
      </c>
      <c r="D74" t="s">
        <v>36</v>
      </c>
      <c r="E74" t="s">
        <v>153</v>
      </c>
      <c r="F74" s="1">
        <v>48453</v>
      </c>
      <c r="G74" s="1">
        <v>41</v>
      </c>
      <c r="H74" s="1">
        <v>51</v>
      </c>
      <c r="I74" t="s">
        <v>3</v>
      </c>
      <c r="J74" t="s">
        <v>6</v>
      </c>
      <c r="K74" s="1">
        <v>41051</v>
      </c>
      <c r="L74" s="1">
        <v>389</v>
      </c>
      <c r="M74" s="1">
        <v>74</v>
      </c>
      <c r="N74" s="1">
        <v>28152000</v>
      </c>
      <c r="O74" s="1">
        <v>41051</v>
      </c>
      <c r="P74" s="1">
        <v>0</v>
      </c>
      <c r="Q74" s="1">
        <v>1</v>
      </c>
    </row>
    <row r="75">
      <c r="A75" s="1">
        <v>2015</v>
      </c>
      <c r="B75" s="1">
        <v>49</v>
      </c>
      <c r="C75" s="1">
        <v>35</v>
      </c>
      <c r="D75" t="s">
        <v>37</v>
      </c>
      <c r="E75" t="s">
        <v>154</v>
      </c>
      <c r="F75" s="1">
        <v>49035</v>
      </c>
      <c r="G75" s="1">
        <v>41</v>
      </c>
      <c r="H75" s="1">
        <v>51</v>
      </c>
      <c r="I75" t="s">
        <v>3</v>
      </c>
      <c r="J75" t="s">
        <v>6</v>
      </c>
      <c r="K75" s="1">
        <v>41051</v>
      </c>
      <c r="L75" s="1">
        <v>81</v>
      </c>
      <c r="M75" s="1">
        <v>81</v>
      </c>
      <c r="N75" s="1">
        <v>324000</v>
      </c>
      <c r="O75" s="1">
        <v>41051</v>
      </c>
      <c r="P75" s="1">
        <v>0</v>
      </c>
      <c r="Q75" s="1">
        <v>1</v>
      </c>
    </row>
    <row r="76">
      <c r="A76" s="1">
        <v>2015</v>
      </c>
      <c r="B76" s="1">
        <v>50</v>
      </c>
      <c r="C76" s="1">
        <v>0</v>
      </c>
      <c r="D76" t="s">
        <v>411</v>
      </c>
      <c r="E76" t="s">
        <v>276</v>
      </c>
      <c r="F76" s="1">
        <v>50000</v>
      </c>
      <c r="G76" s="1">
        <v>41</v>
      </c>
      <c r="H76" s="1">
        <v>51</v>
      </c>
      <c r="I76" t="s">
        <v>3</v>
      </c>
      <c r="J76" t="s">
        <v>6</v>
      </c>
      <c r="K76" s="1">
        <v>41051</v>
      </c>
      <c r="L76" s="1">
        <v>481</v>
      </c>
      <c r="M76" s="1">
        <v>403</v>
      </c>
      <c r="N76" s="1">
        <v>15038000</v>
      </c>
      <c r="O76" s="1">
        <v>41051</v>
      </c>
      <c r="P76" s="1">
        <v>0</v>
      </c>
      <c r="Q76" s="1">
        <v>1</v>
      </c>
    </row>
    <row r="77">
      <c r="A77" s="1">
        <v>2015</v>
      </c>
      <c r="B77" s="1">
        <v>51</v>
      </c>
      <c r="C77" s="1">
        <v>0</v>
      </c>
      <c r="D77" t="s">
        <v>411</v>
      </c>
      <c r="E77" t="s">
        <v>276</v>
      </c>
      <c r="F77" s="1">
        <v>51000</v>
      </c>
      <c r="G77" s="1">
        <v>41</v>
      </c>
      <c r="H77" s="1">
        <v>51</v>
      </c>
      <c r="I77" t="s">
        <v>3</v>
      </c>
      <c r="J77" t="s">
        <v>6</v>
      </c>
      <c r="K77" s="1">
        <v>41051</v>
      </c>
      <c r="L77" s="1">
        <v>505</v>
      </c>
      <c r="M77" s="1">
        <v>146</v>
      </c>
      <c r="N77" s="1">
        <v>4131800</v>
      </c>
      <c r="O77" s="1">
        <v>41051</v>
      </c>
      <c r="P77" s="1">
        <v>0</v>
      </c>
      <c r="Q77" s="1">
        <v>1</v>
      </c>
    </row>
    <row r="78">
      <c r="A78" s="1">
        <v>2015</v>
      </c>
      <c r="B78" s="1">
        <v>53</v>
      </c>
      <c r="C78" s="1">
        <v>0</v>
      </c>
      <c r="D78" t="s">
        <v>411</v>
      </c>
      <c r="E78" t="s">
        <v>276</v>
      </c>
      <c r="F78" s="1">
        <v>53000</v>
      </c>
      <c r="G78" s="1">
        <v>41</v>
      </c>
      <c r="H78" s="1">
        <v>51</v>
      </c>
      <c r="I78" t="s">
        <v>3</v>
      </c>
      <c r="J78" t="s">
        <v>6</v>
      </c>
      <c r="K78" s="1">
        <v>41051</v>
      </c>
      <c r="L78" s="1">
        <v>1482</v>
      </c>
      <c r="M78" s="1">
        <v>269</v>
      </c>
      <c r="N78" s="1">
        <v>25097620</v>
      </c>
      <c r="O78" s="1">
        <v>41051</v>
      </c>
      <c r="P78" s="1">
        <v>0</v>
      </c>
      <c r="Q78" s="1">
        <v>1</v>
      </c>
    </row>
    <row r="79">
      <c r="A79" s="1">
        <v>2015</v>
      </c>
      <c r="B79" s="1">
        <v>53</v>
      </c>
      <c r="C79" s="1">
        <v>11</v>
      </c>
      <c r="D79" t="s">
        <v>40</v>
      </c>
      <c r="E79" t="s">
        <v>112</v>
      </c>
      <c r="F79" s="1">
        <v>53011</v>
      </c>
      <c r="G79" s="1">
        <v>41</v>
      </c>
      <c r="H79" s="1">
        <v>51</v>
      </c>
      <c r="I79" t="s">
        <v>3</v>
      </c>
      <c r="J79" t="s">
        <v>6</v>
      </c>
      <c r="K79" s="1">
        <v>41051</v>
      </c>
      <c r="L79" s="1">
        <v>3456</v>
      </c>
      <c r="M79" s="1">
        <v>2013</v>
      </c>
      <c r="N79" s="1">
        <v>179952000</v>
      </c>
      <c r="O79" s="1">
        <v>41051</v>
      </c>
      <c r="P79" s="1">
        <v>0</v>
      </c>
      <c r="Q79" s="1">
        <v>1</v>
      </c>
    </row>
    <row r="80">
      <c r="A80" s="1">
        <v>2015</v>
      </c>
      <c r="B80" s="1">
        <v>53</v>
      </c>
      <c r="C80" s="1">
        <v>33</v>
      </c>
      <c r="D80" t="s">
        <v>40</v>
      </c>
      <c r="E80" t="s">
        <v>160</v>
      </c>
      <c r="F80" s="1">
        <v>53033</v>
      </c>
      <c r="G80" s="1">
        <v>41</v>
      </c>
      <c r="H80" s="1">
        <v>51</v>
      </c>
      <c r="I80" t="s">
        <v>3</v>
      </c>
      <c r="J80" t="s">
        <v>6</v>
      </c>
      <c r="K80" s="1">
        <v>41051</v>
      </c>
      <c r="L80" s="1">
        <v>1541</v>
      </c>
      <c r="M80" s="1">
        <v>1301</v>
      </c>
      <c r="N80" s="1">
        <v>46472000</v>
      </c>
      <c r="O80" s="1">
        <v>41051</v>
      </c>
      <c r="P80" s="1">
        <v>0</v>
      </c>
      <c r="Q80" s="1">
        <v>1</v>
      </c>
    </row>
    <row r="81">
      <c r="A81" s="1">
        <v>2015</v>
      </c>
      <c r="B81" s="1">
        <v>53</v>
      </c>
      <c r="C81" s="1">
        <v>35</v>
      </c>
      <c r="D81" t="s">
        <v>40</v>
      </c>
      <c r="E81" t="s">
        <v>161</v>
      </c>
      <c r="F81" s="1">
        <v>53035</v>
      </c>
      <c r="G81" s="1">
        <v>41</v>
      </c>
      <c r="H81" s="1">
        <v>51</v>
      </c>
      <c r="I81" t="s">
        <v>3</v>
      </c>
      <c r="J81" t="s">
        <v>6</v>
      </c>
      <c r="K81" s="1">
        <v>41051</v>
      </c>
      <c r="L81" s="1">
        <v>126</v>
      </c>
      <c r="M81" s="1">
        <v>61</v>
      </c>
      <c r="N81" s="1">
        <v>1646100</v>
      </c>
      <c r="O81" s="1">
        <v>41051</v>
      </c>
      <c r="P81" s="1">
        <v>0</v>
      </c>
      <c r="Q81" s="1">
        <v>1</v>
      </c>
    </row>
    <row r="82">
      <c r="A82" s="1">
        <v>2015</v>
      </c>
      <c r="B82" s="1">
        <v>53</v>
      </c>
      <c r="C82" s="1">
        <v>53</v>
      </c>
      <c r="D82" t="s">
        <v>40</v>
      </c>
      <c r="E82" t="s">
        <v>165</v>
      </c>
      <c r="F82" s="1">
        <v>53053</v>
      </c>
      <c r="G82" s="1">
        <v>41</v>
      </c>
      <c r="H82" s="1">
        <v>51</v>
      </c>
      <c r="I82" t="s">
        <v>3</v>
      </c>
      <c r="J82" t="s">
        <v>6</v>
      </c>
      <c r="K82" s="1">
        <v>41051</v>
      </c>
      <c r="L82" s="1">
        <v>482</v>
      </c>
      <c r="M82" s="1">
        <v>100</v>
      </c>
      <c r="N82" s="1">
        <v>2393100</v>
      </c>
      <c r="O82" s="1">
        <v>41051</v>
      </c>
      <c r="P82" s="1">
        <v>0</v>
      </c>
      <c r="Q82" s="1">
        <v>1</v>
      </c>
    </row>
    <row r="83">
      <c r="A83" s="1">
        <v>2015</v>
      </c>
      <c r="B83" s="1">
        <v>53</v>
      </c>
      <c r="C83" s="1">
        <v>61</v>
      </c>
      <c r="D83" t="s">
        <v>40</v>
      </c>
      <c r="E83" t="s">
        <v>167</v>
      </c>
      <c r="F83" s="1">
        <v>53061</v>
      </c>
      <c r="G83" s="1">
        <v>41</v>
      </c>
      <c r="H83" s="1">
        <v>51</v>
      </c>
      <c r="I83" t="s">
        <v>3</v>
      </c>
      <c r="J83" t="s">
        <v>6</v>
      </c>
      <c r="K83" s="1">
        <v>41051</v>
      </c>
      <c r="L83" s="1">
        <v>1401</v>
      </c>
      <c r="M83" s="1">
        <v>417</v>
      </c>
      <c r="N83" s="1">
        <v>36384000</v>
      </c>
      <c r="O83" s="1">
        <v>41051</v>
      </c>
      <c r="P83" s="1">
        <v>0</v>
      </c>
      <c r="Q83" s="1">
        <v>1</v>
      </c>
    </row>
    <row r="84">
      <c r="A84" s="1">
        <v>2015</v>
      </c>
      <c r="B84" s="1">
        <v>53</v>
      </c>
      <c r="C84" s="1">
        <v>63</v>
      </c>
      <c r="D84" t="s">
        <v>40</v>
      </c>
      <c r="E84" t="s">
        <v>168</v>
      </c>
      <c r="F84" s="1">
        <v>53063</v>
      </c>
      <c r="G84" s="1">
        <v>41</v>
      </c>
      <c r="H84" s="1">
        <v>51</v>
      </c>
      <c r="I84" t="s">
        <v>3</v>
      </c>
      <c r="J84" t="s">
        <v>6</v>
      </c>
      <c r="K84" s="1">
        <v>41051</v>
      </c>
      <c r="L84" s="1">
        <v>112</v>
      </c>
      <c r="M84" s="1">
        <v>113</v>
      </c>
      <c r="N84" s="1">
        <v>2016000</v>
      </c>
      <c r="O84" s="1">
        <v>41051</v>
      </c>
      <c r="P84" s="1">
        <v>0</v>
      </c>
      <c r="Q84" s="1">
        <v>1</v>
      </c>
    </row>
    <row r="85">
      <c r="A85" s="1">
        <v>2015</v>
      </c>
      <c r="B85" s="1">
        <v>53</v>
      </c>
      <c r="C85" s="1">
        <v>67</v>
      </c>
      <c r="D85" t="s">
        <v>40</v>
      </c>
      <c r="E85" t="s">
        <v>169</v>
      </c>
      <c r="F85" s="1">
        <v>53067</v>
      </c>
      <c r="G85" s="1">
        <v>41</v>
      </c>
      <c r="H85" s="1">
        <v>51</v>
      </c>
      <c r="I85" t="s">
        <v>3</v>
      </c>
      <c r="J85" t="s">
        <v>6</v>
      </c>
      <c r="K85" s="1">
        <v>41051</v>
      </c>
      <c r="L85" s="1">
        <v>64</v>
      </c>
      <c r="M85" s="1">
        <v>64</v>
      </c>
      <c r="N85" s="1">
        <v>2784000</v>
      </c>
      <c r="O85" s="1">
        <v>41051</v>
      </c>
      <c r="P85" s="1">
        <v>0</v>
      </c>
      <c r="Q85" s="1">
        <v>1</v>
      </c>
    </row>
    <row r="86">
      <c r="A86" s="1">
        <v>2015</v>
      </c>
      <c r="B86" s="1">
        <v>55</v>
      </c>
      <c r="C86" s="1">
        <v>0</v>
      </c>
      <c r="D86" t="s">
        <v>411</v>
      </c>
      <c r="E86" t="s">
        <v>276</v>
      </c>
      <c r="F86" s="1">
        <v>55000</v>
      </c>
      <c r="G86" s="1">
        <v>41</v>
      </c>
      <c r="H86" s="1">
        <v>51</v>
      </c>
      <c r="I86" t="s">
        <v>3</v>
      </c>
      <c r="J86" t="s">
        <v>6</v>
      </c>
      <c r="K86" s="1">
        <v>41051</v>
      </c>
      <c r="L86" s="1">
        <v>306</v>
      </c>
      <c r="M86" s="1">
        <v>202</v>
      </c>
      <c r="N86" s="1">
        <v>3250000</v>
      </c>
      <c r="O86" s="1">
        <v>41051</v>
      </c>
      <c r="P86" s="1">
        <v>0</v>
      </c>
      <c r="Q86" s="1">
        <v>1</v>
      </c>
    </row>
    <row r="87">
      <c r="A87" s="1">
        <v>2015</v>
      </c>
      <c r="B87" s="1">
        <v>55</v>
      </c>
      <c r="C87" s="1">
        <v>79</v>
      </c>
      <c r="D87" t="s">
        <v>41</v>
      </c>
      <c r="E87" t="s">
        <v>174</v>
      </c>
      <c r="F87" s="1">
        <v>55079</v>
      </c>
      <c r="G87" s="1">
        <v>41</v>
      </c>
      <c r="H87" s="1">
        <v>51</v>
      </c>
      <c r="I87" t="s">
        <v>3</v>
      </c>
      <c r="J87" t="s">
        <v>6</v>
      </c>
      <c r="K87" s="1">
        <v>41051</v>
      </c>
      <c r="L87" s="1">
        <v>232</v>
      </c>
      <c r="M87" s="1">
        <v>104</v>
      </c>
      <c r="N87" s="1">
        <v>2905640</v>
      </c>
      <c r="O87" s="1">
        <v>41051</v>
      </c>
      <c r="P87" s="1">
        <v>0</v>
      </c>
      <c r="Q87" s="1">
        <v>1</v>
      </c>
    </row>
    <row r="88">
      <c r="A88" s="1">
        <v>2016</v>
      </c>
      <c r="B88" s="1">
        <v>4</v>
      </c>
      <c r="C88" s="1">
        <v>13</v>
      </c>
      <c r="D88" t="s">
        <v>10</v>
      </c>
      <c r="E88" t="s">
        <v>53</v>
      </c>
      <c r="F88" s="1">
        <v>4013</v>
      </c>
      <c r="G88" s="1">
        <v>41</v>
      </c>
      <c r="H88" s="1">
        <v>51</v>
      </c>
      <c r="I88" t="s">
        <v>3</v>
      </c>
      <c r="J88" t="s">
        <v>6</v>
      </c>
      <c r="K88" s="1">
        <v>41051</v>
      </c>
      <c r="L88" s="1">
        <v>531</v>
      </c>
      <c r="M88" s="1">
        <v>153</v>
      </c>
      <c r="N88" s="1">
        <v>19576500</v>
      </c>
      <c r="O88" s="1">
        <v>41051</v>
      </c>
      <c r="P88" s="1">
        <v>0</v>
      </c>
      <c r="Q88" s="1">
        <v>1</v>
      </c>
    </row>
    <row r="89">
      <c r="A89" s="1">
        <v>2016</v>
      </c>
      <c r="B89" s="1">
        <v>5</v>
      </c>
      <c r="C89" s="1">
        <v>0</v>
      </c>
      <c r="D89" t="s">
        <v>411</v>
      </c>
      <c r="E89" t="s">
        <v>276</v>
      </c>
      <c r="F89" s="1">
        <v>5000</v>
      </c>
      <c r="G89" s="1">
        <v>41</v>
      </c>
      <c r="H89" s="1">
        <v>51</v>
      </c>
      <c r="I89" t="s">
        <v>3</v>
      </c>
      <c r="J89" t="s">
        <v>6</v>
      </c>
      <c r="K89" s="1">
        <v>41051</v>
      </c>
      <c r="L89" s="1">
        <v>207</v>
      </c>
      <c r="M89" s="1"/>
      <c r="N89" s="1">
        <v>4140000</v>
      </c>
      <c r="O89" s="1">
        <v>41051</v>
      </c>
      <c r="P89" s="1">
        <v>0</v>
      </c>
      <c r="Q89" s="1">
        <v>1</v>
      </c>
    </row>
    <row r="90">
      <c r="A90" s="1">
        <v>2016</v>
      </c>
      <c r="B90" s="1">
        <v>5</v>
      </c>
      <c r="C90" s="1">
        <v>119</v>
      </c>
      <c r="D90" t="s">
        <v>272</v>
      </c>
      <c r="E90" t="s">
        <v>368</v>
      </c>
      <c r="F90" s="1">
        <v>5119</v>
      </c>
      <c r="G90" s="1">
        <v>41</v>
      </c>
      <c r="H90" s="1">
        <v>51</v>
      </c>
      <c r="I90" t="s">
        <v>3</v>
      </c>
      <c r="J90" t="s">
        <v>6</v>
      </c>
      <c r="K90" s="1">
        <v>41051</v>
      </c>
      <c r="L90" s="1">
        <v>420</v>
      </c>
      <c r="M90" s="1">
        <v>195</v>
      </c>
      <c r="N90" s="1">
        <v>19569700</v>
      </c>
      <c r="O90" s="1">
        <v>41051</v>
      </c>
      <c r="P90" s="1">
        <v>0</v>
      </c>
      <c r="Q90" s="1">
        <v>1</v>
      </c>
    </row>
    <row r="91">
      <c r="A91" s="1">
        <v>2016</v>
      </c>
      <c r="B91" s="1">
        <v>6</v>
      </c>
      <c r="C91" s="1">
        <v>0</v>
      </c>
      <c r="D91" t="s">
        <v>411</v>
      </c>
      <c r="E91" t="s">
        <v>276</v>
      </c>
      <c r="F91" s="1">
        <v>6000</v>
      </c>
      <c r="G91" s="1">
        <v>41</v>
      </c>
      <c r="H91" s="1">
        <v>51</v>
      </c>
      <c r="I91" t="s">
        <v>3</v>
      </c>
      <c r="J91" t="s">
        <v>6</v>
      </c>
      <c r="K91" s="1">
        <v>41051</v>
      </c>
      <c r="L91" s="1">
        <v>770</v>
      </c>
      <c r="M91" s="1">
        <v>677</v>
      </c>
      <c r="N91" s="1">
        <v>34757200</v>
      </c>
      <c r="O91" s="1">
        <v>41051</v>
      </c>
      <c r="P91" s="1">
        <v>0</v>
      </c>
      <c r="Q91" s="1">
        <v>1</v>
      </c>
    </row>
    <row r="92">
      <c r="A92" s="1">
        <v>2016</v>
      </c>
      <c r="B92" s="1">
        <v>6</v>
      </c>
      <c r="C92" s="1">
        <v>1</v>
      </c>
      <c r="D92" t="s">
        <v>11</v>
      </c>
      <c r="E92" t="s">
        <v>56</v>
      </c>
      <c r="F92" s="1">
        <v>6001</v>
      </c>
      <c r="G92" s="1">
        <v>41</v>
      </c>
      <c r="H92" s="1">
        <v>51</v>
      </c>
      <c r="I92" t="s">
        <v>3</v>
      </c>
      <c r="J92" t="s">
        <v>6</v>
      </c>
      <c r="K92" s="1">
        <v>41051</v>
      </c>
      <c r="L92" s="1">
        <v>1014</v>
      </c>
      <c r="M92" s="1">
        <v>468</v>
      </c>
      <c r="N92" s="1">
        <v>80011000</v>
      </c>
      <c r="O92" s="1">
        <v>41051</v>
      </c>
      <c r="P92" s="1">
        <v>0</v>
      </c>
      <c r="Q92" s="1">
        <v>1</v>
      </c>
    </row>
    <row r="93">
      <c r="A93" s="1">
        <v>2016</v>
      </c>
      <c r="B93" s="1">
        <v>6</v>
      </c>
      <c r="C93" s="1">
        <v>7</v>
      </c>
      <c r="D93" t="s">
        <v>11</v>
      </c>
      <c r="E93" t="s">
        <v>177</v>
      </c>
      <c r="F93" s="1">
        <v>6007</v>
      </c>
      <c r="G93" s="1">
        <v>41</v>
      </c>
      <c r="H93" s="1">
        <v>51</v>
      </c>
      <c r="I93" t="s">
        <v>3</v>
      </c>
      <c r="J93" t="s">
        <v>6</v>
      </c>
      <c r="K93" s="1">
        <v>41051</v>
      </c>
      <c r="L93" s="1">
        <v>354</v>
      </c>
      <c r="M93" s="1">
        <v>205</v>
      </c>
      <c r="N93" s="1">
        <v>15650000</v>
      </c>
      <c r="O93" s="1">
        <v>41051</v>
      </c>
      <c r="P93" s="1">
        <v>0</v>
      </c>
      <c r="Q93" s="1">
        <v>1</v>
      </c>
    </row>
    <row r="94">
      <c r="A94" s="1">
        <v>2016</v>
      </c>
      <c r="B94" s="1">
        <v>6</v>
      </c>
      <c r="C94" s="1">
        <v>13</v>
      </c>
      <c r="D94" t="s">
        <v>11</v>
      </c>
      <c r="E94" t="s">
        <v>57</v>
      </c>
      <c r="F94" s="1">
        <v>6013</v>
      </c>
      <c r="G94" s="1">
        <v>41</v>
      </c>
      <c r="H94" s="1">
        <v>51</v>
      </c>
      <c r="I94" t="s">
        <v>3</v>
      </c>
      <c r="J94" t="s">
        <v>6</v>
      </c>
      <c r="K94" s="1">
        <v>41051</v>
      </c>
      <c r="L94" s="1">
        <v>76</v>
      </c>
      <c r="M94" s="1"/>
      <c r="N94" s="1">
        <v>380000</v>
      </c>
      <c r="O94" s="1">
        <v>41051</v>
      </c>
      <c r="P94" s="1">
        <v>0</v>
      </c>
      <c r="Q94" s="1">
        <v>1</v>
      </c>
    </row>
    <row r="95">
      <c r="A95" s="1">
        <v>2016</v>
      </c>
      <c r="B95" s="1">
        <v>6</v>
      </c>
      <c r="C95" s="1">
        <v>19</v>
      </c>
      <c r="D95" t="s">
        <v>11</v>
      </c>
      <c r="E95" t="s">
        <v>58</v>
      </c>
      <c r="F95" s="1">
        <v>6019</v>
      </c>
      <c r="G95" s="1">
        <v>41</v>
      </c>
      <c r="H95" s="1">
        <v>51</v>
      </c>
      <c r="I95" t="s">
        <v>3</v>
      </c>
      <c r="J95" t="s">
        <v>6</v>
      </c>
      <c r="K95" s="1">
        <v>41051</v>
      </c>
      <c r="L95" s="1">
        <v>200</v>
      </c>
      <c r="M95" s="1">
        <v>70</v>
      </c>
      <c r="N95" s="1">
        <v>26490000</v>
      </c>
      <c r="O95" s="1">
        <v>41051</v>
      </c>
      <c r="P95" s="1">
        <v>0</v>
      </c>
      <c r="Q95" s="1">
        <v>1</v>
      </c>
    </row>
    <row r="96">
      <c r="A96" s="1">
        <v>2016</v>
      </c>
      <c r="B96" s="1">
        <v>6</v>
      </c>
      <c r="C96" s="1">
        <v>23</v>
      </c>
      <c r="D96" t="s">
        <v>11</v>
      </c>
      <c r="E96" t="s">
        <v>59</v>
      </c>
      <c r="F96" s="1">
        <v>6023</v>
      </c>
      <c r="G96" s="1">
        <v>41</v>
      </c>
      <c r="H96" s="1">
        <v>51</v>
      </c>
      <c r="I96" t="s">
        <v>3</v>
      </c>
      <c r="J96" t="s">
        <v>6</v>
      </c>
      <c r="K96" s="1">
        <v>41051</v>
      </c>
      <c r="L96" s="1">
        <v>129</v>
      </c>
      <c r="M96" s="1"/>
      <c r="N96" s="1">
        <v>6708000</v>
      </c>
      <c r="O96" s="1">
        <v>41051</v>
      </c>
      <c r="P96" s="1">
        <v>0</v>
      </c>
      <c r="Q96" s="1">
        <v>1</v>
      </c>
    </row>
    <row r="97">
      <c r="A97" s="1">
        <v>2016</v>
      </c>
      <c r="B97" s="1">
        <v>6</v>
      </c>
      <c r="C97" s="1">
        <v>29</v>
      </c>
      <c r="D97" t="s">
        <v>11</v>
      </c>
      <c r="E97" t="s">
        <v>60</v>
      </c>
      <c r="F97" s="1">
        <v>6029</v>
      </c>
      <c r="G97" s="1">
        <v>41</v>
      </c>
      <c r="H97" s="1">
        <v>51</v>
      </c>
      <c r="I97" t="s">
        <v>3</v>
      </c>
      <c r="J97" t="s">
        <v>6</v>
      </c>
      <c r="K97" s="1">
        <v>41051</v>
      </c>
      <c r="L97" s="1">
        <v>126</v>
      </c>
      <c r="M97" s="1">
        <v>127</v>
      </c>
      <c r="N97" s="1">
        <v>1827000</v>
      </c>
      <c r="O97" s="1">
        <v>41051</v>
      </c>
      <c r="P97" s="1">
        <v>0</v>
      </c>
      <c r="Q97" s="1">
        <v>1</v>
      </c>
    </row>
    <row r="98">
      <c r="A98" s="1">
        <v>2016</v>
      </c>
      <c r="B98" s="1">
        <v>6</v>
      </c>
      <c r="C98" s="1">
        <v>31</v>
      </c>
      <c r="D98" t="s">
        <v>11</v>
      </c>
      <c r="E98" t="s">
        <v>116</v>
      </c>
      <c r="F98" s="1">
        <v>6031</v>
      </c>
      <c r="G98" s="1">
        <v>41</v>
      </c>
      <c r="H98" s="1">
        <v>51</v>
      </c>
      <c r="I98" t="s">
        <v>3</v>
      </c>
      <c r="J98" t="s">
        <v>6</v>
      </c>
      <c r="K98" s="1">
        <v>41051</v>
      </c>
      <c r="L98" s="1">
        <v>69</v>
      </c>
      <c r="M98" s="1"/>
      <c r="N98" s="1">
        <v>552000</v>
      </c>
      <c r="O98" s="1">
        <v>41051</v>
      </c>
      <c r="P98" s="1">
        <v>0</v>
      </c>
      <c r="Q98" s="1">
        <v>1</v>
      </c>
    </row>
    <row r="99">
      <c r="A99" s="1">
        <v>2016</v>
      </c>
      <c r="B99" s="1">
        <v>6</v>
      </c>
      <c r="C99" s="1">
        <v>37</v>
      </c>
      <c r="D99" t="s">
        <v>11</v>
      </c>
      <c r="E99" t="s">
        <v>61</v>
      </c>
      <c r="F99" s="1">
        <v>6037</v>
      </c>
      <c r="G99" s="1">
        <v>41</v>
      </c>
      <c r="H99" s="1">
        <v>51</v>
      </c>
      <c r="I99" t="s">
        <v>3</v>
      </c>
      <c r="J99" t="s">
        <v>6</v>
      </c>
      <c r="K99" s="1">
        <v>41051</v>
      </c>
      <c r="L99" s="1">
        <v>1893</v>
      </c>
      <c r="M99" s="1">
        <v>878</v>
      </c>
      <c r="N99" s="1">
        <v>60683650</v>
      </c>
      <c r="O99" s="1">
        <v>41051</v>
      </c>
      <c r="P99" s="1">
        <v>0</v>
      </c>
      <c r="Q99" s="1">
        <v>1</v>
      </c>
    </row>
    <row r="100">
      <c r="A100" s="1">
        <v>2016</v>
      </c>
      <c r="B100" s="1">
        <v>6</v>
      </c>
      <c r="C100" s="1">
        <v>55</v>
      </c>
      <c r="D100" t="s">
        <v>11</v>
      </c>
      <c r="E100" t="s">
        <v>299</v>
      </c>
      <c r="F100" s="1">
        <v>6055</v>
      </c>
      <c r="G100" s="1">
        <v>41</v>
      </c>
      <c r="H100" s="1">
        <v>51</v>
      </c>
      <c r="I100" t="s">
        <v>3</v>
      </c>
      <c r="J100" t="s">
        <v>6</v>
      </c>
      <c r="K100" s="1">
        <v>41051</v>
      </c>
      <c r="L100" s="1">
        <v>43</v>
      </c>
      <c r="M100" s="1">
        <v>42</v>
      </c>
      <c r="N100" s="1">
        <v>421400</v>
      </c>
      <c r="O100" s="1">
        <v>41051</v>
      </c>
      <c r="P100" s="1">
        <v>0</v>
      </c>
      <c r="Q100" s="1">
        <v>1</v>
      </c>
    </row>
    <row r="101">
      <c r="A101" s="1">
        <v>2016</v>
      </c>
      <c r="B101" s="1">
        <v>6</v>
      </c>
      <c r="C101" s="1">
        <v>59</v>
      </c>
      <c r="D101" t="s">
        <v>11</v>
      </c>
      <c r="E101" t="s">
        <v>64</v>
      </c>
      <c r="F101" s="1">
        <v>6059</v>
      </c>
      <c r="G101" s="1">
        <v>41</v>
      </c>
      <c r="H101" s="1">
        <v>51</v>
      </c>
      <c r="I101" t="s">
        <v>3</v>
      </c>
      <c r="J101" t="s">
        <v>6</v>
      </c>
      <c r="K101" s="1">
        <v>41051</v>
      </c>
      <c r="L101" s="1">
        <v>68</v>
      </c>
      <c r="M101" s="1">
        <v>69</v>
      </c>
      <c r="N101" s="1">
        <v>544000</v>
      </c>
      <c r="O101" s="1">
        <v>41051</v>
      </c>
      <c r="P101" s="1">
        <v>0</v>
      </c>
      <c r="Q101" s="1">
        <v>1</v>
      </c>
    </row>
    <row r="102">
      <c r="A102" s="1">
        <v>2016</v>
      </c>
      <c r="B102" s="1">
        <v>6</v>
      </c>
      <c r="C102" s="1">
        <v>61</v>
      </c>
      <c r="D102" t="s">
        <v>11</v>
      </c>
      <c r="E102" t="s">
        <v>65</v>
      </c>
      <c r="F102" s="1">
        <v>6061</v>
      </c>
      <c r="G102" s="1">
        <v>41</v>
      </c>
      <c r="H102" s="1">
        <v>51</v>
      </c>
      <c r="I102" t="s">
        <v>3</v>
      </c>
      <c r="J102" t="s">
        <v>6</v>
      </c>
      <c r="K102" s="1">
        <v>41051</v>
      </c>
      <c r="L102" s="1">
        <v>82</v>
      </c>
      <c r="M102" s="1"/>
      <c r="N102" s="1">
        <v>1558000</v>
      </c>
      <c r="O102" s="1">
        <v>41051</v>
      </c>
      <c r="P102" s="1">
        <v>0</v>
      </c>
      <c r="Q102" s="1">
        <v>1</v>
      </c>
    </row>
    <row r="103">
      <c r="A103" s="1">
        <v>2016</v>
      </c>
      <c r="B103" s="1">
        <v>6</v>
      </c>
      <c r="C103" s="1">
        <v>65</v>
      </c>
      <c r="D103" t="s">
        <v>11</v>
      </c>
      <c r="E103" t="s">
        <v>66</v>
      </c>
      <c r="F103" s="1">
        <v>6065</v>
      </c>
      <c r="G103" s="1">
        <v>41</v>
      </c>
      <c r="H103" s="1">
        <v>51</v>
      </c>
      <c r="I103" t="s">
        <v>3</v>
      </c>
      <c r="J103" t="s">
        <v>6</v>
      </c>
      <c r="K103" s="1">
        <v>41051</v>
      </c>
      <c r="L103" s="1">
        <v>231</v>
      </c>
      <c r="M103" s="1">
        <v>74</v>
      </c>
      <c r="N103" s="1">
        <v>6922500</v>
      </c>
      <c r="O103" s="1">
        <v>41051</v>
      </c>
      <c r="P103" s="1">
        <v>0</v>
      </c>
      <c r="Q103" s="1">
        <v>1</v>
      </c>
    </row>
    <row r="104">
      <c r="A104" s="1">
        <v>2016</v>
      </c>
      <c r="B104" s="1">
        <v>6</v>
      </c>
      <c r="C104" s="1">
        <v>67</v>
      </c>
      <c r="D104" t="s">
        <v>11</v>
      </c>
      <c r="E104" t="s">
        <v>67</v>
      </c>
      <c r="F104" s="1">
        <v>6067</v>
      </c>
      <c r="G104" s="1">
        <v>41</v>
      </c>
      <c r="H104" s="1">
        <v>51</v>
      </c>
      <c r="I104" t="s">
        <v>3</v>
      </c>
      <c r="J104" t="s">
        <v>6</v>
      </c>
      <c r="K104" s="1">
        <v>41051</v>
      </c>
      <c r="L104" s="1">
        <v>190</v>
      </c>
      <c r="M104" s="1">
        <v>60</v>
      </c>
      <c r="N104" s="1">
        <v>8911000</v>
      </c>
      <c r="O104" s="1">
        <v>41051</v>
      </c>
      <c r="P104" s="1">
        <v>0</v>
      </c>
      <c r="Q104" s="1">
        <v>1</v>
      </c>
    </row>
    <row r="105">
      <c r="A105" s="1">
        <v>2016</v>
      </c>
      <c r="B105" s="1">
        <v>6</v>
      </c>
      <c r="C105" s="1">
        <v>73</v>
      </c>
      <c r="D105" t="s">
        <v>11</v>
      </c>
      <c r="E105" t="s">
        <v>69</v>
      </c>
      <c r="F105" s="1">
        <v>6073</v>
      </c>
      <c r="G105" s="1">
        <v>41</v>
      </c>
      <c r="H105" s="1">
        <v>51</v>
      </c>
      <c r="I105" t="s">
        <v>3</v>
      </c>
      <c r="J105" t="s">
        <v>6</v>
      </c>
      <c r="K105" s="1">
        <v>41051</v>
      </c>
      <c r="L105" s="1">
        <v>870</v>
      </c>
      <c r="M105" s="1">
        <v>556</v>
      </c>
      <c r="N105" s="1">
        <v>28164220</v>
      </c>
      <c r="O105" s="1">
        <v>41051</v>
      </c>
      <c r="P105" s="1">
        <v>0</v>
      </c>
      <c r="Q105" s="1">
        <v>1</v>
      </c>
    </row>
    <row r="106">
      <c r="A106" s="1">
        <v>2016</v>
      </c>
      <c r="B106" s="1">
        <v>6</v>
      </c>
      <c r="C106" s="1">
        <v>75</v>
      </c>
      <c r="D106" t="s">
        <v>11</v>
      </c>
      <c r="E106" t="s">
        <v>70</v>
      </c>
      <c r="F106" s="1">
        <v>6075</v>
      </c>
      <c r="G106" s="1">
        <v>41</v>
      </c>
      <c r="H106" s="1">
        <v>51</v>
      </c>
      <c r="I106" t="s">
        <v>3</v>
      </c>
      <c r="J106" t="s">
        <v>6</v>
      </c>
      <c r="K106" s="1">
        <v>41051</v>
      </c>
      <c r="L106" s="1">
        <v>1242</v>
      </c>
      <c r="M106" s="1">
        <v>853</v>
      </c>
      <c r="N106" s="1">
        <v>91328500</v>
      </c>
      <c r="O106" s="1">
        <v>41051</v>
      </c>
      <c r="P106" s="1">
        <v>0</v>
      </c>
      <c r="Q106" s="1">
        <v>1</v>
      </c>
    </row>
    <row r="107">
      <c r="A107" s="1">
        <v>2016</v>
      </c>
      <c r="B107" s="1">
        <v>6</v>
      </c>
      <c r="C107" s="1">
        <v>83</v>
      </c>
      <c r="D107" t="s">
        <v>11</v>
      </c>
      <c r="E107" t="s">
        <v>73</v>
      </c>
      <c r="F107" s="1">
        <v>6083</v>
      </c>
      <c r="G107" s="1">
        <v>41</v>
      </c>
      <c r="H107" s="1">
        <v>51</v>
      </c>
      <c r="I107" t="s">
        <v>3</v>
      </c>
      <c r="J107" t="s">
        <v>6</v>
      </c>
      <c r="K107" s="1">
        <v>41051</v>
      </c>
      <c r="L107" s="1">
        <v>52</v>
      </c>
      <c r="M107" s="1"/>
      <c r="N107" s="1">
        <v>2912000</v>
      </c>
      <c r="O107" s="1">
        <v>41051</v>
      </c>
      <c r="P107" s="1">
        <v>0</v>
      </c>
      <c r="Q107" s="1">
        <v>1</v>
      </c>
    </row>
    <row r="108">
      <c r="A108" s="1">
        <v>2016</v>
      </c>
      <c r="B108" s="1">
        <v>6</v>
      </c>
      <c r="C108" s="1">
        <v>85</v>
      </c>
      <c r="D108" t="s">
        <v>11</v>
      </c>
      <c r="E108" t="s">
        <v>74</v>
      </c>
      <c r="F108" s="1">
        <v>6085</v>
      </c>
      <c r="G108" s="1">
        <v>41</v>
      </c>
      <c r="H108" s="1">
        <v>51</v>
      </c>
      <c r="I108" t="s">
        <v>3</v>
      </c>
      <c r="J108" t="s">
        <v>6</v>
      </c>
      <c r="K108" s="1">
        <v>41051</v>
      </c>
      <c r="L108" s="1">
        <v>583</v>
      </c>
      <c r="M108" s="1">
        <v>380</v>
      </c>
      <c r="N108" s="1">
        <v>59679900</v>
      </c>
      <c r="O108" s="1">
        <v>41051</v>
      </c>
      <c r="P108" s="1">
        <v>0</v>
      </c>
      <c r="Q108" s="1">
        <v>1</v>
      </c>
    </row>
    <row r="109">
      <c r="A109" s="1">
        <v>2016</v>
      </c>
      <c r="B109" s="1">
        <v>6</v>
      </c>
      <c r="C109" s="1">
        <v>87</v>
      </c>
      <c r="D109" t="s">
        <v>11</v>
      </c>
      <c r="E109" t="s">
        <v>75</v>
      </c>
      <c r="F109" s="1">
        <v>6087</v>
      </c>
      <c r="G109" s="1">
        <v>41</v>
      </c>
      <c r="H109" s="1">
        <v>51</v>
      </c>
      <c r="I109" t="s">
        <v>3</v>
      </c>
      <c r="J109" t="s">
        <v>6</v>
      </c>
      <c r="K109" s="1">
        <v>41051</v>
      </c>
      <c r="L109" s="1">
        <v>164</v>
      </c>
      <c r="M109" s="1"/>
      <c r="N109" s="1">
        <v>3526000</v>
      </c>
      <c r="O109" s="1">
        <v>41051</v>
      </c>
      <c r="P109" s="1">
        <v>0</v>
      </c>
      <c r="Q109" s="1">
        <v>1</v>
      </c>
    </row>
    <row r="110">
      <c r="A110" s="1">
        <v>2016</v>
      </c>
      <c r="B110" s="1">
        <v>6</v>
      </c>
      <c r="C110" s="1">
        <v>97</v>
      </c>
      <c r="D110" t="s">
        <v>11</v>
      </c>
      <c r="E110" t="s">
        <v>77</v>
      </c>
      <c r="F110" s="1">
        <v>6097</v>
      </c>
      <c r="G110" s="1">
        <v>41</v>
      </c>
      <c r="H110" s="1">
        <v>51</v>
      </c>
      <c r="I110" t="s">
        <v>3</v>
      </c>
      <c r="J110" t="s">
        <v>6</v>
      </c>
      <c r="K110" s="1">
        <v>41051</v>
      </c>
      <c r="L110" s="1">
        <v>442</v>
      </c>
      <c r="M110" s="1">
        <v>236</v>
      </c>
      <c r="N110" s="1">
        <v>15579000</v>
      </c>
      <c r="O110" s="1">
        <v>41051</v>
      </c>
      <c r="P110" s="1">
        <v>0</v>
      </c>
      <c r="Q110" s="1">
        <v>1</v>
      </c>
    </row>
    <row r="111">
      <c r="A111" s="1">
        <v>2016</v>
      </c>
      <c r="B111" s="1">
        <v>6</v>
      </c>
      <c r="C111" s="1">
        <v>111</v>
      </c>
      <c r="D111" t="s">
        <v>11</v>
      </c>
      <c r="E111" t="s">
        <v>78</v>
      </c>
      <c r="F111" s="1">
        <v>6111</v>
      </c>
      <c r="G111" s="1">
        <v>41</v>
      </c>
      <c r="H111" s="1">
        <v>51</v>
      </c>
      <c r="I111" t="s">
        <v>3</v>
      </c>
      <c r="J111" t="s">
        <v>6</v>
      </c>
      <c r="K111" s="1">
        <v>41051</v>
      </c>
      <c r="L111" s="1">
        <v>379</v>
      </c>
      <c r="M111" s="1">
        <v>240</v>
      </c>
      <c r="N111" s="1">
        <v>12479000</v>
      </c>
      <c r="O111" s="1">
        <v>41051</v>
      </c>
      <c r="P111" s="1">
        <v>0</v>
      </c>
      <c r="Q111" s="1">
        <v>1</v>
      </c>
    </row>
    <row r="112">
      <c r="A112" s="1">
        <v>2016</v>
      </c>
      <c r="B112" s="1">
        <v>8</v>
      </c>
      <c r="C112" s="1">
        <v>0</v>
      </c>
      <c r="D112" t="s">
        <v>411</v>
      </c>
      <c r="E112" t="s">
        <v>276</v>
      </c>
      <c r="F112" s="1">
        <v>8000</v>
      </c>
      <c r="G112" s="1">
        <v>41</v>
      </c>
      <c r="H112" s="1">
        <v>51</v>
      </c>
      <c r="I112" t="s">
        <v>3</v>
      </c>
      <c r="J112" t="s">
        <v>6</v>
      </c>
      <c r="K112" s="1">
        <v>41051</v>
      </c>
      <c r="L112" s="1">
        <v>679</v>
      </c>
      <c r="M112" s="1">
        <v>244</v>
      </c>
      <c r="N112" s="1">
        <v>16909500</v>
      </c>
      <c r="O112" s="1">
        <v>41051</v>
      </c>
      <c r="P112" s="1">
        <v>0</v>
      </c>
      <c r="Q112" s="1">
        <v>1</v>
      </c>
    </row>
    <row r="113">
      <c r="A113" s="1">
        <v>2016</v>
      </c>
      <c r="B113" s="1">
        <v>8</v>
      </c>
      <c r="C113" s="1">
        <v>69</v>
      </c>
      <c r="D113" t="s">
        <v>12</v>
      </c>
      <c r="E113" t="s">
        <v>84</v>
      </c>
      <c r="F113" s="1">
        <v>8069</v>
      </c>
      <c r="G113" s="1">
        <v>41</v>
      </c>
      <c r="H113" s="1">
        <v>51</v>
      </c>
      <c r="I113" t="s">
        <v>3</v>
      </c>
      <c r="J113" t="s">
        <v>6</v>
      </c>
      <c r="K113" s="1">
        <v>41051</v>
      </c>
      <c r="L113" s="1">
        <v>263</v>
      </c>
      <c r="M113" s="1">
        <v>189</v>
      </c>
      <c r="N113" s="1">
        <v>12386900</v>
      </c>
      <c r="O113" s="1">
        <v>41051</v>
      </c>
      <c r="P113" s="1">
        <v>0</v>
      </c>
      <c r="Q113" s="1">
        <v>1</v>
      </c>
    </row>
    <row r="114">
      <c r="A114" s="1">
        <v>2016</v>
      </c>
      <c r="B114" s="1">
        <v>9</v>
      </c>
      <c r="C114" s="1">
        <v>9</v>
      </c>
      <c r="D114" t="s">
        <v>13</v>
      </c>
      <c r="E114" t="s">
        <v>85</v>
      </c>
      <c r="F114" s="1">
        <v>9009</v>
      </c>
      <c r="G114" s="1">
        <v>41</v>
      </c>
      <c r="H114" s="1">
        <v>51</v>
      </c>
      <c r="I114" t="s">
        <v>3</v>
      </c>
      <c r="J114" t="s">
        <v>6</v>
      </c>
      <c r="K114" s="1">
        <v>41051</v>
      </c>
      <c r="L114" s="1">
        <v>94</v>
      </c>
      <c r="M114" s="1">
        <v>94</v>
      </c>
      <c r="N114" s="1">
        <v>1438200</v>
      </c>
      <c r="O114" s="1">
        <v>41051</v>
      </c>
      <c r="P114" s="1">
        <v>0</v>
      </c>
      <c r="Q114" s="1">
        <v>1</v>
      </c>
    </row>
    <row r="115">
      <c r="A115" s="1">
        <v>2016</v>
      </c>
      <c r="B115" s="1">
        <v>11</v>
      </c>
      <c r="C115" s="1">
        <v>1</v>
      </c>
      <c r="D115" t="s">
        <v>14</v>
      </c>
      <c r="E115" t="s">
        <v>14</v>
      </c>
      <c r="F115" s="1">
        <v>11001</v>
      </c>
      <c r="G115" s="1">
        <v>41</v>
      </c>
      <c r="H115" s="1">
        <v>51</v>
      </c>
      <c r="I115" t="s">
        <v>3</v>
      </c>
      <c r="J115" t="s">
        <v>6</v>
      </c>
      <c r="K115" s="1">
        <v>41051</v>
      </c>
      <c r="L115" s="1">
        <v>329</v>
      </c>
      <c r="M115" s="1">
        <v>153</v>
      </c>
      <c r="N115" s="1">
        <v>14983760</v>
      </c>
      <c r="O115" s="1">
        <v>41051</v>
      </c>
      <c r="P115" s="1">
        <v>0</v>
      </c>
      <c r="Q115" s="1">
        <v>1</v>
      </c>
    </row>
    <row r="116">
      <c r="A116" s="1">
        <v>2016</v>
      </c>
      <c r="B116" s="1">
        <v>12</v>
      </c>
      <c r="C116" s="1">
        <v>0</v>
      </c>
      <c r="D116" t="s">
        <v>411</v>
      </c>
      <c r="E116" t="s">
        <v>276</v>
      </c>
      <c r="F116" s="1">
        <v>12000</v>
      </c>
      <c r="G116" s="1">
        <v>41</v>
      </c>
      <c r="H116" s="1">
        <v>51</v>
      </c>
      <c r="I116" t="s">
        <v>3</v>
      </c>
      <c r="J116" t="s">
        <v>6</v>
      </c>
      <c r="K116" s="1">
        <v>41051</v>
      </c>
      <c r="L116" s="1">
        <v>112</v>
      </c>
      <c r="M116" s="1">
        <v>113</v>
      </c>
      <c r="N116" s="1">
        <v>3046400</v>
      </c>
      <c r="O116" s="1">
        <v>41051</v>
      </c>
      <c r="P116" s="1">
        <v>0</v>
      </c>
      <c r="Q116" s="1">
        <v>1</v>
      </c>
    </row>
    <row r="117">
      <c r="A117" s="1">
        <v>2016</v>
      </c>
      <c r="B117" s="1">
        <v>12</v>
      </c>
      <c r="C117" s="1">
        <v>1</v>
      </c>
      <c r="D117" t="s">
        <v>15</v>
      </c>
      <c r="E117" t="s">
        <v>350</v>
      </c>
      <c r="F117" s="1">
        <v>12001</v>
      </c>
      <c r="G117" s="1">
        <v>41</v>
      </c>
      <c r="H117" s="1">
        <v>51</v>
      </c>
      <c r="I117" t="s">
        <v>3</v>
      </c>
      <c r="J117" t="s">
        <v>6</v>
      </c>
      <c r="K117" s="1">
        <v>41051</v>
      </c>
      <c r="L117" s="1">
        <v>150</v>
      </c>
      <c r="M117" s="1">
        <v>77</v>
      </c>
      <c r="N117" s="1">
        <v>2976000</v>
      </c>
      <c r="O117" s="1">
        <v>41051</v>
      </c>
      <c r="P117" s="1">
        <v>0</v>
      </c>
      <c r="Q117" s="1">
        <v>1</v>
      </c>
    </row>
    <row r="118">
      <c r="A118" s="1">
        <v>2016</v>
      </c>
      <c r="B118" s="1">
        <v>12</v>
      </c>
      <c r="C118" s="1">
        <v>9</v>
      </c>
      <c r="D118" t="s">
        <v>15</v>
      </c>
      <c r="E118" t="s">
        <v>277</v>
      </c>
      <c r="F118" s="1">
        <v>12009</v>
      </c>
      <c r="G118" s="1">
        <v>41</v>
      </c>
      <c r="H118" s="1">
        <v>51</v>
      </c>
      <c r="I118" t="s">
        <v>3</v>
      </c>
      <c r="J118" t="s">
        <v>6</v>
      </c>
      <c r="K118" s="1">
        <v>41051</v>
      </c>
      <c r="L118" s="1">
        <v>199</v>
      </c>
      <c r="M118" s="1">
        <v>132</v>
      </c>
      <c r="N118" s="1">
        <v>10382000</v>
      </c>
      <c r="O118" s="1">
        <v>41051</v>
      </c>
      <c r="P118" s="1">
        <v>0</v>
      </c>
      <c r="Q118" s="1">
        <v>1</v>
      </c>
    </row>
    <row r="119">
      <c r="A119" s="1">
        <v>2016</v>
      </c>
      <c r="B119" s="1">
        <v>12</v>
      </c>
      <c r="C119" s="1">
        <v>11</v>
      </c>
      <c r="D119" t="s">
        <v>15</v>
      </c>
      <c r="E119" t="s">
        <v>183</v>
      </c>
      <c r="F119" s="1">
        <v>12011</v>
      </c>
      <c r="G119" s="1">
        <v>41</v>
      </c>
      <c r="H119" s="1">
        <v>51</v>
      </c>
      <c r="I119" t="s">
        <v>3</v>
      </c>
      <c r="J119" t="s">
        <v>6</v>
      </c>
      <c r="K119" s="1">
        <v>41051</v>
      </c>
      <c r="L119" s="1">
        <v>111</v>
      </c>
      <c r="M119" s="1">
        <v>52</v>
      </c>
      <c r="N119" s="1">
        <v>1733200</v>
      </c>
      <c r="O119" s="1">
        <v>41051</v>
      </c>
      <c r="P119" s="1">
        <v>0</v>
      </c>
      <c r="Q119" s="1">
        <v>1</v>
      </c>
    </row>
    <row r="120">
      <c r="A120" s="1">
        <v>2016</v>
      </c>
      <c r="B120" s="1">
        <v>12</v>
      </c>
      <c r="C120" s="1">
        <v>95</v>
      </c>
      <c r="D120" t="s">
        <v>15</v>
      </c>
      <c r="E120" t="s">
        <v>64</v>
      </c>
      <c r="F120" s="1">
        <v>12095</v>
      </c>
      <c r="G120" s="1">
        <v>41</v>
      </c>
      <c r="H120" s="1">
        <v>51</v>
      </c>
      <c r="I120" t="s">
        <v>3</v>
      </c>
      <c r="J120" t="s">
        <v>6</v>
      </c>
      <c r="K120" s="1">
        <v>41051</v>
      </c>
      <c r="L120" s="1">
        <v>90</v>
      </c>
      <c r="M120" s="1">
        <v>90</v>
      </c>
      <c r="N120" s="1">
        <v>1800000</v>
      </c>
      <c r="O120" s="1">
        <v>41051</v>
      </c>
      <c r="P120" s="1">
        <v>0</v>
      </c>
      <c r="Q120" s="1">
        <v>1</v>
      </c>
    </row>
    <row r="121">
      <c r="A121" s="1">
        <v>2016</v>
      </c>
      <c r="B121" s="1">
        <v>13</v>
      </c>
      <c r="C121" s="1">
        <v>0</v>
      </c>
      <c r="D121" t="s">
        <v>411</v>
      </c>
      <c r="E121" t="s">
        <v>276</v>
      </c>
      <c r="F121" s="1">
        <v>13000</v>
      </c>
      <c r="G121" s="1">
        <v>41</v>
      </c>
      <c r="H121" s="1">
        <v>51</v>
      </c>
      <c r="I121" t="s">
        <v>3</v>
      </c>
      <c r="J121" t="s">
        <v>6</v>
      </c>
      <c r="K121" s="1">
        <v>41051</v>
      </c>
      <c r="L121" s="1">
        <v>62</v>
      </c>
      <c r="M121" s="1">
        <v>62</v>
      </c>
      <c r="N121" s="1">
        <v>2480000</v>
      </c>
      <c r="O121" s="1">
        <v>41051</v>
      </c>
      <c r="P121" s="1">
        <v>0</v>
      </c>
      <c r="Q121" s="1">
        <v>1</v>
      </c>
    </row>
    <row r="122">
      <c r="A122" s="1">
        <v>2016</v>
      </c>
      <c r="B122" s="1">
        <v>15</v>
      </c>
      <c r="C122" s="1">
        <v>3</v>
      </c>
      <c r="D122" t="s">
        <v>17</v>
      </c>
      <c r="E122" t="s">
        <v>93</v>
      </c>
      <c r="F122" s="1">
        <v>15003</v>
      </c>
      <c r="G122" s="1">
        <v>41</v>
      </c>
      <c r="H122" s="1">
        <v>51</v>
      </c>
      <c r="I122" t="s">
        <v>3</v>
      </c>
      <c r="J122" t="s">
        <v>6</v>
      </c>
      <c r="K122" s="1">
        <v>41051</v>
      </c>
      <c r="L122" s="1">
        <v>546</v>
      </c>
      <c r="M122" s="1">
        <v>468</v>
      </c>
      <c r="N122" s="1">
        <v>18895000</v>
      </c>
      <c r="O122" s="1">
        <v>41051</v>
      </c>
      <c r="P122" s="1">
        <v>0</v>
      </c>
      <c r="Q122" s="1">
        <v>1</v>
      </c>
    </row>
    <row r="123">
      <c r="A123" s="1">
        <v>2016</v>
      </c>
      <c r="B123" s="1">
        <v>16</v>
      </c>
      <c r="C123" s="1">
        <v>0</v>
      </c>
      <c r="D123" t="s">
        <v>411</v>
      </c>
      <c r="E123" t="s">
        <v>276</v>
      </c>
      <c r="F123" s="1">
        <v>16000</v>
      </c>
      <c r="G123" s="1">
        <v>41</v>
      </c>
      <c r="H123" s="1">
        <v>51</v>
      </c>
      <c r="I123" t="s">
        <v>3</v>
      </c>
      <c r="J123" t="s">
        <v>6</v>
      </c>
      <c r="K123" s="1">
        <v>41051</v>
      </c>
      <c r="L123" s="1">
        <v>146</v>
      </c>
      <c r="M123" s="1">
        <v>77</v>
      </c>
      <c r="N123" s="1">
        <v>3658000</v>
      </c>
      <c r="O123" s="1">
        <v>41051</v>
      </c>
      <c r="P123" s="1">
        <v>0</v>
      </c>
      <c r="Q123" s="1">
        <v>1</v>
      </c>
    </row>
    <row r="124">
      <c r="A124" s="1">
        <v>2016</v>
      </c>
      <c r="B124" s="1">
        <v>17</v>
      </c>
      <c r="C124" s="1">
        <v>31</v>
      </c>
      <c r="D124" t="s">
        <v>19</v>
      </c>
      <c r="E124" t="s">
        <v>98</v>
      </c>
      <c r="F124" s="1">
        <v>17031</v>
      </c>
      <c r="G124" s="1">
        <v>41</v>
      </c>
      <c r="H124" s="1">
        <v>51</v>
      </c>
      <c r="I124" t="s">
        <v>3</v>
      </c>
      <c r="J124" t="s">
        <v>6</v>
      </c>
      <c r="K124" s="1">
        <v>41051</v>
      </c>
      <c r="L124" s="1">
        <v>745</v>
      </c>
      <c r="M124" s="1">
        <v>473</v>
      </c>
      <c r="N124" s="1">
        <v>32676700</v>
      </c>
      <c r="O124" s="1">
        <v>41051</v>
      </c>
      <c r="P124" s="1">
        <v>0</v>
      </c>
      <c r="Q124" s="1">
        <v>1</v>
      </c>
    </row>
    <row r="125">
      <c r="A125" s="1">
        <v>2016</v>
      </c>
      <c r="B125" s="1">
        <v>17</v>
      </c>
      <c r="C125" s="1">
        <v>97</v>
      </c>
      <c r="D125" t="s">
        <v>19</v>
      </c>
      <c r="E125" t="s">
        <v>232</v>
      </c>
      <c r="F125" s="1">
        <v>17097</v>
      </c>
      <c r="G125" s="1">
        <v>41</v>
      </c>
      <c r="H125" s="1">
        <v>51</v>
      </c>
      <c r="I125" t="s">
        <v>3</v>
      </c>
      <c r="J125" t="s">
        <v>6</v>
      </c>
      <c r="K125" s="1">
        <v>41051</v>
      </c>
      <c r="L125" s="1">
        <v>229</v>
      </c>
      <c r="M125" s="1">
        <v>161</v>
      </c>
      <c r="N125" s="1">
        <v>26262280</v>
      </c>
      <c r="O125" s="1">
        <v>41051</v>
      </c>
      <c r="P125" s="1">
        <v>0</v>
      </c>
      <c r="Q125" s="1">
        <v>1</v>
      </c>
    </row>
    <row r="126">
      <c r="A126" s="1">
        <v>2016</v>
      </c>
      <c r="B126" s="1">
        <v>17</v>
      </c>
      <c r="C126" s="1">
        <v>113</v>
      </c>
      <c r="D126" t="s">
        <v>19</v>
      </c>
      <c r="E126" t="s">
        <v>366</v>
      </c>
      <c r="F126" s="1">
        <v>17113</v>
      </c>
      <c r="G126" s="1">
        <v>41</v>
      </c>
      <c r="H126" s="1">
        <v>51</v>
      </c>
      <c r="I126" t="s">
        <v>3</v>
      </c>
      <c r="J126" t="s">
        <v>6</v>
      </c>
      <c r="K126" s="1">
        <v>41051</v>
      </c>
      <c r="L126" s="1">
        <v>89</v>
      </c>
      <c r="M126" s="1"/>
      <c r="N126" s="1">
        <v>1602000</v>
      </c>
      <c r="O126" s="1">
        <v>41051</v>
      </c>
      <c r="P126" s="1">
        <v>0</v>
      </c>
      <c r="Q126" s="1">
        <v>1</v>
      </c>
    </row>
    <row r="127">
      <c r="A127" s="1">
        <v>2016</v>
      </c>
      <c r="B127" s="1">
        <v>18</v>
      </c>
      <c r="C127" s="1">
        <v>97</v>
      </c>
      <c r="D127" t="s">
        <v>20</v>
      </c>
      <c r="E127" t="s">
        <v>99</v>
      </c>
      <c r="F127" s="1">
        <v>18097</v>
      </c>
      <c r="G127" s="1">
        <v>41</v>
      </c>
      <c r="H127" s="1">
        <v>51</v>
      </c>
      <c r="I127" t="s">
        <v>3</v>
      </c>
      <c r="J127" t="s">
        <v>6</v>
      </c>
      <c r="K127" s="1">
        <v>41051</v>
      </c>
      <c r="L127" s="1">
        <v>177</v>
      </c>
      <c r="M127" s="1">
        <v>177</v>
      </c>
      <c r="N127" s="1">
        <v>6018000</v>
      </c>
      <c r="O127" s="1">
        <v>41051</v>
      </c>
      <c r="P127" s="1">
        <v>0</v>
      </c>
      <c r="Q127" s="1">
        <v>1</v>
      </c>
    </row>
    <row r="128">
      <c r="A128" s="1">
        <v>2016</v>
      </c>
      <c r="B128" s="1">
        <v>20</v>
      </c>
      <c r="C128" s="1">
        <v>0</v>
      </c>
      <c r="D128" t="s">
        <v>411</v>
      </c>
      <c r="E128" t="s">
        <v>276</v>
      </c>
      <c r="F128" s="1">
        <v>20000</v>
      </c>
      <c r="G128" s="1">
        <v>41</v>
      </c>
      <c r="H128" s="1">
        <v>51</v>
      </c>
      <c r="I128" t="s">
        <v>3</v>
      </c>
      <c r="J128" t="s">
        <v>6</v>
      </c>
      <c r="K128" s="1">
        <v>41051</v>
      </c>
      <c r="L128" s="1">
        <v>78</v>
      </c>
      <c r="M128" s="1"/>
      <c r="N128" s="1">
        <v>195000</v>
      </c>
      <c r="O128" s="1">
        <v>41051</v>
      </c>
      <c r="P128" s="1">
        <v>0</v>
      </c>
      <c r="Q128" s="1">
        <v>1</v>
      </c>
    </row>
    <row r="129">
      <c r="A129" s="1">
        <v>2016</v>
      </c>
      <c r="B129" s="1">
        <v>20</v>
      </c>
      <c r="C129" s="1">
        <v>45</v>
      </c>
      <c r="D129" t="s">
        <v>42</v>
      </c>
      <c r="E129" t="s">
        <v>131</v>
      </c>
      <c r="F129" s="1">
        <v>20045</v>
      </c>
      <c r="G129" s="1">
        <v>41</v>
      </c>
      <c r="H129" s="1">
        <v>51</v>
      </c>
      <c r="I129" t="s">
        <v>3</v>
      </c>
      <c r="J129" t="s">
        <v>6</v>
      </c>
      <c r="K129" s="1">
        <v>41051</v>
      </c>
      <c r="L129" s="1">
        <v>71</v>
      </c>
      <c r="M129" s="1"/>
      <c r="N129" s="1">
        <v>2130000</v>
      </c>
      <c r="O129" s="1">
        <v>41051</v>
      </c>
      <c r="P129" s="1">
        <v>0</v>
      </c>
      <c r="Q129" s="1">
        <v>1</v>
      </c>
    </row>
    <row r="130">
      <c r="A130" s="1">
        <v>2016</v>
      </c>
      <c r="B130" s="1">
        <v>22</v>
      </c>
      <c r="C130" s="1">
        <v>0</v>
      </c>
      <c r="D130" t="s">
        <v>411</v>
      </c>
      <c r="E130" t="s">
        <v>276</v>
      </c>
      <c r="F130" s="1">
        <v>22000</v>
      </c>
      <c r="G130" s="1">
        <v>41</v>
      </c>
      <c r="H130" s="1">
        <v>51</v>
      </c>
      <c r="I130" t="s">
        <v>3</v>
      </c>
      <c r="J130" t="s">
        <v>6</v>
      </c>
      <c r="K130" s="1">
        <v>41051</v>
      </c>
      <c r="L130" s="1">
        <v>83</v>
      </c>
      <c r="M130" s="1"/>
      <c r="N130" s="1">
        <v>1145400</v>
      </c>
      <c r="O130" s="1">
        <v>41051</v>
      </c>
      <c r="P130" s="1">
        <v>0</v>
      </c>
      <c r="Q130" s="1">
        <v>1</v>
      </c>
    </row>
    <row r="131">
      <c r="A131" s="1">
        <v>2016</v>
      </c>
      <c r="B131" s="1">
        <v>23</v>
      </c>
      <c r="C131" s="1">
        <v>0</v>
      </c>
      <c r="D131" t="s">
        <v>411</v>
      </c>
      <c r="E131" t="s">
        <v>276</v>
      </c>
      <c r="F131" s="1">
        <v>23000</v>
      </c>
      <c r="G131" s="1">
        <v>41</v>
      </c>
      <c r="H131" s="1">
        <v>51</v>
      </c>
      <c r="I131" t="s">
        <v>3</v>
      </c>
      <c r="J131" t="s">
        <v>6</v>
      </c>
      <c r="K131" s="1">
        <v>41051</v>
      </c>
      <c r="L131" s="1">
        <v>79</v>
      </c>
      <c r="M131" s="1"/>
      <c r="N131" s="1">
        <v>2607000</v>
      </c>
      <c r="O131" s="1">
        <v>41051</v>
      </c>
      <c r="P131" s="1">
        <v>0</v>
      </c>
      <c r="Q131" s="1">
        <v>1</v>
      </c>
    </row>
    <row r="132">
      <c r="A132" s="1">
        <v>2016</v>
      </c>
      <c r="B132" s="1">
        <v>24</v>
      </c>
      <c r="C132" s="1">
        <v>5</v>
      </c>
      <c r="D132" t="s">
        <v>24</v>
      </c>
      <c r="E132" t="s">
        <v>284</v>
      </c>
      <c r="F132" s="1">
        <v>24005</v>
      </c>
      <c r="G132" s="1">
        <v>41</v>
      </c>
      <c r="H132" s="1">
        <v>51</v>
      </c>
      <c r="I132" t="s">
        <v>3</v>
      </c>
      <c r="J132" t="s">
        <v>6</v>
      </c>
      <c r="K132" s="1">
        <v>41051</v>
      </c>
      <c r="L132" s="1">
        <v>71</v>
      </c>
      <c r="M132" s="1">
        <v>71</v>
      </c>
      <c r="N132" s="1">
        <v>284000</v>
      </c>
      <c r="O132" s="1">
        <v>41051</v>
      </c>
      <c r="P132" s="1">
        <v>0</v>
      </c>
      <c r="Q132" s="1">
        <v>1</v>
      </c>
    </row>
    <row r="133">
      <c r="A133" s="1">
        <v>2016</v>
      </c>
      <c r="B133" s="1">
        <v>24</v>
      </c>
      <c r="C133" s="1">
        <v>510</v>
      </c>
      <c r="D133" t="s">
        <v>24</v>
      </c>
      <c r="E133" t="s">
        <v>190</v>
      </c>
      <c r="F133" s="1">
        <v>24510</v>
      </c>
      <c r="G133" s="1">
        <v>41</v>
      </c>
      <c r="H133" s="1">
        <v>51</v>
      </c>
      <c r="I133" t="s">
        <v>3</v>
      </c>
      <c r="J133" t="s">
        <v>6</v>
      </c>
      <c r="K133" s="1">
        <v>41051</v>
      </c>
      <c r="L133" s="1">
        <v>73</v>
      </c>
      <c r="M133" s="1"/>
      <c r="N133" s="1">
        <v>1314000</v>
      </c>
      <c r="O133" s="1">
        <v>41051</v>
      </c>
      <c r="P133" s="1">
        <v>0</v>
      </c>
      <c r="Q133" s="1">
        <v>1</v>
      </c>
    </row>
    <row r="134">
      <c r="A134" s="1">
        <v>2016</v>
      </c>
      <c r="B134" s="1">
        <v>25</v>
      </c>
      <c r="C134" s="1">
        <v>0</v>
      </c>
      <c r="D134" t="s">
        <v>411</v>
      </c>
      <c r="E134" t="s">
        <v>276</v>
      </c>
      <c r="F134" s="1">
        <v>25000</v>
      </c>
      <c r="G134" s="1">
        <v>41</v>
      </c>
      <c r="H134" s="1">
        <v>51</v>
      </c>
      <c r="I134" t="s">
        <v>3</v>
      </c>
      <c r="J134" t="s">
        <v>6</v>
      </c>
      <c r="K134" s="1">
        <v>41051</v>
      </c>
      <c r="L134" s="1">
        <v>256</v>
      </c>
      <c r="M134" s="1">
        <v>193</v>
      </c>
      <c r="N134" s="1">
        <v>5669000</v>
      </c>
      <c r="O134" s="1">
        <v>41051</v>
      </c>
      <c r="P134" s="1">
        <v>0</v>
      </c>
      <c r="Q134" s="1">
        <v>1</v>
      </c>
    </row>
    <row r="135">
      <c r="A135" s="1">
        <v>2016</v>
      </c>
      <c r="B135" s="1">
        <v>25</v>
      </c>
      <c r="C135" s="1">
        <v>25</v>
      </c>
      <c r="D135" t="s">
        <v>25</v>
      </c>
      <c r="E135" t="s">
        <v>105</v>
      </c>
      <c r="F135" s="1">
        <v>25025</v>
      </c>
      <c r="G135" s="1">
        <v>41</v>
      </c>
      <c r="H135" s="1">
        <v>51</v>
      </c>
      <c r="I135" t="s">
        <v>3</v>
      </c>
      <c r="J135" t="s">
        <v>6</v>
      </c>
      <c r="K135" s="1">
        <v>41051</v>
      </c>
      <c r="L135" s="1">
        <v>84</v>
      </c>
      <c r="M135" s="1">
        <v>84</v>
      </c>
      <c r="N135" s="1">
        <v>504000</v>
      </c>
      <c r="O135" s="1">
        <v>41051</v>
      </c>
      <c r="P135" s="1">
        <v>0</v>
      </c>
      <c r="Q135" s="1">
        <v>1</v>
      </c>
    </row>
    <row r="136">
      <c r="A136" s="1">
        <v>2016</v>
      </c>
      <c r="B136" s="1">
        <v>26</v>
      </c>
      <c r="C136" s="1">
        <v>161</v>
      </c>
      <c r="D136" t="s">
        <v>26</v>
      </c>
      <c r="E136" t="s">
        <v>106</v>
      </c>
      <c r="F136" s="1">
        <v>26161</v>
      </c>
      <c r="G136" s="1">
        <v>41</v>
      </c>
      <c r="H136" s="1">
        <v>51</v>
      </c>
      <c r="I136" t="s">
        <v>3</v>
      </c>
      <c r="J136" t="s">
        <v>6</v>
      </c>
      <c r="K136" s="1">
        <v>41051</v>
      </c>
      <c r="L136" s="1">
        <v>253</v>
      </c>
      <c r="M136" s="1">
        <v>87</v>
      </c>
      <c r="N136" s="1">
        <v>11684000</v>
      </c>
      <c r="O136" s="1">
        <v>41051</v>
      </c>
      <c r="P136" s="1">
        <v>0</v>
      </c>
      <c r="Q136" s="1">
        <v>1</v>
      </c>
    </row>
    <row r="137">
      <c r="A137" s="1">
        <v>2016</v>
      </c>
      <c r="B137" s="1">
        <v>26</v>
      </c>
      <c r="C137" s="1">
        <v>163</v>
      </c>
      <c r="D137" t="s">
        <v>26</v>
      </c>
      <c r="E137" t="s">
        <v>195</v>
      </c>
      <c r="F137" s="1">
        <v>26163</v>
      </c>
      <c r="G137" s="1">
        <v>41</v>
      </c>
      <c r="H137" s="1">
        <v>51</v>
      </c>
      <c r="I137" t="s">
        <v>3</v>
      </c>
      <c r="J137" t="s">
        <v>6</v>
      </c>
      <c r="K137" s="1">
        <v>41051</v>
      </c>
      <c r="L137" s="1">
        <v>65</v>
      </c>
      <c r="M137" s="1">
        <v>64</v>
      </c>
      <c r="N137" s="1">
        <v>2119000</v>
      </c>
      <c r="O137" s="1">
        <v>41051</v>
      </c>
      <c r="P137" s="1">
        <v>0</v>
      </c>
      <c r="Q137" s="1">
        <v>1</v>
      </c>
    </row>
    <row r="138">
      <c r="A138" s="1">
        <v>2016</v>
      </c>
      <c r="B138" s="1">
        <v>27</v>
      </c>
      <c r="C138" s="1">
        <v>0</v>
      </c>
      <c r="D138" t="s">
        <v>411</v>
      </c>
      <c r="E138" t="s">
        <v>276</v>
      </c>
      <c r="F138" s="1">
        <v>27000</v>
      </c>
      <c r="G138" s="1">
        <v>41</v>
      </c>
      <c r="H138" s="1">
        <v>51</v>
      </c>
      <c r="I138" t="s">
        <v>3</v>
      </c>
      <c r="J138" t="s">
        <v>6</v>
      </c>
      <c r="K138" s="1">
        <v>41051</v>
      </c>
      <c r="L138" s="1">
        <v>85</v>
      </c>
      <c r="M138" s="1">
        <v>85</v>
      </c>
      <c r="N138" s="1">
        <v>3400000</v>
      </c>
      <c r="O138" s="1">
        <v>41051</v>
      </c>
      <c r="P138" s="1">
        <v>0</v>
      </c>
      <c r="Q138" s="1">
        <v>1</v>
      </c>
    </row>
    <row r="139">
      <c r="A139" s="1">
        <v>2016</v>
      </c>
      <c r="B139" s="1">
        <v>29</v>
      </c>
      <c r="C139" s="1">
        <v>189</v>
      </c>
      <c r="D139" t="s">
        <v>44</v>
      </c>
      <c r="E139" t="s">
        <v>197</v>
      </c>
      <c r="F139" s="1">
        <v>29189</v>
      </c>
      <c r="G139" s="1">
        <v>41</v>
      </c>
      <c r="H139" s="1">
        <v>51</v>
      </c>
      <c r="I139" t="s">
        <v>3</v>
      </c>
      <c r="J139" t="s">
        <v>6</v>
      </c>
      <c r="K139" s="1">
        <v>41051</v>
      </c>
      <c r="L139" s="1">
        <v>217</v>
      </c>
      <c r="M139" s="1">
        <v>80</v>
      </c>
      <c r="N139" s="1">
        <v>6379200</v>
      </c>
      <c r="O139" s="1">
        <v>41051</v>
      </c>
      <c r="P139" s="1">
        <v>0</v>
      </c>
      <c r="Q139" s="1">
        <v>1</v>
      </c>
    </row>
    <row r="140">
      <c r="A140" s="1">
        <v>2016</v>
      </c>
      <c r="B140" s="1">
        <v>30</v>
      </c>
      <c r="C140" s="1">
        <v>0</v>
      </c>
      <c r="D140" t="s">
        <v>411</v>
      </c>
      <c r="E140" t="s">
        <v>276</v>
      </c>
      <c r="F140" s="1">
        <v>30000</v>
      </c>
      <c r="G140" s="1">
        <v>41</v>
      </c>
      <c r="H140" s="1">
        <v>51</v>
      </c>
      <c r="I140" t="s">
        <v>3</v>
      </c>
      <c r="J140" t="s">
        <v>6</v>
      </c>
      <c r="K140" s="1">
        <v>41051</v>
      </c>
      <c r="L140" s="1">
        <v>540</v>
      </c>
      <c r="M140" s="1">
        <v>220</v>
      </c>
      <c r="N140" s="1">
        <v>4977500</v>
      </c>
      <c r="O140" s="1">
        <v>41051</v>
      </c>
      <c r="P140" s="1">
        <v>0</v>
      </c>
      <c r="Q140" s="1">
        <v>1</v>
      </c>
    </row>
    <row r="141">
      <c r="A141" s="1">
        <v>2016</v>
      </c>
      <c r="B141" s="1">
        <v>32</v>
      </c>
      <c r="C141" s="1">
        <v>3</v>
      </c>
      <c r="D141" t="s">
        <v>29</v>
      </c>
      <c r="E141" t="s">
        <v>112</v>
      </c>
      <c r="F141" s="1">
        <v>32003</v>
      </c>
      <c r="G141" s="1">
        <v>41</v>
      </c>
      <c r="H141" s="1">
        <v>51</v>
      </c>
      <c r="I141" t="s">
        <v>3</v>
      </c>
      <c r="J141" t="s">
        <v>6</v>
      </c>
      <c r="K141" s="1">
        <v>41051</v>
      </c>
      <c r="L141" s="1">
        <v>64</v>
      </c>
      <c r="M141" s="1"/>
      <c r="N141" s="1">
        <v>1536000</v>
      </c>
      <c r="O141" s="1">
        <v>41051</v>
      </c>
      <c r="P141" s="1">
        <v>0</v>
      </c>
      <c r="Q141" s="1">
        <v>1</v>
      </c>
    </row>
    <row r="142">
      <c r="A142" s="1">
        <v>2016</v>
      </c>
      <c r="B142" s="1">
        <v>34</v>
      </c>
      <c r="C142" s="1">
        <v>17</v>
      </c>
      <c r="D142" t="s">
        <v>46</v>
      </c>
      <c r="E142" t="s">
        <v>201</v>
      </c>
      <c r="F142" s="1">
        <v>34017</v>
      </c>
      <c r="G142" s="1">
        <v>41</v>
      </c>
      <c r="H142" s="1">
        <v>51</v>
      </c>
      <c r="I142" t="s">
        <v>3</v>
      </c>
      <c r="J142" t="s">
        <v>6</v>
      </c>
      <c r="K142" s="1">
        <v>41051</v>
      </c>
      <c r="L142" s="1">
        <v>387</v>
      </c>
      <c r="M142" s="1">
        <v>263</v>
      </c>
      <c r="N142" s="1">
        <v>29055000</v>
      </c>
      <c r="O142" s="1">
        <v>41051</v>
      </c>
      <c r="P142" s="1">
        <v>0</v>
      </c>
      <c r="Q142" s="1">
        <v>1</v>
      </c>
    </row>
    <row r="143">
      <c r="A143" s="1">
        <v>2016</v>
      </c>
      <c r="B143" s="1">
        <v>35</v>
      </c>
      <c r="C143" s="1">
        <v>0</v>
      </c>
      <c r="D143" t="s">
        <v>411</v>
      </c>
      <c r="E143" t="s">
        <v>276</v>
      </c>
      <c r="F143" s="1">
        <v>35000</v>
      </c>
      <c r="G143" s="1">
        <v>41</v>
      </c>
      <c r="H143" s="1">
        <v>51</v>
      </c>
      <c r="I143" t="s">
        <v>3</v>
      </c>
      <c r="J143" t="s">
        <v>6</v>
      </c>
      <c r="K143" s="1">
        <v>41051</v>
      </c>
      <c r="L143" s="1">
        <v>278</v>
      </c>
      <c r="M143" s="1">
        <v>131</v>
      </c>
      <c r="N143" s="1">
        <v>2146200</v>
      </c>
      <c r="O143" s="1">
        <v>41051</v>
      </c>
      <c r="P143" s="1">
        <v>0</v>
      </c>
      <c r="Q143" s="1">
        <v>1</v>
      </c>
    </row>
    <row r="144">
      <c r="A144" s="1">
        <v>2016</v>
      </c>
      <c r="B144" s="1">
        <v>35</v>
      </c>
      <c r="C144" s="1">
        <v>49</v>
      </c>
      <c r="D144" t="s">
        <v>30</v>
      </c>
      <c r="E144" t="s">
        <v>115</v>
      </c>
      <c r="F144" s="1">
        <v>35049</v>
      </c>
      <c r="G144" s="1">
        <v>41</v>
      </c>
      <c r="H144" s="1">
        <v>51</v>
      </c>
      <c r="I144" t="s">
        <v>3</v>
      </c>
      <c r="J144" t="s">
        <v>6</v>
      </c>
      <c r="K144" s="1">
        <v>41051</v>
      </c>
      <c r="L144" s="1">
        <v>279</v>
      </c>
      <c r="M144" s="1">
        <v>108</v>
      </c>
      <c r="N144" s="1">
        <v>4938600</v>
      </c>
      <c r="O144" s="1">
        <v>41051</v>
      </c>
      <c r="P144" s="1">
        <v>0</v>
      </c>
      <c r="Q144" s="1">
        <v>1</v>
      </c>
    </row>
    <row r="145">
      <c r="A145" s="1">
        <v>2016</v>
      </c>
      <c r="B145" s="1">
        <v>36</v>
      </c>
      <c r="C145" s="1">
        <v>29</v>
      </c>
      <c r="D145" t="s">
        <v>31</v>
      </c>
      <c r="E145" t="s">
        <v>202</v>
      </c>
      <c r="F145" s="1">
        <v>36029</v>
      </c>
      <c r="G145" s="1">
        <v>41</v>
      </c>
      <c r="H145" s="1">
        <v>51</v>
      </c>
      <c r="I145" t="s">
        <v>3</v>
      </c>
      <c r="J145" t="s">
        <v>6</v>
      </c>
      <c r="K145" s="1">
        <v>41051</v>
      </c>
      <c r="L145" s="1">
        <v>82</v>
      </c>
      <c r="M145" s="1">
        <v>38</v>
      </c>
      <c r="N145" s="1">
        <v>4743200</v>
      </c>
      <c r="O145" s="1">
        <v>41051</v>
      </c>
      <c r="P145" s="1">
        <v>0</v>
      </c>
      <c r="Q145" s="1">
        <v>1</v>
      </c>
    </row>
    <row r="146">
      <c r="A146" s="1">
        <v>2016</v>
      </c>
      <c r="B146" s="1">
        <v>36</v>
      </c>
      <c r="C146" s="1">
        <v>47</v>
      </c>
      <c r="D146" t="s">
        <v>31</v>
      </c>
      <c r="E146" t="s">
        <v>116</v>
      </c>
      <c r="F146" s="1">
        <v>36047</v>
      </c>
      <c r="G146" s="1">
        <v>41</v>
      </c>
      <c r="H146" s="1">
        <v>51</v>
      </c>
      <c r="I146" t="s">
        <v>3</v>
      </c>
      <c r="J146" t="s">
        <v>6</v>
      </c>
      <c r="K146" s="1">
        <v>41051</v>
      </c>
      <c r="L146" s="1">
        <v>321</v>
      </c>
      <c r="M146" s="1">
        <v>252</v>
      </c>
      <c r="N146" s="1">
        <v>36122000</v>
      </c>
      <c r="O146" s="1">
        <v>41051</v>
      </c>
      <c r="P146" s="1">
        <v>0</v>
      </c>
      <c r="Q146" s="1">
        <v>1</v>
      </c>
    </row>
    <row r="147">
      <c r="A147" s="1">
        <v>2016</v>
      </c>
      <c r="B147" s="1">
        <v>36</v>
      </c>
      <c r="C147" s="1">
        <v>61</v>
      </c>
      <c r="D147" t="s">
        <v>31</v>
      </c>
      <c r="E147" t="s">
        <v>117</v>
      </c>
      <c r="F147" s="1">
        <v>36061</v>
      </c>
      <c r="G147" s="1">
        <v>41</v>
      </c>
      <c r="H147" s="1">
        <v>51</v>
      </c>
      <c r="I147" t="s">
        <v>3</v>
      </c>
      <c r="J147" t="s">
        <v>6</v>
      </c>
      <c r="K147" s="1">
        <v>41051</v>
      </c>
      <c r="L147" s="1">
        <v>186</v>
      </c>
      <c r="M147" s="1">
        <v>88</v>
      </c>
      <c r="N147" s="1">
        <v>18220800</v>
      </c>
      <c r="O147" s="1">
        <v>41051</v>
      </c>
      <c r="P147" s="1">
        <v>0</v>
      </c>
      <c r="Q147" s="1">
        <v>1</v>
      </c>
    </row>
    <row r="148">
      <c r="A148" s="1">
        <v>2016</v>
      </c>
      <c r="B148" s="1">
        <v>37</v>
      </c>
      <c r="C148" s="1">
        <v>183</v>
      </c>
      <c r="D148" t="s">
        <v>32</v>
      </c>
      <c r="E148" t="s">
        <v>206</v>
      </c>
      <c r="F148" s="1">
        <v>37183</v>
      </c>
      <c r="G148" s="1">
        <v>41</v>
      </c>
      <c r="H148" s="1">
        <v>51</v>
      </c>
      <c r="I148" t="s">
        <v>3</v>
      </c>
      <c r="J148" t="s">
        <v>6</v>
      </c>
      <c r="K148" s="1">
        <v>41051</v>
      </c>
      <c r="L148" s="1">
        <v>103</v>
      </c>
      <c r="M148" s="1">
        <v>31</v>
      </c>
      <c r="N148" s="1">
        <v>3871600</v>
      </c>
      <c r="O148" s="1">
        <v>41051</v>
      </c>
      <c r="P148" s="1">
        <v>0</v>
      </c>
      <c r="Q148" s="1">
        <v>1</v>
      </c>
    </row>
    <row r="149">
      <c r="A149" s="1">
        <v>2016</v>
      </c>
      <c r="B149" s="1">
        <v>39</v>
      </c>
      <c r="C149" s="1">
        <v>0</v>
      </c>
      <c r="D149" t="s">
        <v>411</v>
      </c>
      <c r="E149" t="s">
        <v>276</v>
      </c>
      <c r="F149" s="1">
        <v>39000</v>
      </c>
      <c r="G149" s="1">
        <v>41</v>
      </c>
      <c r="H149" s="1">
        <v>51</v>
      </c>
      <c r="I149" t="s">
        <v>3</v>
      </c>
      <c r="J149" t="s">
        <v>6</v>
      </c>
      <c r="K149" s="1">
        <v>41051</v>
      </c>
      <c r="L149" s="1">
        <v>156</v>
      </c>
      <c r="M149" s="1"/>
      <c r="N149" s="1">
        <v>1560000</v>
      </c>
      <c r="O149" s="1">
        <v>41051</v>
      </c>
      <c r="P149" s="1">
        <v>0</v>
      </c>
      <c r="Q149" s="1">
        <v>1</v>
      </c>
    </row>
    <row r="150">
      <c r="A150" s="1">
        <v>2016</v>
      </c>
      <c r="B150" s="1">
        <v>40</v>
      </c>
      <c r="C150" s="1">
        <v>0</v>
      </c>
      <c r="D150" t="s">
        <v>411</v>
      </c>
      <c r="E150" t="s">
        <v>276</v>
      </c>
      <c r="F150" s="1">
        <v>40000</v>
      </c>
      <c r="G150" s="1">
        <v>41</v>
      </c>
      <c r="H150" s="1">
        <v>51</v>
      </c>
      <c r="I150" t="s">
        <v>3</v>
      </c>
      <c r="J150" t="s">
        <v>6</v>
      </c>
      <c r="K150" s="1">
        <v>41051</v>
      </c>
      <c r="L150" s="1">
        <v>357</v>
      </c>
      <c r="M150" s="1"/>
      <c r="N150" s="1">
        <v>2824500</v>
      </c>
      <c r="O150" s="1">
        <v>41051</v>
      </c>
      <c r="P150" s="1">
        <v>0</v>
      </c>
      <c r="Q150" s="1">
        <v>1</v>
      </c>
    </row>
    <row r="151">
      <c r="A151" s="1">
        <v>2016</v>
      </c>
      <c r="B151" s="1">
        <v>41</v>
      </c>
      <c r="C151" s="1">
        <v>0</v>
      </c>
      <c r="D151" t="s">
        <v>411</v>
      </c>
      <c r="E151" t="s">
        <v>276</v>
      </c>
      <c r="F151" s="1">
        <v>41000</v>
      </c>
      <c r="G151" s="1">
        <v>41</v>
      </c>
      <c r="H151" s="1">
        <v>51</v>
      </c>
      <c r="I151" t="s">
        <v>3</v>
      </c>
      <c r="J151" t="s">
        <v>6</v>
      </c>
      <c r="K151" s="1">
        <v>41051</v>
      </c>
      <c r="L151" s="1">
        <v>3438</v>
      </c>
      <c r="M151" s="1">
        <v>1721</v>
      </c>
      <c r="N151" s="1">
        <v>156645200</v>
      </c>
      <c r="O151" s="1">
        <v>41051</v>
      </c>
      <c r="P151" s="1">
        <v>0</v>
      </c>
      <c r="Q151" s="1">
        <v>1</v>
      </c>
    </row>
    <row r="152">
      <c r="A152" s="1">
        <v>2016</v>
      </c>
      <c r="B152" s="1">
        <v>41</v>
      </c>
      <c r="C152" s="1">
        <v>5</v>
      </c>
      <c r="D152" t="s">
        <v>3</v>
      </c>
      <c r="E152" t="s">
        <v>125</v>
      </c>
      <c r="F152" s="1">
        <v>41005</v>
      </c>
      <c r="G152" s="1">
        <v>41</v>
      </c>
      <c r="H152" s="1">
        <v>51</v>
      </c>
      <c r="I152" t="s">
        <v>3</v>
      </c>
      <c r="J152" t="s">
        <v>6</v>
      </c>
      <c r="K152" s="1">
        <v>41051</v>
      </c>
      <c r="L152" s="1">
        <v>3949</v>
      </c>
      <c r="M152" s="1">
        <v>1676</v>
      </c>
      <c r="N152" s="1">
        <v>118655350</v>
      </c>
      <c r="O152" s="1">
        <v>41051</v>
      </c>
      <c r="P152" s="1">
        <v>0</v>
      </c>
      <c r="Q152" s="1">
        <v>1</v>
      </c>
    </row>
    <row r="153">
      <c r="A153" s="1">
        <v>2016</v>
      </c>
      <c r="B153" s="1">
        <v>41</v>
      </c>
      <c r="C153" s="1">
        <v>17</v>
      </c>
      <c r="D153" t="s">
        <v>3</v>
      </c>
      <c r="E153" t="s">
        <v>130</v>
      </c>
      <c r="F153" s="1">
        <v>41017</v>
      </c>
      <c r="G153" s="1">
        <v>41</v>
      </c>
      <c r="H153" s="1">
        <v>51</v>
      </c>
      <c r="I153" t="s">
        <v>3</v>
      </c>
      <c r="J153" t="s">
        <v>6</v>
      </c>
      <c r="K153" s="1">
        <v>41051</v>
      </c>
      <c r="L153" s="1">
        <v>98</v>
      </c>
      <c r="M153" s="1">
        <v>98</v>
      </c>
      <c r="N153" s="1">
        <v>2577400</v>
      </c>
      <c r="O153" s="1">
        <v>41051</v>
      </c>
      <c r="P153" s="1">
        <v>0</v>
      </c>
      <c r="Q153" s="1">
        <v>1</v>
      </c>
    </row>
    <row r="154">
      <c r="A154" s="1">
        <v>2016</v>
      </c>
      <c r="B154" s="1">
        <v>41</v>
      </c>
      <c r="C154" s="1">
        <v>29</v>
      </c>
      <c r="D154" t="s">
        <v>3</v>
      </c>
      <c r="E154" t="s">
        <v>133</v>
      </c>
      <c r="F154" s="1">
        <v>41029</v>
      </c>
      <c r="G154" s="1">
        <v>41</v>
      </c>
      <c r="H154" s="1">
        <v>51</v>
      </c>
      <c r="I154" t="s">
        <v>3</v>
      </c>
      <c r="J154" t="s">
        <v>6</v>
      </c>
      <c r="K154" s="1">
        <v>41051</v>
      </c>
      <c r="L154" s="1">
        <v>201</v>
      </c>
      <c r="M154" s="1"/>
      <c r="N154" s="1">
        <v>2599900</v>
      </c>
      <c r="O154" s="1">
        <v>41051</v>
      </c>
      <c r="P154" s="1">
        <v>0</v>
      </c>
      <c r="Q154" s="1">
        <v>1</v>
      </c>
    </row>
    <row r="155">
      <c r="A155" s="1">
        <v>2016</v>
      </c>
      <c r="B155" s="1">
        <v>41</v>
      </c>
      <c r="C155" s="1">
        <v>39</v>
      </c>
      <c r="D155" t="s">
        <v>3</v>
      </c>
      <c r="E155" t="s">
        <v>136</v>
      </c>
      <c r="F155" s="1">
        <v>41039</v>
      </c>
      <c r="G155" s="1">
        <v>41</v>
      </c>
      <c r="H155" s="1">
        <v>51</v>
      </c>
      <c r="I155" t="s">
        <v>3</v>
      </c>
      <c r="J155" t="s">
        <v>6</v>
      </c>
      <c r="K155" s="1">
        <v>41051</v>
      </c>
      <c r="L155" s="1">
        <v>1870</v>
      </c>
      <c r="M155" s="1">
        <v>256</v>
      </c>
      <c r="N155" s="1">
        <v>29719100</v>
      </c>
      <c r="O155" s="1">
        <v>41051</v>
      </c>
      <c r="P155" s="1">
        <v>0</v>
      </c>
      <c r="Q155" s="1">
        <v>1</v>
      </c>
    </row>
    <row r="156">
      <c r="A156" s="1">
        <v>2016</v>
      </c>
      <c r="B156" s="1">
        <v>41</v>
      </c>
      <c r="C156" s="1">
        <v>47</v>
      </c>
      <c r="D156" t="s">
        <v>3</v>
      </c>
      <c r="E156" t="s">
        <v>99</v>
      </c>
      <c r="F156" s="1">
        <v>41047</v>
      </c>
      <c r="G156" s="1">
        <v>41</v>
      </c>
      <c r="H156" s="1">
        <v>51</v>
      </c>
      <c r="I156" t="s">
        <v>3</v>
      </c>
      <c r="J156" t="s">
        <v>6</v>
      </c>
      <c r="K156" s="1">
        <v>41051</v>
      </c>
      <c r="L156" s="1">
        <v>1267</v>
      </c>
      <c r="M156" s="1">
        <v>369</v>
      </c>
      <c r="N156" s="1">
        <v>12962500</v>
      </c>
      <c r="O156" s="1">
        <v>41051</v>
      </c>
      <c r="P156" s="1">
        <v>0</v>
      </c>
      <c r="Q156" s="1">
        <v>1</v>
      </c>
    </row>
    <row r="157">
      <c r="A157" s="1">
        <v>2016</v>
      </c>
      <c r="B157" s="1">
        <v>41</v>
      </c>
      <c r="C157" s="1">
        <v>51</v>
      </c>
      <c r="D157" t="s">
        <v>3</v>
      </c>
      <c r="E157" t="s">
        <v>6</v>
      </c>
      <c r="F157" s="1">
        <v>41051</v>
      </c>
      <c r="G157" s="1">
        <v>41</v>
      </c>
      <c r="H157" s="1">
        <v>51</v>
      </c>
      <c r="I157" t="s">
        <v>3</v>
      </c>
      <c r="J157" t="s">
        <v>6</v>
      </c>
      <c r="K157" s="1">
        <v>41051</v>
      </c>
      <c r="L157" s="1">
        <v>576083</v>
      </c>
      <c r="M157" s="1">
        <v>297534</v>
      </c>
      <c r="N157" s="1">
        <v>26250490371</v>
      </c>
      <c r="O157" s="1">
        <v>41051</v>
      </c>
      <c r="P157" s="1">
        <v>1</v>
      </c>
      <c r="Q157" s="1">
        <v>1</v>
      </c>
    </row>
    <row r="158">
      <c r="A158" s="1">
        <v>2016</v>
      </c>
      <c r="B158" s="1">
        <v>41</v>
      </c>
      <c r="C158" s="1">
        <v>67</v>
      </c>
      <c r="D158" t="s">
        <v>3</v>
      </c>
      <c r="E158" t="s">
        <v>143</v>
      </c>
      <c r="F158" s="1">
        <v>41067</v>
      </c>
      <c r="G158" s="1">
        <v>41</v>
      </c>
      <c r="H158" s="1">
        <v>51</v>
      </c>
      <c r="I158" t="s">
        <v>3</v>
      </c>
      <c r="J158" t="s">
        <v>6</v>
      </c>
      <c r="K158" s="1">
        <v>41051</v>
      </c>
      <c r="L158" s="1">
        <v>5657</v>
      </c>
      <c r="M158" s="1">
        <v>2151</v>
      </c>
      <c r="N158" s="1">
        <v>221058486</v>
      </c>
      <c r="O158" s="1">
        <v>41051</v>
      </c>
      <c r="P158" s="1">
        <v>0</v>
      </c>
      <c r="Q158" s="1">
        <v>1</v>
      </c>
    </row>
    <row r="159">
      <c r="A159" s="1">
        <v>2016</v>
      </c>
      <c r="B159" s="1">
        <v>42</v>
      </c>
      <c r="C159" s="1">
        <v>101</v>
      </c>
      <c r="D159" t="s">
        <v>34</v>
      </c>
      <c r="E159" t="s">
        <v>146</v>
      </c>
      <c r="F159" s="1">
        <v>42101</v>
      </c>
      <c r="G159" s="1">
        <v>41</v>
      </c>
      <c r="H159" s="1">
        <v>51</v>
      </c>
      <c r="I159" t="s">
        <v>3</v>
      </c>
      <c r="J159" t="s">
        <v>6</v>
      </c>
      <c r="K159" s="1">
        <v>41051</v>
      </c>
      <c r="L159" s="1">
        <v>206</v>
      </c>
      <c r="M159" s="1">
        <v>88</v>
      </c>
      <c r="N159" s="1">
        <v>34587000</v>
      </c>
      <c r="O159" s="1">
        <v>41051</v>
      </c>
      <c r="P159" s="1">
        <v>0</v>
      </c>
      <c r="Q159" s="1">
        <v>1</v>
      </c>
    </row>
    <row r="160">
      <c r="A160" s="1">
        <v>2016</v>
      </c>
      <c r="B160" s="1">
        <v>44</v>
      </c>
      <c r="C160" s="1">
        <v>0</v>
      </c>
      <c r="D160" t="s">
        <v>411</v>
      </c>
      <c r="E160" t="s">
        <v>276</v>
      </c>
      <c r="F160" s="1">
        <v>44000</v>
      </c>
      <c r="G160" s="1">
        <v>41</v>
      </c>
      <c r="H160" s="1">
        <v>51</v>
      </c>
      <c r="I160" t="s">
        <v>3</v>
      </c>
      <c r="J160" t="s">
        <v>6</v>
      </c>
      <c r="K160" s="1">
        <v>41051</v>
      </c>
      <c r="L160" s="1">
        <v>205</v>
      </c>
      <c r="M160" s="1"/>
      <c r="N160" s="1">
        <v>10250000</v>
      </c>
      <c r="O160" s="1">
        <v>41051</v>
      </c>
      <c r="P160" s="1">
        <v>0</v>
      </c>
      <c r="Q160" s="1">
        <v>1</v>
      </c>
    </row>
    <row r="161">
      <c r="A161" s="1">
        <v>2016</v>
      </c>
      <c r="B161" s="1">
        <v>45</v>
      </c>
      <c r="C161" s="1">
        <v>0</v>
      </c>
      <c r="D161" t="s">
        <v>411</v>
      </c>
      <c r="E161" t="s">
        <v>276</v>
      </c>
      <c r="F161" s="1">
        <v>45000</v>
      </c>
      <c r="G161" s="1">
        <v>41</v>
      </c>
      <c r="H161" s="1">
        <v>51</v>
      </c>
      <c r="I161" t="s">
        <v>3</v>
      </c>
      <c r="J161" t="s">
        <v>6</v>
      </c>
      <c r="K161" s="1">
        <v>41051</v>
      </c>
      <c r="L161" s="1">
        <v>474</v>
      </c>
      <c r="M161" s="1">
        <v>193</v>
      </c>
      <c r="N161" s="1">
        <v>45005780</v>
      </c>
      <c r="O161" s="1">
        <v>41051</v>
      </c>
      <c r="P161" s="1">
        <v>0</v>
      </c>
      <c r="Q161" s="1">
        <v>1</v>
      </c>
    </row>
    <row r="162">
      <c r="A162" s="1">
        <v>2016</v>
      </c>
      <c r="B162" s="1">
        <v>46</v>
      </c>
      <c r="C162" s="1">
        <v>0</v>
      </c>
      <c r="D162" t="s">
        <v>411</v>
      </c>
      <c r="E162" t="s">
        <v>276</v>
      </c>
      <c r="F162" s="1">
        <v>46000</v>
      </c>
      <c r="G162" s="1">
        <v>41</v>
      </c>
      <c r="H162" s="1">
        <v>51</v>
      </c>
      <c r="I162" t="s">
        <v>3</v>
      </c>
      <c r="J162" t="s">
        <v>6</v>
      </c>
      <c r="K162" s="1">
        <v>41051</v>
      </c>
      <c r="L162" s="1">
        <v>138</v>
      </c>
      <c r="M162" s="1">
        <v>140</v>
      </c>
      <c r="N162" s="1">
        <v>4690000</v>
      </c>
      <c r="O162" s="1">
        <v>41051</v>
      </c>
      <c r="P162" s="1">
        <v>0</v>
      </c>
      <c r="Q162" s="1">
        <v>1</v>
      </c>
    </row>
    <row r="163">
      <c r="A163" s="1">
        <v>2016</v>
      </c>
      <c r="B163" s="1">
        <v>47</v>
      </c>
      <c r="C163" s="1">
        <v>0</v>
      </c>
      <c r="D163" t="s">
        <v>411</v>
      </c>
      <c r="E163" t="s">
        <v>276</v>
      </c>
      <c r="F163" s="1">
        <v>47000</v>
      </c>
      <c r="G163" s="1">
        <v>41</v>
      </c>
      <c r="H163" s="1">
        <v>51</v>
      </c>
      <c r="I163" t="s">
        <v>3</v>
      </c>
      <c r="J163" t="s">
        <v>6</v>
      </c>
      <c r="K163" s="1">
        <v>41051</v>
      </c>
      <c r="L163" s="1">
        <v>123</v>
      </c>
      <c r="M163" s="1">
        <v>123</v>
      </c>
      <c r="N163" s="1">
        <v>984000</v>
      </c>
      <c r="O163" s="1">
        <v>41051</v>
      </c>
      <c r="P163" s="1">
        <v>0</v>
      </c>
      <c r="Q163" s="1">
        <v>1</v>
      </c>
    </row>
    <row r="164">
      <c r="A164" s="1">
        <v>2016</v>
      </c>
      <c r="B164" s="1">
        <v>48</v>
      </c>
      <c r="C164" s="1">
        <v>113</v>
      </c>
      <c r="D164" t="s">
        <v>36</v>
      </c>
      <c r="E164" t="s">
        <v>150</v>
      </c>
      <c r="F164" s="1">
        <v>48113</v>
      </c>
      <c r="G164" s="1">
        <v>41</v>
      </c>
      <c r="H164" s="1">
        <v>51</v>
      </c>
      <c r="I164" t="s">
        <v>3</v>
      </c>
      <c r="J164" t="s">
        <v>6</v>
      </c>
      <c r="K164" s="1">
        <v>41051</v>
      </c>
      <c r="L164" s="1">
        <v>360</v>
      </c>
      <c r="M164" s="1">
        <v>359</v>
      </c>
      <c r="N164" s="1">
        <v>22425600</v>
      </c>
      <c r="O164" s="1">
        <v>41051</v>
      </c>
      <c r="P164" s="1">
        <v>0</v>
      </c>
      <c r="Q164" s="1">
        <v>1</v>
      </c>
    </row>
    <row r="165">
      <c r="A165" s="1">
        <v>2016</v>
      </c>
      <c r="B165" s="1">
        <v>48</v>
      </c>
      <c r="C165" s="1">
        <v>121</v>
      </c>
      <c r="D165" t="s">
        <v>36</v>
      </c>
      <c r="E165" t="s">
        <v>234</v>
      </c>
      <c r="F165" s="1">
        <v>48121</v>
      </c>
      <c r="G165" s="1">
        <v>41</v>
      </c>
      <c r="H165" s="1">
        <v>51</v>
      </c>
      <c r="I165" t="s">
        <v>3</v>
      </c>
      <c r="J165" t="s">
        <v>6</v>
      </c>
      <c r="K165" s="1">
        <v>41051</v>
      </c>
      <c r="L165" s="1">
        <v>214</v>
      </c>
      <c r="M165" s="1">
        <v>108</v>
      </c>
      <c r="N165" s="1">
        <v>9776000</v>
      </c>
      <c r="O165" s="1">
        <v>41051</v>
      </c>
      <c r="P165" s="1">
        <v>0</v>
      </c>
      <c r="Q165" s="1">
        <v>1</v>
      </c>
    </row>
    <row r="166">
      <c r="A166" s="1">
        <v>2016</v>
      </c>
      <c r="B166" s="1">
        <v>48</v>
      </c>
      <c r="C166" s="1">
        <v>439</v>
      </c>
      <c r="D166" t="s">
        <v>36</v>
      </c>
      <c r="E166" t="s">
        <v>152</v>
      </c>
      <c r="F166" s="1">
        <v>48439</v>
      </c>
      <c r="G166" s="1">
        <v>41</v>
      </c>
      <c r="H166" s="1">
        <v>51</v>
      </c>
      <c r="I166" t="s">
        <v>3</v>
      </c>
      <c r="J166" t="s">
        <v>6</v>
      </c>
      <c r="K166" s="1">
        <v>41051</v>
      </c>
      <c r="L166" s="1">
        <v>552</v>
      </c>
      <c r="M166" s="1">
        <v>126</v>
      </c>
      <c r="N166" s="1">
        <v>9062200</v>
      </c>
      <c r="O166" s="1">
        <v>41051</v>
      </c>
      <c r="P166" s="1">
        <v>0</v>
      </c>
      <c r="Q166" s="1">
        <v>1</v>
      </c>
    </row>
    <row r="167">
      <c r="A167" s="1">
        <v>2016</v>
      </c>
      <c r="B167" s="1">
        <v>48</v>
      </c>
      <c r="C167" s="1">
        <v>453</v>
      </c>
      <c r="D167" t="s">
        <v>36</v>
      </c>
      <c r="E167" t="s">
        <v>153</v>
      </c>
      <c r="F167" s="1">
        <v>48453</v>
      </c>
      <c r="G167" s="1">
        <v>41</v>
      </c>
      <c r="H167" s="1">
        <v>51</v>
      </c>
      <c r="I167" t="s">
        <v>3</v>
      </c>
      <c r="J167" t="s">
        <v>6</v>
      </c>
      <c r="K167" s="1">
        <v>41051</v>
      </c>
      <c r="L167" s="1">
        <v>151</v>
      </c>
      <c r="M167" s="1">
        <v>77</v>
      </c>
      <c r="N167" s="1">
        <v>577500</v>
      </c>
      <c r="O167" s="1">
        <v>41051</v>
      </c>
      <c r="P167" s="1">
        <v>0</v>
      </c>
      <c r="Q167" s="1">
        <v>1</v>
      </c>
    </row>
    <row r="168">
      <c r="A168" s="1">
        <v>2016</v>
      </c>
      <c r="B168" s="1">
        <v>49</v>
      </c>
      <c r="C168" s="1">
        <v>0</v>
      </c>
      <c r="D168" t="s">
        <v>411</v>
      </c>
      <c r="E168" t="s">
        <v>276</v>
      </c>
      <c r="F168" s="1">
        <v>49000</v>
      </c>
      <c r="G168" s="1">
        <v>41</v>
      </c>
      <c r="H168" s="1">
        <v>51</v>
      </c>
      <c r="I168" t="s">
        <v>3</v>
      </c>
      <c r="J168" t="s">
        <v>6</v>
      </c>
      <c r="K168" s="1">
        <v>41051</v>
      </c>
      <c r="L168" s="1">
        <v>220</v>
      </c>
      <c r="M168" s="1">
        <v>106</v>
      </c>
      <c r="N168" s="1">
        <v>5406000</v>
      </c>
      <c r="O168" s="1">
        <v>41051</v>
      </c>
      <c r="P168" s="1">
        <v>0</v>
      </c>
      <c r="Q168" s="1">
        <v>1</v>
      </c>
    </row>
    <row r="169">
      <c r="A169" s="1">
        <v>2016</v>
      </c>
      <c r="B169" s="1">
        <v>49</v>
      </c>
      <c r="C169" s="1">
        <v>35</v>
      </c>
      <c r="D169" t="s">
        <v>37</v>
      </c>
      <c r="E169" t="s">
        <v>154</v>
      </c>
      <c r="F169" s="1">
        <v>49035</v>
      </c>
      <c r="G169" s="1">
        <v>41</v>
      </c>
      <c r="H169" s="1">
        <v>51</v>
      </c>
      <c r="I169" t="s">
        <v>3</v>
      </c>
      <c r="J169" t="s">
        <v>6</v>
      </c>
      <c r="K169" s="1">
        <v>41051</v>
      </c>
      <c r="L169" s="1">
        <v>832</v>
      </c>
      <c r="M169" s="1">
        <v>415</v>
      </c>
      <c r="N169" s="1">
        <v>56058800</v>
      </c>
      <c r="O169" s="1">
        <v>41051</v>
      </c>
      <c r="P169" s="1">
        <v>0</v>
      </c>
      <c r="Q169" s="1">
        <v>1</v>
      </c>
    </row>
    <row r="170">
      <c r="A170" s="1">
        <v>2016</v>
      </c>
      <c r="B170" s="1">
        <v>51</v>
      </c>
      <c r="C170" s="1">
        <v>0</v>
      </c>
      <c r="D170" t="s">
        <v>411</v>
      </c>
      <c r="E170" t="s">
        <v>276</v>
      </c>
      <c r="F170" s="1">
        <v>51000</v>
      </c>
      <c r="G170" s="1">
        <v>41</v>
      </c>
      <c r="H170" s="1">
        <v>51</v>
      </c>
      <c r="I170" t="s">
        <v>3</v>
      </c>
      <c r="J170" t="s">
        <v>6</v>
      </c>
      <c r="K170" s="1">
        <v>41051</v>
      </c>
      <c r="L170" s="1">
        <v>140</v>
      </c>
      <c r="M170" s="1">
        <v>74</v>
      </c>
      <c r="N170" s="1">
        <v>1537500</v>
      </c>
      <c r="O170" s="1">
        <v>41051</v>
      </c>
      <c r="P170" s="1">
        <v>0</v>
      </c>
      <c r="Q170" s="1">
        <v>1</v>
      </c>
    </row>
    <row r="171">
      <c r="A171" s="1">
        <v>2016</v>
      </c>
      <c r="B171" s="1">
        <v>51</v>
      </c>
      <c r="C171" s="1">
        <v>13</v>
      </c>
      <c r="D171" t="s">
        <v>39</v>
      </c>
      <c r="E171" t="s">
        <v>221</v>
      </c>
      <c r="F171" s="1">
        <v>51013</v>
      </c>
      <c r="G171" s="1">
        <v>41</v>
      </c>
      <c r="H171" s="1">
        <v>51</v>
      </c>
      <c r="I171" t="s">
        <v>3</v>
      </c>
      <c r="J171" t="s">
        <v>6</v>
      </c>
      <c r="K171" s="1">
        <v>41051</v>
      </c>
      <c r="L171" s="1">
        <v>63</v>
      </c>
      <c r="M171" s="1">
        <v>64</v>
      </c>
      <c r="N171" s="1">
        <v>9639000</v>
      </c>
      <c r="O171" s="1">
        <v>41051</v>
      </c>
      <c r="P171" s="1">
        <v>0</v>
      </c>
      <c r="Q171" s="1">
        <v>1</v>
      </c>
    </row>
    <row r="172">
      <c r="A172" s="1">
        <v>2016</v>
      </c>
      <c r="B172" s="1">
        <v>51</v>
      </c>
      <c r="C172" s="1">
        <v>510</v>
      </c>
      <c r="D172" t="s">
        <v>39</v>
      </c>
      <c r="E172" t="s">
        <v>334</v>
      </c>
      <c r="F172" s="1">
        <v>51510</v>
      </c>
      <c r="G172" s="1">
        <v>41</v>
      </c>
      <c r="H172" s="1">
        <v>51</v>
      </c>
      <c r="I172" t="s">
        <v>3</v>
      </c>
      <c r="J172" t="s">
        <v>6</v>
      </c>
      <c r="K172" s="1">
        <v>41051</v>
      </c>
      <c r="L172" s="1">
        <v>127</v>
      </c>
      <c r="M172" s="1">
        <v>126</v>
      </c>
      <c r="N172" s="1">
        <v>7239000</v>
      </c>
      <c r="O172" s="1">
        <v>41051</v>
      </c>
      <c r="P172" s="1">
        <v>0</v>
      </c>
      <c r="Q172" s="1">
        <v>1</v>
      </c>
    </row>
    <row r="173">
      <c r="A173" s="1">
        <v>2016</v>
      </c>
      <c r="B173" s="1">
        <v>53</v>
      </c>
      <c r="C173" s="1">
        <v>0</v>
      </c>
      <c r="D173" t="s">
        <v>411</v>
      </c>
      <c r="E173" t="s">
        <v>276</v>
      </c>
      <c r="F173" s="1">
        <v>53000</v>
      </c>
      <c r="G173" s="1">
        <v>41</v>
      </c>
      <c r="H173" s="1">
        <v>51</v>
      </c>
      <c r="I173" t="s">
        <v>3</v>
      </c>
      <c r="J173" t="s">
        <v>6</v>
      </c>
      <c r="K173" s="1">
        <v>41051</v>
      </c>
      <c r="L173" s="1">
        <v>793</v>
      </c>
      <c r="M173" s="1">
        <v>69</v>
      </c>
      <c r="N173" s="1">
        <v>9830200</v>
      </c>
      <c r="O173" s="1">
        <v>41051</v>
      </c>
      <c r="P173" s="1">
        <v>0</v>
      </c>
      <c r="Q173" s="1">
        <v>1</v>
      </c>
    </row>
    <row r="174">
      <c r="A174" s="1">
        <v>2016</v>
      </c>
      <c r="B174" s="1">
        <v>53</v>
      </c>
      <c r="C174" s="1">
        <v>11</v>
      </c>
      <c r="D174" t="s">
        <v>40</v>
      </c>
      <c r="E174" t="s">
        <v>112</v>
      </c>
      <c r="F174" s="1">
        <v>53011</v>
      </c>
      <c r="G174" s="1">
        <v>41</v>
      </c>
      <c r="H174" s="1">
        <v>51</v>
      </c>
      <c r="I174" t="s">
        <v>3</v>
      </c>
      <c r="J174" t="s">
        <v>6</v>
      </c>
      <c r="K174" s="1">
        <v>41051</v>
      </c>
      <c r="L174" s="1">
        <v>2114</v>
      </c>
      <c r="M174" s="1">
        <v>1022</v>
      </c>
      <c r="N174" s="1">
        <v>138079340</v>
      </c>
      <c r="O174" s="1">
        <v>41051</v>
      </c>
      <c r="P174" s="1">
        <v>0</v>
      </c>
      <c r="Q174" s="1">
        <v>1</v>
      </c>
    </row>
    <row r="175">
      <c r="A175" s="1">
        <v>2016</v>
      </c>
      <c r="B175" s="1">
        <v>53</v>
      </c>
      <c r="C175" s="1">
        <v>33</v>
      </c>
      <c r="D175" t="s">
        <v>40</v>
      </c>
      <c r="E175" t="s">
        <v>160</v>
      </c>
      <c r="F175" s="1">
        <v>53033</v>
      </c>
      <c r="G175" s="1">
        <v>41</v>
      </c>
      <c r="H175" s="1">
        <v>51</v>
      </c>
      <c r="I175" t="s">
        <v>3</v>
      </c>
      <c r="J175" t="s">
        <v>6</v>
      </c>
      <c r="K175" s="1">
        <v>41051</v>
      </c>
      <c r="L175" s="1">
        <v>1299</v>
      </c>
      <c r="M175" s="1">
        <v>1045</v>
      </c>
      <c r="N175" s="1">
        <v>42593100</v>
      </c>
      <c r="O175" s="1">
        <v>41051</v>
      </c>
      <c r="P175" s="1">
        <v>0</v>
      </c>
      <c r="Q175" s="1">
        <v>1</v>
      </c>
    </row>
    <row r="176">
      <c r="A176" s="1">
        <v>2016</v>
      </c>
      <c r="B176" s="1">
        <v>53</v>
      </c>
      <c r="C176" s="1">
        <v>53</v>
      </c>
      <c r="D176" t="s">
        <v>40</v>
      </c>
      <c r="E176" t="s">
        <v>165</v>
      </c>
      <c r="F176" s="1">
        <v>53053</v>
      </c>
      <c r="G176" s="1">
        <v>41</v>
      </c>
      <c r="H176" s="1">
        <v>51</v>
      </c>
      <c r="I176" t="s">
        <v>3</v>
      </c>
      <c r="J176" t="s">
        <v>6</v>
      </c>
      <c r="K176" s="1">
        <v>41051</v>
      </c>
      <c r="L176" s="1">
        <v>363</v>
      </c>
      <c r="M176" s="1">
        <v>132</v>
      </c>
      <c r="N176" s="1">
        <v>4894400</v>
      </c>
      <c r="O176" s="1">
        <v>41051</v>
      </c>
      <c r="P176" s="1">
        <v>0</v>
      </c>
      <c r="Q176" s="1">
        <v>1</v>
      </c>
    </row>
    <row r="177">
      <c r="A177" s="1">
        <v>2016</v>
      </c>
      <c r="B177" s="1">
        <v>53</v>
      </c>
      <c r="C177" s="1">
        <v>67</v>
      </c>
      <c r="D177" t="s">
        <v>40</v>
      </c>
      <c r="E177" t="s">
        <v>169</v>
      </c>
      <c r="F177" s="1">
        <v>53067</v>
      </c>
      <c r="G177" s="1">
        <v>41</v>
      </c>
      <c r="H177" s="1">
        <v>51</v>
      </c>
      <c r="I177" t="s">
        <v>3</v>
      </c>
      <c r="J177" t="s">
        <v>6</v>
      </c>
      <c r="K177" s="1">
        <v>41051</v>
      </c>
      <c r="L177" s="1">
        <v>240</v>
      </c>
      <c r="M177" s="1">
        <v>151</v>
      </c>
      <c r="N177" s="1">
        <v>14101152</v>
      </c>
      <c r="O177" s="1">
        <v>41051</v>
      </c>
      <c r="P177" s="1">
        <v>0</v>
      </c>
      <c r="Q177" s="1">
        <v>1</v>
      </c>
    </row>
    <row r="178">
      <c r="A178" s="1">
        <v>2016</v>
      </c>
      <c r="B178" s="1">
        <v>53</v>
      </c>
      <c r="C178" s="1">
        <v>73</v>
      </c>
      <c r="D178" t="s">
        <v>40</v>
      </c>
      <c r="E178" t="s">
        <v>171</v>
      </c>
      <c r="F178" s="1">
        <v>53073</v>
      </c>
      <c r="G178" s="1">
        <v>41</v>
      </c>
      <c r="H178" s="1">
        <v>51</v>
      </c>
      <c r="I178" t="s">
        <v>3</v>
      </c>
      <c r="J178" t="s">
        <v>6</v>
      </c>
      <c r="K178" s="1">
        <v>41051</v>
      </c>
      <c r="L178" s="1">
        <v>53</v>
      </c>
      <c r="M178" s="1">
        <v>53</v>
      </c>
      <c r="N178" s="1">
        <v>2756000</v>
      </c>
      <c r="O178" s="1">
        <v>41051</v>
      </c>
      <c r="P178" s="1">
        <v>0</v>
      </c>
      <c r="Q178" s="1">
        <v>1</v>
      </c>
    </row>
    <row r="179">
      <c r="A179" s="1">
        <v>2016</v>
      </c>
      <c r="B179" s="1">
        <v>53</v>
      </c>
      <c r="C179" s="1">
        <v>77</v>
      </c>
      <c r="D179" t="s">
        <v>40</v>
      </c>
      <c r="E179" t="s">
        <v>172</v>
      </c>
      <c r="F179" s="1">
        <v>53077</v>
      </c>
      <c r="G179" s="1">
        <v>41</v>
      </c>
      <c r="H179" s="1">
        <v>51</v>
      </c>
      <c r="I179" t="s">
        <v>3</v>
      </c>
      <c r="J179" t="s">
        <v>6</v>
      </c>
      <c r="K179" s="1">
        <v>41051</v>
      </c>
      <c r="L179" s="1">
        <v>364</v>
      </c>
      <c r="M179" s="1">
        <v>227</v>
      </c>
      <c r="N179" s="1">
        <v>11640000</v>
      </c>
      <c r="O179" s="1">
        <v>41051</v>
      </c>
      <c r="P179" s="1">
        <v>0</v>
      </c>
      <c r="Q179" s="1">
        <v>1</v>
      </c>
    </row>
    <row r="180">
      <c r="A180" s="1">
        <v>2016</v>
      </c>
      <c r="B180" s="1">
        <v>55</v>
      </c>
      <c r="C180" s="1">
        <v>79</v>
      </c>
      <c r="D180" t="s">
        <v>41</v>
      </c>
      <c r="E180" t="s">
        <v>174</v>
      </c>
      <c r="F180" s="1">
        <v>55079</v>
      </c>
      <c r="G180" s="1">
        <v>41</v>
      </c>
      <c r="H180" s="1">
        <v>51</v>
      </c>
      <c r="I180" t="s">
        <v>3</v>
      </c>
      <c r="J180" t="s">
        <v>6</v>
      </c>
      <c r="K180" s="1">
        <v>41051</v>
      </c>
      <c r="L180" s="1">
        <v>189</v>
      </c>
      <c r="M180" s="1">
        <v>109</v>
      </c>
      <c r="N180" s="1">
        <v>6978000</v>
      </c>
      <c r="O180" s="1">
        <v>41051</v>
      </c>
      <c r="P180" s="1">
        <v>0</v>
      </c>
      <c r="Q180" s="1">
        <v>1</v>
      </c>
    </row>
    <row r="181">
      <c r="A181" s="1">
        <v>2017</v>
      </c>
      <c r="B181" s="1">
        <v>2</v>
      </c>
      <c r="C181" s="1">
        <v>20</v>
      </c>
      <c r="D181" t="s">
        <v>9</v>
      </c>
      <c r="E181" t="s">
        <v>52</v>
      </c>
      <c r="F181" s="1">
        <v>2020</v>
      </c>
      <c r="G181" s="1">
        <v>41</v>
      </c>
      <c r="H181" s="1">
        <v>51</v>
      </c>
      <c r="I181" t="s">
        <v>3</v>
      </c>
      <c r="J181" t="s">
        <v>6</v>
      </c>
      <c r="K181" s="1">
        <v>41051</v>
      </c>
      <c r="L181" s="1">
        <v>104</v>
      </c>
      <c r="M181" s="1">
        <v>104</v>
      </c>
      <c r="N181" s="1">
        <v>10098400</v>
      </c>
      <c r="O181" s="1">
        <v>41051</v>
      </c>
      <c r="P181" s="1">
        <v>0</v>
      </c>
      <c r="Q181" s="1">
        <v>1</v>
      </c>
    </row>
    <row r="182">
      <c r="A182" s="1">
        <v>2017</v>
      </c>
      <c r="B182" s="1">
        <v>4</v>
      </c>
      <c r="C182" s="1">
        <v>0</v>
      </c>
      <c r="D182" t="s">
        <v>411</v>
      </c>
      <c r="E182" t="s">
        <v>276</v>
      </c>
      <c r="F182" s="1">
        <v>4000</v>
      </c>
      <c r="G182" s="1">
        <v>41</v>
      </c>
      <c r="H182" s="1">
        <v>51</v>
      </c>
      <c r="I182" t="s">
        <v>3</v>
      </c>
      <c r="J182" t="s">
        <v>6</v>
      </c>
      <c r="K182" s="1">
        <v>41051</v>
      </c>
      <c r="L182" s="1">
        <v>73</v>
      </c>
      <c r="M182" s="1"/>
      <c r="N182" s="1">
        <v>613200</v>
      </c>
      <c r="O182" s="1">
        <v>41051</v>
      </c>
      <c r="P182" s="1">
        <v>0</v>
      </c>
      <c r="Q182" s="1">
        <v>1</v>
      </c>
    </row>
    <row r="183">
      <c r="A183" s="1">
        <v>2017</v>
      </c>
      <c r="B183" s="1">
        <v>4</v>
      </c>
      <c r="C183" s="1">
        <v>5</v>
      </c>
      <c r="D183" t="s">
        <v>10</v>
      </c>
      <c r="E183" t="s">
        <v>175</v>
      </c>
      <c r="F183" s="1">
        <v>4005</v>
      </c>
      <c r="G183" s="1">
        <v>41</v>
      </c>
      <c r="H183" s="1">
        <v>51</v>
      </c>
      <c r="I183" t="s">
        <v>3</v>
      </c>
      <c r="J183" t="s">
        <v>6</v>
      </c>
      <c r="K183" s="1">
        <v>41051</v>
      </c>
      <c r="L183" s="1">
        <v>242</v>
      </c>
      <c r="M183" s="1"/>
      <c r="N183" s="1">
        <v>12826000</v>
      </c>
      <c r="O183" s="1">
        <v>41051</v>
      </c>
      <c r="P183" s="1">
        <v>0</v>
      </c>
      <c r="Q183" s="1">
        <v>1</v>
      </c>
    </row>
    <row r="184">
      <c r="A184" s="1">
        <v>2017</v>
      </c>
      <c r="B184" s="1">
        <v>4</v>
      </c>
      <c r="C184" s="1">
        <v>13</v>
      </c>
      <c r="D184" t="s">
        <v>10</v>
      </c>
      <c r="E184" t="s">
        <v>53</v>
      </c>
      <c r="F184" s="1">
        <v>4013</v>
      </c>
      <c r="G184" s="1">
        <v>41</v>
      </c>
      <c r="H184" s="1">
        <v>51</v>
      </c>
      <c r="I184" t="s">
        <v>3</v>
      </c>
      <c r="J184" t="s">
        <v>6</v>
      </c>
      <c r="K184" s="1">
        <v>41051</v>
      </c>
      <c r="L184" s="1">
        <v>544</v>
      </c>
      <c r="M184" s="1">
        <v>241</v>
      </c>
      <c r="N184" s="1">
        <v>15248500</v>
      </c>
      <c r="O184" s="1">
        <v>41051</v>
      </c>
      <c r="P184" s="1">
        <v>0</v>
      </c>
      <c r="Q184" s="1">
        <v>1</v>
      </c>
    </row>
    <row r="185">
      <c r="A185" s="1">
        <v>2017</v>
      </c>
      <c r="B185" s="1">
        <v>4</v>
      </c>
      <c r="C185" s="1">
        <v>19</v>
      </c>
      <c r="D185" t="s">
        <v>10</v>
      </c>
      <c r="E185" t="s">
        <v>54</v>
      </c>
      <c r="F185" s="1">
        <v>4019</v>
      </c>
      <c r="G185" s="1">
        <v>41</v>
      </c>
      <c r="H185" s="1">
        <v>51</v>
      </c>
      <c r="I185" t="s">
        <v>3</v>
      </c>
      <c r="J185" t="s">
        <v>6</v>
      </c>
      <c r="K185" s="1">
        <v>41051</v>
      </c>
      <c r="L185" s="1">
        <v>716</v>
      </c>
      <c r="M185" s="1">
        <v>622</v>
      </c>
      <c r="N185" s="1">
        <v>31243400</v>
      </c>
      <c r="O185" s="1">
        <v>41051</v>
      </c>
      <c r="P185" s="1">
        <v>0</v>
      </c>
      <c r="Q185" s="1">
        <v>1</v>
      </c>
    </row>
    <row r="186">
      <c r="A186" s="1">
        <v>2017</v>
      </c>
      <c r="B186" s="1">
        <v>4</v>
      </c>
      <c r="C186" s="1">
        <v>25</v>
      </c>
      <c r="D186" t="s">
        <v>10</v>
      </c>
      <c r="E186" t="s">
        <v>176</v>
      </c>
      <c r="F186" s="1">
        <v>4025</v>
      </c>
      <c r="G186" s="1">
        <v>41</v>
      </c>
      <c r="H186" s="1">
        <v>51</v>
      </c>
      <c r="I186" t="s">
        <v>3</v>
      </c>
      <c r="J186" t="s">
        <v>6</v>
      </c>
      <c r="K186" s="1">
        <v>41051</v>
      </c>
      <c r="L186" s="1">
        <v>254</v>
      </c>
      <c r="M186" s="1">
        <v>72</v>
      </c>
      <c r="N186" s="1">
        <v>4240600</v>
      </c>
      <c r="O186" s="1">
        <v>41051</v>
      </c>
      <c r="P186" s="1">
        <v>0</v>
      </c>
      <c r="Q186" s="1">
        <v>1</v>
      </c>
    </row>
    <row r="187">
      <c r="A187" s="1">
        <v>2017</v>
      </c>
      <c r="B187" s="1">
        <v>4</v>
      </c>
      <c r="C187" s="1">
        <v>27</v>
      </c>
      <c r="D187" t="s">
        <v>10</v>
      </c>
      <c r="E187" t="s">
        <v>240</v>
      </c>
      <c r="F187" s="1">
        <v>4027</v>
      </c>
      <c r="G187" s="1">
        <v>41</v>
      </c>
      <c r="H187" s="1">
        <v>51</v>
      </c>
      <c r="I187" t="s">
        <v>3</v>
      </c>
      <c r="J187" t="s">
        <v>6</v>
      </c>
      <c r="K187" s="1">
        <v>41051</v>
      </c>
      <c r="L187" s="1">
        <v>158</v>
      </c>
      <c r="M187" s="1"/>
      <c r="N187" s="1">
        <v>1898020</v>
      </c>
      <c r="O187" s="1">
        <v>41051</v>
      </c>
      <c r="P187" s="1">
        <v>0</v>
      </c>
      <c r="Q187" s="1">
        <v>1</v>
      </c>
    </row>
    <row r="188">
      <c r="A188" s="1">
        <v>2017</v>
      </c>
      <c r="B188" s="1">
        <v>6</v>
      </c>
      <c r="C188" s="1">
        <v>0</v>
      </c>
      <c r="D188" t="s">
        <v>411</v>
      </c>
      <c r="E188" t="s">
        <v>276</v>
      </c>
      <c r="F188" s="1">
        <v>6000</v>
      </c>
      <c r="G188" s="1">
        <v>41</v>
      </c>
      <c r="H188" s="1">
        <v>51</v>
      </c>
      <c r="I188" t="s">
        <v>3</v>
      </c>
      <c r="J188" t="s">
        <v>6</v>
      </c>
      <c r="K188" s="1">
        <v>41051</v>
      </c>
      <c r="L188" s="1">
        <v>51</v>
      </c>
      <c r="M188" s="1">
        <v>51</v>
      </c>
      <c r="N188" s="1">
        <v>382500</v>
      </c>
      <c r="O188" s="1">
        <v>41051</v>
      </c>
      <c r="P188" s="1">
        <v>0</v>
      </c>
      <c r="Q188" s="1">
        <v>1</v>
      </c>
    </row>
    <row r="189">
      <c r="A189" s="1">
        <v>2017</v>
      </c>
      <c r="B189" s="1">
        <v>6</v>
      </c>
      <c r="C189" s="1">
        <v>1</v>
      </c>
      <c r="D189" t="s">
        <v>11</v>
      </c>
      <c r="E189" t="s">
        <v>56</v>
      </c>
      <c r="F189" s="1">
        <v>6001</v>
      </c>
      <c r="G189" s="1">
        <v>41</v>
      </c>
      <c r="H189" s="1">
        <v>51</v>
      </c>
      <c r="I189" t="s">
        <v>3</v>
      </c>
      <c r="J189" t="s">
        <v>6</v>
      </c>
      <c r="K189" s="1">
        <v>41051</v>
      </c>
      <c r="L189" s="1">
        <v>1205</v>
      </c>
      <c r="M189" s="1">
        <v>705</v>
      </c>
      <c r="N189" s="1">
        <v>57599080</v>
      </c>
      <c r="O189" s="1">
        <v>41051</v>
      </c>
      <c r="P189" s="1">
        <v>0</v>
      </c>
      <c r="Q189" s="1">
        <v>1</v>
      </c>
    </row>
    <row r="190">
      <c r="A190" s="1">
        <v>2017</v>
      </c>
      <c r="B190" s="1">
        <v>6</v>
      </c>
      <c r="C190" s="1">
        <v>37</v>
      </c>
      <c r="D190" t="s">
        <v>11</v>
      </c>
      <c r="E190" t="s">
        <v>61</v>
      </c>
      <c r="F190" s="1">
        <v>6037</v>
      </c>
      <c r="G190" s="1">
        <v>41</v>
      </c>
      <c r="H190" s="1">
        <v>51</v>
      </c>
      <c r="I190" t="s">
        <v>3</v>
      </c>
      <c r="J190" t="s">
        <v>6</v>
      </c>
      <c r="K190" s="1">
        <v>41051</v>
      </c>
      <c r="L190" s="1">
        <v>2250</v>
      </c>
      <c r="M190" s="1">
        <v>1135</v>
      </c>
      <c r="N190" s="1">
        <v>119307230</v>
      </c>
      <c r="O190" s="1">
        <v>41051</v>
      </c>
      <c r="P190" s="1">
        <v>0</v>
      </c>
      <c r="Q190" s="1">
        <v>1</v>
      </c>
    </row>
    <row r="191">
      <c r="A191" s="1">
        <v>2017</v>
      </c>
      <c r="B191" s="1">
        <v>6</v>
      </c>
      <c r="C191" s="1">
        <v>41</v>
      </c>
      <c r="D191" t="s">
        <v>11</v>
      </c>
      <c r="E191" t="s">
        <v>62</v>
      </c>
      <c r="F191" s="1">
        <v>6041</v>
      </c>
      <c r="G191" s="1">
        <v>41</v>
      </c>
      <c r="H191" s="1">
        <v>51</v>
      </c>
      <c r="I191" t="s">
        <v>3</v>
      </c>
      <c r="J191" t="s">
        <v>6</v>
      </c>
      <c r="K191" s="1">
        <v>41051</v>
      </c>
      <c r="L191" s="1">
        <v>140</v>
      </c>
      <c r="M191" s="1">
        <v>139</v>
      </c>
      <c r="N191" s="1">
        <v>9968000</v>
      </c>
      <c r="O191" s="1">
        <v>41051</v>
      </c>
      <c r="P191" s="1">
        <v>0</v>
      </c>
      <c r="Q191" s="1">
        <v>1</v>
      </c>
    </row>
    <row r="192">
      <c r="A192" s="1">
        <v>2017</v>
      </c>
      <c r="B192" s="1">
        <v>6</v>
      </c>
      <c r="C192" s="1">
        <v>59</v>
      </c>
      <c r="D192" t="s">
        <v>11</v>
      </c>
      <c r="E192" t="s">
        <v>64</v>
      </c>
      <c r="F192" s="1">
        <v>6059</v>
      </c>
      <c r="G192" s="1">
        <v>41</v>
      </c>
      <c r="H192" s="1">
        <v>51</v>
      </c>
      <c r="I192" t="s">
        <v>3</v>
      </c>
      <c r="J192" t="s">
        <v>6</v>
      </c>
      <c r="K192" s="1">
        <v>41051</v>
      </c>
      <c r="L192" s="1">
        <v>289</v>
      </c>
      <c r="M192" s="1">
        <v>150</v>
      </c>
      <c r="N192" s="1">
        <v>22589000</v>
      </c>
      <c r="O192" s="1">
        <v>41051</v>
      </c>
      <c r="P192" s="1">
        <v>0</v>
      </c>
      <c r="Q192" s="1">
        <v>1</v>
      </c>
    </row>
    <row r="193">
      <c r="A193" s="1">
        <v>2017</v>
      </c>
      <c r="B193" s="1">
        <v>6</v>
      </c>
      <c r="C193" s="1">
        <v>71</v>
      </c>
      <c r="D193" t="s">
        <v>11</v>
      </c>
      <c r="E193" t="s">
        <v>68</v>
      </c>
      <c r="F193" s="1">
        <v>6071</v>
      </c>
      <c r="G193" s="1">
        <v>41</v>
      </c>
      <c r="H193" s="1">
        <v>51</v>
      </c>
      <c r="I193" t="s">
        <v>3</v>
      </c>
      <c r="J193" t="s">
        <v>6</v>
      </c>
      <c r="K193" s="1">
        <v>41051</v>
      </c>
      <c r="L193" s="1">
        <v>119</v>
      </c>
      <c r="M193" s="1"/>
      <c r="N193" s="1">
        <v>1498800</v>
      </c>
      <c r="O193" s="1">
        <v>41051</v>
      </c>
      <c r="P193" s="1">
        <v>0</v>
      </c>
      <c r="Q193" s="1">
        <v>1</v>
      </c>
    </row>
    <row r="194">
      <c r="A194" s="1">
        <v>2017</v>
      </c>
      <c r="B194" s="1">
        <v>6</v>
      </c>
      <c r="C194" s="1">
        <v>73</v>
      </c>
      <c r="D194" t="s">
        <v>11</v>
      </c>
      <c r="E194" t="s">
        <v>69</v>
      </c>
      <c r="F194" s="1">
        <v>6073</v>
      </c>
      <c r="G194" s="1">
        <v>41</v>
      </c>
      <c r="H194" s="1">
        <v>51</v>
      </c>
      <c r="I194" t="s">
        <v>3</v>
      </c>
      <c r="J194" t="s">
        <v>6</v>
      </c>
      <c r="K194" s="1">
        <v>41051</v>
      </c>
      <c r="L194" s="1">
        <v>931</v>
      </c>
      <c r="M194" s="1">
        <v>327</v>
      </c>
      <c r="N194" s="1">
        <v>16708200</v>
      </c>
      <c r="O194" s="1">
        <v>41051</v>
      </c>
      <c r="P194" s="1">
        <v>0</v>
      </c>
      <c r="Q194" s="1">
        <v>1</v>
      </c>
    </row>
    <row r="195">
      <c r="A195" s="1">
        <v>2017</v>
      </c>
      <c r="B195" s="1">
        <v>6</v>
      </c>
      <c r="C195" s="1">
        <v>75</v>
      </c>
      <c r="D195" t="s">
        <v>11</v>
      </c>
      <c r="E195" t="s">
        <v>70</v>
      </c>
      <c r="F195" s="1">
        <v>6075</v>
      </c>
      <c r="G195" s="1">
        <v>41</v>
      </c>
      <c r="H195" s="1">
        <v>51</v>
      </c>
      <c r="I195" t="s">
        <v>3</v>
      </c>
      <c r="J195" t="s">
        <v>6</v>
      </c>
      <c r="K195" s="1">
        <v>41051</v>
      </c>
      <c r="L195" s="1">
        <v>1395</v>
      </c>
      <c r="M195" s="1">
        <v>1260</v>
      </c>
      <c r="N195" s="1">
        <v>117290000</v>
      </c>
      <c r="O195" s="1">
        <v>41051</v>
      </c>
      <c r="P195" s="1">
        <v>0</v>
      </c>
      <c r="Q195" s="1">
        <v>1</v>
      </c>
    </row>
    <row r="196">
      <c r="A196" s="1">
        <v>2017</v>
      </c>
      <c r="B196" s="1">
        <v>6</v>
      </c>
      <c r="C196" s="1">
        <v>77</v>
      </c>
      <c r="D196" t="s">
        <v>11</v>
      </c>
      <c r="E196" t="s">
        <v>179</v>
      </c>
      <c r="F196" s="1">
        <v>6077</v>
      </c>
      <c r="G196" s="1">
        <v>41</v>
      </c>
      <c r="H196" s="1">
        <v>51</v>
      </c>
      <c r="I196" t="s">
        <v>3</v>
      </c>
      <c r="J196" t="s">
        <v>6</v>
      </c>
      <c r="K196" s="1">
        <v>41051</v>
      </c>
      <c r="L196" s="1">
        <v>86</v>
      </c>
      <c r="M196" s="1">
        <v>85</v>
      </c>
      <c r="N196" s="1">
        <v>1806000</v>
      </c>
      <c r="O196" s="1">
        <v>41051</v>
      </c>
      <c r="P196" s="1">
        <v>0</v>
      </c>
      <c r="Q196" s="1">
        <v>1</v>
      </c>
    </row>
    <row r="197">
      <c r="A197" s="1">
        <v>2017</v>
      </c>
      <c r="B197" s="1">
        <v>6</v>
      </c>
      <c r="C197" s="1">
        <v>81</v>
      </c>
      <c r="D197" t="s">
        <v>11</v>
      </c>
      <c r="E197" t="s">
        <v>72</v>
      </c>
      <c r="F197" s="1">
        <v>6081</v>
      </c>
      <c r="G197" s="1">
        <v>41</v>
      </c>
      <c r="H197" s="1">
        <v>51</v>
      </c>
      <c r="I197" t="s">
        <v>3</v>
      </c>
      <c r="J197" t="s">
        <v>6</v>
      </c>
      <c r="K197" s="1">
        <v>41051</v>
      </c>
      <c r="L197" s="1">
        <v>478</v>
      </c>
      <c r="M197" s="1">
        <v>114</v>
      </c>
      <c r="N197" s="1">
        <v>12280500</v>
      </c>
      <c r="O197" s="1">
        <v>41051</v>
      </c>
      <c r="P197" s="1">
        <v>0</v>
      </c>
      <c r="Q197" s="1">
        <v>1</v>
      </c>
    </row>
    <row r="198">
      <c r="A198" s="1">
        <v>2017</v>
      </c>
      <c r="B198" s="1">
        <v>6</v>
      </c>
      <c r="C198" s="1">
        <v>85</v>
      </c>
      <c r="D198" t="s">
        <v>11</v>
      </c>
      <c r="E198" t="s">
        <v>74</v>
      </c>
      <c r="F198" s="1">
        <v>6085</v>
      </c>
      <c r="G198" s="1">
        <v>41</v>
      </c>
      <c r="H198" s="1">
        <v>51</v>
      </c>
      <c r="I198" t="s">
        <v>3</v>
      </c>
      <c r="J198" t="s">
        <v>6</v>
      </c>
      <c r="K198" s="1">
        <v>41051</v>
      </c>
      <c r="L198" s="1">
        <v>429</v>
      </c>
      <c r="M198" s="1">
        <v>368</v>
      </c>
      <c r="N198" s="1">
        <v>45680400</v>
      </c>
      <c r="O198" s="1">
        <v>41051</v>
      </c>
      <c r="P198" s="1">
        <v>0</v>
      </c>
      <c r="Q198" s="1">
        <v>1</v>
      </c>
    </row>
    <row r="199">
      <c r="A199" s="1">
        <v>2017</v>
      </c>
      <c r="B199" s="1">
        <v>6</v>
      </c>
      <c r="C199" s="1">
        <v>87</v>
      </c>
      <c r="D199" t="s">
        <v>11</v>
      </c>
      <c r="E199" t="s">
        <v>75</v>
      </c>
      <c r="F199" s="1">
        <v>6087</v>
      </c>
      <c r="G199" s="1">
        <v>41</v>
      </c>
      <c r="H199" s="1">
        <v>51</v>
      </c>
      <c r="I199" t="s">
        <v>3</v>
      </c>
      <c r="J199" t="s">
        <v>6</v>
      </c>
      <c r="K199" s="1">
        <v>41051</v>
      </c>
      <c r="L199" s="1">
        <v>75</v>
      </c>
      <c r="M199" s="1">
        <v>74</v>
      </c>
      <c r="N199" s="1">
        <v>3690000</v>
      </c>
      <c r="O199" s="1">
        <v>41051</v>
      </c>
      <c r="P199" s="1">
        <v>0</v>
      </c>
      <c r="Q199" s="1">
        <v>1</v>
      </c>
    </row>
    <row r="200">
      <c r="A200" s="1">
        <v>2017</v>
      </c>
      <c r="B200" s="1">
        <v>6</v>
      </c>
      <c r="C200" s="1">
        <v>89</v>
      </c>
      <c r="D200" t="s">
        <v>11</v>
      </c>
      <c r="E200" t="s">
        <v>76</v>
      </c>
      <c r="F200" s="1">
        <v>6089</v>
      </c>
      <c r="G200" s="1">
        <v>41</v>
      </c>
      <c r="H200" s="1">
        <v>51</v>
      </c>
      <c r="I200" t="s">
        <v>3</v>
      </c>
      <c r="J200" t="s">
        <v>6</v>
      </c>
      <c r="K200" s="1">
        <v>41051</v>
      </c>
      <c r="L200" s="1">
        <v>254</v>
      </c>
      <c r="M200" s="1">
        <v>127</v>
      </c>
      <c r="N200" s="1">
        <v>6556000</v>
      </c>
      <c r="O200" s="1">
        <v>41051</v>
      </c>
      <c r="P200" s="1">
        <v>0</v>
      </c>
      <c r="Q200" s="1">
        <v>1</v>
      </c>
    </row>
    <row r="201">
      <c r="A201" s="1">
        <v>2017</v>
      </c>
      <c r="B201" s="1">
        <v>6</v>
      </c>
      <c r="C201" s="1">
        <v>95</v>
      </c>
      <c r="D201" t="s">
        <v>11</v>
      </c>
      <c r="E201" t="s">
        <v>180</v>
      </c>
      <c r="F201" s="1">
        <v>6095</v>
      </c>
      <c r="G201" s="1">
        <v>41</v>
      </c>
      <c r="H201" s="1">
        <v>51</v>
      </c>
      <c r="I201" t="s">
        <v>3</v>
      </c>
      <c r="J201" t="s">
        <v>6</v>
      </c>
      <c r="K201" s="1">
        <v>41051</v>
      </c>
      <c r="L201" s="1">
        <v>198</v>
      </c>
      <c r="M201" s="1">
        <v>198</v>
      </c>
      <c r="N201" s="1">
        <v>13860000</v>
      </c>
      <c r="O201" s="1">
        <v>41051</v>
      </c>
      <c r="P201" s="1">
        <v>0</v>
      </c>
      <c r="Q201" s="1">
        <v>1</v>
      </c>
    </row>
    <row r="202">
      <c r="A202" s="1">
        <v>2017</v>
      </c>
      <c r="B202" s="1">
        <v>6</v>
      </c>
      <c r="C202" s="1">
        <v>107</v>
      </c>
      <c r="D202" t="s">
        <v>11</v>
      </c>
      <c r="E202" t="s">
        <v>365</v>
      </c>
      <c r="F202" s="1">
        <v>6107</v>
      </c>
      <c r="G202" s="1">
        <v>41</v>
      </c>
      <c r="H202" s="1">
        <v>51</v>
      </c>
      <c r="I202" t="s">
        <v>3</v>
      </c>
      <c r="J202" t="s">
        <v>6</v>
      </c>
      <c r="K202" s="1">
        <v>41051</v>
      </c>
      <c r="L202" s="1">
        <v>155</v>
      </c>
      <c r="M202" s="1">
        <v>78</v>
      </c>
      <c r="N202" s="1">
        <v>8890000</v>
      </c>
      <c r="O202" s="1">
        <v>41051</v>
      </c>
      <c r="P202" s="1">
        <v>0</v>
      </c>
      <c r="Q202" s="1">
        <v>1</v>
      </c>
    </row>
    <row r="203">
      <c r="A203" s="1">
        <v>2017</v>
      </c>
      <c r="B203" s="1">
        <v>6</v>
      </c>
      <c r="C203" s="1">
        <v>113</v>
      </c>
      <c r="D203" t="s">
        <v>11</v>
      </c>
      <c r="E203" t="s">
        <v>181</v>
      </c>
      <c r="F203" s="1">
        <v>6113</v>
      </c>
      <c r="G203" s="1">
        <v>41</v>
      </c>
      <c r="H203" s="1">
        <v>51</v>
      </c>
      <c r="I203" t="s">
        <v>3</v>
      </c>
      <c r="J203" t="s">
        <v>6</v>
      </c>
      <c r="K203" s="1">
        <v>41051</v>
      </c>
      <c r="L203" s="1">
        <v>294</v>
      </c>
      <c r="M203" s="1">
        <v>102</v>
      </c>
      <c r="N203" s="1">
        <v>443900</v>
      </c>
      <c r="O203" s="1">
        <v>41051</v>
      </c>
      <c r="P203" s="1">
        <v>0</v>
      </c>
      <c r="Q203" s="1">
        <v>1</v>
      </c>
    </row>
    <row r="204">
      <c r="A204" s="1">
        <v>2017</v>
      </c>
      <c r="B204" s="1">
        <v>8</v>
      </c>
      <c r="C204" s="1">
        <v>69</v>
      </c>
      <c r="D204" t="s">
        <v>12</v>
      </c>
      <c r="E204" t="s">
        <v>84</v>
      </c>
      <c r="F204" s="1">
        <v>8069</v>
      </c>
      <c r="G204" s="1">
        <v>41</v>
      </c>
      <c r="H204" s="1">
        <v>51</v>
      </c>
      <c r="I204" t="s">
        <v>3</v>
      </c>
      <c r="J204" t="s">
        <v>6</v>
      </c>
      <c r="K204" s="1">
        <v>41051</v>
      </c>
      <c r="L204" s="1">
        <v>219</v>
      </c>
      <c r="M204" s="1">
        <v>106</v>
      </c>
      <c r="N204" s="1">
        <v>8267500</v>
      </c>
      <c r="O204" s="1">
        <v>41051</v>
      </c>
      <c r="P204" s="1">
        <v>0</v>
      </c>
      <c r="Q204" s="1">
        <v>1</v>
      </c>
    </row>
    <row r="205">
      <c r="A205" s="1">
        <v>2017</v>
      </c>
      <c r="B205" s="1">
        <v>9</v>
      </c>
      <c r="C205" s="1">
        <v>3</v>
      </c>
      <c r="D205" t="s">
        <v>13</v>
      </c>
      <c r="E205" t="s">
        <v>182</v>
      </c>
      <c r="F205" s="1">
        <v>9003</v>
      </c>
      <c r="G205" s="1">
        <v>41</v>
      </c>
      <c r="H205" s="1">
        <v>51</v>
      </c>
      <c r="I205" t="s">
        <v>3</v>
      </c>
      <c r="J205" t="s">
        <v>6</v>
      </c>
      <c r="K205" s="1">
        <v>41051</v>
      </c>
      <c r="L205" s="1">
        <v>216</v>
      </c>
      <c r="M205" s="1">
        <v>216</v>
      </c>
      <c r="N205" s="1">
        <v>25200000</v>
      </c>
      <c r="O205" s="1">
        <v>41051</v>
      </c>
      <c r="P205" s="1">
        <v>0</v>
      </c>
      <c r="Q205" s="1">
        <v>1</v>
      </c>
    </row>
    <row r="206">
      <c r="A206" s="1">
        <v>2017</v>
      </c>
      <c r="B206" s="1">
        <v>12</v>
      </c>
      <c r="C206" s="1">
        <v>0</v>
      </c>
      <c r="D206" t="s">
        <v>411</v>
      </c>
      <c r="E206" t="s">
        <v>276</v>
      </c>
      <c r="F206" s="1">
        <v>12000</v>
      </c>
      <c r="G206" s="1">
        <v>41</v>
      </c>
      <c r="H206" s="1">
        <v>51</v>
      </c>
      <c r="I206" t="s">
        <v>3</v>
      </c>
      <c r="J206" t="s">
        <v>6</v>
      </c>
      <c r="K206" s="1">
        <v>41051</v>
      </c>
      <c r="L206" s="1">
        <v>421</v>
      </c>
      <c r="M206" s="1">
        <v>155</v>
      </c>
      <c r="N206" s="1">
        <v>10323500</v>
      </c>
      <c r="O206" s="1">
        <v>41051</v>
      </c>
      <c r="P206" s="1">
        <v>0</v>
      </c>
      <c r="Q206" s="1">
        <v>1</v>
      </c>
    </row>
    <row r="207">
      <c r="A207" s="1">
        <v>2017</v>
      </c>
      <c r="B207" s="1">
        <v>12</v>
      </c>
      <c r="C207" s="1">
        <v>11</v>
      </c>
      <c r="D207" t="s">
        <v>15</v>
      </c>
      <c r="E207" t="s">
        <v>183</v>
      </c>
      <c r="F207" s="1">
        <v>12011</v>
      </c>
      <c r="G207" s="1">
        <v>41</v>
      </c>
      <c r="H207" s="1">
        <v>51</v>
      </c>
      <c r="I207" t="s">
        <v>3</v>
      </c>
      <c r="J207" t="s">
        <v>6</v>
      </c>
      <c r="K207" s="1">
        <v>41051</v>
      </c>
      <c r="L207" s="1">
        <v>133</v>
      </c>
      <c r="M207" s="1">
        <v>134</v>
      </c>
      <c r="N207" s="1">
        <v>199500</v>
      </c>
      <c r="O207" s="1">
        <v>41051</v>
      </c>
      <c r="P207" s="1">
        <v>0</v>
      </c>
      <c r="Q207" s="1">
        <v>1</v>
      </c>
    </row>
    <row r="208">
      <c r="A208" s="1">
        <v>2017</v>
      </c>
      <c r="B208" s="1">
        <v>12</v>
      </c>
      <c r="C208" s="1">
        <v>99</v>
      </c>
      <c r="D208" t="s">
        <v>15</v>
      </c>
      <c r="E208" t="s">
        <v>88</v>
      </c>
      <c r="F208" s="1">
        <v>12099</v>
      </c>
      <c r="G208" s="1">
        <v>41</v>
      </c>
      <c r="H208" s="1">
        <v>51</v>
      </c>
      <c r="I208" t="s">
        <v>3</v>
      </c>
      <c r="J208" t="s">
        <v>6</v>
      </c>
      <c r="K208" s="1">
        <v>41051</v>
      </c>
      <c r="L208" s="1">
        <v>175</v>
      </c>
      <c r="M208" s="1"/>
      <c r="N208" s="1">
        <v>595000</v>
      </c>
      <c r="O208" s="1">
        <v>41051</v>
      </c>
      <c r="P208" s="1">
        <v>0</v>
      </c>
      <c r="Q208" s="1">
        <v>1</v>
      </c>
    </row>
    <row r="209">
      <c r="A209" s="1">
        <v>2017</v>
      </c>
      <c r="B209" s="1">
        <v>13</v>
      </c>
      <c r="C209" s="1">
        <v>0</v>
      </c>
      <c r="D209" t="s">
        <v>411</v>
      </c>
      <c r="E209" t="s">
        <v>276</v>
      </c>
      <c r="F209" s="1">
        <v>13000</v>
      </c>
      <c r="G209" s="1">
        <v>41</v>
      </c>
      <c r="H209" s="1">
        <v>51</v>
      </c>
      <c r="I209" t="s">
        <v>3</v>
      </c>
      <c r="J209" t="s">
        <v>6</v>
      </c>
      <c r="K209" s="1">
        <v>41051</v>
      </c>
      <c r="L209" s="1">
        <v>117</v>
      </c>
      <c r="M209" s="1">
        <v>59</v>
      </c>
      <c r="N209" s="1">
        <v>11210000</v>
      </c>
      <c r="O209" s="1">
        <v>41051</v>
      </c>
      <c r="P209" s="1">
        <v>0</v>
      </c>
      <c r="Q209" s="1">
        <v>1</v>
      </c>
    </row>
    <row r="210">
      <c r="A210" s="1">
        <v>2017</v>
      </c>
      <c r="B210" s="1">
        <v>15</v>
      </c>
      <c r="C210" s="1">
        <v>0</v>
      </c>
      <c r="D210" t="s">
        <v>411</v>
      </c>
      <c r="E210" t="s">
        <v>276</v>
      </c>
      <c r="F210" s="1">
        <v>15000</v>
      </c>
      <c r="G210" s="1">
        <v>41</v>
      </c>
      <c r="H210" s="1">
        <v>51</v>
      </c>
      <c r="I210" t="s">
        <v>3</v>
      </c>
      <c r="J210" t="s">
        <v>6</v>
      </c>
      <c r="K210" s="1">
        <v>41051</v>
      </c>
      <c r="L210" s="1">
        <v>102</v>
      </c>
      <c r="M210" s="1">
        <v>103</v>
      </c>
      <c r="N210" s="1">
        <v>2376600</v>
      </c>
      <c r="O210" s="1">
        <v>41051</v>
      </c>
      <c r="P210" s="1">
        <v>0</v>
      </c>
      <c r="Q210" s="1">
        <v>1</v>
      </c>
    </row>
    <row r="211">
      <c r="A211" s="1">
        <v>2017</v>
      </c>
      <c r="B211" s="1">
        <v>15</v>
      </c>
      <c r="C211" s="1">
        <v>3</v>
      </c>
      <c r="D211" t="s">
        <v>17</v>
      </c>
      <c r="E211" t="s">
        <v>93</v>
      </c>
      <c r="F211" s="1">
        <v>15003</v>
      </c>
      <c r="G211" s="1">
        <v>41</v>
      </c>
      <c r="H211" s="1">
        <v>51</v>
      </c>
      <c r="I211" t="s">
        <v>3</v>
      </c>
      <c r="J211" t="s">
        <v>6</v>
      </c>
      <c r="K211" s="1">
        <v>41051</v>
      </c>
      <c r="L211" s="1">
        <v>61</v>
      </c>
      <c r="M211" s="1">
        <v>61</v>
      </c>
      <c r="N211" s="1">
        <v>793000</v>
      </c>
      <c r="O211" s="1">
        <v>41051</v>
      </c>
      <c r="P211" s="1">
        <v>0</v>
      </c>
      <c r="Q211" s="1">
        <v>1</v>
      </c>
    </row>
    <row r="212">
      <c r="A212" s="1">
        <v>2017</v>
      </c>
      <c r="B212" s="1">
        <v>16</v>
      </c>
      <c r="C212" s="1">
        <v>0</v>
      </c>
      <c r="D212" t="s">
        <v>411</v>
      </c>
      <c r="E212" t="s">
        <v>276</v>
      </c>
      <c r="F212" s="1">
        <v>16000</v>
      </c>
      <c r="G212" s="1">
        <v>41</v>
      </c>
      <c r="H212" s="1">
        <v>51</v>
      </c>
      <c r="I212" t="s">
        <v>3</v>
      </c>
      <c r="J212" t="s">
        <v>6</v>
      </c>
      <c r="K212" s="1">
        <v>41051</v>
      </c>
      <c r="L212" s="1">
        <v>293</v>
      </c>
      <c r="M212" s="1">
        <v>118</v>
      </c>
      <c r="N212" s="1">
        <v>16415000</v>
      </c>
      <c r="O212" s="1">
        <v>41051</v>
      </c>
      <c r="P212" s="1">
        <v>0</v>
      </c>
      <c r="Q212" s="1">
        <v>1</v>
      </c>
    </row>
    <row r="213">
      <c r="A213" s="1">
        <v>2017</v>
      </c>
      <c r="B213" s="1">
        <v>17</v>
      </c>
      <c r="C213" s="1">
        <v>0</v>
      </c>
      <c r="D213" t="s">
        <v>411</v>
      </c>
      <c r="E213" t="s">
        <v>276</v>
      </c>
      <c r="F213" s="1">
        <v>17000</v>
      </c>
      <c r="G213" s="1">
        <v>41</v>
      </c>
      <c r="H213" s="1">
        <v>51</v>
      </c>
      <c r="I213" t="s">
        <v>3</v>
      </c>
      <c r="J213" t="s">
        <v>6</v>
      </c>
      <c r="K213" s="1">
        <v>41051</v>
      </c>
      <c r="L213" s="1">
        <v>424</v>
      </c>
      <c r="M213" s="1"/>
      <c r="N213" s="1">
        <v>5240000</v>
      </c>
      <c r="O213" s="1">
        <v>41051</v>
      </c>
      <c r="P213" s="1">
        <v>0</v>
      </c>
      <c r="Q213" s="1">
        <v>1</v>
      </c>
    </row>
    <row r="214">
      <c r="A214" s="1">
        <v>2017</v>
      </c>
      <c r="B214" s="1">
        <v>17</v>
      </c>
      <c r="C214" s="1">
        <v>31</v>
      </c>
      <c r="D214" t="s">
        <v>19</v>
      </c>
      <c r="E214" t="s">
        <v>98</v>
      </c>
      <c r="F214" s="1">
        <v>17031</v>
      </c>
      <c r="G214" s="1">
        <v>41</v>
      </c>
      <c r="H214" s="1">
        <v>51</v>
      </c>
      <c r="I214" t="s">
        <v>3</v>
      </c>
      <c r="J214" t="s">
        <v>6</v>
      </c>
      <c r="K214" s="1">
        <v>41051</v>
      </c>
      <c r="L214" s="1">
        <v>394</v>
      </c>
      <c r="M214" s="1">
        <v>176</v>
      </c>
      <c r="N214" s="1">
        <v>20336600</v>
      </c>
      <c r="O214" s="1">
        <v>41051</v>
      </c>
      <c r="P214" s="1">
        <v>0</v>
      </c>
      <c r="Q214" s="1">
        <v>1</v>
      </c>
    </row>
    <row r="215">
      <c r="A215" s="1">
        <v>2017</v>
      </c>
      <c r="B215" s="1">
        <v>17</v>
      </c>
      <c r="C215" s="1">
        <v>89</v>
      </c>
      <c r="D215" t="s">
        <v>19</v>
      </c>
      <c r="E215" t="s">
        <v>279</v>
      </c>
      <c r="F215" s="1">
        <v>17089</v>
      </c>
      <c r="G215" s="1">
        <v>41</v>
      </c>
      <c r="H215" s="1">
        <v>51</v>
      </c>
      <c r="I215" t="s">
        <v>3</v>
      </c>
      <c r="J215" t="s">
        <v>6</v>
      </c>
      <c r="K215" s="1">
        <v>41051</v>
      </c>
      <c r="L215" s="1">
        <v>316</v>
      </c>
      <c r="M215" s="1">
        <v>58</v>
      </c>
      <c r="N215" s="1">
        <v>14480070</v>
      </c>
      <c r="O215" s="1">
        <v>41051</v>
      </c>
      <c r="P215" s="1">
        <v>0</v>
      </c>
      <c r="Q215" s="1">
        <v>1</v>
      </c>
    </row>
    <row r="216">
      <c r="A216" s="1">
        <v>2017</v>
      </c>
      <c r="B216" s="1">
        <v>18</v>
      </c>
      <c r="C216" s="1">
        <v>3</v>
      </c>
      <c r="D216" t="s">
        <v>20</v>
      </c>
      <c r="E216" t="s">
        <v>246</v>
      </c>
      <c r="F216" s="1">
        <v>18003</v>
      </c>
      <c r="G216" s="1">
        <v>41</v>
      </c>
      <c r="H216" s="1">
        <v>51</v>
      </c>
      <c r="I216" t="s">
        <v>3</v>
      </c>
      <c r="J216" t="s">
        <v>6</v>
      </c>
      <c r="K216" s="1">
        <v>41051</v>
      </c>
      <c r="L216" s="1">
        <v>195</v>
      </c>
      <c r="M216" s="1">
        <v>196</v>
      </c>
      <c r="N216" s="1">
        <v>9750000</v>
      </c>
      <c r="O216" s="1">
        <v>41051</v>
      </c>
      <c r="P216" s="1">
        <v>0</v>
      </c>
      <c r="Q216" s="1">
        <v>1</v>
      </c>
    </row>
    <row r="217">
      <c r="A217" s="1">
        <v>2017</v>
      </c>
      <c r="B217" s="1">
        <v>18</v>
      </c>
      <c r="C217" s="1">
        <v>81</v>
      </c>
      <c r="D217" t="s">
        <v>20</v>
      </c>
      <c r="E217" t="s">
        <v>188</v>
      </c>
      <c r="F217" s="1">
        <v>18081</v>
      </c>
      <c r="G217" s="1">
        <v>41</v>
      </c>
      <c r="H217" s="1">
        <v>51</v>
      </c>
      <c r="I217" t="s">
        <v>3</v>
      </c>
      <c r="J217" t="s">
        <v>6</v>
      </c>
      <c r="K217" s="1">
        <v>41051</v>
      </c>
      <c r="L217" s="1">
        <v>172</v>
      </c>
      <c r="M217" s="1">
        <v>88</v>
      </c>
      <c r="N217" s="1">
        <v>5826000</v>
      </c>
      <c r="O217" s="1">
        <v>41051</v>
      </c>
      <c r="P217" s="1">
        <v>0</v>
      </c>
      <c r="Q217" s="1">
        <v>1</v>
      </c>
    </row>
    <row r="218">
      <c r="A218" s="1">
        <v>2017</v>
      </c>
      <c r="B218" s="1">
        <v>19</v>
      </c>
      <c r="C218" s="1">
        <v>13</v>
      </c>
      <c r="D218" t="s">
        <v>21</v>
      </c>
      <c r="E218" t="s">
        <v>369</v>
      </c>
      <c r="F218" s="1">
        <v>19013</v>
      </c>
      <c r="G218" s="1">
        <v>41</v>
      </c>
      <c r="H218" s="1">
        <v>51</v>
      </c>
      <c r="I218" t="s">
        <v>3</v>
      </c>
      <c r="J218" t="s">
        <v>6</v>
      </c>
      <c r="K218" s="1">
        <v>41051</v>
      </c>
      <c r="L218" s="1">
        <v>62</v>
      </c>
      <c r="M218" s="1">
        <v>62</v>
      </c>
      <c r="N218" s="1">
        <v>452600</v>
      </c>
      <c r="O218" s="1">
        <v>41051</v>
      </c>
      <c r="P218" s="1">
        <v>0</v>
      </c>
      <c r="Q218" s="1">
        <v>1</v>
      </c>
    </row>
    <row r="219">
      <c r="A219" s="1">
        <v>2017</v>
      </c>
      <c r="B219" s="1">
        <v>20</v>
      </c>
      <c r="C219" s="1">
        <v>0</v>
      </c>
      <c r="D219" t="s">
        <v>411</v>
      </c>
      <c r="E219" t="s">
        <v>276</v>
      </c>
      <c r="F219" s="1">
        <v>20000</v>
      </c>
      <c r="G219" s="1">
        <v>41</v>
      </c>
      <c r="H219" s="1">
        <v>51</v>
      </c>
      <c r="I219" t="s">
        <v>3</v>
      </c>
      <c r="J219" t="s">
        <v>6</v>
      </c>
      <c r="K219" s="1">
        <v>41051</v>
      </c>
      <c r="L219" s="1">
        <v>129</v>
      </c>
      <c r="M219" s="1"/>
      <c r="N219" s="1">
        <v>5676000</v>
      </c>
      <c r="O219" s="1">
        <v>41051</v>
      </c>
      <c r="P219" s="1">
        <v>0</v>
      </c>
      <c r="Q219" s="1">
        <v>1</v>
      </c>
    </row>
    <row r="220">
      <c r="A220" s="1">
        <v>2017</v>
      </c>
      <c r="B220" s="1">
        <v>20</v>
      </c>
      <c r="C220" s="1">
        <v>45</v>
      </c>
      <c r="D220" t="s">
        <v>42</v>
      </c>
      <c r="E220" t="s">
        <v>131</v>
      </c>
      <c r="F220" s="1">
        <v>20045</v>
      </c>
      <c r="G220" s="1">
        <v>41</v>
      </c>
      <c r="H220" s="1">
        <v>51</v>
      </c>
      <c r="I220" t="s">
        <v>3</v>
      </c>
      <c r="J220" t="s">
        <v>6</v>
      </c>
      <c r="K220" s="1">
        <v>41051</v>
      </c>
      <c r="L220" s="1">
        <v>107</v>
      </c>
      <c r="M220" s="1">
        <v>107</v>
      </c>
      <c r="N220" s="1">
        <v>5350000</v>
      </c>
      <c r="O220" s="1">
        <v>41051</v>
      </c>
      <c r="P220" s="1">
        <v>0</v>
      </c>
      <c r="Q220" s="1">
        <v>1</v>
      </c>
    </row>
    <row r="221">
      <c r="A221" s="1">
        <v>2017</v>
      </c>
      <c r="B221" s="1">
        <v>22</v>
      </c>
      <c r="C221" s="1">
        <v>0</v>
      </c>
      <c r="D221" t="s">
        <v>411</v>
      </c>
      <c r="E221" t="s">
        <v>276</v>
      </c>
      <c r="F221" s="1">
        <v>22000</v>
      </c>
      <c r="G221" s="1">
        <v>41</v>
      </c>
      <c r="H221" s="1">
        <v>51</v>
      </c>
      <c r="I221" t="s">
        <v>3</v>
      </c>
      <c r="J221" t="s">
        <v>6</v>
      </c>
      <c r="K221" s="1">
        <v>41051</v>
      </c>
      <c r="L221" s="1">
        <v>219</v>
      </c>
      <c r="M221" s="1">
        <v>219</v>
      </c>
      <c r="N221" s="1">
        <v>3506400</v>
      </c>
      <c r="O221" s="1">
        <v>41051</v>
      </c>
      <c r="P221" s="1">
        <v>0</v>
      </c>
      <c r="Q221" s="1">
        <v>1</v>
      </c>
    </row>
    <row r="222">
      <c r="A222" s="1">
        <v>2017</v>
      </c>
      <c r="B222" s="1">
        <v>22</v>
      </c>
      <c r="C222" s="1">
        <v>17</v>
      </c>
      <c r="D222" t="s">
        <v>22</v>
      </c>
      <c r="E222" t="s">
        <v>370</v>
      </c>
      <c r="F222" s="1">
        <v>22017</v>
      </c>
      <c r="G222" s="1">
        <v>41</v>
      </c>
      <c r="H222" s="1">
        <v>51</v>
      </c>
      <c r="I222" t="s">
        <v>3</v>
      </c>
      <c r="J222" t="s">
        <v>6</v>
      </c>
      <c r="K222" s="1">
        <v>41051</v>
      </c>
      <c r="L222" s="1">
        <v>148</v>
      </c>
      <c r="M222" s="1">
        <v>81</v>
      </c>
      <c r="N222" s="1">
        <v>1523900</v>
      </c>
      <c r="O222" s="1">
        <v>41051</v>
      </c>
      <c r="P222" s="1">
        <v>0</v>
      </c>
      <c r="Q222" s="1">
        <v>1</v>
      </c>
    </row>
    <row r="223">
      <c r="A223" s="1">
        <v>2017</v>
      </c>
      <c r="B223" s="1">
        <v>22</v>
      </c>
      <c r="C223" s="1">
        <v>33</v>
      </c>
      <c r="D223" t="s">
        <v>22</v>
      </c>
      <c r="E223" t="s">
        <v>364</v>
      </c>
      <c r="F223" s="1">
        <v>22033</v>
      </c>
      <c r="G223" s="1">
        <v>41</v>
      </c>
      <c r="H223" s="1">
        <v>51</v>
      </c>
      <c r="I223" t="s">
        <v>3</v>
      </c>
      <c r="J223" t="s">
        <v>6</v>
      </c>
      <c r="K223" s="1">
        <v>41051</v>
      </c>
      <c r="L223" s="1">
        <v>77</v>
      </c>
      <c r="M223" s="1"/>
      <c r="N223" s="1">
        <v>2002000</v>
      </c>
      <c r="O223" s="1">
        <v>41051</v>
      </c>
      <c r="P223" s="1">
        <v>0</v>
      </c>
      <c r="Q223" s="1">
        <v>1</v>
      </c>
    </row>
    <row r="224">
      <c r="A224" s="1">
        <v>2017</v>
      </c>
      <c r="B224" s="1">
        <v>23</v>
      </c>
      <c r="C224" s="1">
        <v>11</v>
      </c>
      <c r="D224" t="s">
        <v>23</v>
      </c>
      <c r="E224" t="s">
        <v>371</v>
      </c>
      <c r="F224" s="1">
        <v>23011</v>
      </c>
      <c r="G224" s="1">
        <v>41</v>
      </c>
      <c r="H224" s="1">
        <v>51</v>
      </c>
      <c r="I224" t="s">
        <v>3</v>
      </c>
      <c r="J224" t="s">
        <v>6</v>
      </c>
      <c r="K224" s="1">
        <v>41051</v>
      </c>
      <c r="L224" s="1">
        <v>40</v>
      </c>
      <c r="M224" s="1">
        <v>39</v>
      </c>
      <c r="N224" s="1">
        <v>400000</v>
      </c>
      <c r="O224" s="1">
        <v>41051</v>
      </c>
      <c r="P224" s="1">
        <v>0</v>
      </c>
      <c r="Q224" s="1">
        <v>1</v>
      </c>
    </row>
    <row r="225">
      <c r="A225" s="1">
        <v>2017</v>
      </c>
      <c r="B225" s="1">
        <v>25</v>
      </c>
      <c r="C225" s="1">
        <v>0</v>
      </c>
      <c r="D225" t="s">
        <v>411</v>
      </c>
      <c r="E225" t="s">
        <v>276</v>
      </c>
      <c r="F225" s="1">
        <v>25000</v>
      </c>
      <c r="G225" s="1">
        <v>41</v>
      </c>
      <c r="H225" s="1">
        <v>51</v>
      </c>
      <c r="I225" t="s">
        <v>3</v>
      </c>
      <c r="J225" t="s">
        <v>6</v>
      </c>
      <c r="K225" s="1">
        <v>41051</v>
      </c>
      <c r="L225" s="1">
        <v>658</v>
      </c>
      <c r="M225" s="1">
        <v>134</v>
      </c>
      <c r="N225" s="1">
        <v>51292000</v>
      </c>
      <c r="O225" s="1">
        <v>41051</v>
      </c>
      <c r="P225" s="1">
        <v>0</v>
      </c>
      <c r="Q225" s="1">
        <v>1</v>
      </c>
    </row>
    <row r="226">
      <c r="A226" s="1">
        <v>2017</v>
      </c>
      <c r="B226" s="1">
        <v>25</v>
      </c>
      <c r="C226" s="1">
        <v>25</v>
      </c>
      <c r="D226" t="s">
        <v>25</v>
      </c>
      <c r="E226" t="s">
        <v>105</v>
      </c>
      <c r="F226" s="1">
        <v>25025</v>
      </c>
      <c r="G226" s="1">
        <v>41</v>
      </c>
      <c r="H226" s="1">
        <v>51</v>
      </c>
      <c r="I226" t="s">
        <v>3</v>
      </c>
      <c r="J226" t="s">
        <v>6</v>
      </c>
      <c r="K226" s="1">
        <v>41051</v>
      </c>
      <c r="L226" s="1">
        <v>140</v>
      </c>
      <c r="M226" s="1"/>
      <c r="N226" s="1">
        <v>5180000</v>
      </c>
      <c r="O226" s="1">
        <v>41051</v>
      </c>
      <c r="P226" s="1">
        <v>0</v>
      </c>
      <c r="Q226" s="1">
        <v>1</v>
      </c>
    </row>
    <row r="227">
      <c r="A227" s="1">
        <v>2017</v>
      </c>
      <c r="B227" s="1">
        <v>26</v>
      </c>
      <c r="C227" s="1">
        <v>65</v>
      </c>
      <c r="D227" t="s">
        <v>26</v>
      </c>
      <c r="E227" t="s">
        <v>355</v>
      </c>
      <c r="F227" s="1">
        <v>26065</v>
      </c>
      <c r="G227" s="1">
        <v>41</v>
      </c>
      <c r="H227" s="1">
        <v>51</v>
      </c>
      <c r="I227" t="s">
        <v>3</v>
      </c>
      <c r="J227" t="s">
        <v>6</v>
      </c>
      <c r="K227" s="1">
        <v>41051</v>
      </c>
      <c r="L227" s="1">
        <v>155</v>
      </c>
      <c r="M227" s="1">
        <v>155</v>
      </c>
      <c r="N227" s="1">
        <v>7285000</v>
      </c>
      <c r="O227" s="1">
        <v>41051</v>
      </c>
      <c r="P227" s="1">
        <v>0</v>
      </c>
      <c r="Q227" s="1">
        <v>1</v>
      </c>
    </row>
    <row r="228">
      <c r="A228" s="1">
        <v>2017</v>
      </c>
      <c r="B228" s="1">
        <v>26</v>
      </c>
      <c r="C228" s="1">
        <v>81</v>
      </c>
      <c r="D228" t="s">
        <v>26</v>
      </c>
      <c r="E228" t="s">
        <v>193</v>
      </c>
      <c r="F228" s="1">
        <v>26081</v>
      </c>
      <c r="G228" s="1">
        <v>41</v>
      </c>
      <c r="H228" s="1">
        <v>51</v>
      </c>
      <c r="I228" t="s">
        <v>3</v>
      </c>
      <c r="J228" t="s">
        <v>6</v>
      </c>
      <c r="K228" s="1">
        <v>41051</v>
      </c>
      <c r="L228" s="1">
        <v>134</v>
      </c>
      <c r="M228" s="1">
        <v>67</v>
      </c>
      <c r="N228" s="1">
        <v>3963200</v>
      </c>
      <c r="O228" s="1">
        <v>41051</v>
      </c>
      <c r="P228" s="1">
        <v>0</v>
      </c>
      <c r="Q228" s="1">
        <v>1</v>
      </c>
    </row>
    <row r="229">
      <c r="A229" s="1">
        <v>2017</v>
      </c>
      <c r="B229" s="1">
        <v>26</v>
      </c>
      <c r="C229" s="1">
        <v>125</v>
      </c>
      <c r="D229" t="s">
        <v>26</v>
      </c>
      <c r="E229" t="s">
        <v>194</v>
      </c>
      <c r="F229" s="1">
        <v>26125</v>
      </c>
      <c r="G229" s="1">
        <v>41</v>
      </c>
      <c r="H229" s="1">
        <v>51</v>
      </c>
      <c r="I229" t="s">
        <v>3</v>
      </c>
      <c r="J229" t="s">
        <v>6</v>
      </c>
      <c r="K229" s="1">
        <v>41051</v>
      </c>
      <c r="L229" s="1">
        <v>187</v>
      </c>
      <c r="M229" s="1">
        <v>187</v>
      </c>
      <c r="N229" s="1">
        <v>5450000</v>
      </c>
      <c r="O229" s="1">
        <v>41051</v>
      </c>
      <c r="P229" s="1">
        <v>0</v>
      </c>
      <c r="Q229" s="1">
        <v>1</v>
      </c>
    </row>
    <row r="230">
      <c r="A230" s="1">
        <v>2017</v>
      </c>
      <c r="B230" s="1">
        <v>26</v>
      </c>
      <c r="C230" s="1">
        <v>163</v>
      </c>
      <c r="D230" t="s">
        <v>26</v>
      </c>
      <c r="E230" t="s">
        <v>195</v>
      </c>
      <c r="F230" s="1">
        <v>26163</v>
      </c>
      <c r="G230" s="1">
        <v>41</v>
      </c>
      <c r="H230" s="1">
        <v>51</v>
      </c>
      <c r="I230" t="s">
        <v>3</v>
      </c>
      <c r="J230" t="s">
        <v>6</v>
      </c>
      <c r="K230" s="1">
        <v>41051</v>
      </c>
      <c r="L230" s="1">
        <v>96</v>
      </c>
      <c r="M230" s="1"/>
      <c r="N230" s="1">
        <v>5952000</v>
      </c>
      <c r="O230" s="1">
        <v>41051</v>
      </c>
      <c r="P230" s="1">
        <v>0</v>
      </c>
      <c r="Q230" s="1">
        <v>1</v>
      </c>
    </row>
    <row r="231">
      <c r="A231" s="1">
        <v>2017</v>
      </c>
      <c r="B231" s="1">
        <v>27</v>
      </c>
      <c r="C231" s="1">
        <v>53</v>
      </c>
      <c r="D231" t="s">
        <v>27</v>
      </c>
      <c r="E231" t="s">
        <v>107</v>
      </c>
      <c r="F231" s="1">
        <v>27053</v>
      </c>
      <c r="G231" s="1">
        <v>41</v>
      </c>
      <c r="H231" s="1">
        <v>51</v>
      </c>
      <c r="I231" t="s">
        <v>3</v>
      </c>
      <c r="J231" t="s">
        <v>6</v>
      </c>
      <c r="K231" s="1">
        <v>41051</v>
      </c>
      <c r="L231" s="1">
        <v>126</v>
      </c>
      <c r="M231" s="1">
        <v>63</v>
      </c>
      <c r="N231" s="1">
        <v>4151700</v>
      </c>
      <c r="O231" s="1">
        <v>41051</v>
      </c>
      <c r="P231" s="1">
        <v>0</v>
      </c>
      <c r="Q231" s="1">
        <v>1</v>
      </c>
    </row>
    <row r="232">
      <c r="A232" s="1">
        <v>2017</v>
      </c>
      <c r="B232" s="1">
        <v>28</v>
      </c>
      <c r="C232" s="1">
        <v>0</v>
      </c>
      <c r="D232" t="s">
        <v>411</v>
      </c>
      <c r="E232" t="s">
        <v>276</v>
      </c>
      <c r="F232" s="1">
        <v>28000</v>
      </c>
      <c r="G232" s="1">
        <v>41</v>
      </c>
      <c r="H232" s="1">
        <v>51</v>
      </c>
      <c r="I232" t="s">
        <v>3</v>
      </c>
      <c r="J232" t="s">
        <v>6</v>
      </c>
      <c r="K232" s="1">
        <v>41051</v>
      </c>
      <c r="L232" s="1">
        <v>344</v>
      </c>
      <c r="M232" s="1">
        <v>253</v>
      </c>
      <c r="N232" s="1">
        <v>17290000</v>
      </c>
      <c r="O232" s="1">
        <v>41051</v>
      </c>
      <c r="P232" s="1">
        <v>0</v>
      </c>
      <c r="Q232" s="1">
        <v>1</v>
      </c>
    </row>
    <row r="233">
      <c r="A233" s="1">
        <v>2017</v>
      </c>
      <c r="B233" s="1">
        <v>29</v>
      </c>
      <c r="C233" s="1">
        <v>189</v>
      </c>
      <c r="D233" t="s">
        <v>44</v>
      </c>
      <c r="E233" t="s">
        <v>197</v>
      </c>
      <c r="F233" s="1">
        <v>29189</v>
      </c>
      <c r="G233" s="1">
        <v>41</v>
      </c>
      <c r="H233" s="1">
        <v>51</v>
      </c>
      <c r="I233" t="s">
        <v>3</v>
      </c>
      <c r="J233" t="s">
        <v>6</v>
      </c>
      <c r="K233" s="1">
        <v>41051</v>
      </c>
      <c r="L233" s="1">
        <v>159</v>
      </c>
      <c r="M233" s="1"/>
      <c r="N233" s="1">
        <v>238500</v>
      </c>
      <c r="O233" s="1">
        <v>41051</v>
      </c>
      <c r="P233" s="1">
        <v>0</v>
      </c>
      <c r="Q233" s="1">
        <v>1</v>
      </c>
    </row>
    <row r="234">
      <c r="A234" s="1">
        <v>2017</v>
      </c>
      <c r="B234" s="1">
        <v>29</v>
      </c>
      <c r="C234" s="1">
        <v>510</v>
      </c>
      <c r="D234" t="s">
        <v>44</v>
      </c>
      <c r="E234" t="s">
        <v>198</v>
      </c>
      <c r="F234" s="1">
        <v>29510</v>
      </c>
      <c r="G234" s="1">
        <v>41</v>
      </c>
      <c r="H234" s="1">
        <v>51</v>
      </c>
      <c r="I234" t="s">
        <v>3</v>
      </c>
      <c r="J234" t="s">
        <v>6</v>
      </c>
      <c r="K234" s="1">
        <v>41051</v>
      </c>
      <c r="L234" s="1">
        <v>302</v>
      </c>
      <c r="M234" s="1">
        <v>127</v>
      </c>
      <c r="N234" s="1">
        <v>8327620</v>
      </c>
      <c r="O234" s="1">
        <v>41051</v>
      </c>
      <c r="P234" s="1">
        <v>0</v>
      </c>
      <c r="Q234" s="1">
        <v>1</v>
      </c>
    </row>
    <row r="235">
      <c r="A235" s="1">
        <v>2017</v>
      </c>
      <c r="B235" s="1">
        <v>30</v>
      </c>
      <c r="C235" s="1">
        <v>0</v>
      </c>
      <c r="D235" t="s">
        <v>411</v>
      </c>
      <c r="E235" t="s">
        <v>276</v>
      </c>
      <c r="F235" s="1">
        <v>30000</v>
      </c>
      <c r="G235" s="1">
        <v>41</v>
      </c>
      <c r="H235" s="1">
        <v>51</v>
      </c>
      <c r="I235" t="s">
        <v>3</v>
      </c>
      <c r="J235" t="s">
        <v>6</v>
      </c>
      <c r="K235" s="1">
        <v>41051</v>
      </c>
      <c r="L235" s="1">
        <v>150</v>
      </c>
      <c r="M235" s="1">
        <v>108</v>
      </c>
      <c r="N235" s="1">
        <v>4366200</v>
      </c>
      <c r="O235" s="1">
        <v>41051</v>
      </c>
      <c r="P235" s="1">
        <v>0</v>
      </c>
      <c r="Q235" s="1">
        <v>1</v>
      </c>
    </row>
    <row r="236">
      <c r="A236" s="1">
        <v>2017</v>
      </c>
      <c r="B236" s="1">
        <v>32</v>
      </c>
      <c r="C236" s="1">
        <v>3</v>
      </c>
      <c r="D236" t="s">
        <v>29</v>
      </c>
      <c r="E236" t="s">
        <v>112</v>
      </c>
      <c r="F236" s="1">
        <v>32003</v>
      </c>
      <c r="G236" s="1">
        <v>41</v>
      </c>
      <c r="H236" s="1">
        <v>51</v>
      </c>
      <c r="I236" t="s">
        <v>3</v>
      </c>
      <c r="J236" t="s">
        <v>6</v>
      </c>
      <c r="K236" s="1">
        <v>41051</v>
      </c>
      <c r="L236" s="1">
        <v>485</v>
      </c>
      <c r="M236" s="1">
        <v>193</v>
      </c>
      <c r="N236" s="1">
        <v>26921000</v>
      </c>
      <c r="O236" s="1">
        <v>41051</v>
      </c>
      <c r="P236" s="1">
        <v>0</v>
      </c>
      <c r="Q236" s="1">
        <v>1</v>
      </c>
    </row>
    <row r="237">
      <c r="A237" s="1">
        <v>2017</v>
      </c>
      <c r="B237" s="1">
        <v>32</v>
      </c>
      <c r="C237" s="1">
        <v>31</v>
      </c>
      <c r="D237" t="s">
        <v>29</v>
      </c>
      <c r="E237" t="s">
        <v>113</v>
      </c>
      <c r="F237" s="1">
        <v>32031</v>
      </c>
      <c r="G237" s="1">
        <v>41</v>
      </c>
      <c r="H237" s="1">
        <v>51</v>
      </c>
      <c r="I237" t="s">
        <v>3</v>
      </c>
      <c r="J237" t="s">
        <v>6</v>
      </c>
      <c r="K237" s="1">
        <v>41051</v>
      </c>
      <c r="L237" s="1">
        <v>322</v>
      </c>
      <c r="M237" s="1">
        <v>151</v>
      </c>
      <c r="N237" s="1">
        <v>8477900</v>
      </c>
      <c r="O237" s="1">
        <v>41051</v>
      </c>
      <c r="P237" s="1">
        <v>0</v>
      </c>
      <c r="Q237" s="1">
        <v>1</v>
      </c>
    </row>
    <row r="238">
      <c r="A238" s="1">
        <v>2017</v>
      </c>
      <c r="B238" s="1">
        <v>33</v>
      </c>
      <c r="C238" s="1">
        <v>0</v>
      </c>
      <c r="D238" t="s">
        <v>411</v>
      </c>
      <c r="E238" t="s">
        <v>276</v>
      </c>
      <c r="F238" s="1">
        <v>33000</v>
      </c>
      <c r="G238" s="1">
        <v>41</v>
      </c>
      <c r="H238" s="1">
        <v>51</v>
      </c>
      <c r="I238" t="s">
        <v>3</v>
      </c>
      <c r="J238" t="s">
        <v>6</v>
      </c>
      <c r="K238" s="1">
        <v>41051</v>
      </c>
      <c r="L238" s="1">
        <v>124</v>
      </c>
      <c r="M238" s="1">
        <v>124</v>
      </c>
      <c r="N238" s="1">
        <v>4028800</v>
      </c>
      <c r="O238" s="1">
        <v>41051</v>
      </c>
      <c r="P238" s="1">
        <v>0</v>
      </c>
      <c r="Q238" s="1">
        <v>1</v>
      </c>
    </row>
    <row r="239">
      <c r="A239" s="1">
        <v>2017</v>
      </c>
      <c r="B239" s="1">
        <v>34</v>
      </c>
      <c r="C239" s="1">
        <v>13</v>
      </c>
      <c r="D239" t="s">
        <v>46</v>
      </c>
      <c r="E239" t="s">
        <v>305</v>
      </c>
      <c r="F239" s="1">
        <v>34013</v>
      </c>
      <c r="G239" s="1">
        <v>41</v>
      </c>
      <c r="H239" s="1">
        <v>51</v>
      </c>
      <c r="I239" t="s">
        <v>3</v>
      </c>
      <c r="J239" t="s">
        <v>6</v>
      </c>
      <c r="K239" s="1">
        <v>41051</v>
      </c>
      <c r="L239" s="1">
        <v>164</v>
      </c>
      <c r="M239" s="1"/>
      <c r="N239" s="1">
        <v>0</v>
      </c>
      <c r="O239" s="1">
        <v>41051</v>
      </c>
      <c r="P239" s="1">
        <v>0</v>
      </c>
      <c r="Q239" s="1">
        <v>1</v>
      </c>
    </row>
    <row r="240">
      <c r="A240" s="1">
        <v>2017</v>
      </c>
      <c r="B240" s="1">
        <v>35</v>
      </c>
      <c r="C240" s="1">
        <v>0</v>
      </c>
      <c r="D240" t="s">
        <v>411</v>
      </c>
      <c r="E240" t="s">
        <v>276</v>
      </c>
      <c r="F240" s="1">
        <v>35000</v>
      </c>
      <c r="G240" s="1">
        <v>41</v>
      </c>
      <c r="H240" s="1">
        <v>51</v>
      </c>
      <c r="I240" t="s">
        <v>3</v>
      </c>
      <c r="J240" t="s">
        <v>6</v>
      </c>
      <c r="K240" s="1">
        <v>41051</v>
      </c>
      <c r="L240" s="1">
        <v>259</v>
      </c>
      <c r="M240" s="1">
        <v>86</v>
      </c>
      <c r="N240" s="1">
        <v>39483600</v>
      </c>
      <c r="O240" s="1">
        <v>41051</v>
      </c>
      <c r="P240" s="1">
        <v>0</v>
      </c>
      <c r="Q240" s="1">
        <v>1</v>
      </c>
    </row>
    <row r="241">
      <c r="A241" s="1">
        <v>2017</v>
      </c>
      <c r="B241" s="1">
        <v>36</v>
      </c>
      <c r="C241" s="1">
        <v>0</v>
      </c>
      <c r="D241" t="s">
        <v>411</v>
      </c>
      <c r="E241" t="s">
        <v>276</v>
      </c>
      <c r="F241" s="1">
        <v>36000</v>
      </c>
      <c r="G241" s="1">
        <v>41</v>
      </c>
      <c r="H241" s="1">
        <v>51</v>
      </c>
      <c r="I241" t="s">
        <v>3</v>
      </c>
      <c r="J241" t="s">
        <v>6</v>
      </c>
      <c r="K241" s="1">
        <v>41051</v>
      </c>
      <c r="L241" s="1">
        <v>231</v>
      </c>
      <c r="M241" s="1">
        <v>140</v>
      </c>
      <c r="N241" s="1">
        <v>21367200</v>
      </c>
      <c r="O241" s="1">
        <v>41051</v>
      </c>
      <c r="P241" s="1">
        <v>0</v>
      </c>
      <c r="Q241" s="1">
        <v>1</v>
      </c>
    </row>
    <row r="242">
      <c r="A242" s="1">
        <v>2017</v>
      </c>
      <c r="B242" s="1">
        <v>36</v>
      </c>
      <c r="C242" s="1">
        <v>5</v>
      </c>
      <c r="D242" t="s">
        <v>31</v>
      </c>
      <c r="E242" t="s">
        <v>288</v>
      </c>
      <c r="F242" s="1">
        <v>36005</v>
      </c>
      <c r="G242" s="1">
        <v>41</v>
      </c>
      <c r="H242" s="1">
        <v>51</v>
      </c>
      <c r="I242" t="s">
        <v>3</v>
      </c>
      <c r="J242" t="s">
        <v>6</v>
      </c>
      <c r="K242" s="1">
        <v>41051</v>
      </c>
      <c r="L242" s="1">
        <v>448</v>
      </c>
      <c r="M242" s="1"/>
      <c r="N242" s="1">
        <v>18510000</v>
      </c>
      <c r="O242" s="1">
        <v>41051</v>
      </c>
      <c r="P242" s="1">
        <v>0</v>
      </c>
      <c r="Q242" s="1">
        <v>1</v>
      </c>
    </row>
    <row r="243">
      <c r="A243" s="1">
        <v>2017</v>
      </c>
      <c r="B243" s="1">
        <v>36</v>
      </c>
      <c r="C243" s="1">
        <v>27</v>
      </c>
      <c r="D243" t="s">
        <v>31</v>
      </c>
      <c r="E243" t="s">
        <v>289</v>
      </c>
      <c r="F243" s="1">
        <v>36027</v>
      </c>
      <c r="G243" s="1">
        <v>41</v>
      </c>
      <c r="H243" s="1">
        <v>51</v>
      </c>
      <c r="I243" t="s">
        <v>3</v>
      </c>
      <c r="J243" t="s">
        <v>6</v>
      </c>
      <c r="K243" s="1">
        <v>41051</v>
      </c>
      <c r="L243" s="1">
        <v>93</v>
      </c>
      <c r="M243" s="1"/>
      <c r="N243" s="1">
        <v>1915800</v>
      </c>
      <c r="O243" s="1">
        <v>41051</v>
      </c>
      <c r="P243" s="1">
        <v>0</v>
      </c>
      <c r="Q243" s="1">
        <v>1</v>
      </c>
    </row>
    <row r="244">
      <c r="A244" s="1">
        <v>2017</v>
      </c>
      <c r="B244" s="1">
        <v>36</v>
      </c>
      <c r="C244" s="1">
        <v>47</v>
      </c>
      <c r="D244" t="s">
        <v>31</v>
      </c>
      <c r="E244" t="s">
        <v>116</v>
      </c>
      <c r="F244" s="1">
        <v>36047</v>
      </c>
      <c r="G244" s="1">
        <v>41</v>
      </c>
      <c r="H244" s="1">
        <v>51</v>
      </c>
      <c r="I244" t="s">
        <v>3</v>
      </c>
      <c r="J244" t="s">
        <v>6</v>
      </c>
      <c r="K244" s="1">
        <v>41051</v>
      </c>
      <c r="L244" s="1">
        <v>324</v>
      </c>
      <c r="M244" s="1">
        <v>198</v>
      </c>
      <c r="N244" s="1">
        <v>30151300</v>
      </c>
      <c r="O244" s="1">
        <v>41051</v>
      </c>
      <c r="P244" s="1">
        <v>0</v>
      </c>
      <c r="Q244" s="1">
        <v>1</v>
      </c>
    </row>
    <row r="245">
      <c r="A245" s="1">
        <v>2017</v>
      </c>
      <c r="B245" s="1">
        <v>36</v>
      </c>
      <c r="C245" s="1">
        <v>81</v>
      </c>
      <c r="D245" t="s">
        <v>31</v>
      </c>
      <c r="E245" t="s">
        <v>118</v>
      </c>
      <c r="F245" s="1">
        <v>36081</v>
      </c>
      <c r="G245" s="1">
        <v>41</v>
      </c>
      <c r="H245" s="1">
        <v>51</v>
      </c>
      <c r="I245" t="s">
        <v>3</v>
      </c>
      <c r="J245" t="s">
        <v>6</v>
      </c>
      <c r="K245" s="1">
        <v>41051</v>
      </c>
      <c r="L245" s="1">
        <v>160</v>
      </c>
      <c r="M245" s="1">
        <v>81</v>
      </c>
      <c r="N245" s="1">
        <v>8488430</v>
      </c>
      <c r="O245" s="1">
        <v>41051</v>
      </c>
      <c r="P245" s="1">
        <v>0</v>
      </c>
      <c r="Q245" s="1">
        <v>1</v>
      </c>
    </row>
    <row r="246">
      <c r="A246" s="1">
        <v>2017</v>
      </c>
      <c r="B246" s="1">
        <v>36</v>
      </c>
      <c r="C246" s="1">
        <v>103</v>
      </c>
      <c r="D246" t="s">
        <v>31</v>
      </c>
      <c r="E246" t="s">
        <v>105</v>
      </c>
      <c r="F246" s="1">
        <v>36103</v>
      </c>
      <c r="G246" s="1">
        <v>41</v>
      </c>
      <c r="H246" s="1">
        <v>51</v>
      </c>
      <c r="I246" t="s">
        <v>3</v>
      </c>
      <c r="J246" t="s">
        <v>6</v>
      </c>
      <c r="K246" s="1">
        <v>41051</v>
      </c>
      <c r="L246" s="1">
        <v>138</v>
      </c>
      <c r="M246" s="1"/>
      <c r="N246" s="1">
        <v>19596000</v>
      </c>
      <c r="O246" s="1">
        <v>41051</v>
      </c>
      <c r="P246" s="1">
        <v>0</v>
      </c>
      <c r="Q246" s="1">
        <v>1</v>
      </c>
    </row>
    <row r="247">
      <c r="A247" s="1">
        <v>2017</v>
      </c>
      <c r="B247" s="1">
        <v>37</v>
      </c>
      <c r="C247" s="1">
        <v>183</v>
      </c>
      <c r="D247" t="s">
        <v>32</v>
      </c>
      <c r="E247" t="s">
        <v>206</v>
      </c>
      <c r="F247" s="1">
        <v>37183</v>
      </c>
      <c r="G247" s="1">
        <v>41</v>
      </c>
      <c r="H247" s="1">
        <v>51</v>
      </c>
      <c r="I247" t="s">
        <v>3</v>
      </c>
      <c r="J247" t="s">
        <v>6</v>
      </c>
      <c r="K247" s="1">
        <v>41051</v>
      </c>
      <c r="L247" s="1">
        <v>63</v>
      </c>
      <c r="M247" s="1">
        <v>63</v>
      </c>
      <c r="N247" s="1">
        <v>6426000</v>
      </c>
      <c r="O247" s="1">
        <v>41051</v>
      </c>
      <c r="P247" s="1">
        <v>0</v>
      </c>
      <c r="Q247" s="1">
        <v>1</v>
      </c>
    </row>
    <row r="248">
      <c r="A248" s="1">
        <v>2017</v>
      </c>
      <c r="B248" s="1">
        <v>39</v>
      </c>
      <c r="C248" s="1">
        <v>113</v>
      </c>
      <c r="D248" t="s">
        <v>33</v>
      </c>
      <c r="E248" t="s">
        <v>103</v>
      </c>
      <c r="F248" s="1">
        <v>39113</v>
      </c>
      <c r="G248" s="1">
        <v>41</v>
      </c>
      <c r="H248" s="1">
        <v>51</v>
      </c>
      <c r="I248" t="s">
        <v>3</v>
      </c>
      <c r="J248" t="s">
        <v>6</v>
      </c>
      <c r="K248" s="1">
        <v>41051</v>
      </c>
      <c r="L248" s="1">
        <v>112</v>
      </c>
      <c r="M248" s="1">
        <v>112</v>
      </c>
      <c r="N248" s="1">
        <v>5824000</v>
      </c>
      <c r="O248" s="1">
        <v>41051</v>
      </c>
      <c r="P248" s="1">
        <v>0</v>
      </c>
      <c r="Q248" s="1">
        <v>1</v>
      </c>
    </row>
    <row r="249">
      <c r="A249" s="1">
        <v>2017</v>
      </c>
      <c r="B249" s="1">
        <v>40</v>
      </c>
      <c r="C249" s="1">
        <v>109</v>
      </c>
      <c r="D249" t="s">
        <v>47</v>
      </c>
      <c r="E249" t="s">
        <v>209</v>
      </c>
      <c r="F249" s="1">
        <v>40109</v>
      </c>
      <c r="G249" s="1">
        <v>41</v>
      </c>
      <c r="H249" s="1">
        <v>51</v>
      </c>
      <c r="I249" t="s">
        <v>3</v>
      </c>
      <c r="J249" t="s">
        <v>6</v>
      </c>
      <c r="K249" s="1">
        <v>41051</v>
      </c>
      <c r="L249" s="1">
        <v>76</v>
      </c>
      <c r="M249" s="1"/>
      <c r="N249" s="1">
        <v>106400</v>
      </c>
      <c r="O249" s="1">
        <v>41051</v>
      </c>
      <c r="P249" s="1">
        <v>0</v>
      </c>
      <c r="Q249" s="1">
        <v>1</v>
      </c>
    </row>
    <row r="250">
      <c r="A250" s="1">
        <v>2017</v>
      </c>
      <c r="B250" s="1">
        <v>41</v>
      </c>
      <c r="C250" s="1">
        <v>0</v>
      </c>
      <c r="D250" t="s">
        <v>411</v>
      </c>
      <c r="E250" t="s">
        <v>276</v>
      </c>
      <c r="F250" s="1">
        <v>41000</v>
      </c>
      <c r="G250" s="1">
        <v>41</v>
      </c>
      <c r="H250" s="1">
        <v>51</v>
      </c>
      <c r="I250" t="s">
        <v>3</v>
      </c>
      <c r="J250" t="s">
        <v>6</v>
      </c>
      <c r="K250" s="1">
        <v>41051</v>
      </c>
      <c r="L250" s="1">
        <v>3913</v>
      </c>
      <c r="M250" s="1">
        <v>1869</v>
      </c>
      <c r="N250" s="1">
        <v>116060780</v>
      </c>
      <c r="O250" s="1">
        <v>41051</v>
      </c>
      <c r="P250" s="1">
        <v>0</v>
      </c>
      <c r="Q250" s="1">
        <v>1</v>
      </c>
    </row>
    <row r="251">
      <c r="A251" s="1">
        <v>2017</v>
      </c>
      <c r="B251" s="1">
        <v>41</v>
      </c>
      <c r="C251" s="1">
        <v>5</v>
      </c>
      <c r="D251" t="s">
        <v>3</v>
      </c>
      <c r="E251" t="s">
        <v>125</v>
      </c>
      <c r="F251" s="1">
        <v>41005</v>
      </c>
      <c r="G251" s="1">
        <v>41</v>
      </c>
      <c r="H251" s="1">
        <v>51</v>
      </c>
      <c r="I251" t="s">
        <v>3</v>
      </c>
      <c r="J251" t="s">
        <v>6</v>
      </c>
      <c r="K251" s="1">
        <v>41051</v>
      </c>
      <c r="L251" s="1">
        <v>4522</v>
      </c>
      <c r="M251" s="1">
        <v>1893</v>
      </c>
      <c r="N251" s="1">
        <v>169485050</v>
      </c>
      <c r="O251" s="1">
        <v>41051</v>
      </c>
      <c r="P251" s="1">
        <v>0</v>
      </c>
      <c r="Q251" s="1">
        <v>1</v>
      </c>
    </row>
    <row r="252">
      <c r="A252" s="1">
        <v>2017</v>
      </c>
      <c r="B252" s="1">
        <v>41</v>
      </c>
      <c r="C252" s="1">
        <v>17</v>
      </c>
      <c r="D252" t="s">
        <v>3</v>
      </c>
      <c r="E252" t="s">
        <v>130</v>
      </c>
      <c r="F252" s="1">
        <v>41017</v>
      </c>
      <c r="G252" s="1">
        <v>41</v>
      </c>
      <c r="H252" s="1">
        <v>51</v>
      </c>
      <c r="I252" t="s">
        <v>3</v>
      </c>
      <c r="J252" t="s">
        <v>6</v>
      </c>
      <c r="K252" s="1">
        <v>41051</v>
      </c>
      <c r="L252" s="1">
        <v>89</v>
      </c>
      <c r="M252" s="1"/>
      <c r="N252" s="1">
        <v>1922400</v>
      </c>
      <c r="O252" s="1">
        <v>41051</v>
      </c>
      <c r="P252" s="1">
        <v>0</v>
      </c>
      <c r="Q252" s="1">
        <v>1</v>
      </c>
    </row>
    <row r="253">
      <c r="A253" s="1">
        <v>2017</v>
      </c>
      <c r="B253" s="1">
        <v>41</v>
      </c>
      <c r="C253" s="1">
        <v>19</v>
      </c>
      <c r="D253" t="s">
        <v>3</v>
      </c>
      <c r="E253" t="s">
        <v>131</v>
      </c>
      <c r="F253" s="1">
        <v>41019</v>
      </c>
      <c r="G253" s="1">
        <v>41</v>
      </c>
      <c r="H253" s="1">
        <v>51</v>
      </c>
      <c r="I253" t="s">
        <v>3</v>
      </c>
      <c r="J253" t="s">
        <v>6</v>
      </c>
      <c r="K253" s="1">
        <v>41051</v>
      </c>
      <c r="L253" s="1">
        <v>152</v>
      </c>
      <c r="M253" s="1"/>
      <c r="N253" s="1">
        <v>2426800</v>
      </c>
      <c r="O253" s="1">
        <v>41051</v>
      </c>
      <c r="P253" s="1">
        <v>0</v>
      </c>
      <c r="Q253" s="1">
        <v>1</v>
      </c>
    </row>
    <row r="254">
      <c r="A254" s="1">
        <v>2017</v>
      </c>
      <c r="B254" s="1">
        <v>41</v>
      </c>
      <c r="C254" s="1">
        <v>29</v>
      </c>
      <c r="D254" t="s">
        <v>3</v>
      </c>
      <c r="E254" t="s">
        <v>133</v>
      </c>
      <c r="F254" s="1">
        <v>41029</v>
      </c>
      <c r="G254" s="1">
        <v>41</v>
      </c>
      <c r="H254" s="1">
        <v>51</v>
      </c>
      <c r="I254" t="s">
        <v>3</v>
      </c>
      <c r="J254" t="s">
        <v>6</v>
      </c>
      <c r="K254" s="1">
        <v>41051</v>
      </c>
      <c r="L254" s="1">
        <v>383</v>
      </c>
      <c r="M254" s="1"/>
      <c r="N254" s="1">
        <v>21416000</v>
      </c>
      <c r="O254" s="1">
        <v>41051</v>
      </c>
      <c r="P254" s="1">
        <v>0</v>
      </c>
      <c r="Q254" s="1">
        <v>1</v>
      </c>
    </row>
    <row r="255">
      <c r="A255" s="1">
        <v>2017</v>
      </c>
      <c r="B255" s="1">
        <v>41</v>
      </c>
      <c r="C255" s="1">
        <v>39</v>
      </c>
      <c r="D255" t="s">
        <v>3</v>
      </c>
      <c r="E255" t="s">
        <v>136</v>
      </c>
      <c r="F255" s="1">
        <v>41039</v>
      </c>
      <c r="G255" s="1">
        <v>41</v>
      </c>
      <c r="H255" s="1">
        <v>51</v>
      </c>
      <c r="I255" t="s">
        <v>3</v>
      </c>
      <c r="J255" t="s">
        <v>6</v>
      </c>
      <c r="K255" s="1">
        <v>41051</v>
      </c>
      <c r="L255" s="1">
        <v>1405</v>
      </c>
      <c r="M255" s="1">
        <v>560</v>
      </c>
      <c r="N255" s="1">
        <v>39397300</v>
      </c>
      <c r="O255" s="1">
        <v>41051</v>
      </c>
      <c r="P255" s="1">
        <v>0</v>
      </c>
      <c r="Q255" s="1">
        <v>1</v>
      </c>
    </row>
    <row r="256">
      <c r="A256" s="1">
        <v>2017</v>
      </c>
      <c r="B256" s="1">
        <v>41</v>
      </c>
      <c r="C256" s="1">
        <v>47</v>
      </c>
      <c r="D256" t="s">
        <v>3</v>
      </c>
      <c r="E256" t="s">
        <v>99</v>
      </c>
      <c r="F256" s="1">
        <v>41047</v>
      </c>
      <c r="G256" s="1">
        <v>41</v>
      </c>
      <c r="H256" s="1">
        <v>51</v>
      </c>
      <c r="I256" t="s">
        <v>3</v>
      </c>
      <c r="J256" t="s">
        <v>6</v>
      </c>
      <c r="K256" s="1">
        <v>41051</v>
      </c>
      <c r="L256" s="1">
        <v>3462</v>
      </c>
      <c r="M256" s="1">
        <v>1724</v>
      </c>
      <c r="N256" s="1">
        <v>96462650</v>
      </c>
      <c r="O256" s="1">
        <v>41051</v>
      </c>
      <c r="P256" s="1">
        <v>0</v>
      </c>
      <c r="Q256" s="1">
        <v>1</v>
      </c>
    </row>
    <row r="257">
      <c r="A257" s="1">
        <v>2017</v>
      </c>
      <c r="B257" s="1">
        <v>41</v>
      </c>
      <c r="C257" s="1">
        <v>51</v>
      </c>
      <c r="D257" t="s">
        <v>3</v>
      </c>
      <c r="E257" t="s">
        <v>6</v>
      </c>
      <c r="F257" s="1">
        <v>41051</v>
      </c>
      <c r="G257" s="1">
        <v>41</v>
      </c>
      <c r="H257" s="1">
        <v>51</v>
      </c>
      <c r="I257" t="s">
        <v>3</v>
      </c>
      <c r="J257" t="s">
        <v>6</v>
      </c>
      <c r="K257" s="1">
        <v>41051</v>
      </c>
      <c r="L257" s="1">
        <v>581400</v>
      </c>
      <c r="M257" s="1">
        <v>299971</v>
      </c>
      <c r="N257" s="1">
        <v>26819594030</v>
      </c>
      <c r="O257" s="1">
        <v>41051</v>
      </c>
      <c r="P257" s="1">
        <v>1</v>
      </c>
      <c r="Q257" s="1">
        <v>1</v>
      </c>
    </row>
    <row r="258">
      <c r="A258" s="1">
        <v>2017</v>
      </c>
      <c r="B258" s="1">
        <v>41</v>
      </c>
      <c r="C258" s="1">
        <v>67</v>
      </c>
      <c r="D258" t="s">
        <v>3</v>
      </c>
      <c r="E258" t="s">
        <v>143</v>
      </c>
      <c r="F258" s="1">
        <v>41067</v>
      </c>
      <c r="G258" s="1">
        <v>41</v>
      </c>
      <c r="H258" s="1">
        <v>51</v>
      </c>
      <c r="I258" t="s">
        <v>3</v>
      </c>
      <c r="J258" t="s">
        <v>6</v>
      </c>
      <c r="K258" s="1">
        <v>41051</v>
      </c>
      <c r="L258" s="1">
        <v>5300</v>
      </c>
      <c r="M258" s="1">
        <v>2852</v>
      </c>
      <c r="N258" s="1">
        <v>308235410</v>
      </c>
      <c r="O258" s="1">
        <v>41051</v>
      </c>
      <c r="P258" s="1">
        <v>0</v>
      </c>
      <c r="Q258" s="1">
        <v>1</v>
      </c>
    </row>
    <row r="259">
      <c r="A259" s="1">
        <v>2017</v>
      </c>
      <c r="B259" s="1">
        <v>42</v>
      </c>
      <c r="C259" s="1">
        <v>0</v>
      </c>
      <c r="D259" t="s">
        <v>411</v>
      </c>
      <c r="E259" t="s">
        <v>276</v>
      </c>
      <c r="F259" s="1">
        <v>42000</v>
      </c>
      <c r="G259" s="1">
        <v>41</v>
      </c>
      <c r="H259" s="1">
        <v>51</v>
      </c>
      <c r="I259" t="s">
        <v>3</v>
      </c>
      <c r="J259" t="s">
        <v>6</v>
      </c>
      <c r="K259" s="1">
        <v>41051</v>
      </c>
      <c r="L259" s="1">
        <v>94</v>
      </c>
      <c r="M259" s="1"/>
      <c r="N259" s="1">
        <v>89300</v>
      </c>
      <c r="O259" s="1">
        <v>41051</v>
      </c>
      <c r="P259" s="1">
        <v>0</v>
      </c>
      <c r="Q259" s="1">
        <v>1</v>
      </c>
    </row>
    <row r="260">
      <c r="A260" s="1">
        <v>2017</v>
      </c>
      <c r="B260" s="1">
        <v>42</v>
      </c>
      <c r="C260" s="1">
        <v>3</v>
      </c>
      <c r="D260" t="s">
        <v>34</v>
      </c>
      <c r="E260" t="s">
        <v>145</v>
      </c>
      <c r="F260" s="1">
        <v>42003</v>
      </c>
      <c r="G260" s="1">
        <v>41</v>
      </c>
      <c r="H260" s="1">
        <v>51</v>
      </c>
      <c r="I260" t="s">
        <v>3</v>
      </c>
      <c r="J260" t="s">
        <v>6</v>
      </c>
      <c r="K260" s="1">
        <v>41051</v>
      </c>
      <c r="L260" s="1">
        <v>98</v>
      </c>
      <c r="M260" s="1">
        <v>97</v>
      </c>
      <c r="N260" s="1">
        <v>12250000</v>
      </c>
      <c r="O260" s="1">
        <v>41051</v>
      </c>
      <c r="P260" s="1">
        <v>0</v>
      </c>
      <c r="Q260" s="1">
        <v>1</v>
      </c>
    </row>
    <row r="261">
      <c r="A261" s="1">
        <v>2017</v>
      </c>
      <c r="B261" s="1">
        <v>42</v>
      </c>
      <c r="C261" s="1">
        <v>45</v>
      </c>
      <c r="D261" t="s">
        <v>34</v>
      </c>
      <c r="E261" t="s">
        <v>292</v>
      </c>
      <c r="F261" s="1">
        <v>42045</v>
      </c>
      <c r="G261" s="1">
        <v>41</v>
      </c>
      <c r="H261" s="1">
        <v>51</v>
      </c>
      <c r="I261" t="s">
        <v>3</v>
      </c>
      <c r="J261" t="s">
        <v>6</v>
      </c>
      <c r="K261" s="1">
        <v>41051</v>
      </c>
      <c r="L261" s="1">
        <v>115</v>
      </c>
      <c r="M261" s="1">
        <v>51</v>
      </c>
      <c r="N261" s="1">
        <v>24331000</v>
      </c>
      <c r="O261" s="1">
        <v>41051</v>
      </c>
      <c r="P261" s="1">
        <v>0</v>
      </c>
      <c r="Q261" s="1">
        <v>1</v>
      </c>
    </row>
    <row r="262">
      <c r="A262" s="1">
        <v>2017</v>
      </c>
      <c r="B262" s="1">
        <v>44</v>
      </c>
      <c r="C262" s="1">
        <v>3</v>
      </c>
      <c r="D262" t="s">
        <v>48</v>
      </c>
      <c r="E262" t="s">
        <v>193</v>
      </c>
      <c r="F262" s="1">
        <v>44003</v>
      </c>
      <c r="G262" s="1">
        <v>41</v>
      </c>
      <c r="H262" s="1">
        <v>51</v>
      </c>
      <c r="I262" t="s">
        <v>3</v>
      </c>
      <c r="J262" t="s">
        <v>6</v>
      </c>
      <c r="K262" s="1">
        <v>41051</v>
      </c>
      <c r="L262" s="1">
        <v>71</v>
      </c>
      <c r="M262" s="1"/>
      <c r="N262" s="1">
        <v>923000</v>
      </c>
      <c r="O262" s="1">
        <v>41051</v>
      </c>
      <c r="P262" s="1">
        <v>0</v>
      </c>
      <c r="Q262" s="1">
        <v>1</v>
      </c>
    </row>
    <row r="263">
      <c r="A263" s="1">
        <v>2017</v>
      </c>
      <c r="B263" s="1">
        <v>46</v>
      </c>
      <c r="C263" s="1">
        <v>0</v>
      </c>
      <c r="D263" t="s">
        <v>411</v>
      </c>
      <c r="E263" t="s">
        <v>276</v>
      </c>
      <c r="F263" s="1">
        <v>46000</v>
      </c>
      <c r="G263" s="1">
        <v>41</v>
      </c>
      <c r="H263" s="1">
        <v>51</v>
      </c>
      <c r="I263" t="s">
        <v>3</v>
      </c>
      <c r="J263" t="s">
        <v>6</v>
      </c>
      <c r="K263" s="1">
        <v>41051</v>
      </c>
      <c r="L263" s="1">
        <v>131</v>
      </c>
      <c r="M263" s="1">
        <v>59</v>
      </c>
      <c r="N263" s="1">
        <v>1255000</v>
      </c>
      <c r="O263" s="1">
        <v>41051</v>
      </c>
      <c r="P263" s="1">
        <v>0</v>
      </c>
      <c r="Q263" s="1">
        <v>1</v>
      </c>
    </row>
    <row r="264">
      <c r="A264" s="1">
        <v>2017</v>
      </c>
      <c r="B264" s="1">
        <v>48</v>
      </c>
      <c r="C264" s="1">
        <v>29</v>
      </c>
      <c r="D264" t="s">
        <v>36</v>
      </c>
      <c r="E264" t="s">
        <v>149</v>
      </c>
      <c r="F264" s="1">
        <v>48029</v>
      </c>
      <c r="G264" s="1">
        <v>41</v>
      </c>
      <c r="H264" s="1">
        <v>51</v>
      </c>
      <c r="I264" t="s">
        <v>3</v>
      </c>
      <c r="J264" t="s">
        <v>6</v>
      </c>
      <c r="K264" s="1">
        <v>41051</v>
      </c>
      <c r="L264" s="1">
        <v>56</v>
      </c>
      <c r="M264" s="1">
        <v>56</v>
      </c>
      <c r="N264" s="1">
        <v>1876000</v>
      </c>
      <c r="O264" s="1">
        <v>41051</v>
      </c>
      <c r="P264" s="1">
        <v>0</v>
      </c>
      <c r="Q264" s="1">
        <v>1</v>
      </c>
    </row>
    <row r="265">
      <c r="A265" s="1">
        <v>2017</v>
      </c>
      <c r="B265" s="1">
        <v>48</v>
      </c>
      <c r="C265" s="1">
        <v>113</v>
      </c>
      <c r="D265" t="s">
        <v>36</v>
      </c>
      <c r="E265" t="s">
        <v>150</v>
      </c>
      <c r="F265" s="1">
        <v>48113</v>
      </c>
      <c r="G265" s="1">
        <v>41</v>
      </c>
      <c r="H265" s="1">
        <v>51</v>
      </c>
      <c r="I265" t="s">
        <v>3</v>
      </c>
      <c r="J265" t="s">
        <v>6</v>
      </c>
      <c r="K265" s="1">
        <v>41051</v>
      </c>
      <c r="L265" s="1">
        <v>111</v>
      </c>
      <c r="M265" s="1">
        <v>111</v>
      </c>
      <c r="N265" s="1">
        <v>976800</v>
      </c>
      <c r="O265" s="1">
        <v>41051</v>
      </c>
      <c r="P265" s="1">
        <v>0</v>
      </c>
      <c r="Q265" s="1">
        <v>1</v>
      </c>
    </row>
    <row r="266">
      <c r="A266" s="1">
        <v>2017</v>
      </c>
      <c r="B266" s="1">
        <v>48</v>
      </c>
      <c r="C266" s="1">
        <v>453</v>
      </c>
      <c r="D266" t="s">
        <v>36</v>
      </c>
      <c r="E266" t="s">
        <v>153</v>
      </c>
      <c r="F266" s="1">
        <v>48453</v>
      </c>
      <c r="G266" s="1">
        <v>41</v>
      </c>
      <c r="H266" s="1">
        <v>51</v>
      </c>
      <c r="I266" t="s">
        <v>3</v>
      </c>
      <c r="J266" t="s">
        <v>6</v>
      </c>
      <c r="K266" s="1">
        <v>41051</v>
      </c>
      <c r="L266" s="1">
        <v>489</v>
      </c>
      <c r="M266" s="1">
        <v>213</v>
      </c>
      <c r="N266" s="1">
        <v>12683000</v>
      </c>
      <c r="O266" s="1">
        <v>41051</v>
      </c>
      <c r="P266" s="1">
        <v>0</v>
      </c>
      <c r="Q266" s="1">
        <v>1</v>
      </c>
    </row>
    <row r="267">
      <c r="A267" s="1">
        <v>2017</v>
      </c>
      <c r="B267" s="1">
        <v>49</v>
      </c>
      <c r="C267" s="1">
        <v>35</v>
      </c>
      <c r="D267" t="s">
        <v>37</v>
      </c>
      <c r="E267" t="s">
        <v>154</v>
      </c>
      <c r="F267" s="1">
        <v>49035</v>
      </c>
      <c r="G267" s="1">
        <v>41</v>
      </c>
      <c r="H267" s="1">
        <v>51</v>
      </c>
      <c r="I267" t="s">
        <v>3</v>
      </c>
      <c r="J267" t="s">
        <v>6</v>
      </c>
      <c r="K267" s="1">
        <v>41051</v>
      </c>
      <c r="L267" s="1">
        <v>1085</v>
      </c>
      <c r="M267" s="1">
        <v>648</v>
      </c>
      <c r="N267" s="1">
        <v>64598700</v>
      </c>
      <c r="O267" s="1">
        <v>41051</v>
      </c>
      <c r="P267" s="1">
        <v>0</v>
      </c>
      <c r="Q267" s="1">
        <v>1</v>
      </c>
    </row>
    <row r="268">
      <c r="A268" s="1">
        <v>2017</v>
      </c>
      <c r="B268" s="1">
        <v>51</v>
      </c>
      <c r="C268" s="1">
        <v>0</v>
      </c>
      <c r="D268" t="s">
        <v>411</v>
      </c>
      <c r="E268" t="s">
        <v>276</v>
      </c>
      <c r="F268" s="1">
        <v>51000</v>
      </c>
      <c r="G268" s="1">
        <v>41</v>
      </c>
      <c r="H268" s="1">
        <v>51</v>
      </c>
      <c r="I268" t="s">
        <v>3</v>
      </c>
      <c r="J268" t="s">
        <v>6</v>
      </c>
      <c r="K268" s="1">
        <v>41051</v>
      </c>
      <c r="L268" s="1">
        <v>150</v>
      </c>
      <c r="M268" s="1">
        <v>59</v>
      </c>
      <c r="N268" s="1">
        <v>3600000</v>
      </c>
      <c r="O268" s="1">
        <v>41051</v>
      </c>
      <c r="P268" s="1">
        <v>0</v>
      </c>
      <c r="Q268" s="1">
        <v>1</v>
      </c>
    </row>
    <row r="269">
      <c r="A269" s="1">
        <v>2017</v>
      </c>
      <c r="B269" s="1">
        <v>51</v>
      </c>
      <c r="C269" s="1">
        <v>810</v>
      </c>
      <c r="D269" t="s">
        <v>39</v>
      </c>
      <c r="E269" t="s">
        <v>294</v>
      </c>
      <c r="F269" s="1">
        <v>51810</v>
      </c>
      <c r="G269" s="1">
        <v>41</v>
      </c>
      <c r="H269" s="1">
        <v>51</v>
      </c>
      <c r="I269" t="s">
        <v>3</v>
      </c>
      <c r="J269" t="s">
        <v>6</v>
      </c>
      <c r="K269" s="1">
        <v>41051</v>
      </c>
      <c r="L269" s="1">
        <v>214</v>
      </c>
      <c r="M269" s="1"/>
      <c r="N269" s="1">
        <v>4498000</v>
      </c>
      <c r="O269" s="1">
        <v>41051</v>
      </c>
      <c r="P269" s="1">
        <v>0</v>
      </c>
      <c r="Q269" s="1">
        <v>1</v>
      </c>
    </row>
    <row r="270">
      <c r="A270" s="1">
        <v>2017</v>
      </c>
      <c r="B270" s="1">
        <v>53</v>
      </c>
      <c r="C270" s="1">
        <v>0</v>
      </c>
      <c r="D270" t="s">
        <v>411</v>
      </c>
      <c r="E270" t="s">
        <v>276</v>
      </c>
      <c r="F270" s="1">
        <v>53000</v>
      </c>
      <c r="G270" s="1">
        <v>41</v>
      </c>
      <c r="H270" s="1">
        <v>51</v>
      </c>
      <c r="I270" t="s">
        <v>3</v>
      </c>
      <c r="J270" t="s">
        <v>6</v>
      </c>
      <c r="K270" s="1">
        <v>41051</v>
      </c>
      <c r="L270" s="1">
        <v>590</v>
      </c>
      <c r="M270" s="1">
        <v>262</v>
      </c>
      <c r="N270" s="1">
        <v>21159900</v>
      </c>
      <c r="O270" s="1">
        <v>41051</v>
      </c>
      <c r="P270" s="1">
        <v>0</v>
      </c>
      <c r="Q270" s="1">
        <v>1</v>
      </c>
    </row>
    <row r="271">
      <c r="A271" s="1">
        <v>2017</v>
      </c>
      <c r="B271" s="1">
        <v>53</v>
      </c>
      <c r="C271" s="1">
        <v>11</v>
      </c>
      <c r="D271" t="s">
        <v>40</v>
      </c>
      <c r="E271" t="s">
        <v>112</v>
      </c>
      <c r="F271" s="1">
        <v>53011</v>
      </c>
      <c r="G271" s="1">
        <v>41</v>
      </c>
      <c r="H271" s="1">
        <v>51</v>
      </c>
      <c r="I271" t="s">
        <v>3</v>
      </c>
      <c r="J271" t="s">
        <v>6</v>
      </c>
      <c r="K271" s="1">
        <v>41051</v>
      </c>
      <c r="L271" s="1">
        <v>1975</v>
      </c>
      <c r="M271" s="1">
        <v>1008</v>
      </c>
      <c r="N271" s="1">
        <v>104052300</v>
      </c>
      <c r="O271" s="1">
        <v>41051</v>
      </c>
      <c r="P271" s="1">
        <v>0</v>
      </c>
      <c r="Q271" s="1">
        <v>1</v>
      </c>
    </row>
    <row r="272">
      <c r="A272" s="1">
        <v>2017</v>
      </c>
      <c r="B272" s="1">
        <v>53</v>
      </c>
      <c r="C272" s="1">
        <v>33</v>
      </c>
      <c r="D272" t="s">
        <v>40</v>
      </c>
      <c r="E272" t="s">
        <v>160</v>
      </c>
      <c r="F272" s="1">
        <v>53033</v>
      </c>
      <c r="G272" s="1">
        <v>41</v>
      </c>
      <c r="H272" s="1">
        <v>51</v>
      </c>
      <c r="I272" t="s">
        <v>3</v>
      </c>
      <c r="J272" t="s">
        <v>6</v>
      </c>
      <c r="K272" s="1">
        <v>41051</v>
      </c>
      <c r="L272" s="1">
        <v>1624</v>
      </c>
      <c r="M272" s="1">
        <v>542</v>
      </c>
      <c r="N272" s="1">
        <v>72174530</v>
      </c>
      <c r="O272" s="1">
        <v>41051</v>
      </c>
      <c r="P272" s="1">
        <v>0</v>
      </c>
      <c r="Q272" s="1">
        <v>1</v>
      </c>
    </row>
    <row r="273">
      <c r="A273" s="1">
        <v>2017</v>
      </c>
      <c r="B273" s="1">
        <v>53</v>
      </c>
      <c r="C273" s="1">
        <v>53</v>
      </c>
      <c r="D273" t="s">
        <v>40</v>
      </c>
      <c r="E273" t="s">
        <v>165</v>
      </c>
      <c r="F273" s="1">
        <v>53053</v>
      </c>
      <c r="G273" s="1">
        <v>41</v>
      </c>
      <c r="H273" s="1">
        <v>51</v>
      </c>
      <c r="I273" t="s">
        <v>3</v>
      </c>
      <c r="J273" t="s">
        <v>6</v>
      </c>
      <c r="K273" s="1">
        <v>41051</v>
      </c>
      <c r="L273" s="1">
        <v>652</v>
      </c>
      <c r="M273" s="1">
        <v>313</v>
      </c>
      <c r="N273" s="1">
        <v>14107600</v>
      </c>
      <c r="O273" s="1">
        <v>41051</v>
      </c>
      <c r="P273" s="1">
        <v>0</v>
      </c>
      <c r="Q273" s="1">
        <v>1</v>
      </c>
    </row>
    <row r="274">
      <c r="A274" s="1">
        <v>2017</v>
      </c>
      <c r="B274" s="1">
        <v>53</v>
      </c>
      <c r="C274" s="1">
        <v>61</v>
      </c>
      <c r="D274" t="s">
        <v>40</v>
      </c>
      <c r="E274" t="s">
        <v>167</v>
      </c>
      <c r="F274" s="1">
        <v>53061</v>
      </c>
      <c r="G274" s="1">
        <v>41</v>
      </c>
      <c r="H274" s="1">
        <v>51</v>
      </c>
      <c r="I274" t="s">
        <v>3</v>
      </c>
      <c r="J274" t="s">
        <v>6</v>
      </c>
      <c r="K274" s="1">
        <v>41051</v>
      </c>
      <c r="L274" s="1">
        <v>144</v>
      </c>
      <c r="M274" s="1">
        <v>74</v>
      </c>
      <c r="N274" s="1">
        <v>9400000</v>
      </c>
      <c r="O274" s="1">
        <v>41051</v>
      </c>
      <c r="P274" s="1">
        <v>0</v>
      </c>
      <c r="Q274" s="1">
        <v>1</v>
      </c>
    </row>
    <row r="275">
      <c r="A275" s="1">
        <v>2017</v>
      </c>
      <c r="B275" s="1">
        <v>53</v>
      </c>
      <c r="C275" s="1">
        <v>67</v>
      </c>
      <c r="D275" t="s">
        <v>40</v>
      </c>
      <c r="E275" t="s">
        <v>169</v>
      </c>
      <c r="F275" s="1">
        <v>53067</v>
      </c>
      <c r="G275" s="1">
        <v>41</v>
      </c>
      <c r="H275" s="1">
        <v>51</v>
      </c>
      <c r="I275" t="s">
        <v>3</v>
      </c>
      <c r="J275" t="s">
        <v>6</v>
      </c>
      <c r="K275" s="1">
        <v>41051</v>
      </c>
      <c r="L275" s="1">
        <v>87</v>
      </c>
      <c r="M275" s="1">
        <v>87</v>
      </c>
      <c r="N275" s="1">
        <v>3915000</v>
      </c>
      <c r="O275" s="1">
        <v>41051</v>
      </c>
      <c r="P275" s="1">
        <v>0</v>
      </c>
      <c r="Q275" s="1">
        <v>1</v>
      </c>
    </row>
    <row r="276">
      <c r="A276" s="1">
        <v>2017</v>
      </c>
      <c r="B276" s="1">
        <v>53</v>
      </c>
      <c r="C276" s="1">
        <v>77</v>
      </c>
      <c r="D276" t="s">
        <v>40</v>
      </c>
      <c r="E276" t="s">
        <v>172</v>
      </c>
      <c r="F276" s="1">
        <v>53077</v>
      </c>
      <c r="G276" s="1">
        <v>41</v>
      </c>
      <c r="H276" s="1">
        <v>51</v>
      </c>
      <c r="I276" t="s">
        <v>3</v>
      </c>
      <c r="J276" t="s">
        <v>6</v>
      </c>
      <c r="K276" s="1">
        <v>41051</v>
      </c>
      <c r="L276" s="1">
        <v>114</v>
      </c>
      <c r="M276" s="1">
        <v>114</v>
      </c>
      <c r="N276" s="1">
        <v>10317000</v>
      </c>
      <c r="O276" s="1">
        <v>41051</v>
      </c>
      <c r="P276" s="1">
        <v>0</v>
      </c>
      <c r="Q276" s="1">
        <v>1</v>
      </c>
    </row>
    <row r="277">
      <c r="A277" s="1">
        <v>2017</v>
      </c>
      <c r="B277" s="1">
        <v>54</v>
      </c>
      <c r="C277" s="1">
        <v>0</v>
      </c>
      <c r="D277" t="s">
        <v>411</v>
      </c>
      <c r="E277" t="s">
        <v>276</v>
      </c>
      <c r="F277" s="1">
        <v>54000</v>
      </c>
      <c r="G277" s="1">
        <v>41</v>
      </c>
      <c r="H277" s="1">
        <v>51</v>
      </c>
      <c r="I277" t="s">
        <v>3</v>
      </c>
      <c r="J277" t="s">
        <v>6</v>
      </c>
      <c r="K277" s="1">
        <v>41051</v>
      </c>
      <c r="L277" s="1">
        <v>160</v>
      </c>
      <c r="M277" s="1">
        <v>91</v>
      </c>
      <c r="N277" s="1">
        <v>5144000</v>
      </c>
      <c r="O277" s="1">
        <v>41051</v>
      </c>
      <c r="P277" s="1">
        <v>0</v>
      </c>
      <c r="Q277" s="1">
        <v>1</v>
      </c>
    </row>
    <row r="278">
      <c r="A278" s="1">
        <v>2017</v>
      </c>
      <c r="B278" s="1">
        <v>55</v>
      </c>
      <c r="C278" s="1">
        <v>79</v>
      </c>
      <c r="D278" t="s">
        <v>41</v>
      </c>
      <c r="E278" t="s">
        <v>174</v>
      </c>
      <c r="F278" s="1">
        <v>55079</v>
      </c>
      <c r="G278" s="1">
        <v>41</v>
      </c>
      <c r="H278" s="1">
        <v>51</v>
      </c>
      <c r="I278" t="s">
        <v>3</v>
      </c>
      <c r="J278" t="s">
        <v>6</v>
      </c>
      <c r="K278" s="1">
        <v>41051</v>
      </c>
      <c r="L278" s="1">
        <v>276</v>
      </c>
      <c r="M278" s="1">
        <v>180</v>
      </c>
      <c r="N278" s="1">
        <v>6630400</v>
      </c>
      <c r="O278" s="1">
        <v>41051</v>
      </c>
      <c r="P278" s="1">
        <v>0</v>
      </c>
      <c r="Q278" s="1">
        <v>1</v>
      </c>
    </row>
    <row r="279">
      <c r="A279" s="1">
        <v>2018</v>
      </c>
      <c r="B279" s="1">
        <v>2</v>
      </c>
      <c r="C279" s="1">
        <v>0</v>
      </c>
      <c r="D279" t="s">
        <v>411</v>
      </c>
      <c r="E279" t="s">
        <v>276</v>
      </c>
      <c r="F279" s="1">
        <v>2000</v>
      </c>
      <c r="G279" s="1">
        <v>41</v>
      </c>
      <c r="H279" s="1">
        <v>51</v>
      </c>
      <c r="I279" t="s">
        <v>3</v>
      </c>
      <c r="J279" t="s">
        <v>6</v>
      </c>
      <c r="K279" s="1">
        <v>41051</v>
      </c>
      <c r="L279" s="1">
        <v>125</v>
      </c>
      <c r="M279" s="1">
        <v>68</v>
      </c>
      <c r="N279" s="1">
        <v>1355500</v>
      </c>
      <c r="O279" s="1">
        <v>41051</v>
      </c>
      <c r="P279" s="1">
        <v>0</v>
      </c>
      <c r="Q279" s="1">
        <v>1</v>
      </c>
    </row>
    <row r="280">
      <c r="A280" s="1">
        <v>2018</v>
      </c>
      <c r="B280" s="1">
        <v>4</v>
      </c>
      <c r="C280" s="1">
        <v>13</v>
      </c>
      <c r="D280" t="s">
        <v>10</v>
      </c>
      <c r="E280" t="s">
        <v>53</v>
      </c>
      <c r="F280" s="1">
        <v>4013</v>
      </c>
      <c r="G280" s="1">
        <v>41</v>
      </c>
      <c r="H280" s="1">
        <v>51</v>
      </c>
      <c r="I280" t="s">
        <v>3</v>
      </c>
      <c r="J280" t="s">
        <v>6</v>
      </c>
      <c r="K280" s="1">
        <v>41051</v>
      </c>
      <c r="L280" s="1">
        <v>310</v>
      </c>
      <c r="M280" s="1">
        <v>228</v>
      </c>
      <c r="N280" s="1">
        <v>12562600</v>
      </c>
      <c r="O280" s="1">
        <v>41051</v>
      </c>
      <c r="P280" s="1">
        <v>0</v>
      </c>
      <c r="Q280" s="1">
        <v>1</v>
      </c>
    </row>
    <row r="281">
      <c r="A281" s="1">
        <v>2018</v>
      </c>
      <c r="B281" s="1">
        <v>4</v>
      </c>
      <c r="C281" s="1">
        <v>25</v>
      </c>
      <c r="D281" t="s">
        <v>10</v>
      </c>
      <c r="E281" t="s">
        <v>176</v>
      </c>
      <c r="F281" s="1">
        <v>4025</v>
      </c>
      <c r="G281" s="1">
        <v>41</v>
      </c>
      <c r="H281" s="1">
        <v>51</v>
      </c>
      <c r="I281" t="s">
        <v>3</v>
      </c>
      <c r="J281" t="s">
        <v>6</v>
      </c>
      <c r="K281" s="1">
        <v>41051</v>
      </c>
      <c r="L281" s="1">
        <v>267</v>
      </c>
      <c r="M281" s="1">
        <v>135</v>
      </c>
      <c r="N281" s="1">
        <v>4143000</v>
      </c>
      <c r="O281" s="1">
        <v>41051</v>
      </c>
      <c r="P281" s="1">
        <v>0</v>
      </c>
      <c r="Q281" s="1">
        <v>1</v>
      </c>
    </row>
    <row r="282">
      <c r="A282" s="1">
        <v>2018</v>
      </c>
      <c r="B282" s="1">
        <v>5</v>
      </c>
      <c r="C282" s="1">
        <v>119</v>
      </c>
      <c r="D282" t="s">
        <v>272</v>
      </c>
      <c r="E282" t="s">
        <v>368</v>
      </c>
      <c r="F282" s="1">
        <v>5119</v>
      </c>
      <c r="G282" s="1">
        <v>41</v>
      </c>
      <c r="H282" s="1">
        <v>51</v>
      </c>
      <c r="I282" t="s">
        <v>3</v>
      </c>
      <c r="J282" t="s">
        <v>6</v>
      </c>
      <c r="K282" s="1">
        <v>41051</v>
      </c>
      <c r="L282" s="1">
        <v>180</v>
      </c>
      <c r="M282" s="1">
        <v>118</v>
      </c>
      <c r="N282" s="1">
        <v>13764000</v>
      </c>
      <c r="O282" s="1">
        <v>41051</v>
      </c>
      <c r="P282" s="1">
        <v>0</v>
      </c>
      <c r="Q282" s="1">
        <v>1</v>
      </c>
    </row>
    <row r="283">
      <c r="A283" s="1">
        <v>2018</v>
      </c>
      <c r="B283" s="1">
        <v>6</v>
      </c>
      <c r="C283" s="1">
        <v>0</v>
      </c>
      <c r="D283" t="s">
        <v>411</v>
      </c>
      <c r="E283" t="s">
        <v>276</v>
      </c>
      <c r="F283" s="1">
        <v>6000</v>
      </c>
      <c r="G283" s="1">
        <v>41</v>
      </c>
      <c r="H283" s="1">
        <v>51</v>
      </c>
      <c r="I283" t="s">
        <v>3</v>
      </c>
      <c r="J283" t="s">
        <v>6</v>
      </c>
      <c r="K283" s="1">
        <v>41051</v>
      </c>
      <c r="L283" s="1">
        <v>233</v>
      </c>
      <c r="M283" s="1"/>
      <c r="N283" s="1">
        <v>1467900</v>
      </c>
      <c r="O283" s="1">
        <v>41051</v>
      </c>
      <c r="P283" s="1">
        <v>0</v>
      </c>
      <c r="Q283" s="1">
        <v>1</v>
      </c>
    </row>
    <row r="284">
      <c r="A284" s="1">
        <v>2018</v>
      </c>
      <c r="B284" s="1">
        <v>6</v>
      </c>
      <c r="C284" s="1">
        <v>1</v>
      </c>
      <c r="D284" t="s">
        <v>11</v>
      </c>
      <c r="E284" t="s">
        <v>56</v>
      </c>
      <c r="F284" s="1">
        <v>6001</v>
      </c>
      <c r="G284" s="1">
        <v>41</v>
      </c>
      <c r="H284" s="1">
        <v>51</v>
      </c>
      <c r="I284" t="s">
        <v>3</v>
      </c>
      <c r="J284" t="s">
        <v>6</v>
      </c>
      <c r="K284" s="1">
        <v>41051</v>
      </c>
      <c r="L284" s="1">
        <v>831</v>
      </c>
      <c r="M284" s="1">
        <v>165</v>
      </c>
      <c r="N284" s="1">
        <v>30249700</v>
      </c>
      <c r="O284" s="1">
        <v>41051</v>
      </c>
      <c r="P284" s="1">
        <v>0</v>
      </c>
      <c r="Q284" s="1">
        <v>1</v>
      </c>
    </row>
    <row r="285">
      <c r="A285" s="1">
        <v>2018</v>
      </c>
      <c r="B285" s="1">
        <v>6</v>
      </c>
      <c r="C285" s="1">
        <v>13</v>
      </c>
      <c r="D285" t="s">
        <v>11</v>
      </c>
      <c r="E285" t="s">
        <v>57</v>
      </c>
      <c r="F285" s="1">
        <v>6013</v>
      </c>
      <c r="G285" s="1">
        <v>41</v>
      </c>
      <c r="H285" s="1">
        <v>51</v>
      </c>
      <c r="I285" t="s">
        <v>3</v>
      </c>
      <c r="J285" t="s">
        <v>6</v>
      </c>
      <c r="K285" s="1">
        <v>41051</v>
      </c>
      <c r="L285" s="1">
        <v>102</v>
      </c>
      <c r="M285" s="1">
        <v>103</v>
      </c>
      <c r="N285" s="1">
        <v>3876000</v>
      </c>
      <c r="O285" s="1">
        <v>41051</v>
      </c>
      <c r="P285" s="1">
        <v>0</v>
      </c>
      <c r="Q285" s="1">
        <v>1</v>
      </c>
    </row>
    <row r="286">
      <c r="A286" s="1">
        <v>2018</v>
      </c>
      <c r="B286" s="1">
        <v>6</v>
      </c>
      <c r="C286" s="1">
        <v>19</v>
      </c>
      <c r="D286" t="s">
        <v>11</v>
      </c>
      <c r="E286" t="s">
        <v>58</v>
      </c>
      <c r="F286" s="1">
        <v>6019</v>
      </c>
      <c r="G286" s="1">
        <v>41</v>
      </c>
      <c r="H286" s="1">
        <v>51</v>
      </c>
      <c r="I286" t="s">
        <v>3</v>
      </c>
      <c r="J286" t="s">
        <v>6</v>
      </c>
      <c r="K286" s="1">
        <v>41051</v>
      </c>
      <c r="L286" s="1">
        <v>147</v>
      </c>
      <c r="M286" s="1">
        <v>69</v>
      </c>
      <c r="N286" s="1">
        <v>2679600</v>
      </c>
      <c r="O286" s="1">
        <v>41051</v>
      </c>
      <c r="P286" s="1">
        <v>0</v>
      </c>
      <c r="Q286" s="1">
        <v>1</v>
      </c>
    </row>
    <row r="287">
      <c r="A287" s="1">
        <v>2018</v>
      </c>
      <c r="B287" s="1">
        <v>6</v>
      </c>
      <c r="C287" s="1">
        <v>23</v>
      </c>
      <c r="D287" t="s">
        <v>11</v>
      </c>
      <c r="E287" t="s">
        <v>59</v>
      </c>
      <c r="F287" s="1">
        <v>6023</v>
      </c>
      <c r="G287" s="1">
        <v>41</v>
      </c>
      <c r="H287" s="1">
        <v>51</v>
      </c>
      <c r="I287" t="s">
        <v>3</v>
      </c>
      <c r="J287" t="s">
        <v>6</v>
      </c>
      <c r="K287" s="1">
        <v>41051</v>
      </c>
      <c r="L287" s="1">
        <v>330</v>
      </c>
      <c r="M287" s="1">
        <v>89</v>
      </c>
      <c r="N287" s="1">
        <v>13928890</v>
      </c>
      <c r="O287" s="1">
        <v>41051</v>
      </c>
      <c r="P287" s="1">
        <v>0</v>
      </c>
      <c r="Q287" s="1">
        <v>1</v>
      </c>
    </row>
    <row r="288">
      <c r="A288" s="1">
        <v>2018</v>
      </c>
      <c r="B288" s="1">
        <v>6</v>
      </c>
      <c r="C288" s="1">
        <v>37</v>
      </c>
      <c r="D288" t="s">
        <v>11</v>
      </c>
      <c r="E288" t="s">
        <v>61</v>
      </c>
      <c r="F288" s="1">
        <v>6037</v>
      </c>
      <c r="G288" s="1">
        <v>41</v>
      </c>
      <c r="H288" s="1">
        <v>51</v>
      </c>
      <c r="I288" t="s">
        <v>3</v>
      </c>
      <c r="J288" t="s">
        <v>6</v>
      </c>
      <c r="K288" s="1">
        <v>41051</v>
      </c>
      <c r="L288" s="1">
        <v>1261</v>
      </c>
      <c r="M288" s="1">
        <v>445</v>
      </c>
      <c r="N288" s="1">
        <v>52682670</v>
      </c>
      <c r="O288" s="1">
        <v>41051</v>
      </c>
      <c r="P288" s="1">
        <v>0</v>
      </c>
      <c r="Q288" s="1">
        <v>1</v>
      </c>
    </row>
    <row r="289">
      <c r="A289" s="1">
        <v>2018</v>
      </c>
      <c r="B289" s="1">
        <v>6</v>
      </c>
      <c r="C289" s="1">
        <v>41</v>
      </c>
      <c r="D289" t="s">
        <v>11</v>
      </c>
      <c r="E289" t="s">
        <v>62</v>
      </c>
      <c r="F289" s="1">
        <v>6041</v>
      </c>
      <c r="G289" s="1">
        <v>41</v>
      </c>
      <c r="H289" s="1">
        <v>51</v>
      </c>
      <c r="I289" t="s">
        <v>3</v>
      </c>
      <c r="J289" t="s">
        <v>6</v>
      </c>
      <c r="K289" s="1">
        <v>41051</v>
      </c>
      <c r="L289" s="1">
        <v>152</v>
      </c>
      <c r="M289" s="1">
        <v>72</v>
      </c>
      <c r="N289" s="1">
        <v>4764000</v>
      </c>
      <c r="O289" s="1">
        <v>41051</v>
      </c>
      <c r="P289" s="1">
        <v>0</v>
      </c>
      <c r="Q289" s="1">
        <v>1</v>
      </c>
    </row>
    <row r="290">
      <c r="A290" s="1">
        <v>2018</v>
      </c>
      <c r="B290" s="1">
        <v>6</v>
      </c>
      <c r="C290" s="1">
        <v>67</v>
      </c>
      <c r="D290" t="s">
        <v>11</v>
      </c>
      <c r="E290" t="s">
        <v>67</v>
      </c>
      <c r="F290" s="1">
        <v>6067</v>
      </c>
      <c r="G290" s="1">
        <v>41</v>
      </c>
      <c r="H290" s="1">
        <v>51</v>
      </c>
      <c r="I290" t="s">
        <v>3</v>
      </c>
      <c r="J290" t="s">
        <v>6</v>
      </c>
      <c r="K290" s="1">
        <v>41051</v>
      </c>
      <c r="L290" s="1">
        <v>859</v>
      </c>
      <c r="M290" s="1">
        <v>415</v>
      </c>
      <c r="N290" s="1">
        <v>36001100</v>
      </c>
      <c r="O290" s="1">
        <v>41051</v>
      </c>
      <c r="P290" s="1">
        <v>0</v>
      </c>
      <c r="Q290" s="1">
        <v>1</v>
      </c>
    </row>
    <row r="291">
      <c r="A291" s="1">
        <v>2018</v>
      </c>
      <c r="B291" s="1">
        <v>6</v>
      </c>
      <c r="C291" s="1">
        <v>73</v>
      </c>
      <c r="D291" t="s">
        <v>11</v>
      </c>
      <c r="E291" t="s">
        <v>69</v>
      </c>
      <c r="F291" s="1">
        <v>6073</v>
      </c>
      <c r="G291" s="1">
        <v>41</v>
      </c>
      <c r="H291" s="1">
        <v>51</v>
      </c>
      <c r="I291" t="s">
        <v>3</v>
      </c>
      <c r="J291" t="s">
        <v>6</v>
      </c>
      <c r="K291" s="1">
        <v>41051</v>
      </c>
      <c r="L291" s="1">
        <v>679</v>
      </c>
      <c r="M291" s="1">
        <v>473</v>
      </c>
      <c r="N291" s="1">
        <v>21157400</v>
      </c>
      <c r="O291" s="1">
        <v>41051</v>
      </c>
      <c r="P291" s="1">
        <v>0</v>
      </c>
      <c r="Q291" s="1">
        <v>1</v>
      </c>
    </row>
    <row r="292">
      <c r="A292" s="1">
        <v>2018</v>
      </c>
      <c r="B292" s="1">
        <v>6</v>
      </c>
      <c r="C292" s="1">
        <v>75</v>
      </c>
      <c r="D292" t="s">
        <v>11</v>
      </c>
      <c r="E292" t="s">
        <v>70</v>
      </c>
      <c r="F292" s="1">
        <v>6075</v>
      </c>
      <c r="G292" s="1">
        <v>41</v>
      </c>
      <c r="H292" s="1">
        <v>51</v>
      </c>
      <c r="I292" t="s">
        <v>3</v>
      </c>
      <c r="J292" t="s">
        <v>6</v>
      </c>
      <c r="K292" s="1">
        <v>41051</v>
      </c>
      <c r="L292" s="1">
        <v>474</v>
      </c>
      <c r="M292" s="1">
        <v>197</v>
      </c>
      <c r="N292" s="1">
        <v>44831000</v>
      </c>
      <c r="O292" s="1">
        <v>41051</v>
      </c>
      <c r="P292" s="1">
        <v>0</v>
      </c>
      <c r="Q292" s="1">
        <v>1</v>
      </c>
    </row>
    <row r="293">
      <c r="A293" s="1">
        <v>2018</v>
      </c>
      <c r="B293" s="1">
        <v>6</v>
      </c>
      <c r="C293" s="1">
        <v>81</v>
      </c>
      <c r="D293" t="s">
        <v>11</v>
      </c>
      <c r="E293" t="s">
        <v>72</v>
      </c>
      <c r="F293" s="1">
        <v>6081</v>
      </c>
      <c r="G293" s="1">
        <v>41</v>
      </c>
      <c r="H293" s="1">
        <v>51</v>
      </c>
      <c r="I293" t="s">
        <v>3</v>
      </c>
      <c r="J293" t="s">
        <v>6</v>
      </c>
      <c r="K293" s="1">
        <v>41051</v>
      </c>
      <c r="L293" s="1">
        <v>101</v>
      </c>
      <c r="M293" s="1">
        <v>56</v>
      </c>
      <c r="N293" s="1">
        <v>7227000</v>
      </c>
      <c r="O293" s="1">
        <v>41051</v>
      </c>
      <c r="P293" s="1">
        <v>0</v>
      </c>
      <c r="Q293" s="1">
        <v>1</v>
      </c>
    </row>
    <row r="294">
      <c r="A294" s="1">
        <v>2018</v>
      </c>
      <c r="B294" s="1">
        <v>6</v>
      </c>
      <c r="C294" s="1">
        <v>83</v>
      </c>
      <c r="D294" t="s">
        <v>11</v>
      </c>
      <c r="E294" t="s">
        <v>73</v>
      </c>
      <c r="F294" s="1">
        <v>6083</v>
      </c>
      <c r="G294" s="1">
        <v>41</v>
      </c>
      <c r="H294" s="1">
        <v>51</v>
      </c>
      <c r="I294" t="s">
        <v>3</v>
      </c>
      <c r="J294" t="s">
        <v>6</v>
      </c>
      <c r="K294" s="1">
        <v>41051</v>
      </c>
      <c r="L294" s="1">
        <v>405</v>
      </c>
      <c r="M294" s="1">
        <v>200</v>
      </c>
      <c r="N294" s="1">
        <v>15640000</v>
      </c>
      <c r="O294" s="1">
        <v>41051</v>
      </c>
      <c r="P294" s="1">
        <v>0</v>
      </c>
      <c r="Q294" s="1">
        <v>1</v>
      </c>
    </row>
    <row r="295">
      <c r="A295" s="1">
        <v>2018</v>
      </c>
      <c r="B295" s="1">
        <v>6</v>
      </c>
      <c r="C295" s="1">
        <v>85</v>
      </c>
      <c r="D295" t="s">
        <v>11</v>
      </c>
      <c r="E295" t="s">
        <v>74</v>
      </c>
      <c r="F295" s="1">
        <v>6085</v>
      </c>
      <c r="G295" s="1">
        <v>41</v>
      </c>
      <c r="H295" s="1">
        <v>51</v>
      </c>
      <c r="I295" t="s">
        <v>3</v>
      </c>
      <c r="J295" t="s">
        <v>6</v>
      </c>
      <c r="K295" s="1">
        <v>41051</v>
      </c>
      <c r="L295" s="1">
        <v>639</v>
      </c>
      <c r="M295" s="1">
        <v>392</v>
      </c>
      <c r="N295" s="1">
        <v>37985000</v>
      </c>
      <c r="O295" s="1">
        <v>41051</v>
      </c>
      <c r="P295" s="1">
        <v>0</v>
      </c>
      <c r="Q295" s="1">
        <v>1</v>
      </c>
    </row>
    <row r="296">
      <c r="A296" s="1">
        <v>2018</v>
      </c>
      <c r="B296" s="1">
        <v>6</v>
      </c>
      <c r="C296" s="1">
        <v>87</v>
      </c>
      <c r="D296" t="s">
        <v>11</v>
      </c>
      <c r="E296" t="s">
        <v>75</v>
      </c>
      <c r="F296" s="1">
        <v>6087</v>
      </c>
      <c r="G296" s="1">
        <v>41</v>
      </c>
      <c r="H296" s="1">
        <v>51</v>
      </c>
      <c r="I296" t="s">
        <v>3</v>
      </c>
      <c r="J296" t="s">
        <v>6</v>
      </c>
      <c r="K296" s="1">
        <v>41051</v>
      </c>
      <c r="L296" s="1">
        <v>66</v>
      </c>
      <c r="M296" s="1">
        <v>66</v>
      </c>
      <c r="N296" s="1">
        <v>4620000</v>
      </c>
      <c r="O296" s="1">
        <v>41051</v>
      </c>
      <c r="P296" s="1">
        <v>0</v>
      </c>
      <c r="Q296" s="1">
        <v>1</v>
      </c>
    </row>
    <row r="297">
      <c r="A297" s="1">
        <v>2018</v>
      </c>
      <c r="B297" s="1">
        <v>6</v>
      </c>
      <c r="C297" s="1">
        <v>89</v>
      </c>
      <c r="D297" t="s">
        <v>11</v>
      </c>
      <c r="E297" t="s">
        <v>76</v>
      </c>
      <c r="F297" s="1">
        <v>6089</v>
      </c>
      <c r="G297" s="1">
        <v>41</v>
      </c>
      <c r="H297" s="1">
        <v>51</v>
      </c>
      <c r="I297" t="s">
        <v>3</v>
      </c>
      <c r="J297" t="s">
        <v>6</v>
      </c>
      <c r="K297" s="1">
        <v>41051</v>
      </c>
      <c r="L297" s="1">
        <v>99</v>
      </c>
      <c r="M297" s="1"/>
      <c r="N297" s="1">
        <v>6435000</v>
      </c>
      <c r="O297" s="1">
        <v>41051</v>
      </c>
      <c r="P297" s="1">
        <v>0</v>
      </c>
      <c r="Q297" s="1">
        <v>1</v>
      </c>
    </row>
    <row r="298">
      <c r="A298" s="1">
        <v>2018</v>
      </c>
      <c r="B298" s="1">
        <v>6</v>
      </c>
      <c r="C298" s="1">
        <v>97</v>
      </c>
      <c r="D298" t="s">
        <v>11</v>
      </c>
      <c r="E298" t="s">
        <v>77</v>
      </c>
      <c r="F298" s="1">
        <v>6097</v>
      </c>
      <c r="G298" s="1">
        <v>41</v>
      </c>
      <c r="H298" s="1">
        <v>51</v>
      </c>
      <c r="I298" t="s">
        <v>3</v>
      </c>
      <c r="J298" t="s">
        <v>6</v>
      </c>
      <c r="K298" s="1">
        <v>41051</v>
      </c>
      <c r="L298" s="1">
        <v>361</v>
      </c>
      <c r="M298" s="1">
        <v>201</v>
      </c>
      <c r="N298" s="1">
        <v>14085000</v>
      </c>
      <c r="O298" s="1">
        <v>41051</v>
      </c>
      <c r="P298" s="1">
        <v>0</v>
      </c>
      <c r="Q298" s="1">
        <v>1</v>
      </c>
    </row>
    <row r="299">
      <c r="A299" s="1">
        <v>2018</v>
      </c>
      <c r="B299" s="1">
        <v>6</v>
      </c>
      <c r="C299" s="1">
        <v>111</v>
      </c>
      <c r="D299" t="s">
        <v>11</v>
      </c>
      <c r="E299" t="s">
        <v>78</v>
      </c>
      <c r="F299" s="1">
        <v>6111</v>
      </c>
      <c r="G299" s="1">
        <v>41</v>
      </c>
      <c r="H299" s="1">
        <v>51</v>
      </c>
      <c r="I299" t="s">
        <v>3</v>
      </c>
      <c r="J299" t="s">
        <v>6</v>
      </c>
      <c r="K299" s="1">
        <v>41051</v>
      </c>
      <c r="L299" s="1">
        <v>88</v>
      </c>
      <c r="M299" s="1"/>
      <c r="N299" s="1">
        <v>4840000</v>
      </c>
      <c r="O299" s="1">
        <v>41051</v>
      </c>
      <c r="P299" s="1">
        <v>0</v>
      </c>
      <c r="Q299" s="1">
        <v>1</v>
      </c>
    </row>
    <row r="300">
      <c r="A300" s="1">
        <v>2018</v>
      </c>
      <c r="B300" s="1">
        <v>8</v>
      </c>
      <c r="C300" s="1">
        <v>0</v>
      </c>
      <c r="D300" t="s">
        <v>411</v>
      </c>
      <c r="E300" t="s">
        <v>276</v>
      </c>
      <c r="F300" s="1">
        <v>8000</v>
      </c>
      <c r="G300" s="1">
        <v>41</v>
      </c>
      <c r="H300" s="1">
        <v>51</v>
      </c>
      <c r="I300" t="s">
        <v>3</v>
      </c>
      <c r="J300" t="s">
        <v>6</v>
      </c>
      <c r="K300" s="1">
        <v>41051</v>
      </c>
      <c r="L300" s="1">
        <v>204</v>
      </c>
      <c r="M300" s="1">
        <v>109</v>
      </c>
      <c r="N300" s="1">
        <v>24579000</v>
      </c>
      <c r="O300" s="1">
        <v>41051</v>
      </c>
      <c r="P300" s="1">
        <v>0</v>
      </c>
      <c r="Q300" s="1">
        <v>1</v>
      </c>
    </row>
    <row r="301">
      <c r="A301" s="1">
        <v>2018</v>
      </c>
      <c r="B301" s="1">
        <v>11</v>
      </c>
      <c r="C301" s="1">
        <v>1</v>
      </c>
      <c r="D301" t="s">
        <v>14</v>
      </c>
      <c r="E301" t="s">
        <v>14</v>
      </c>
      <c r="F301" s="1">
        <v>11001</v>
      </c>
      <c r="G301" s="1">
        <v>41</v>
      </c>
      <c r="H301" s="1">
        <v>51</v>
      </c>
      <c r="I301" t="s">
        <v>3</v>
      </c>
      <c r="J301" t="s">
        <v>6</v>
      </c>
      <c r="K301" s="1">
        <v>41051</v>
      </c>
      <c r="L301" s="1">
        <v>268</v>
      </c>
      <c r="M301" s="1">
        <v>234</v>
      </c>
      <c r="N301" s="1">
        <v>3928370</v>
      </c>
      <c r="O301" s="1">
        <v>41051</v>
      </c>
      <c r="P301" s="1">
        <v>0</v>
      </c>
      <c r="Q301" s="1">
        <v>1</v>
      </c>
    </row>
    <row r="302">
      <c r="A302" s="1">
        <v>2018</v>
      </c>
      <c r="B302" s="1">
        <v>12</v>
      </c>
      <c r="C302" s="1">
        <v>11</v>
      </c>
      <c r="D302" t="s">
        <v>15</v>
      </c>
      <c r="E302" t="s">
        <v>183</v>
      </c>
      <c r="F302" s="1">
        <v>12011</v>
      </c>
      <c r="G302" s="1">
        <v>41</v>
      </c>
      <c r="H302" s="1">
        <v>51</v>
      </c>
      <c r="I302" t="s">
        <v>3</v>
      </c>
      <c r="J302" t="s">
        <v>6</v>
      </c>
      <c r="K302" s="1">
        <v>41051</v>
      </c>
      <c r="L302" s="1">
        <v>442</v>
      </c>
      <c r="M302" s="1">
        <v>138</v>
      </c>
      <c r="N302" s="1">
        <v>26933100</v>
      </c>
      <c r="O302" s="1">
        <v>41051</v>
      </c>
      <c r="P302" s="1">
        <v>0</v>
      </c>
      <c r="Q302" s="1">
        <v>1</v>
      </c>
    </row>
    <row r="303">
      <c r="A303" s="1">
        <v>2018</v>
      </c>
      <c r="B303" s="1">
        <v>12</v>
      </c>
      <c r="C303" s="1">
        <v>105</v>
      </c>
      <c r="D303" t="s">
        <v>15</v>
      </c>
      <c r="E303" t="s">
        <v>100</v>
      </c>
      <c r="F303" s="1">
        <v>12105</v>
      </c>
      <c r="G303" s="1">
        <v>41</v>
      </c>
      <c r="H303" s="1">
        <v>51</v>
      </c>
      <c r="I303" t="s">
        <v>3</v>
      </c>
      <c r="J303" t="s">
        <v>6</v>
      </c>
      <c r="K303" s="1">
        <v>41051</v>
      </c>
      <c r="L303" s="1">
        <v>189</v>
      </c>
      <c r="M303" s="1"/>
      <c r="N303" s="1">
        <v>5670000</v>
      </c>
      <c r="O303" s="1">
        <v>41051</v>
      </c>
      <c r="P303" s="1">
        <v>0</v>
      </c>
      <c r="Q303" s="1">
        <v>1</v>
      </c>
    </row>
    <row r="304">
      <c r="A304" s="1">
        <v>2018</v>
      </c>
      <c r="B304" s="1">
        <v>13</v>
      </c>
      <c r="C304" s="1">
        <v>0</v>
      </c>
      <c r="D304" t="s">
        <v>411</v>
      </c>
      <c r="E304" t="s">
        <v>276</v>
      </c>
      <c r="F304" s="1">
        <v>13000</v>
      </c>
      <c r="G304" s="1">
        <v>41</v>
      </c>
      <c r="H304" s="1">
        <v>51</v>
      </c>
      <c r="I304" t="s">
        <v>3</v>
      </c>
      <c r="J304" t="s">
        <v>6</v>
      </c>
      <c r="K304" s="1">
        <v>41051</v>
      </c>
      <c r="L304" s="1">
        <v>189</v>
      </c>
      <c r="M304" s="1">
        <v>127</v>
      </c>
      <c r="N304" s="1">
        <v>6764760</v>
      </c>
      <c r="O304" s="1">
        <v>41051</v>
      </c>
      <c r="P304" s="1">
        <v>0</v>
      </c>
      <c r="Q304" s="1">
        <v>1</v>
      </c>
    </row>
    <row r="305">
      <c r="A305" s="1">
        <v>2018</v>
      </c>
      <c r="B305" s="1">
        <v>13</v>
      </c>
      <c r="C305" s="1">
        <v>67</v>
      </c>
      <c r="D305" t="s">
        <v>16</v>
      </c>
      <c r="E305" t="s">
        <v>243</v>
      </c>
      <c r="F305" s="1">
        <v>13067</v>
      </c>
      <c r="G305" s="1">
        <v>41</v>
      </c>
      <c r="H305" s="1">
        <v>51</v>
      </c>
      <c r="I305" t="s">
        <v>3</v>
      </c>
      <c r="J305" t="s">
        <v>6</v>
      </c>
      <c r="K305" s="1">
        <v>41051</v>
      </c>
      <c r="L305" s="1">
        <v>140</v>
      </c>
      <c r="M305" s="1">
        <v>77</v>
      </c>
      <c r="N305" s="1">
        <v>6615000</v>
      </c>
      <c r="O305" s="1">
        <v>41051</v>
      </c>
      <c r="P305" s="1">
        <v>0</v>
      </c>
      <c r="Q305" s="1">
        <v>1</v>
      </c>
    </row>
    <row r="306">
      <c r="A306" s="1">
        <v>2018</v>
      </c>
      <c r="B306" s="1">
        <v>13</v>
      </c>
      <c r="C306" s="1">
        <v>135</v>
      </c>
      <c r="D306" t="s">
        <v>16</v>
      </c>
      <c r="E306" t="s">
        <v>251</v>
      </c>
      <c r="F306" s="1">
        <v>13135</v>
      </c>
      <c r="G306" s="1">
        <v>41</v>
      </c>
      <c r="H306" s="1">
        <v>51</v>
      </c>
      <c r="I306" t="s">
        <v>3</v>
      </c>
      <c r="J306" t="s">
        <v>6</v>
      </c>
      <c r="K306" s="1">
        <v>41051</v>
      </c>
      <c r="L306" s="1">
        <v>255</v>
      </c>
      <c r="M306" s="1"/>
      <c r="N306" s="1">
        <v>1642740</v>
      </c>
      <c r="O306" s="1">
        <v>41051</v>
      </c>
      <c r="P306" s="1">
        <v>0</v>
      </c>
      <c r="Q306" s="1">
        <v>1</v>
      </c>
    </row>
    <row r="307">
      <c r="A307" s="1">
        <v>2018</v>
      </c>
      <c r="B307" s="1">
        <v>15</v>
      </c>
      <c r="C307" s="1">
        <v>0</v>
      </c>
      <c r="D307" t="s">
        <v>411</v>
      </c>
      <c r="E307" t="s">
        <v>276</v>
      </c>
      <c r="F307" s="1">
        <v>15000</v>
      </c>
      <c r="G307" s="1">
        <v>41</v>
      </c>
      <c r="H307" s="1">
        <v>51</v>
      </c>
      <c r="I307" t="s">
        <v>3</v>
      </c>
      <c r="J307" t="s">
        <v>6</v>
      </c>
      <c r="K307" s="1">
        <v>41051</v>
      </c>
      <c r="L307" s="1">
        <v>186</v>
      </c>
      <c r="M307" s="1"/>
      <c r="N307" s="1">
        <v>4650000</v>
      </c>
      <c r="O307" s="1">
        <v>41051</v>
      </c>
      <c r="P307" s="1">
        <v>0</v>
      </c>
      <c r="Q307" s="1">
        <v>1</v>
      </c>
    </row>
    <row r="308">
      <c r="A308" s="1">
        <v>2018</v>
      </c>
      <c r="B308" s="1">
        <v>15</v>
      </c>
      <c r="C308" s="1">
        <v>1</v>
      </c>
      <c r="D308" t="s">
        <v>17</v>
      </c>
      <c r="E308" t="s">
        <v>92</v>
      </c>
      <c r="F308" s="1">
        <v>15001</v>
      </c>
      <c r="G308" s="1">
        <v>41</v>
      </c>
      <c r="H308" s="1">
        <v>51</v>
      </c>
      <c r="I308" t="s">
        <v>3</v>
      </c>
      <c r="J308" t="s">
        <v>6</v>
      </c>
      <c r="K308" s="1">
        <v>41051</v>
      </c>
      <c r="L308" s="1">
        <v>185</v>
      </c>
      <c r="M308" s="1">
        <v>185</v>
      </c>
      <c r="N308" s="1">
        <v>3447200</v>
      </c>
      <c r="O308" s="1">
        <v>41051</v>
      </c>
      <c r="P308" s="1">
        <v>0</v>
      </c>
      <c r="Q308" s="1">
        <v>1</v>
      </c>
    </row>
    <row r="309">
      <c r="A309" s="1">
        <v>2018</v>
      </c>
      <c r="B309" s="1">
        <v>16</v>
      </c>
      <c r="C309" s="1">
        <v>0</v>
      </c>
      <c r="D309" t="s">
        <v>411</v>
      </c>
      <c r="E309" t="s">
        <v>276</v>
      </c>
      <c r="F309" s="1">
        <v>16000</v>
      </c>
      <c r="G309" s="1">
        <v>41</v>
      </c>
      <c r="H309" s="1">
        <v>51</v>
      </c>
      <c r="I309" t="s">
        <v>3</v>
      </c>
      <c r="J309" t="s">
        <v>6</v>
      </c>
      <c r="K309" s="1">
        <v>41051</v>
      </c>
      <c r="L309" s="1">
        <v>376</v>
      </c>
      <c r="M309" s="1">
        <v>375</v>
      </c>
      <c r="N309" s="1">
        <v>5050000</v>
      </c>
      <c r="O309" s="1">
        <v>41051</v>
      </c>
      <c r="P309" s="1">
        <v>0</v>
      </c>
      <c r="Q309" s="1">
        <v>1</v>
      </c>
    </row>
    <row r="310">
      <c r="A310" s="1">
        <v>2018</v>
      </c>
      <c r="B310" s="1">
        <v>17</v>
      </c>
      <c r="C310" s="1">
        <v>31</v>
      </c>
      <c r="D310" t="s">
        <v>19</v>
      </c>
      <c r="E310" t="s">
        <v>98</v>
      </c>
      <c r="F310" s="1">
        <v>17031</v>
      </c>
      <c r="G310" s="1">
        <v>41</v>
      </c>
      <c r="H310" s="1">
        <v>51</v>
      </c>
      <c r="I310" t="s">
        <v>3</v>
      </c>
      <c r="J310" t="s">
        <v>6</v>
      </c>
      <c r="K310" s="1">
        <v>41051</v>
      </c>
      <c r="L310" s="1">
        <v>790</v>
      </c>
      <c r="M310" s="1">
        <v>328</v>
      </c>
      <c r="N310" s="1">
        <v>125588000</v>
      </c>
      <c r="O310" s="1">
        <v>41051</v>
      </c>
      <c r="P310" s="1">
        <v>0</v>
      </c>
      <c r="Q310" s="1">
        <v>1</v>
      </c>
    </row>
    <row r="311">
      <c r="A311" s="1">
        <v>2018</v>
      </c>
      <c r="B311" s="1">
        <v>19</v>
      </c>
      <c r="C311" s="1">
        <v>13</v>
      </c>
      <c r="D311" t="s">
        <v>21</v>
      </c>
      <c r="E311" t="s">
        <v>369</v>
      </c>
      <c r="F311" s="1">
        <v>19013</v>
      </c>
      <c r="G311" s="1">
        <v>41</v>
      </c>
      <c r="H311" s="1">
        <v>51</v>
      </c>
      <c r="I311" t="s">
        <v>3</v>
      </c>
      <c r="J311" t="s">
        <v>6</v>
      </c>
      <c r="K311" s="1">
        <v>41051</v>
      </c>
      <c r="L311" s="1">
        <v>136</v>
      </c>
      <c r="M311" s="1">
        <v>137</v>
      </c>
      <c r="N311" s="1">
        <v>4760000</v>
      </c>
      <c r="O311" s="1">
        <v>41051</v>
      </c>
      <c r="P311" s="1">
        <v>0</v>
      </c>
      <c r="Q311" s="1">
        <v>1</v>
      </c>
    </row>
    <row r="312">
      <c r="A312" s="1">
        <v>2018</v>
      </c>
      <c r="B312" s="1">
        <v>20</v>
      </c>
      <c r="C312" s="1">
        <v>91</v>
      </c>
      <c r="D312" t="s">
        <v>42</v>
      </c>
      <c r="E312" t="s">
        <v>188</v>
      </c>
      <c r="F312" s="1">
        <v>20091</v>
      </c>
      <c r="G312" s="1">
        <v>41</v>
      </c>
      <c r="H312" s="1">
        <v>51</v>
      </c>
      <c r="I312" t="s">
        <v>3</v>
      </c>
      <c r="J312" t="s">
        <v>6</v>
      </c>
      <c r="K312" s="1">
        <v>41051</v>
      </c>
      <c r="L312" s="1">
        <v>161</v>
      </c>
      <c r="M312" s="1">
        <v>111</v>
      </c>
      <c r="N312" s="1">
        <v>10025000</v>
      </c>
      <c r="O312" s="1">
        <v>41051</v>
      </c>
      <c r="P312" s="1">
        <v>0</v>
      </c>
      <c r="Q312" s="1">
        <v>1</v>
      </c>
    </row>
    <row r="313">
      <c r="A313" s="1">
        <v>2018</v>
      </c>
      <c r="B313" s="1">
        <v>22</v>
      </c>
      <c r="C313" s="1">
        <v>103</v>
      </c>
      <c r="D313" t="s">
        <v>22</v>
      </c>
      <c r="E313" t="s">
        <v>372</v>
      </c>
      <c r="F313" s="1">
        <v>22103</v>
      </c>
      <c r="G313" s="1">
        <v>41</v>
      </c>
      <c r="H313" s="1">
        <v>51</v>
      </c>
      <c r="I313" t="s">
        <v>3</v>
      </c>
      <c r="J313" t="s">
        <v>6</v>
      </c>
      <c r="K313" s="1">
        <v>41051</v>
      </c>
      <c r="L313" s="1">
        <v>287</v>
      </c>
      <c r="M313" s="1">
        <v>287</v>
      </c>
      <c r="N313" s="1">
        <v>8610000</v>
      </c>
      <c r="O313" s="1">
        <v>41051</v>
      </c>
      <c r="P313" s="1">
        <v>0</v>
      </c>
      <c r="Q313" s="1">
        <v>1</v>
      </c>
    </row>
    <row r="314">
      <c r="A314" s="1">
        <v>2018</v>
      </c>
      <c r="B314" s="1">
        <v>23</v>
      </c>
      <c r="C314" s="1">
        <v>0</v>
      </c>
      <c r="D314" t="s">
        <v>411</v>
      </c>
      <c r="E314" t="s">
        <v>276</v>
      </c>
      <c r="F314" s="1">
        <v>23000</v>
      </c>
      <c r="G314" s="1">
        <v>41</v>
      </c>
      <c r="H314" s="1">
        <v>51</v>
      </c>
      <c r="I314" t="s">
        <v>3</v>
      </c>
      <c r="J314" t="s">
        <v>6</v>
      </c>
      <c r="K314" s="1">
        <v>41051</v>
      </c>
      <c r="L314" s="1">
        <v>359</v>
      </c>
      <c r="M314" s="1">
        <v>359</v>
      </c>
      <c r="N314" s="1">
        <v>0</v>
      </c>
      <c r="O314" s="1">
        <v>41051</v>
      </c>
      <c r="P314" s="1">
        <v>0</v>
      </c>
      <c r="Q314" s="1">
        <v>1</v>
      </c>
    </row>
    <row r="315">
      <c r="A315" s="1">
        <v>2018</v>
      </c>
      <c r="B315" s="1">
        <v>24</v>
      </c>
      <c r="C315" s="1">
        <v>31</v>
      </c>
      <c r="D315" t="s">
        <v>24</v>
      </c>
      <c r="E315" t="s">
        <v>103</v>
      </c>
      <c r="F315" s="1">
        <v>24031</v>
      </c>
      <c r="G315" s="1">
        <v>41</v>
      </c>
      <c r="H315" s="1">
        <v>51</v>
      </c>
      <c r="I315" t="s">
        <v>3</v>
      </c>
      <c r="J315" t="s">
        <v>6</v>
      </c>
      <c r="K315" s="1">
        <v>41051</v>
      </c>
      <c r="L315" s="1">
        <v>119</v>
      </c>
      <c r="M315" s="1"/>
      <c r="N315" s="1">
        <v>7735000</v>
      </c>
      <c r="O315" s="1">
        <v>41051</v>
      </c>
      <c r="P315" s="1">
        <v>0</v>
      </c>
      <c r="Q315" s="1">
        <v>1</v>
      </c>
    </row>
    <row r="316">
      <c r="A316" s="1">
        <v>2018</v>
      </c>
      <c r="B316" s="1">
        <v>25</v>
      </c>
      <c r="C316" s="1">
        <v>0</v>
      </c>
      <c r="D316" t="s">
        <v>411</v>
      </c>
      <c r="E316" t="s">
        <v>276</v>
      </c>
      <c r="F316" s="1">
        <v>25000</v>
      </c>
      <c r="G316" s="1">
        <v>41</v>
      </c>
      <c r="H316" s="1">
        <v>51</v>
      </c>
      <c r="I316" t="s">
        <v>3</v>
      </c>
      <c r="J316" t="s">
        <v>6</v>
      </c>
      <c r="K316" s="1">
        <v>41051</v>
      </c>
      <c r="L316" s="1">
        <v>155</v>
      </c>
      <c r="M316" s="1"/>
      <c r="N316" s="1">
        <v>5425000</v>
      </c>
      <c r="O316" s="1">
        <v>41051</v>
      </c>
      <c r="P316" s="1">
        <v>0</v>
      </c>
      <c r="Q316" s="1">
        <v>1</v>
      </c>
    </row>
    <row r="317">
      <c r="A317" s="1">
        <v>2018</v>
      </c>
      <c r="B317" s="1">
        <v>25</v>
      </c>
      <c r="C317" s="1">
        <v>25</v>
      </c>
      <c r="D317" t="s">
        <v>25</v>
      </c>
      <c r="E317" t="s">
        <v>105</v>
      </c>
      <c r="F317" s="1">
        <v>25025</v>
      </c>
      <c r="G317" s="1">
        <v>41</v>
      </c>
      <c r="H317" s="1">
        <v>51</v>
      </c>
      <c r="I317" t="s">
        <v>3</v>
      </c>
      <c r="J317" t="s">
        <v>6</v>
      </c>
      <c r="K317" s="1">
        <v>41051</v>
      </c>
      <c r="L317" s="1">
        <v>354</v>
      </c>
      <c r="M317" s="1">
        <v>127</v>
      </c>
      <c r="N317" s="1">
        <v>21515360</v>
      </c>
      <c r="O317" s="1">
        <v>41051</v>
      </c>
      <c r="P317" s="1">
        <v>0</v>
      </c>
      <c r="Q317" s="1">
        <v>1</v>
      </c>
    </row>
    <row r="318">
      <c r="A318" s="1">
        <v>2018</v>
      </c>
      <c r="B318" s="1">
        <v>27</v>
      </c>
      <c r="C318" s="1">
        <v>53</v>
      </c>
      <c r="D318" t="s">
        <v>27</v>
      </c>
      <c r="E318" t="s">
        <v>107</v>
      </c>
      <c r="F318" s="1">
        <v>27053</v>
      </c>
      <c r="G318" s="1">
        <v>41</v>
      </c>
      <c r="H318" s="1">
        <v>51</v>
      </c>
      <c r="I318" t="s">
        <v>3</v>
      </c>
      <c r="J318" t="s">
        <v>6</v>
      </c>
      <c r="K318" s="1">
        <v>41051</v>
      </c>
      <c r="L318" s="1">
        <v>81</v>
      </c>
      <c r="M318" s="1">
        <v>81</v>
      </c>
      <c r="N318" s="1">
        <v>6075000</v>
      </c>
      <c r="O318" s="1">
        <v>41051</v>
      </c>
      <c r="P318" s="1">
        <v>0</v>
      </c>
      <c r="Q318" s="1">
        <v>1</v>
      </c>
    </row>
    <row r="319">
      <c r="A319" s="1">
        <v>2018</v>
      </c>
      <c r="B319" s="1">
        <v>27</v>
      </c>
      <c r="C319" s="1">
        <v>123</v>
      </c>
      <c r="D319" t="s">
        <v>27</v>
      </c>
      <c r="E319" t="s">
        <v>108</v>
      </c>
      <c r="F319" s="1">
        <v>27123</v>
      </c>
      <c r="G319" s="1">
        <v>41</v>
      </c>
      <c r="H319" s="1">
        <v>51</v>
      </c>
      <c r="I319" t="s">
        <v>3</v>
      </c>
      <c r="J319" t="s">
        <v>6</v>
      </c>
      <c r="K319" s="1">
        <v>41051</v>
      </c>
      <c r="L319" s="1">
        <v>220</v>
      </c>
      <c r="M319" s="1">
        <v>82</v>
      </c>
      <c r="N319" s="1">
        <v>17484000</v>
      </c>
      <c r="O319" s="1">
        <v>41051</v>
      </c>
      <c r="P319" s="1">
        <v>0</v>
      </c>
      <c r="Q319" s="1">
        <v>1</v>
      </c>
    </row>
    <row r="320">
      <c r="A320" s="1">
        <v>2018</v>
      </c>
      <c r="B320" s="1">
        <v>29</v>
      </c>
      <c r="C320" s="1">
        <v>0</v>
      </c>
      <c r="D320" t="s">
        <v>411</v>
      </c>
      <c r="E320" t="s">
        <v>276</v>
      </c>
      <c r="F320" s="1">
        <v>29000</v>
      </c>
      <c r="G320" s="1">
        <v>41</v>
      </c>
      <c r="H320" s="1">
        <v>51</v>
      </c>
      <c r="I320" t="s">
        <v>3</v>
      </c>
      <c r="J320" t="s">
        <v>6</v>
      </c>
      <c r="K320" s="1">
        <v>41051</v>
      </c>
      <c r="L320" s="1">
        <v>235</v>
      </c>
      <c r="M320" s="1">
        <v>235</v>
      </c>
      <c r="N320" s="1">
        <v>8066900</v>
      </c>
      <c r="O320" s="1">
        <v>41051</v>
      </c>
      <c r="P320" s="1">
        <v>0</v>
      </c>
      <c r="Q320" s="1">
        <v>1</v>
      </c>
    </row>
    <row r="321">
      <c r="A321" s="1">
        <v>2018</v>
      </c>
      <c r="B321" s="1">
        <v>30</v>
      </c>
      <c r="C321" s="1">
        <v>0</v>
      </c>
      <c r="D321" t="s">
        <v>411</v>
      </c>
      <c r="E321" t="s">
        <v>276</v>
      </c>
      <c r="F321" s="1">
        <v>30000</v>
      </c>
      <c r="G321" s="1">
        <v>41</v>
      </c>
      <c r="H321" s="1">
        <v>51</v>
      </c>
      <c r="I321" t="s">
        <v>3</v>
      </c>
      <c r="J321" t="s">
        <v>6</v>
      </c>
      <c r="K321" s="1">
        <v>41051</v>
      </c>
      <c r="L321" s="1">
        <v>454</v>
      </c>
      <c r="M321" s="1">
        <v>246</v>
      </c>
      <c r="N321" s="1">
        <v>16193200</v>
      </c>
      <c r="O321" s="1">
        <v>41051</v>
      </c>
      <c r="P321" s="1">
        <v>0</v>
      </c>
      <c r="Q321" s="1">
        <v>1</v>
      </c>
    </row>
    <row r="322">
      <c r="A322" s="1">
        <v>2018</v>
      </c>
      <c r="B322" s="1">
        <v>32</v>
      </c>
      <c r="C322" s="1">
        <v>31</v>
      </c>
      <c r="D322" t="s">
        <v>29</v>
      </c>
      <c r="E322" t="s">
        <v>113</v>
      </c>
      <c r="F322" s="1">
        <v>32031</v>
      </c>
      <c r="G322" s="1">
        <v>41</v>
      </c>
      <c r="H322" s="1">
        <v>51</v>
      </c>
      <c r="I322" t="s">
        <v>3</v>
      </c>
      <c r="J322" t="s">
        <v>6</v>
      </c>
      <c r="K322" s="1">
        <v>41051</v>
      </c>
      <c r="L322" s="1">
        <v>308</v>
      </c>
      <c r="M322" s="1"/>
      <c r="N322" s="1">
        <v>13305600</v>
      </c>
      <c r="O322" s="1">
        <v>41051</v>
      </c>
      <c r="P322" s="1">
        <v>0</v>
      </c>
      <c r="Q322" s="1">
        <v>1</v>
      </c>
    </row>
    <row r="323">
      <c r="A323" s="1">
        <v>2018</v>
      </c>
      <c r="B323" s="1">
        <v>34</v>
      </c>
      <c r="C323" s="1">
        <v>17</v>
      </c>
      <c r="D323" t="s">
        <v>46</v>
      </c>
      <c r="E323" t="s">
        <v>201</v>
      </c>
      <c r="F323" s="1">
        <v>34017</v>
      </c>
      <c r="G323" s="1">
        <v>41</v>
      </c>
      <c r="H323" s="1">
        <v>51</v>
      </c>
      <c r="I323" t="s">
        <v>3</v>
      </c>
      <c r="J323" t="s">
        <v>6</v>
      </c>
      <c r="K323" s="1">
        <v>41051</v>
      </c>
      <c r="L323" s="1">
        <v>240</v>
      </c>
      <c r="M323" s="1">
        <v>94</v>
      </c>
      <c r="N323" s="1">
        <v>4778800</v>
      </c>
      <c r="O323" s="1">
        <v>41051</v>
      </c>
      <c r="P323" s="1">
        <v>0</v>
      </c>
      <c r="Q323" s="1">
        <v>1</v>
      </c>
    </row>
    <row r="324">
      <c r="A324" s="1">
        <v>2018</v>
      </c>
      <c r="B324" s="1">
        <v>34</v>
      </c>
      <c r="C324" s="1">
        <v>21</v>
      </c>
      <c r="D324" t="s">
        <v>46</v>
      </c>
      <c r="E324" t="s">
        <v>286</v>
      </c>
      <c r="F324" s="1">
        <v>34021</v>
      </c>
      <c r="G324" s="1">
        <v>41</v>
      </c>
      <c r="H324" s="1">
        <v>51</v>
      </c>
      <c r="I324" t="s">
        <v>3</v>
      </c>
      <c r="J324" t="s">
        <v>6</v>
      </c>
      <c r="K324" s="1">
        <v>41051</v>
      </c>
      <c r="L324" s="1">
        <v>78</v>
      </c>
      <c r="M324" s="1"/>
      <c r="N324" s="1">
        <v>187200</v>
      </c>
      <c r="O324" s="1">
        <v>41051</v>
      </c>
      <c r="P324" s="1">
        <v>0</v>
      </c>
      <c r="Q324" s="1">
        <v>1</v>
      </c>
    </row>
    <row r="325">
      <c r="A325" s="1">
        <v>2018</v>
      </c>
      <c r="B325" s="1">
        <v>34</v>
      </c>
      <c r="C325" s="1">
        <v>23</v>
      </c>
      <c r="D325" t="s">
        <v>46</v>
      </c>
      <c r="E325" t="s">
        <v>104</v>
      </c>
      <c r="F325" s="1">
        <v>34023</v>
      </c>
      <c r="G325" s="1">
        <v>41</v>
      </c>
      <c r="H325" s="1">
        <v>51</v>
      </c>
      <c r="I325" t="s">
        <v>3</v>
      </c>
      <c r="J325" t="s">
        <v>6</v>
      </c>
      <c r="K325" s="1">
        <v>41051</v>
      </c>
      <c r="L325" s="1">
        <v>180</v>
      </c>
      <c r="M325" s="1">
        <v>92</v>
      </c>
      <c r="N325" s="1">
        <v>3308000</v>
      </c>
      <c r="O325" s="1">
        <v>41051</v>
      </c>
      <c r="P325" s="1">
        <v>0</v>
      </c>
      <c r="Q325" s="1">
        <v>1</v>
      </c>
    </row>
    <row r="326">
      <c r="A326" s="1">
        <v>2018</v>
      </c>
      <c r="B326" s="1">
        <v>35</v>
      </c>
      <c r="C326" s="1">
        <v>0</v>
      </c>
      <c r="D326" t="s">
        <v>411</v>
      </c>
      <c r="E326" t="s">
        <v>276</v>
      </c>
      <c r="F326" s="1">
        <v>35000</v>
      </c>
      <c r="G326" s="1">
        <v>41</v>
      </c>
      <c r="H326" s="1">
        <v>51</v>
      </c>
      <c r="I326" t="s">
        <v>3</v>
      </c>
      <c r="J326" t="s">
        <v>6</v>
      </c>
      <c r="K326" s="1">
        <v>41051</v>
      </c>
      <c r="L326" s="1">
        <v>315</v>
      </c>
      <c r="M326" s="1">
        <v>101</v>
      </c>
      <c r="N326" s="1">
        <v>14993100</v>
      </c>
      <c r="O326" s="1">
        <v>41051</v>
      </c>
      <c r="P326" s="1">
        <v>0</v>
      </c>
      <c r="Q326" s="1">
        <v>1</v>
      </c>
    </row>
    <row r="327">
      <c r="A327" s="1">
        <v>2018</v>
      </c>
      <c r="B327" s="1">
        <v>36</v>
      </c>
      <c r="C327" s="1">
        <v>0</v>
      </c>
      <c r="D327" t="s">
        <v>411</v>
      </c>
      <c r="E327" t="s">
        <v>276</v>
      </c>
      <c r="F327" s="1">
        <v>36000</v>
      </c>
      <c r="G327" s="1">
        <v>41</v>
      </c>
      <c r="H327" s="1">
        <v>51</v>
      </c>
      <c r="I327" t="s">
        <v>3</v>
      </c>
      <c r="J327" t="s">
        <v>6</v>
      </c>
      <c r="K327" s="1">
        <v>41051</v>
      </c>
      <c r="L327" s="1">
        <v>65</v>
      </c>
      <c r="M327" s="1">
        <v>65</v>
      </c>
      <c r="N327" s="1">
        <v>2210000</v>
      </c>
      <c r="O327" s="1">
        <v>41051</v>
      </c>
      <c r="P327" s="1">
        <v>0</v>
      </c>
      <c r="Q327" s="1">
        <v>1</v>
      </c>
    </row>
    <row r="328">
      <c r="A328" s="1">
        <v>2018</v>
      </c>
      <c r="B328" s="1">
        <v>36</v>
      </c>
      <c r="C328" s="1">
        <v>47</v>
      </c>
      <c r="D328" t="s">
        <v>31</v>
      </c>
      <c r="E328" t="s">
        <v>116</v>
      </c>
      <c r="F328" s="1">
        <v>36047</v>
      </c>
      <c r="G328" s="1">
        <v>41</v>
      </c>
      <c r="H328" s="1">
        <v>51</v>
      </c>
      <c r="I328" t="s">
        <v>3</v>
      </c>
      <c r="J328" t="s">
        <v>6</v>
      </c>
      <c r="K328" s="1">
        <v>41051</v>
      </c>
      <c r="L328" s="1">
        <v>316</v>
      </c>
      <c r="M328" s="1">
        <v>121</v>
      </c>
      <c r="N328" s="1">
        <v>20342000</v>
      </c>
      <c r="O328" s="1">
        <v>41051</v>
      </c>
      <c r="P328" s="1">
        <v>0</v>
      </c>
      <c r="Q328" s="1">
        <v>1</v>
      </c>
    </row>
    <row r="329">
      <c r="A329" s="1">
        <v>2018</v>
      </c>
      <c r="B329" s="1">
        <v>37</v>
      </c>
      <c r="C329" s="1">
        <v>0</v>
      </c>
      <c r="D329" t="s">
        <v>411</v>
      </c>
      <c r="E329" t="s">
        <v>276</v>
      </c>
      <c r="F329" s="1">
        <v>37000</v>
      </c>
      <c r="G329" s="1">
        <v>41</v>
      </c>
      <c r="H329" s="1">
        <v>51</v>
      </c>
      <c r="I329" t="s">
        <v>3</v>
      </c>
      <c r="J329" t="s">
        <v>6</v>
      </c>
      <c r="K329" s="1">
        <v>41051</v>
      </c>
      <c r="L329" s="1">
        <v>611</v>
      </c>
      <c r="M329" s="1">
        <v>252</v>
      </c>
      <c r="N329" s="1">
        <v>26822440</v>
      </c>
      <c r="O329" s="1">
        <v>41051</v>
      </c>
      <c r="P329" s="1">
        <v>0</v>
      </c>
      <c r="Q329" s="1">
        <v>1</v>
      </c>
    </row>
    <row r="330">
      <c r="A330" s="1">
        <v>2018</v>
      </c>
      <c r="B330" s="1">
        <v>37</v>
      </c>
      <c r="C330" s="1">
        <v>21</v>
      </c>
      <c r="D330" t="s">
        <v>32</v>
      </c>
      <c r="E330" t="s">
        <v>120</v>
      </c>
      <c r="F330" s="1">
        <v>37021</v>
      </c>
      <c r="G330" s="1">
        <v>41</v>
      </c>
      <c r="H330" s="1">
        <v>51</v>
      </c>
      <c r="I330" t="s">
        <v>3</v>
      </c>
      <c r="J330" t="s">
        <v>6</v>
      </c>
      <c r="K330" s="1">
        <v>41051</v>
      </c>
      <c r="L330" s="1">
        <v>321</v>
      </c>
      <c r="M330" s="1">
        <v>115</v>
      </c>
      <c r="N330" s="1">
        <v>5745000</v>
      </c>
      <c r="O330" s="1">
        <v>41051</v>
      </c>
      <c r="P330" s="1">
        <v>0</v>
      </c>
      <c r="Q330" s="1">
        <v>1</v>
      </c>
    </row>
    <row r="331">
      <c r="A331" s="1">
        <v>2018</v>
      </c>
      <c r="B331" s="1">
        <v>37</v>
      </c>
      <c r="C331" s="1">
        <v>35</v>
      </c>
      <c r="D331" t="s">
        <v>32</v>
      </c>
      <c r="E331" t="s">
        <v>373</v>
      </c>
      <c r="F331" s="1">
        <v>37035</v>
      </c>
      <c r="G331" s="1">
        <v>41</v>
      </c>
      <c r="H331" s="1">
        <v>51</v>
      </c>
      <c r="I331" t="s">
        <v>3</v>
      </c>
      <c r="J331" t="s">
        <v>6</v>
      </c>
      <c r="K331" s="1">
        <v>41051</v>
      </c>
      <c r="L331" s="1">
        <v>632</v>
      </c>
      <c r="M331" s="1">
        <v>114</v>
      </c>
      <c r="N331" s="1">
        <v>21826000</v>
      </c>
      <c r="O331" s="1">
        <v>41051</v>
      </c>
      <c r="P331" s="1">
        <v>0</v>
      </c>
      <c r="Q331" s="1">
        <v>1</v>
      </c>
    </row>
    <row r="332">
      <c r="A332" s="1">
        <v>2018</v>
      </c>
      <c r="B332" s="1">
        <v>37</v>
      </c>
      <c r="C332" s="1">
        <v>81</v>
      </c>
      <c r="D332" t="s">
        <v>32</v>
      </c>
      <c r="E332" t="s">
        <v>291</v>
      </c>
      <c r="F332" s="1">
        <v>37081</v>
      </c>
      <c r="G332" s="1">
        <v>41</v>
      </c>
      <c r="H332" s="1">
        <v>51</v>
      </c>
      <c r="I332" t="s">
        <v>3</v>
      </c>
      <c r="J332" t="s">
        <v>6</v>
      </c>
      <c r="K332" s="1">
        <v>41051</v>
      </c>
      <c r="L332" s="1">
        <v>236</v>
      </c>
      <c r="M332" s="1">
        <v>132</v>
      </c>
      <c r="N332" s="1">
        <v>12242560</v>
      </c>
      <c r="O332" s="1">
        <v>41051</v>
      </c>
      <c r="P332" s="1">
        <v>0</v>
      </c>
      <c r="Q332" s="1">
        <v>1</v>
      </c>
    </row>
    <row r="333">
      <c r="A333" s="1">
        <v>2018</v>
      </c>
      <c r="B333" s="1">
        <v>37</v>
      </c>
      <c r="C333" s="1">
        <v>119</v>
      </c>
      <c r="D333" t="s">
        <v>32</v>
      </c>
      <c r="E333" t="s">
        <v>121</v>
      </c>
      <c r="F333" s="1">
        <v>37119</v>
      </c>
      <c r="G333" s="1">
        <v>41</v>
      </c>
      <c r="H333" s="1">
        <v>51</v>
      </c>
      <c r="I333" t="s">
        <v>3</v>
      </c>
      <c r="J333" t="s">
        <v>6</v>
      </c>
      <c r="K333" s="1">
        <v>41051</v>
      </c>
      <c r="L333" s="1">
        <v>182</v>
      </c>
      <c r="M333" s="1">
        <v>89</v>
      </c>
      <c r="N333" s="1">
        <v>27509000</v>
      </c>
      <c r="O333" s="1">
        <v>41051</v>
      </c>
      <c r="P333" s="1">
        <v>0</v>
      </c>
      <c r="Q333" s="1">
        <v>1</v>
      </c>
    </row>
    <row r="334">
      <c r="A334" s="1">
        <v>2018</v>
      </c>
      <c r="B334" s="1">
        <v>37</v>
      </c>
      <c r="C334" s="1">
        <v>183</v>
      </c>
      <c r="D334" t="s">
        <v>32</v>
      </c>
      <c r="E334" t="s">
        <v>206</v>
      </c>
      <c r="F334" s="1">
        <v>37183</v>
      </c>
      <c r="G334" s="1">
        <v>41</v>
      </c>
      <c r="H334" s="1">
        <v>51</v>
      </c>
      <c r="I334" t="s">
        <v>3</v>
      </c>
      <c r="J334" t="s">
        <v>6</v>
      </c>
      <c r="K334" s="1">
        <v>41051</v>
      </c>
      <c r="L334" s="1">
        <v>503</v>
      </c>
      <c r="M334" s="1">
        <v>109</v>
      </c>
      <c r="N334" s="1">
        <v>28580000</v>
      </c>
      <c r="O334" s="1">
        <v>41051</v>
      </c>
      <c r="P334" s="1">
        <v>0</v>
      </c>
      <c r="Q334" s="1">
        <v>1</v>
      </c>
    </row>
    <row r="335">
      <c r="A335" s="1">
        <v>2018</v>
      </c>
      <c r="B335" s="1">
        <v>38</v>
      </c>
      <c r="C335" s="1">
        <v>0</v>
      </c>
      <c r="D335" t="s">
        <v>411</v>
      </c>
      <c r="E335" t="s">
        <v>276</v>
      </c>
      <c r="F335" s="1">
        <v>38000</v>
      </c>
      <c r="G335" s="1">
        <v>41</v>
      </c>
      <c r="H335" s="1">
        <v>51</v>
      </c>
      <c r="I335" t="s">
        <v>3</v>
      </c>
      <c r="J335" t="s">
        <v>6</v>
      </c>
      <c r="K335" s="1">
        <v>41051</v>
      </c>
      <c r="L335" s="1">
        <v>100</v>
      </c>
      <c r="M335" s="1"/>
      <c r="N335" s="1">
        <v>4000000</v>
      </c>
      <c r="O335" s="1">
        <v>41051</v>
      </c>
      <c r="P335" s="1">
        <v>0</v>
      </c>
      <c r="Q335" s="1">
        <v>1</v>
      </c>
    </row>
    <row r="336">
      <c r="A336" s="1">
        <v>2018</v>
      </c>
      <c r="B336" s="1">
        <v>41</v>
      </c>
      <c r="C336" s="1">
        <v>0</v>
      </c>
      <c r="D336" t="s">
        <v>411</v>
      </c>
      <c r="E336" t="s">
        <v>276</v>
      </c>
      <c r="F336" s="1">
        <v>41000</v>
      </c>
      <c r="G336" s="1">
        <v>41</v>
      </c>
      <c r="H336" s="1">
        <v>51</v>
      </c>
      <c r="I336" t="s">
        <v>3</v>
      </c>
      <c r="J336" t="s">
        <v>6</v>
      </c>
      <c r="K336" s="1">
        <v>41051</v>
      </c>
      <c r="L336" s="1">
        <v>3397</v>
      </c>
      <c r="M336" s="1">
        <v>1464</v>
      </c>
      <c r="N336" s="1">
        <v>199785610</v>
      </c>
      <c r="O336" s="1">
        <v>41051</v>
      </c>
      <c r="P336" s="1">
        <v>0</v>
      </c>
      <c r="Q336" s="1">
        <v>1</v>
      </c>
    </row>
    <row r="337">
      <c r="A337" s="1">
        <v>2018</v>
      </c>
      <c r="B337" s="1">
        <v>41</v>
      </c>
      <c r="C337" s="1">
        <v>5</v>
      </c>
      <c r="D337" t="s">
        <v>3</v>
      </c>
      <c r="E337" t="s">
        <v>125</v>
      </c>
      <c r="F337" s="1">
        <v>41005</v>
      </c>
      <c r="G337" s="1">
        <v>41</v>
      </c>
      <c r="H337" s="1">
        <v>51</v>
      </c>
      <c r="I337" t="s">
        <v>3</v>
      </c>
      <c r="J337" t="s">
        <v>6</v>
      </c>
      <c r="K337" s="1">
        <v>41051</v>
      </c>
      <c r="L337" s="1">
        <v>7441</v>
      </c>
      <c r="M337" s="1">
        <v>4023</v>
      </c>
      <c r="N337" s="1">
        <v>278359710</v>
      </c>
      <c r="O337" s="1">
        <v>41051</v>
      </c>
      <c r="P337" s="1">
        <v>0</v>
      </c>
      <c r="Q337" s="1">
        <v>1</v>
      </c>
    </row>
    <row r="338">
      <c r="A338" s="1">
        <v>2018</v>
      </c>
      <c r="B338" s="1">
        <v>41</v>
      </c>
      <c r="C338" s="1">
        <v>17</v>
      </c>
      <c r="D338" t="s">
        <v>3</v>
      </c>
      <c r="E338" t="s">
        <v>130</v>
      </c>
      <c r="F338" s="1">
        <v>41017</v>
      </c>
      <c r="G338" s="1">
        <v>41</v>
      </c>
      <c r="H338" s="1">
        <v>51</v>
      </c>
      <c r="I338" t="s">
        <v>3</v>
      </c>
      <c r="J338" t="s">
        <v>6</v>
      </c>
      <c r="K338" s="1">
        <v>41051</v>
      </c>
      <c r="L338" s="1">
        <v>281</v>
      </c>
      <c r="M338" s="1">
        <v>174</v>
      </c>
      <c r="N338" s="1">
        <v>3904400</v>
      </c>
      <c r="O338" s="1">
        <v>41051</v>
      </c>
      <c r="P338" s="1">
        <v>0</v>
      </c>
      <c r="Q338" s="1">
        <v>1</v>
      </c>
    </row>
    <row r="339">
      <c r="A339" s="1">
        <v>2018</v>
      </c>
      <c r="B339" s="1">
        <v>41</v>
      </c>
      <c r="C339" s="1">
        <v>19</v>
      </c>
      <c r="D339" t="s">
        <v>3</v>
      </c>
      <c r="E339" t="s">
        <v>131</v>
      </c>
      <c r="F339" s="1">
        <v>41019</v>
      </c>
      <c r="G339" s="1">
        <v>41</v>
      </c>
      <c r="H339" s="1">
        <v>51</v>
      </c>
      <c r="I339" t="s">
        <v>3</v>
      </c>
      <c r="J339" t="s">
        <v>6</v>
      </c>
      <c r="K339" s="1">
        <v>41051</v>
      </c>
      <c r="L339" s="1">
        <v>84</v>
      </c>
      <c r="M339" s="1">
        <v>46</v>
      </c>
      <c r="N339" s="1">
        <v>1165800</v>
      </c>
      <c r="O339" s="1">
        <v>41051</v>
      </c>
      <c r="P339" s="1">
        <v>0</v>
      </c>
      <c r="Q339" s="1">
        <v>1</v>
      </c>
    </row>
    <row r="340">
      <c r="A340" s="1">
        <v>2018</v>
      </c>
      <c r="B340" s="1">
        <v>41</v>
      </c>
      <c r="C340" s="1">
        <v>29</v>
      </c>
      <c r="D340" t="s">
        <v>3</v>
      </c>
      <c r="E340" t="s">
        <v>133</v>
      </c>
      <c r="F340" s="1">
        <v>41029</v>
      </c>
      <c r="G340" s="1">
        <v>41</v>
      </c>
      <c r="H340" s="1">
        <v>51</v>
      </c>
      <c r="I340" t="s">
        <v>3</v>
      </c>
      <c r="J340" t="s">
        <v>6</v>
      </c>
      <c r="K340" s="1">
        <v>41051</v>
      </c>
      <c r="L340" s="1">
        <v>166</v>
      </c>
      <c r="M340" s="1">
        <v>166</v>
      </c>
      <c r="N340" s="1">
        <v>5500000</v>
      </c>
      <c r="O340" s="1">
        <v>41051</v>
      </c>
      <c r="P340" s="1">
        <v>0</v>
      </c>
      <c r="Q340" s="1">
        <v>1</v>
      </c>
    </row>
    <row r="341">
      <c r="A341" s="1">
        <v>2018</v>
      </c>
      <c r="B341" s="1">
        <v>41</v>
      </c>
      <c r="C341" s="1">
        <v>39</v>
      </c>
      <c r="D341" t="s">
        <v>3</v>
      </c>
      <c r="E341" t="s">
        <v>136</v>
      </c>
      <c r="F341" s="1">
        <v>41039</v>
      </c>
      <c r="G341" s="1">
        <v>41</v>
      </c>
      <c r="H341" s="1">
        <v>51</v>
      </c>
      <c r="I341" t="s">
        <v>3</v>
      </c>
      <c r="J341" t="s">
        <v>6</v>
      </c>
      <c r="K341" s="1">
        <v>41051</v>
      </c>
      <c r="L341" s="1">
        <v>332</v>
      </c>
      <c r="M341" s="1"/>
      <c r="N341" s="1">
        <v>3458800</v>
      </c>
      <c r="O341" s="1">
        <v>41051</v>
      </c>
      <c r="P341" s="1">
        <v>0</v>
      </c>
      <c r="Q341" s="1">
        <v>1</v>
      </c>
    </row>
    <row r="342">
      <c r="A342" s="1">
        <v>2018</v>
      </c>
      <c r="B342" s="1">
        <v>41</v>
      </c>
      <c r="C342" s="1">
        <v>47</v>
      </c>
      <c r="D342" t="s">
        <v>3</v>
      </c>
      <c r="E342" t="s">
        <v>99</v>
      </c>
      <c r="F342" s="1">
        <v>41047</v>
      </c>
      <c r="G342" s="1">
        <v>41</v>
      </c>
      <c r="H342" s="1">
        <v>51</v>
      </c>
      <c r="I342" t="s">
        <v>3</v>
      </c>
      <c r="J342" t="s">
        <v>6</v>
      </c>
      <c r="K342" s="1">
        <v>41051</v>
      </c>
      <c r="L342" s="1">
        <v>753</v>
      </c>
      <c r="M342" s="1">
        <v>369</v>
      </c>
      <c r="N342" s="1">
        <v>38764200</v>
      </c>
      <c r="O342" s="1">
        <v>41051</v>
      </c>
      <c r="P342" s="1">
        <v>0</v>
      </c>
      <c r="Q342" s="1">
        <v>1</v>
      </c>
    </row>
    <row r="343">
      <c r="A343" s="1">
        <v>2018</v>
      </c>
      <c r="B343" s="1">
        <v>41</v>
      </c>
      <c r="C343" s="1">
        <v>51</v>
      </c>
      <c r="D343" t="s">
        <v>3</v>
      </c>
      <c r="E343" t="s">
        <v>6</v>
      </c>
      <c r="F343" s="1">
        <v>41051</v>
      </c>
      <c r="G343" s="1">
        <v>41</v>
      </c>
      <c r="H343" s="1">
        <v>51</v>
      </c>
      <c r="I343" t="s">
        <v>3</v>
      </c>
      <c r="J343" t="s">
        <v>6</v>
      </c>
      <c r="K343" s="1">
        <v>41051</v>
      </c>
      <c r="L343" s="1">
        <v>589695</v>
      </c>
      <c r="M343" s="1">
        <v>306609</v>
      </c>
      <c r="N343" s="1">
        <v>30113894328</v>
      </c>
      <c r="O343" s="1">
        <v>41051</v>
      </c>
      <c r="P343" s="1">
        <v>1</v>
      </c>
      <c r="Q343" s="1">
        <v>1</v>
      </c>
    </row>
    <row r="344">
      <c r="A344" s="1">
        <v>2018</v>
      </c>
      <c r="B344" s="1">
        <v>41</v>
      </c>
      <c r="C344" s="1">
        <v>67</v>
      </c>
      <c r="D344" t="s">
        <v>3</v>
      </c>
      <c r="E344" t="s">
        <v>143</v>
      </c>
      <c r="F344" s="1">
        <v>41067</v>
      </c>
      <c r="G344" s="1">
        <v>41</v>
      </c>
      <c r="H344" s="1">
        <v>51</v>
      </c>
      <c r="I344" t="s">
        <v>3</v>
      </c>
      <c r="J344" t="s">
        <v>6</v>
      </c>
      <c r="K344" s="1">
        <v>41051</v>
      </c>
      <c r="L344" s="1">
        <v>6255</v>
      </c>
      <c r="M344" s="1">
        <v>3545</v>
      </c>
      <c r="N344" s="1">
        <v>240578126</v>
      </c>
      <c r="O344" s="1">
        <v>41051</v>
      </c>
      <c r="P344" s="1">
        <v>0</v>
      </c>
      <c r="Q344" s="1">
        <v>1</v>
      </c>
    </row>
    <row r="345">
      <c r="A345" s="1">
        <v>2018</v>
      </c>
      <c r="B345" s="1">
        <v>42</v>
      </c>
      <c r="C345" s="1">
        <v>0</v>
      </c>
      <c r="D345" t="s">
        <v>411</v>
      </c>
      <c r="E345" t="s">
        <v>276</v>
      </c>
      <c r="F345" s="1">
        <v>42000</v>
      </c>
      <c r="G345" s="1">
        <v>41</v>
      </c>
      <c r="H345" s="1">
        <v>51</v>
      </c>
      <c r="I345" t="s">
        <v>3</v>
      </c>
      <c r="J345" t="s">
        <v>6</v>
      </c>
      <c r="K345" s="1">
        <v>41051</v>
      </c>
      <c r="L345" s="1">
        <v>116</v>
      </c>
      <c r="M345" s="1">
        <v>116</v>
      </c>
      <c r="N345" s="1">
        <v>15800000</v>
      </c>
      <c r="O345" s="1">
        <v>41051</v>
      </c>
      <c r="P345" s="1">
        <v>0</v>
      </c>
      <c r="Q345" s="1">
        <v>1</v>
      </c>
    </row>
    <row r="346">
      <c r="A346" s="1">
        <v>2018</v>
      </c>
      <c r="B346" s="1">
        <v>42</v>
      </c>
      <c r="C346" s="1">
        <v>3</v>
      </c>
      <c r="D346" t="s">
        <v>34</v>
      </c>
      <c r="E346" t="s">
        <v>145</v>
      </c>
      <c r="F346" s="1">
        <v>42003</v>
      </c>
      <c r="G346" s="1">
        <v>41</v>
      </c>
      <c r="H346" s="1">
        <v>51</v>
      </c>
      <c r="I346" t="s">
        <v>3</v>
      </c>
      <c r="J346" t="s">
        <v>6</v>
      </c>
      <c r="K346" s="1">
        <v>41051</v>
      </c>
      <c r="L346" s="1">
        <v>158</v>
      </c>
      <c r="M346" s="1">
        <v>106</v>
      </c>
      <c r="N346" s="1">
        <v>12659000</v>
      </c>
      <c r="O346" s="1">
        <v>41051</v>
      </c>
      <c r="P346" s="1">
        <v>0</v>
      </c>
      <c r="Q346" s="1">
        <v>1</v>
      </c>
    </row>
    <row r="347">
      <c r="A347" s="1">
        <v>2018</v>
      </c>
      <c r="B347" s="1">
        <v>42</v>
      </c>
      <c r="C347" s="1">
        <v>17</v>
      </c>
      <c r="D347" t="s">
        <v>34</v>
      </c>
      <c r="E347" t="s">
        <v>318</v>
      </c>
      <c r="F347" s="1">
        <v>42017</v>
      </c>
      <c r="G347" s="1">
        <v>41</v>
      </c>
      <c r="H347" s="1">
        <v>51</v>
      </c>
      <c r="I347" t="s">
        <v>3</v>
      </c>
      <c r="J347" t="s">
        <v>6</v>
      </c>
      <c r="K347" s="1">
        <v>41051</v>
      </c>
      <c r="L347" s="1">
        <v>279</v>
      </c>
      <c r="M347" s="1"/>
      <c r="N347" s="1">
        <v>4185000</v>
      </c>
      <c r="O347" s="1">
        <v>41051</v>
      </c>
      <c r="P347" s="1">
        <v>0</v>
      </c>
      <c r="Q347" s="1">
        <v>1</v>
      </c>
    </row>
    <row r="348">
      <c r="A348" s="1">
        <v>2018</v>
      </c>
      <c r="B348" s="1">
        <v>45</v>
      </c>
      <c r="C348" s="1">
        <v>0</v>
      </c>
      <c r="D348" t="s">
        <v>411</v>
      </c>
      <c r="E348" t="s">
        <v>276</v>
      </c>
      <c r="F348" s="1">
        <v>45000</v>
      </c>
      <c r="G348" s="1">
        <v>41</v>
      </c>
      <c r="H348" s="1">
        <v>51</v>
      </c>
      <c r="I348" t="s">
        <v>3</v>
      </c>
      <c r="J348" t="s">
        <v>6</v>
      </c>
      <c r="K348" s="1">
        <v>41051</v>
      </c>
      <c r="L348" s="1">
        <v>125</v>
      </c>
      <c r="M348" s="1">
        <v>126</v>
      </c>
      <c r="N348" s="1">
        <v>4375000</v>
      </c>
      <c r="O348" s="1">
        <v>41051</v>
      </c>
      <c r="P348" s="1">
        <v>0</v>
      </c>
      <c r="Q348" s="1">
        <v>1</v>
      </c>
    </row>
    <row r="349">
      <c r="A349" s="1">
        <v>2018</v>
      </c>
      <c r="B349" s="1">
        <v>47</v>
      </c>
      <c r="C349" s="1">
        <v>0</v>
      </c>
      <c r="D349" t="s">
        <v>411</v>
      </c>
      <c r="E349" t="s">
        <v>276</v>
      </c>
      <c r="F349" s="1">
        <v>47000</v>
      </c>
      <c r="G349" s="1">
        <v>41</v>
      </c>
      <c r="H349" s="1">
        <v>51</v>
      </c>
      <c r="I349" t="s">
        <v>3</v>
      </c>
      <c r="J349" t="s">
        <v>6</v>
      </c>
      <c r="K349" s="1">
        <v>41051</v>
      </c>
      <c r="L349" s="1">
        <v>153</v>
      </c>
      <c r="M349" s="1">
        <v>60</v>
      </c>
      <c r="N349" s="1">
        <v>6249000</v>
      </c>
      <c r="O349" s="1">
        <v>41051</v>
      </c>
      <c r="P349" s="1">
        <v>0</v>
      </c>
      <c r="Q349" s="1">
        <v>1</v>
      </c>
    </row>
    <row r="350">
      <c r="A350" s="1">
        <v>2018</v>
      </c>
      <c r="B350" s="1">
        <v>47</v>
      </c>
      <c r="C350" s="1">
        <v>187</v>
      </c>
      <c r="D350" t="s">
        <v>35</v>
      </c>
      <c r="E350" t="s">
        <v>217</v>
      </c>
      <c r="F350" s="1">
        <v>47187</v>
      </c>
      <c r="G350" s="1">
        <v>41</v>
      </c>
      <c r="H350" s="1">
        <v>51</v>
      </c>
      <c r="I350" t="s">
        <v>3</v>
      </c>
      <c r="J350" t="s">
        <v>6</v>
      </c>
      <c r="K350" s="1">
        <v>41051</v>
      </c>
      <c r="L350" s="1">
        <v>98</v>
      </c>
      <c r="M350" s="1">
        <v>98</v>
      </c>
      <c r="N350" s="1">
        <v>1362200</v>
      </c>
      <c r="O350" s="1">
        <v>41051</v>
      </c>
      <c r="P350" s="1">
        <v>0</v>
      </c>
      <c r="Q350" s="1">
        <v>1</v>
      </c>
    </row>
    <row r="351">
      <c r="A351" s="1">
        <v>2018</v>
      </c>
      <c r="B351" s="1">
        <v>48</v>
      </c>
      <c r="C351" s="1">
        <v>113</v>
      </c>
      <c r="D351" t="s">
        <v>36</v>
      </c>
      <c r="E351" t="s">
        <v>150</v>
      </c>
      <c r="F351" s="1">
        <v>48113</v>
      </c>
      <c r="G351" s="1">
        <v>41</v>
      </c>
      <c r="H351" s="1">
        <v>51</v>
      </c>
      <c r="I351" t="s">
        <v>3</v>
      </c>
      <c r="J351" t="s">
        <v>6</v>
      </c>
      <c r="K351" s="1">
        <v>41051</v>
      </c>
      <c r="L351" s="1">
        <v>171</v>
      </c>
      <c r="M351" s="1"/>
      <c r="N351" s="1">
        <v>3334500</v>
      </c>
      <c r="O351" s="1">
        <v>41051</v>
      </c>
      <c r="P351" s="1">
        <v>0</v>
      </c>
      <c r="Q351" s="1">
        <v>1</v>
      </c>
    </row>
    <row r="352">
      <c r="A352" s="1">
        <v>2018</v>
      </c>
      <c r="B352" s="1">
        <v>48</v>
      </c>
      <c r="C352" s="1">
        <v>245</v>
      </c>
      <c r="D352" t="s">
        <v>36</v>
      </c>
      <c r="E352" t="s">
        <v>83</v>
      </c>
      <c r="F352" s="1">
        <v>48245</v>
      </c>
      <c r="G352" s="1">
        <v>41</v>
      </c>
      <c r="H352" s="1">
        <v>51</v>
      </c>
      <c r="I352" t="s">
        <v>3</v>
      </c>
      <c r="J352" t="s">
        <v>6</v>
      </c>
      <c r="K352" s="1">
        <v>41051</v>
      </c>
      <c r="L352" s="1">
        <v>256</v>
      </c>
      <c r="M352" s="1"/>
      <c r="N352" s="1">
        <v>6630300</v>
      </c>
      <c r="O352" s="1">
        <v>41051</v>
      </c>
      <c r="P352" s="1">
        <v>0</v>
      </c>
      <c r="Q352" s="1">
        <v>1</v>
      </c>
    </row>
    <row r="353">
      <c r="A353" s="1">
        <v>2018</v>
      </c>
      <c r="B353" s="1">
        <v>48</v>
      </c>
      <c r="C353" s="1">
        <v>439</v>
      </c>
      <c r="D353" t="s">
        <v>36</v>
      </c>
      <c r="E353" t="s">
        <v>152</v>
      </c>
      <c r="F353" s="1">
        <v>48439</v>
      </c>
      <c r="G353" s="1">
        <v>41</v>
      </c>
      <c r="H353" s="1">
        <v>51</v>
      </c>
      <c r="I353" t="s">
        <v>3</v>
      </c>
      <c r="J353" t="s">
        <v>6</v>
      </c>
      <c r="K353" s="1">
        <v>41051</v>
      </c>
      <c r="L353" s="1">
        <v>88</v>
      </c>
      <c r="M353" s="1">
        <v>88</v>
      </c>
      <c r="N353" s="1">
        <v>396000</v>
      </c>
      <c r="O353" s="1">
        <v>41051</v>
      </c>
      <c r="P353" s="1">
        <v>0</v>
      </c>
      <c r="Q353" s="1">
        <v>1</v>
      </c>
    </row>
    <row r="354">
      <c r="A354" s="1">
        <v>2018</v>
      </c>
      <c r="B354" s="1">
        <v>48</v>
      </c>
      <c r="C354" s="1">
        <v>441</v>
      </c>
      <c r="D354" t="s">
        <v>36</v>
      </c>
      <c r="E354" t="s">
        <v>374</v>
      </c>
      <c r="F354" s="1">
        <v>48441</v>
      </c>
      <c r="G354" s="1">
        <v>41</v>
      </c>
      <c r="H354" s="1">
        <v>51</v>
      </c>
      <c r="I354" t="s">
        <v>3</v>
      </c>
      <c r="J354" t="s">
        <v>6</v>
      </c>
      <c r="K354" s="1">
        <v>41051</v>
      </c>
      <c r="L354" s="1">
        <v>72</v>
      </c>
      <c r="M354" s="1"/>
      <c r="N354" s="1">
        <v>4320000</v>
      </c>
      <c r="O354" s="1">
        <v>41051</v>
      </c>
      <c r="P354" s="1">
        <v>0</v>
      </c>
      <c r="Q354" s="1">
        <v>1</v>
      </c>
    </row>
    <row r="355">
      <c r="A355" s="1">
        <v>2018</v>
      </c>
      <c r="B355" s="1">
        <v>48</v>
      </c>
      <c r="C355" s="1">
        <v>453</v>
      </c>
      <c r="D355" t="s">
        <v>36</v>
      </c>
      <c r="E355" t="s">
        <v>153</v>
      </c>
      <c r="F355" s="1">
        <v>48453</v>
      </c>
      <c r="G355" s="1">
        <v>41</v>
      </c>
      <c r="H355" s="1">
        <v>51</v>
      </c>
      <c r="I355" t="s">
        <v>3</v>
      </c>
      <c r="J355" t="s">
        <v>6</v>
      </c>
      <c r="K355" s="1">
        <v>41051</v>
      </c>
      <c r="L355" s="1">
        <v>126</v>
      </c>
      <c r="M355" s="1">
        <v>69</v>
      </c>
      <c r="N355" s="1">
        <v>11067900</v>
      </c>
      <c r="O355" s="1">
        <v>41051</v>
      </c>
      <c r="P355" s="1">
        <v>0</v>
      </c>
      <c r="Q355" s="1">
        <v>1</v>
      </c>
    </row>
    <row r="356">
      <c r="A356" s="1">
        <v>2018</v>
      </c>
      <c r="B356" s="1">
        <v>49</v>
      </c>
      <c r="C356" s="1">
        <v>49</v>
      </c>
      <c r="D356" t="s">
        <v>37</v>
      </c>
      <c r="E356" t="s">
        <v>219</v>
      </c>
      <c r="F356" s="1">
        <v>49049</v>
      </c>
      <c r="G356" s="1">
        <v>41</v>
      </c>
      <c r="H356" s="1">
        <v>51</v>
      </c>
      <c r="I356" t="s">
        <v>3</v>
      </c>
      <c r="J356" t="s">
        <v>6</v>
      </c>
      <c r="K356" s="1">
        <v>41051</v>
      </c>
      <c r="L356" s="1">
        <v>266</v>
      </c>
      <c r="M356" s="1">
        <v>72</v>
      </c>
      <c r="N356" s="1">
        <v>4803600</v>
      </c>
      <c r="O356" s="1">
        <v>41051</v>
      </c>
      <c r="P356" s="1">
        <v>0</v>
      </c>
      <c r="Q356" s="1">
        <v>1</v>
      </c>
    </row>
    <row r="357">
      <c r="A357" s="1">
        <v>2018</v>
      </c>
      <c r="B357" s="1">
        <v>49</v>
      </c>
      <c r="C357" s="1">
        <v>53</v>
      </c>
      <c r="D357" t="s">
        <v>37</v>
      </c>
      <c r="E357" t="s">
        <v>143</v>
      </c>
      <c r="F357" s="1">
        <v>49053</v>
      </c>
      <c r="G357" s="1">
        <v>41</v>
      </c>
      <c r="H357" s="1">
        <v>51</v>
      </c>
      <c r="I357" t="s">
        <v>3</v>
      </c>
      <c r="J357" t="s">
        <v>6</v>
      </c>
      <c r="K357" s="1">
        <v>41051</v>
      </c>
      <c r="L357" s="1">
        <v>262</v>
      </c>
      <c r="M357" s="1"/>
      <c r="N357" s="1">
        <v>4845650</v>
      </c>
      <c r="O357" s="1">
        <v>41051</v>
      </c>
      <c r="P357" s="1">
        <v>0</v>
      </c>
      <c r="Q357" s="1">
        <v>1</v>
      </c>
    </row>
    <row r="358">
      <c r="A358" s="1">
        <v>2018</v>
      </c>
      <c r="B358" s="1">
        <v>50</v>
      </c>
      <c r="C358" s="1">
        <v>0</v>
      </c>
      <c r="D358" t="s">
        <v>411</v>
      </c>
      <c r="E358" t="s">
        <v>276</v>
      </c>
      <c r="F358" s="1">
        <v>50000</v>
      </c>
      <c r="G358" s="1">
        <v>41</v>
      </c>
      <c r="H358" s="1">
        <v>51</v>
      </c>
      <c r="I358" t="s">
        <v>3</v>
      </c>
      <c r="J358" t="s">
        <v>6</v>
      </c>
      <c r="K358" s="1">
        <v>41051</v>
      </c>
      <c r="L358" s="1">
        <v>43</v>
      </c>
      <c r="M358" s="1"/>
      <c r="N358" s="1">
        <v>1384600</v>
      </c>
      <c r="O358" s="1">
        <v>41051</v>
      </c>
      <c r="P358" s="1">
        <v>0</v>
      </c>
      <c r="Q358" s="1">
        <v>1</v>
      </c>
    </row>
    <row r="359">
      <c r="A359" s="1">
        <v>2018</v>
      </c>
      <c r="B359" s="1">
        <v>51</v>
      </c>
      <c r="C359" s="1">
        <v>0</v>
      </c>
      <c r="D359" t="s">
        <v>411</v>
      </c>
      <c r="E359" t="s">
        <v>276</v>
      </c>
      <c r="F359" s="1">
        <v>51000</v>
      </c>
      <c r="G359" s="1">
        <v>41</v>
      </c>
      <c r="H359" s="1">
        <v>51</v>
      </c>
      <c r="I359" t="s">
        <v>3</v>
      </c>
      <c r="J359" t="s">
        <v>6</v>
      </c>
      <c r="K359" s="1">
        <v>41051</v>
      </c>
      <c r="L359" s="1">
        <v>84</v>
      </c>
      <c r="M359" s="1"/>
      <c r="N359" s="1">
        <v>84000</v>
      </c>
      <c r="O359" s="1">
        <v>41051</v>
      </c>
      <c r="P359" s="1">
        <v>0</v>
      </c>
      <c r="Q359" s="1">
        <v>1</v>
      </c>
    </row>
    <row r="360">
      <c r="A360" s="1">
        <v>2018</v>
      </c>
      <c r="B360" s="1">
        <v>51</v>
      </c>
      <c r="C360" s="1">
        <v>760</v>
      </c>
      <c r="D360" t="s">
        <v>39</v>
      </c>
      <c r="E360" t="s">
        <v>227</v>
      </c>
      <c r="F360" s="1">
        <v>51760</v>
      </c>
      <c r="G360" s="1">
        <v>41</v>
      </c>
      <c r="H360" s="1">
        <v>51</v>
      </c>
      <c r="I360" t="s">
        <v>3</v>
      </c>
      <c r="J360" t="s">
        <v>6</v>
      </c>
      <c r="K360" s="1">
        <v>41051</v>
      </c>
      <c r="L360" s="1">
        <v>500</v>
      </c>
      <c r="M360" s="1">
        <v>56</v>
      </c>
      <c r="N360" s="1">
        <v>18380000</v>
      </c>
      <c r="O360" s="1">
        <v>41051</v>
      </c>
      <c r="P360" s="1">
        <v>0</v>
      </c>
      <c r="Q360" s="1">
        <v>1</v>
      </c>
    </row>
    <row r="361">
      <c r="A361" s="1">
        <v>2018</v>
      </c>
      <c r="B361" s="1">
        <v>51</v>
      </c>
      <c r="C361" s="1">
        <v>810</v>
      </c>
      <c r="D361" t="s">
        <v>39</v>
      </c>
      <c r="E361" t="s">
        <v>294</v>
      </c>
      <c r="F361" s="1">
        <v>51810</v>
      </c>
      <c r="G361" s="1">
        <v>41</v>
      </c>
      <c r="H361" s="1">
        <v>51</v>
      </c>
      <c r="I361" t="s">
        <v>3</v>
      </c>
      <c r="J361" t="s">
        <v>6</v>
      </c>
      <c r="K361" s="1">
        <v>41051</v>
      </c>
      <c r="L361" s="1">
        <v>249</v>
      </c>
      <c r="M361" s="1">
        <v>58</v>
      </c>
      <c r="N361" s="1">
        <v>1937760</v>
      </c>
      <c r="O361" s="1">
        <v>41051</v>
      </c>
      <c r="P361" s="1">
        <v>0</v>
      </c>
      <c r="Q361" s="1">
        <v>1</v>
      </c>
    </row>
    <row r="362">
      <c r="A362" s="1">
        <v>2018</v>
      </c>
      <c r="B362" s="1">
        <v>53</v>
      </c>
      <c r="C362" s="1">
        <v>0</v>
      </c>
      <c r="D362" t="s">
        <v>411</v>
      </c>
      <c r="E362" t="s">
        <v>276</v>
      </c>
      <c r="F362" s="1">
        <v>53000</v>
      </c>
      <c r="G362" s="1">
        <v>41</v>
      </c>
      <c r="H362" s="1">
        <v>51</v>
      </c>
      <c r="I362" t="s">
        <v>3</v>
      </c>
      <c r="J362" t="s">
        <v>6</v>
      </c>
      <c r="K362" s="1">
        <v>41051</v>
      </c>
      <c r="L362" s="1">
        <v>1431</v>
      </c>
      <c r="M362" s="1">
        <v>704</v>
      </c>
      <c r="N362" s="1">
        <v>42426310</v>
      </c>
      <c r="O362" s="1">
        <v>41051</v>
      </c>
      <c r="P362" s="1">
        <v>0</v>
      </c>
      <c r="Q362" s="1">
        <v>1</v>
      </c>
    </row>
    <row r="363">
      <c r="A363" s="1">
        <v>2018</v>
      </c>
      <c r="B363" s="1">
        <v>53</v>
      </c>
      <c r="C363" s="1">
        <v>11</v>
      </c>
      <c r="D363" t="s">
        <v>40</v>
      </c>
      <c r="E363" t="s">
        <v>112</v>
      </c>
      <c r="F363" s="1">
        <v>53011</v>
      </c>
      <c r="G363" s="1">
        <v>41</v>
      </c>
      <c r="H363" s="1">
        <v>51</v>
      </c>
      <c r="I363" t="s">
        <v>3</v>
      </c>
      <c r="J363" t="s">
        <v>6</v>
      </c>
      <c r="K363" s="1">
        <v>41051</v>
      </c>
      <c r="L363" s="1">
        <v>1422</v>
      </c>
      <c r="M363" s="1">
        <v>561</v>
      </c>
      <c r="N363" s="1">
        <v>49560700</v>
      </c>
      <c r="O363" s="1">
        <v>41051</v>
      </c>
      <c r="P363" s="1">
        <v>0</v>
      </c>
      <c r="Q363" s="1">
        <v>1</v>
      </c>
    </row>
    <row r="364">
      <c r="A364" s="1">
        <v>2018</v>
      </c>
      <c r="B364" s="1">
        <v>53</v>
      </c>
      <c r="C364" s="1">
        <v>33</v>
      </c>
      <c r="D364" t="s">
        <v>40</v>
      </c>
      <c r="E364" t="s">
        <v>160</v>
      </c>
      <c r="F364" s="1">
        <v>53033</v>
      </c>
      <c r="G364" s="1">
        <v>41</v>
      </c>
      <c r="H364" s="1">
        <v>51</v>
      </c>
      <c r="I364" t="s">
        <v>3</v>
      </c>
      <c r="J364" t="s">
        <v>6</v>
      </c>
      <c r="K364" s="1">
        <v>41051</v>
      </c>
      <c r="L364" s="1">
        <v>2181</v>
      </c>
      <c r="M364" s="1">
        <v>1203</v>
      </c>
      <c r="N364" s="1">
        <v>80733200</v>
      </c>
      <c r="O364" s="1">
        <v>41051</v>
      </c>
      <c r="P364" s="1">
        <v>0</v>
      </c>
      <c r="Q364" s="1">
        <v>1</v>
      </c>
    </row>
    <row r="365">
      <c r="A365" s="1">
        <v>2018</v>
      </c>
      <c r="B365" s="1">
        <v>53</v>
      </c>
      <c r="C365" s="1">
        <v>53</v>
      </c>
      <c r="D365" t="s">
        <v>40</v>
      </c>
      <c r="E365" t="s">
        <v>165</v>
      </c>
      <c r="F365" s="1">
        <v>53053</v>
      </c>
      <c r="G365" s="1">
        <v>41</v>
      </c>
      <c r="H365" s="1">
        <v>51</v>
      </c>
      <c r="I365" t="s">
        <v>3</v>
      </c>
      <c r="J365" t="s">
        <v>6</v>
      </c>
      <c r="K365" s="1">
        <v>41051</v>
      </c>
      <c r="L365" s="1">
        <v>456</v>
      </c>
      <c r="M365" s="1">
        <v>126</v>
      </c>
      <c r="N365" s="1">
        <v>16939800</v>
      </c>
      <c r="O365" s="1">
        <v>41051</v>
      </c>
      <c r="P365" s="1">
        <v>0</v>
      </c>
      <c r="Q365" s="1">
        <v>1</v>
      </c>
    </row>
    <row r="366">
      <c r="A366" s="1">
        <v>2018</v>
      </c>
      <c r="B366" s="1">
        <v>53</v>
      </c>
      <c r="C366" s="1">
        <v>61</v>
      </c>
      <c r="D366" t="s">
        <v>40</v>
      </c>
      <c r="E366" t="s">
        <v>167</v>
      </c>
      <c r="F366" s="1">
        <v>53061</v>
      </c>
      <c r="G366" s="1">
        <v>41</v>
      </c>
      <c r="H366" s="1">
        <v>51</v>
      </c>
      <c r="I366" t="s">
        <v>3</v>
      </c>
      <c r="J366" t="s">
        <v>6</v>
      </c>
      <c r="K366" s="1">
        <v>41051</v>
      </c>
      <c r="L366" s="1">
        <v>478</v>
      </c>
      <c r="M366" s="1">
        <v>97</v>
      </c>
      <c r="N366" s="1">
        <v>25686100</v>
      </c>
      <c r="O366" s="1">
        <v>41051</v>
      </c>
      <c r="P366" s="1">
        <v>0</v>
      </c>
      <c r="Q366" s="1">
        <v>1</v>
      </c>
    </row>
    <row r="367">
      <c r="A367" s="1">
        <v>2018</v>
      </c>
      <c r="B367" s="1">
        <v>53</v>
      </c>
      <c r="C367" s="1">
        <v>63</v>
      </c>
      <c r="D367" t="s">
        <v>40</v>
      </c>
      <c r="E367" t="s">
        <v>168</v>
      </c>
      <c r="F367" s="1">
        <v>53063</v>
      </c>
      <c r="G367" s="1">
        <v>41</v>
      </c>
      <c r="H367" s="1">
        <v>51</v>
      </c>
      <c r="I367" t="s">
        <v>3</v>
      </c>
      <c r="J367" t="s">
        <v>6</v>
      </c>
      <c r="K367" s="1">
        <v>41051</v>
      </c>
      <c r="L367" s="1">
        <v>712</v>
      </c>
      <c r="M367" s="1">
        <v>399</v>
      </c>
      <c r="N367" s="1">
        <v>35819800</v>
      </c>
      <c r="O367" s="1">
        <v>41051</v>
      </c>
      <c r="P367" s="1">
        <v>0</v>
      </c>
      <c r="Q367" s="1">
        <v>1</v>
      </c>
    </row>
    <row r="368">
      <c r="A368" s="1">
        <v>2018</v>
      </c>
      <c r="B368" s="1">
        <v>53</v>
      </c>
      <c r="C368" s="1">
        <v>67</v>
      </c>
      <c r="D368" t="s">
        <v>40</v>
      </c>
      <c r="E368" t="s">
        <v>169</v>
      </c>
      <c r="F368" s="1">
        <v>53067</v>
      </c>
      <c r="G368" s="1">
        <v>41</v>
      </c>
      <c r="H368" s="1">
        <v>51</v>
      </c>
      <c r="I368" t="s">
        <v>3</v>
      </c>
      <c r="J368" t="s">
        <v>6</v>
      </c>
      <c r="K368" s="1">
        <v>41051</v>
      </c>
      <c r="L368" s="1">
        <v>390</v>
      </c>
      <c r="M368" s="1">
        <v>76</v>
      </c>
      <c r="N368" s="1">
        <v>7528000</v>
      </c>
      <c r="O368" s="1">
        <v>41051</v>
      </c>
      <c r="P368" s="1">
        <v>0</v>
      </c>
      <c r="Q368" s="1">
        <v>1</v>
      </c>
    </row>
    <row r="369">
      <c r="A369" s="1">
        <v>2018</v>
      </c>
      <c r="B369" s="1">
        <v>53</v>
      </c>
      <c r="C369" s="1">
        <v>77</v>
      </c>
      <c r="D369" t="s">
        <v>40</v>
      </c>
      <c r="E369" t="s">
        <v>172</v>
      </c>
      <c r="F369" s="1">
        <v>53077</v>
      </c>
      <c r="G369" s="1">
        <v>41</v>
      </c>
      <c r="H369" s="1">
        <v>51</v>
      </c>
      <c r="I369" t="s">
        <v>3</v>
      </c>
      <c r="J369" t="s">
        <v>6</v>
      </c>
      <c r="K369" s="1">
        <v>41051</v>
      </c>
      <c r="L369" s="1">
        <v>129</v>
      </c>
      <c r="M369" s="1"/>
      <c r="N369" s="1">
        <v>0</v>
      </c>
      <c r="O369" s="1">
        <v>41051</v>
      </c>
      <c r="P369" s="1">
        <v>0</v>
      </c>
      <c r="Q369" s="1">
        <v>1</v>
      </c>
    </row>
    <row r="370">
      <c r="A370" s="1">
        <v>2018</v>
      </c>
      <c r="B370" s="1">
        <v>55</v>
      </c>
      <c r="C370" s="1">
        <v>25</v>
      </c>
      <c r="D370" t="s">
        <v>41</v>
      </c>
      <c r="E370" t="s">
        <v>173</v>
      </c>
      <c r="F370" s="1">
        <v>55025</v>
      </c>
      <c r="G370" s="1">
        <v>41</v>
      </c>
      <c r="H370" s="1">
        <v>51</v>
      </c>
      <c r="I370" t="s">
        <v>3</v>
      </c>
      <c r="J370" t="s">
        <v>6</v>
      </c>
      <c r="K370" s="1">
        <v>41051</v>
      </c>
      <c r="L370" s="1">
        <v>139</v>
      </c>
      <c r="M370" s="1">
        <v>69</v>
      </c>
      <c r="N370" s="1">
        <v>11840000</v>
      </c>
      <c r="O370" s="1">
        <v>41051</v>
      </c>
      <c r="P370" s="1">
        <v>0</v>
      </c>
      <c r="Q370" s="1">
        <v>1</v>
      </c>
    </row>
    <row r="371">
      <c r="A371" s="1">
        <v>2018</v>
      </c>
      <c r="B371" s="1">
        <v>55</v>
      </c>
      <c r="C371" s="1">
        <v>133</v>
      </c>
      <c r="D371" t="s">
        <v>41</v>
      </c>
      <c r="E371" t="s">
        <v>375</v>
      </c>
      <c r="F371" s="1">
        <v>55133</v>
      </c>
      <c r="G371" s="1">
        <v>41</v>
      </c>
      <c r="H371" s="1">
        <v>51</v>
      </c>
      <c r="I371" t="s">
        <v>3</v>
      </c>
      <c r="J371" t="s">
        <v>6</v>
      </c>
      <c r="K371" s="1">
        <v>41051</v>
      </c>
      <c r="L371" s="1">
        <v>172</v>
      </c>
      <c r="M371" s="1"/>
      <c r="N371" s="1">
        <v>11271160</v>
      </c>
      <c r="O371" s="1">
        <v>41051</v>
      </c>
      <c r="P371" s="1">
        <v>0</v>
      </c>
      <c r="Q371" s="1">
        <v>1</v>
      </c>
    </row>
    <row r="372">
      <c r="A372" s="1">
        <v>2018</v>
      </c>
      <c r="B372" s="1">
        <v>56</v>
      </c>
      <c r="C372" s="1">
        <v>0</v>
      </c>
      <c r="D372" t="s">
        <v>411</v>
      </c>
      <c r="E372" t="s">
        <v>276</v>
      </c>
      <c r="F372" s="1">
        <v>56000</v>
      </c>
      <c r="G372" s="1">
        <v>41</v>
      </c>
      <c r="H372" s="1">
        <v>51</v>
      </c>
      <c r="I372" t="s">
        <v>3</v>
      </c>
      <c r="J372" t="s">
        <v>6</v>
      </c>
      <c r="K372" s="1">
        <v>41051</v>
      </c>
      <c r="L372" s="1">
        <v>176</v>
      </c>
      <c r="M372" s="1"/>
      <c r="N372" s="1">
        <v>880000</v>
      </c>
      <c r="O372" s="1">
        <v>41051</v>
      </c>
      <c r="P372" s="1">
        <v>0</v>
      </c>
      <c r="Q372" s="1">
        <v>1</v>
      </c>
    </row>
    <row r="373">
      <c r="A373" s="1">
        <v>2019</v>
      </c>
      <c r="B373" s="1">
        <v>2</v>
      </c>
      <c r="C373" s="1">
        <v>20</v>
      </c>
      <c r="D373" t="s">
        <v>9</v>
      </c>
      <c r="E373" t="s">
        <v>52</v>
      </c>
      <c r="F373" s="1">
        <v>2020</v>
      </c>
      <c r="G373" s="1">
        <v>41</v>
      </c>
      <c r="H373" s="1">
        <v>51</v>
      </c>
      <c r="I373" t="s">
        <v>3</v>
      </c>
      <c r="J373" t="s">
        <v>6</v>
      </c>
      <c r="K373" s="1">
        <v>41051</v>
      </c>
      <c r="L373" s="1">
        <v>461</v>
      </c>
      <c r="M373" s="1">
        <v>245</v>
      </c>
      <c r="N373" s="1">
        <v>3330400</v>
      </c>
      <c r="O373" s="1">
        <v>41051</v>
      </c>
      <c r="P373" s="1">
        <v>0</v>
      </c>
      <c r="Q373" s="1">
        <v>1</v>
      </c>
    </row>
    <row r="374">
      <c r="A374" s="1">
        <v>2019</v>
      </c>
      <c r="B374" s="1">
        <v>4</v>
      </c>
      <c r="C374" s="1">
        <v>0</v>
      </c>
      <c r="D374" t="s">
        <v>411</v>
      </c>
      <c r="E374" t="s">
        <v>276</v>
      </c>
      <c r="F374" s="1">
        <v>4000</v>
      </c>
      <c r="G374" s="1">
        <v>41</v>
      </c>
      <c r="H374" s="1">
        <v>51</v>
      </c>
      <c r="I374" t="s">
        <v>3</v>
      </c>
      <c r="J374" t="s">
        <v>6</v>
      </c>
      <c r="K374" s="1">
        <v>41051</v>
      </c>
      <c r="L374" s="1">
        <v>63</v>
      </c>
      <c r="M374" s="1">
        <v>27</v>
      </c>
      <c r="N374" s="1">
        <v>1220400</v>
      </c>
      <c r="O374" s="1">
        <v>41051</v>
      </c>
      <c r="P374" s="1">
        <v>0</v>
      </c>
      <c r="Q374" s="1">
        <v>1</v>
      </c>
    </row>
    <row r="375">
      <c r="A375" s="1">
        <v>2019</v>
      </c>
      <c r="B375" s="1">
        <v>4</v>
      </c>
      <c r="C375" s="1">
        <v>13</v>
      </c>
      <c r="D375" t="s">
        <v>10</v>
      </c>
      <c r="E375" t="s">
        <v>53</v>
      </c>
      <c r="F375" s="1">
        <v>4013</v>
      </c>
      <c r="G375" s="1">
        <v>41</v>
      </c>
      <c r="H375" s="1">
        <v>51</v>
      </c>
      <c r="I375" t="s">
        <v>3</v>
      </c>
      <c r="J375" t="s">
        <v>6</v>
      </c>
      <c r="K375" s="1">
        <v>41051</v>
      </c>
      <c r="L375" s="1">
        <v>1293</v>
      </c>
      <c r="M375" s="1">
        <v>658</v>
      </c>
      <c r="N375" s="1">
        <v>54234200</v>
      </c>
      <c r="O375" s="1">
        <v>41051</v>
      </c>
      <c r="P375" s="1">
        <v>0</v>
      </c>
      <c r="Q375" s="1">
        <v>1</v>
      </c>
    </row>
    <row r="376">
      <c r="A376" s="1">
        <v>2019</v>
      </c>
      <c r="B376" s="1">
        <v>5</v>
      </c>
      <c r="C376" s="1">
        <v>143</v>
      </c>
      <c r="D376" t="s">
        <v>272</v>
      </c>
      <c r="E376" t="s">
        <v>143</v>
      </c>
      <c r="F376" s="1">
        <v>5143</v>
      </c>
      <c r="G376" s="1">
        <v>41</v>
      </c>
      <c r="H376" s="1">
        <v>51</v>
      </c>
      <c r="I376" t="s">
        <v>3</v>
      </c>
      <c r="J376" t="s">
        <v>6</v>
      </c>
      <c r="K376" s="1">
        <v>41051</v>
      </c>
      <c r="L376" s="1">
        <v>175</v>
      </c>
      <c r="M376" s="1">
        <v>175</v>
      </c>
      <c r="N376" s="1">
        <v>1050000</v>
      </c>
      <c r="O376" s="1">
        <v>41051</v>
      </c>
      <c r="P376" s="1">
        <v>0</v>
      </c>
      <c r="Q376" s="1">
        <v>1</v>
      </c>
    </row>
    <row r="377">
      <c r="A377" s="1">
        <v>2019</v>
      </c>
      <c r="B377" s="1">
        <v>6</v>
      </c>
      <c r="C377" s="1">
        <v>0</v>
      </c>
      <c r="D377" t="s">
        <v>411</v>
      </c>
      <c r="E377" t="s">
        <v>276</v>
      </c>
      <c r="F377" s="1">
        <v>6000</v>
      </c>
      <c r="G377" s="1">
        <v>41</v>
      </c>
      <c r="H377" s="1">
        <v>51</v>
      </c>
      <c r="I377" t="s">
        <v>3</v>
      </c>
      <c r="J377" t="s">
        <v>6</v>
      </c>
      <c r="K377" s="1">
        <v>41051</v>
      </c>
      <c r="L377" s="1">
        <v>102</v>
      </c>
      <c r="M377" s="1">
        <v>102</v>
      </c>
      <c r="N377" s="1">
        <v>3876000</v>
      </c>
      <c r="O377" s="1">
        <v>41051</v>
      </c>
      <c r="P377" s="1">
        <v>0</v>
      </c>
      <c r="Q377" s="1">
        <v>1</v>
      </c>
    </row>
    <row r="378">
      <c r="A378" s="1">
        <v>2019</v>
      </c>
      <c r="B378" s="1">
        <v>6</v>
      </c>
      <c r="C378" s="1">
        <v>1</v>
      </c>
      <c r="D378" t="s">
        <v>11</v>
      </c>
      <c r="E378" t="s">
        <v>56</v>
      </c>
      <c r="F378" s="1">
        <v>6001</v>
      </c>
      <c r="G378" s="1">
        <v>41</v>
      </c>
      <c r="H378" s="1">
        <v>51</v>
      </c>
      <c r="I378" t="s">
        <v>3</v>
      </c>
      <c r="J378" t="s">
        <v>6</v>
      </c>
      <c r="K378" s="1">
        <v>41051</v>
      </c>
      <c r="L378" s="1">
        <v>746</v>
      </c>
      <c r="M378" s="1">
        <v>310</v>
      </c>
      <c r="N378" s="1">
        <v>21442600</v>
      </c>
      <c r="O378" s="1">
        <v>41051</v>
      </c>
      <c r="P378" s="1">
        <v>0</v>
      </c>
      <c r="Q378" s="1">
        <v>1</v>
      </c>
    </row>
    <row r="379">
      <c r="A379" s="1">
        <v>2019</v>
      </c>
      <c r="B379" s="1">
        <v>6</v>
      </c>
      <c r="C379" s="1">
        <v>19</v>
      </c>
      <c r="D379" t="s">
        <v>11</v>
      </c>
      <c r="E379" t="s">
        <v>58</v>
      </c>
      <c r="F379" s="1">
        <v>6019</v>
      </c>
      <c r="G379" s="1">
        <v>41</v>
      </c>
      <c r="H379" s="1">
        <v>51</v>
      </c>
      <c r="I379" t="s">
        <v>3</v>
      </c>
      <c r="J379" t="s">
        <v>6</v>
      </c>
      <c r="K379" s="1">
        <v>41051</v>
      </c>
      <c r="L379" s="1">
        <v>465</v>
      </c>
      <c r="M379" s="1"/>
      <c r="N379" s="1">
        <v>0</v>
      </c>
      <c r="O379" s="1">
        <v>41051</v>
      </c>
      <c r="P379" s="1">
        <v>0</v>
      </c>
      <c r="Q379" s="1">
        <v>1</v>
      </c>
    </row>
    <row r="380">
      <c r="A380" s="1">
        <v>2019</v>
      </c>
      <c r="B380" s="1">
        <v>6</v>
      </c>
      <c r="C380" s="1">
        <v>23</v>
      </c>
      <c r="D380" t="s">
        <v>11</v>
      </c>
      <c r="E380" t="s">
        <v>59</v>
      </c>
      <c r="F380" s="1">
        <v>6023</v>
      </c>
      <c r="G380" s="1">
        <v>41</v>
      </c>
      <c r="H380" s="1">
        <v>51</v>
      </c>
      <c r="I380" t="s">
        <v>3</v>
      </c>
      <c r="J380" t="s">
        <v>6</v>
      </c>
      <c r="K380" s="1">
        <v>41051</v>
      </c>
      <c r="L380" s="1">
        <v>46</v>
      </c>
      <c r="M380" s="1">
        <v>46</v>
      </c>
      <c r="N380" s="1">
        <v>1012000</v>
      </c>
      <c r="O380" s="1">
        <v>41051</v>
      </c>
      <c r="P380" s="1">
        <v>0</v>
      </c>
      <c r="Q380" s="1">
        <v>1</v>
      </c>
    </row>
    <row r="381">
      <c r="A381" s="1">
        <v>2019</v>
      </c>
      <c r="B381" s="1">
        <v>6</v>
      </c>
      <c r="C381" s="1">
        <v>37</v>
      </c>
      <c r="D381" t="s">
        <v>11</v>
      </c>
      <c r="E381" t="s">
        <v>61</v>
      </c>
      <c r="F381" s="1">
        <v>6037</v>
      </c>
      <c r="G381" s="1">
        <v>41</v>
      </c>
      <c r="H381" s="1">
        <v>51</v>
      </c>
      <c r="I381" t="s">
        <v>3</v>
      </c>
      <c r="J381" t="s">
        <v>6</v>
      </c>
      <c r="K381" s="1">
        <v>41051</v>
      </c>
      <c r="L381" s="1">
        <v>1072</v>
      </c>
      <c r="M381" s="1">
        <v>660</v>
      </c>
      <c r="N381" s="1">
        <v>72416700</v>
      </c>
      <c r="O381" s="1">
        <v>41051</v>
      </c>
      <c r="P381" s="1">
        <v>0</v>
      </c>
      <c r="Q381" s="1">
        <v>1</v>
      </c>
    </row>
    <row r="382">
      <c r="A382" s="1">
        <v>2019</v>
      </c>
      <c r="B382" s="1">
        <v>6</v>
      </c>
      <c r="C382" s="1">
        <v>41</v>
      </c>
      <c r="D382" t="s">
        <v>11</v>
      </c>
      <c r="E382" t="s">
        <v>62</v>
      </c>
      <c r="F382" s="1">
        <v>6041</v>
      </c>
      <c r="G382" s="1">
        <v>41</v>
      </c>
      <c r="H382" s="1">
        <v>51</v>
      </c>
      <c r="I382" t="s">
        <v>3</v>
      </c>
      <c r="J382" t="s">
        <v>6</v>
      </c>
      <c r="K382" s="1">
        <v>41051</v>
      </c>
      <c r="L382" s="1">
        <v>221</v>
      </c>
      <c r="M382" s="1">
        <v>94</v>
      </c>
      <c r="N382" s="1">
        <v>23604000</v>
      </c>
      <c r="O382" s="1">
        <v>41051</v>
      </c>
      <c r="P382" s="1">
        <v>0</v>
      </c>
      <c r="Q382" s="1">
        <v>1</v>
      </c>
    </row>
    <row r="383">
      <c r="A383" s="1">
        <v>2019</v>
      </c>
      <c r="B383" s="1">
        <v>6</v>
      </c>
      <c r="C383" s="1">
        <v>47</v>
      </c>
      <c r="D383" t="s">
        <v>11</v>
      </c>
      <c r="E383" t="s">
        <v>376</v>
      </c>
      <c r="F383" s="1">
        <v>6047</v>
      </c>
      <c r="G383" s="1">
        <v>41</v>
      </c>
      <c r="H383" s="1">
        <v>51</v>
      </c>
      <c r="I383" t="s">
        <v>3</v>
      </c>
      <c r="J383" t="s">
        <v>6</v>
      </c>
      <c r="K383" s="1">
        <v>41051</v>
      </c>
      <c r="L383" s="1">
        <v>73</v>
      </c>
      <c r="M383" s="1">
        <v>37</v>
      </c>
      <c r="N383" s="1">
        <v>859920</v>
      </c>
      <c r="O383" s="1">
        <v>41051</v>
      </c>
      <c r="P383" s="1">
        <v>0</v>
      </c>
      <c r="Q383" s="1">
        <v>1</v>
      </c>
    </row>
    <row r="384">
      <c r="A384" s="1">
        <v>2019</v>
      </c>
      <c r="B384" s="1">
        <v>6</v>
      </c>
      <c r="C384" s="1">
        <v>59</v>
      </c>
      <c r="D384" t="s">
        <v>11</v>
      </c>
      <c r="E384" t="s">
        <v>64</v>
      </c>
      <c r="F384" s="1">
        <v>6059</v>
      </c>
      <c r="G384" s="1">
        <v>41</v>
      </c>
      <c r="H384" s="1">
        <v>51</v>
      </c>
      <c r="I384" t="s">
        <v>3</v>
      </c>
      <c r="J384" t="s">
        <v>6</v>
      </c>
      <c r="K384" s="1">
        <v>41051</v>
      </c>
      <c r="L384" s="1">
        <v>355</v>
      </c>
      <c r="M384" s="1">
        <v>120</v>
      </c>
      <c r="N384" s="1">
        <v>11806000</v>
      </c>
      <c r="O384" s="1">
        <v>41051</v>
      </c>
      <c r="P384" s="1">
        <v>0</v>
      </c>
      <c r="Q384" s="1">
        <v>1</v>
      </c>
    </row>
    <row r="385">
      <c r="A385" s="1">
        <v>2019</v>
      </c>
      <c r="B385" s="1">
        <v>6</v>
      </c>
      <c r="C385" s="1">
        <v>61</v>
      </c>
      <c r="D385" t="s">
        <v>11</v>
      </c>
      <c r="E385" t="s">
        <v>65</v>
      </c>
      <c r="F385" s="1">
        <v>6061</v>
      </c>
      <c r="G385" s="1">
        <v>41</v>
      </c>
      <c r="H385" s="1">
        <v>51</v>
      </c>
      <c r="I385" t="s">
        <v>3</v>
      </c>
      <c r="J385" t="s">
        <v>6</v>
      </c>
      <c r="K385" s="1">
        <v>41051</v>
      </c>
      <c r="L385" s="1">
        <v>609</v>
      </c>
      <c r="M385" s="1">
        <v>240</v>
      </c>
      <c r="N385" s="1">
        <v>26488000</v>
      </c>
      <c r="O385" s="1">
        <v>41051</v>
      </c>
      <c r="P385" s="1">
        <v>0</v>
      </c>
      <c r="Q385" s="1">
        <v>1</v>
      </c>
    </row>
    <row r="386">
      <c r="A386" s="1">
        <v>2019</v>
      </c>
      <c r="B386" s="1">
        <v>6</v>
      </c>
      <c r="C386" s="1">
        <v>65</v>
      </c>
      <c r="D386" t="s">
        <v>11</v>
      </c>
      <c r="E386" t="s">
        <v>66</v>
      </c>
      <c r="F386" s="1">
        <v>6065</v>
      </c>
      <c r="G386" s="1">
        <v>41</v>
      </c>
      <c r="H386" s="1">
        <v>51</v>
      </c>
      <c r="I386" t="s">
        <v>3</v>
      </c>
      <c r="J386" t="s">
        <v>6</v>
      </c>
      <c r="K386" s="1">
        <v>41051</v>
      </c>
      <c r="L386" s="1">
        <v>199</v>
      </c>
      <c r="M386" s="1">
        <v>198</v>
      </c>
      <c r="N386" s="1">
        <v>39800</v>
      </c>
      <c r="O386" s="1">
        <v>41051</v>
      </c>
      <c r="P386" s="1">
        <v>0</v>
      </c>
      <c r="Q386" s="1">
        <v>1</v>
      </c>
    </row>
    <row r="387">
      <c r="A387" s="1">
        <v>2019</v>
      </c>
      <c r="B387" s="1">
        <v>6</v>
      </c>
      <c r="C387" s="1">
        <v>71</v>
      </c>
      <c r="D387" t="s">
        <v>11</v>
      </c>
      <c r="E387" t="s">
        <v>68</v>
      </c>
      <c r="F387" s="1">
        <v>6071</v>
      </c>
      <c r="G387" s="1">
        <v>41</v>
      </c>
      <c r="H387" s="1">
        <v>51</v>
      </c>
      <c r="I387" t="s">
        <v>3</v>
      </c>
      <c r="J387" t="s">
        <v>6</v>
      </c>
      <c r="K387" s="1">
        <v>41051</v>
      </c>
      <c r="L387" s="1">
        <v>414</v>
      </c>
      <c r="M387" s="1">
        <v>99</v>
      </c>
      <c r="N387" s="1">
        <v>8280000</v>
      </c>
      <c r="O387" s="1">
        <v>41051</v>
      </c>
      <c r="P387" s="1">
        <v>0</v>
      </c>
      <c r="Q387" s="1">
        <v>1</v>
      </c>
    </row>
    <row r="388">
      <c r="A388" s="1">
        <v>2019</v>
      </c>
      <c r="B388" s="1">
        <v>6</v>
      </c>
      <c r="C388" s="1">
        <v>73</v>
      </c>
      <c r="D388" t="s">
        <v>11</v>
      </c>
      <c r="E388" t="s">
        <v>69</v>
      </c>
      <c r="F388" s="1">
        <v>6073</v>
      </c>
      <c r="G388" s="1">
        <v>41</v>
      </c>
      <c r="H388" s="1">
        <v>51</v>
      </c>
      <c r="I388" t="s">
        <v>3</v>
      </c>
      <c r="J388" t="s">
        <v>6</v>
      </c>
      <c r="K388" s="1">
        <v>41051</v>
      </c>
      <c r="L388" s="1">
        <v>374</v>
      </c>
      <c r="M388" s="1">
        <v>192</v>
      </c>
      <c r="N388" s="1">
        <v>20631000</v>
      </c>
      <c r="O388" s="1">
        <v>41051</v>
      </c>
      <c r="P388" s="1">
        <v>0</v>
      </c>
      <c r="Q388" s="1">
        <v>1</v>
      </c>
    </row>
    <row r="389">
      <c r="A389" s="1">
        <v>2019</v>
      </c>
      <c r="B389" s="1">
        <v>6</v>
      </c>
      <c r="C389" s="1">
        <v>75</v>
      </c>
      <c r="D389" t="s">
        <v>11</v>
      </c>
      <c r="E389" t="s">
        <v>70</v>
      </c>
      <c r="F389" s="1">
        <v>6075</v>
      </c>
      <c r="G389" s="1">
        <v>41</v>
      </c>
      <c r="H389" s="1">
        <v>51</v>
      </c>
      <c r="I389" t="s">
        <v>3</v>
      </c>
      <c r="J389" t="s">
        <v>6</v>
      </c>
      <c r="K389" s="1">
        <v>41051</v>
      </c>
      <c r="L389" s="1">
        <v>807</v>
      </c>
      <c r="M389" s="1">
        <v>466</v>
      </c>
      <c r="N389" s="1">
        <v>51520100</v>
      </c>
      <c r="O389" s="1">
        <v>41051</v>
      </c>
      <c r="P389" s="1">
        <v>0</v>
      </c>
      <c r="Q389" s="1">
        <v>1</v>
      </c>
    </row>
    <row r="390">
      <c r="A390" s="1">
        <v>2019</v>
      </c>
      <c r="B390" s="1">
        <v>6</v>
      </c>
      <c r="C390" s="1">
        <v>81</v>
      </c>
      <c r="D390" t="s">
        <v>11</v>
      </c>
      <c r="E390" t="s">
        <v>72</v>
      </c>
      <c r="F390" s="1">
        <v>6081</v>
      </c>
      <c r="G390" s="1">
        <v>41</v>
      </c>
      <c r="H390" s="1">
        <v>51</v>
      </c>
      <c r="I390" t="s">
        <v>3</v>
      </c>
      <c r="J390" t="s">
        <v>6</v>
      </c>
      <c r="K390" s="1">
        <v>41051</v>
      </c>
      <c r="L390" s="1">
        <v>419</v>
      </c>
      <c r="M390" s="1">
        <v>140</v>
      </c>
      <c r="N390" s="1">
        <v>30369000</v>
      </c>
      <c r="O390" s="1">
        <v>41051</v>
      </c>
      <c r="P390" s="1">
        <v>0</v>
      </c>
      <c r="Q390" s="1">
        <v>1</v>
      </c>
    </row>
    <row r="391">
      <c r="A391" s="1">
        <v>2019</v>
      </c>
      <c r="B391" s="1">
        <v>6</v>
      </c>
      <c r="C391" s="1">
        <v>85</v>
      </c>
      <c r="D391" t="s">
        <v>11</v>
      </c>
      <c r="E391" t="s">
        <v>74</v>
      </c>
      <c r="F391" s="1">
        <v>6085</v>
      </c>
      <c r="G391" s="1">
        <v>41</v>
      </c>
      <c r="H391" s="1">
        <v>51</v>
      </c>
      <c r="I391" t="s">
        <v>3</v>
      </c>
      <c r="J391" t="s">
        <v>6</v>
      </c>
      <c r="K391" s="1">
        <v>41051</v>
      </c>
      <c r="L391" s="1">
        <v>167</v>
      </c>
      <c r="M391" s="1"/>
      <c r="N391" s="1">
        <v>6883800</v>
      </c>
      <c r="O391" s="1">
        <v>41051</v>
      </c>
      <c r="P391" s="1">
        <v>0</v>
      </c>
      <c r="Q391" s="1">
        <v>1</v>
      </c>
    </row>
    <row r="392">
      <c r="A392" s="1">
        <v>2019</v>
      </c>
      <c r="B392" s="1">
        <v>6</v>
      </c>
      <c r="C392" s="1">
        <v>95</v>
      </c>
      <c r="D392" t="s">
        <v>11</v>
      </c>
      <c r="E392" t="s">
        <v>180</v>
      </c>
      <c r="F392" s="1">
        <v>6095</v>
      </c>
      <c r="G392" s="1">
        <v>41</v>
      </c>
      <c r="H392" s="1">
        <v>51</v>
      </c>
      <c r="I392" t="s">
        <v>3</v>
      </c>
      <c r="J392" t="s">
        <v>6</v>
      </c>
      <c r="K392" s="1">
        <v>41051</v>
      </c>
      <c r="L392" s="1">
        <v>103</v>
      </c>
      <c r="M392" s="1">
        <v>103</v>
      </c>
      <c r="N392" s="1">
        <v>6180000</v>
      </c>
      <c r="O392" s="1">
        <v>41051</v>
      </c>
      <c r="P392" s="1">
        <v>0</v>
      </c>
      <c r="Q392" s="1">
        <v>1</v>
      </c>
    </row>
    <row r="393">
      <c r="A393" s="1">
        <v>2019</v>
      </c>
      <c r="B393" s="1">
        <v>6</v>
      </c>
      <c r="C393" s="1">
        <v>97</v>
      </c>
      <c r="D393" t="s">
        <v>11</v>
      </c>
      <c r="E393" t="s">
        <v>77</v>
      </c>
      <c r="F393" s="1">
        <v>6097</v>
      </c>
      <c r="G393" s="1">
        <v>41</v>
      </c>
      <c r="H393" s="1">
        <v>51</v>
      </c>
      <c r="I393" t="s">
        <v>3</v>
      </c>
      <c r="J393" t="s">
        <v>6</v>
      </c>
      <c r="K393" s="1">
        <v>41051</v>
      </c>
      <c r="L393" s="1">
        <v>288</v>
      </c>
      <c r="M393" s="1">
        <v>99</v>
      </c>
      <c r="N393" s="1">
        <v>15563000</v>
      </c>
      <c r="O393" s="1">
        <v>41051</v>
      </c>
      <c r="P393" s="1">
        <v>0</v>
      </c>
      <c r="Q393" s="1">
        <v>1</v>
      </c>
    </row>
    <row r="394">
      <c r="A394" s="1">
        <v>2019</v>
      </c>
      <c r="B394" s="1">
        <v>6</v>
      </c>
      <c r="C394" s="1">
        <v>99</v>
      </c>
      <c r="D394" t="s">
        <v>11</v>
      </c>
      <c r="E394" t="s">
        <v>325</v>
      </c>
      <c r="F394" s="1">
        <v>6099</v>
      </c>
      <c r="G394" s="1">
        <v>41</v>
      </c>
      <c r="H394" s="1">
        <v>51</v>
      </c>
      <c r="I394" t="s">
        <v>3</v>
      </c>
      <c r="J394" t="s">
        <v>6</v>
      </c>
      <c r="K394" s="1">
        <v>41051</v>
      </c>
      <c r="L394" s="1">
        <v>264</v>
      </c>
      <c r="M394" s="1">
        <v>265</v>
      </c>
      <c r="N394" s="1">
        <v>10585600</v>
      </c>
      <c r="O394" s="1">
        <v>41051</v>
      </c>
      <c r="P394" s="1">
        <v>0</v>
      </c>
      <c r="Q394" s="1">
        <v>1</v>
      </c>
    </row>
    <row r="395">
      <c r="A395" s="1">
        <v>2019</v>
      </c>
      <c r="B395" s="1">
        <v>6</v>
      </c>
      <c r="C395" s="1">
        <v>111</v>
      </c>
      <c r="D395" t="s">
        <v>11</v>
      </c>
      <c r="E395" t="s">
        <v>78</v>
      </c>
      <c r="F395" s="1">
        <v>6111</v>
      </c>
      <c r="G395" s="1">
        <v>41</v>
      </c>
      <c r="H395" s="1">
        <v>51</v>
      </c>
      <c r="I395" t="s">
        <v>3</v>
      </c>
      <c r="J395" t="s">
        <v>6</v>
      </c>
      <c r="K395" s="1">
        <v>41051</v>
      </c>
      <c r="L395" s="1">
        <v>112</v>
      </c>
      <c r="M395" s="1"/>
      <c r="N395" s="1">
        <v>5600000</v>
      </c>
      <c r="O395" s="1">
        <v>41051</v>
      </c>
      <c r="P395" s="1">
        <v>0</v>
      </c>
      <c r="Q395" s="1">
        <v>1</v>
      </c>
    </row>
    <row r="396">
      <c r="A396" s="1">
        <v>2019</v>
      </c>
      <c r="B396" s="1">
        <v>8</v>
      </c>
      <c r="C396" s="1">
        <v>0</v>
      </c>
      <c r="D396" t="s">
        <v>411</v>
      </c>
      <c r="E396" t="s">
        <v>276</v>
      </c>
      <c r="F396" s="1">
        <v>8000</v>
      </c>
      <c r="G396" s="1">
        <v>41</v>
      </c>
      <c r="H396" s="1">
        <v>51</v>
      </c>
      <c r="I396" t="s">
        <v>3</v>
      </c>
      <c r="J396" t="s">
        <v>6</v>
      </c>
      <c r="K396" s="1">
        <v>41051</v>
      </c>
      <c r="L396" s="1">
        <v>1236</v>
      </c>
      <c r="M396" s="1">
        <v>435</v>
      </c>
      <c r="N396" s="1">
        <v>38377600</v>
      </c>
      <c r="O396" s="1">
        <v>41051</v>
      </c>
      <c r="P396" s="1">
        <v>0</v>
      </c>
      <c r="Q396" s="1">
        <v>1</v>
      </c>
    </row>
    <row r="397">
      <c r="A397" s="1">
        <v>2019</v>
      </c>
      <c r="B397" s="1">
        <v>8</v>
      </c>
      <c r="C397" s="1">
        <v>69</v>
      </c>
      <c r="D397" t="s">
        <v>12</v>
      </c>
      <c r="E397" t="s">
        <v>84</v>
      </c>
      <c r="F397" s="1">
        <v>8069</v>
      </c>
      <c r="G397" s="1">
        <v>41</v>
      </c>
      <c r="H397" s="1">
        <v>51</v>
      </c>
      <c r="I397" t="s">
        <v>3</v>
      </c>
      <c r="J397" t="s">
        <v>6</v>
      </c>
      <c r="K397" s="1">
        <v>41051</v>
      </c>
      <c r="L397" s="1">
        <v>50</v>
      </c>
      <c r="M397" s="1">
        <v>49</v>
      </c>
      <c r="N397" s="1">
        <v>486000</v>
      </c>
      <c r="O397" s="1">
        <v>41051</v>
      </c>
      <c r="P397" s="1">
        <v>0</v>
      </c>
      <c r="Q397" s="1">
        <v>1</v>
      </c>
    </row>
    <row r="398">
      <c r="A398" s="1">
        <v>2019</v>
      </c>
      <c r="B398" s="1">
        <v>11</v>
      </c>
      <c r="C398" s="1">
        <v>1</v>
      </c>
      <c r="D398" t="s">
        <v>14</v>
      </c>
      <c r="E398" t="s">
        <v>14</v>
      </c>
      <c r="F398" s="1">
        <v>11001</v>
      </c>
      <c r="G398" s="1">
        <v>41</v>
      </c>
      <c r="H398" s="1">
        <v>51</v>
      </c>
      <c r="I398" t="s">
        <v>3</v>
      </c>
      <c r="J398" t="s">
        <v>6</v>
      </c>
      <c r="K398" s="1">
        <v>41051</v>
      </c>
      <c r="L398" s="1">
        <v>73</v>
      </c>
      <c r="M398" s="1"/>
      <c r="N398" s="1">
        <v>949000</v>
      </c>
      <c r="O398" s="1">
        <v>41051</v>
      </c>
      <c r="P398" s="1">
        <v>0</v>
      </c>
      <c r="Q398" s="1">
        <v>1</v>
      </c>
    </row>
    <row r="399">
      <c r="A399" s="1">
        <v>2019</v>
      </c>
      <c r="B399" s="1">
        <v>12</v>
      </c>
      <c r="C399" s="1">
        <v>11</v>
      </c>
      <c r="D399" t="s">
        <v>15</v>
      </c>
      <c r="E399" t="s">
        <v>183</v>
      </c>
      <c r="F399" s="1">
        <v>12011</v>
      </c>
      <c r="G399" s="1">
        <v>41</v>
      </c>
      <c r="H399" s="1">
        <v>51</v>
      </c>
      <c r="I399" t="s">
        <v>3</v>
      </c>
      <c r="J399" t="s">
        <v>6</v>
      </c>
      <c r="K399" s="1">
        <v>41051</v>
      </c>
      <c r="L399" s="1">
        <v>288</v>
      </c>
      <c r="M399" s="1"/>
      <c r="N399" s="1">
        <v>2764800</v>
      </c>
      <c r="O399" s="1">
        <v>41051</v>
      </c>
      <c r="P399" s="1">
        <v>0</v>
      </c>
      <c r="Q399" s="1">
        <v>1</v>
      </c>
    </row>
    <row r="400">
      <c r="A400" s="1">
        <v>2019</v>
      </c>
      <c r="B400" s="1">
        <v>12</v>
      </c>
      <c r="C400" s="1">
        <v>83</v>
      </c>
      <c r="D400" t="s">
        <v>15</v>
      </c>
      <c r="E400" t="s">
        <v>99</v>
      </c>
      <c r="F400" s="1">
        <v>12083</v>
      </c>
      <c r="G400" s="1">
        <v>41</v>
      </c>
      <c r="H400" s="1">
        <v>51</v>
      </c>
      <c r="I400" t="s">
        <v>3</v>
      </c>
      <c r="J400" t="s">
        <v>6</v>
      </c>
      <c r="K400" s="1">
        <v>41051</v>
      </c>
      <c r="L400" s="1">
        <v>195</v>
      </c>
      <c r="M400" s="1">
        <v>194</v>
      </c>
      <c r="N400" s="1">
        <v>2106000</v>
      </c>
      <c r="O400" s="1">
        <v>41051</v>
      </c>
      <c r="P400" s="1">
        <v>0</v>
      </c>
      <c r="Q400" s="1">
        <v>1</v>
      </c>
    </row>
    <row r="401">
      <c r="A401" s="1">
        <v>2019</v>
      </c>
      <c r="B401" s="1">
        <v>12</v>
      </c>
      <c r="C401" s="1">
        <v>91</v>
      </c>
      <c r="D401" t="s">
        <v>15</v>
      </c>
      <c r="E401" t="s">
        <v>278</v>
      </c>
      <c r="F401" s="1">
        <v>12091</v>
      </c>
      <c r="G401" s="1">
        <v>41</v>
      </c>
      <c r="H401" s="1">
        <v>51</v>
      </c>
      <c r="I401" t="s">
        <v>3</v>
      </c>
      <c r="J401" t="s">
        <v>6</v>
      </c>
      <c r="K401" s="1">
        <v>41051</v>
      </c>
      <c r="L401" s="1">
        <v>780</v>
      </c>
      <c r="M401" s="1">
        <v>361</v>
      </c>
      <c r="N401" s="1">
        <v>90500000</v>
      </c>
      <c r="O401" s="1">
        <v>41051</v>
      </c>
      <c r="P401" s="1">
        <v>0</v>
      </c>
      <c r="Q401" s="1">
        <v>1</v>
      </c>
    </row>
    <row r="402">
      <c r="A402" s="1">
        <v>2019</v>
      </c>
      <c r="B402" s="1">
        <v>12</v>
      </c>
      <c r="C402" s="1">
        <v>115</v>
      </c>
      <c r="D402" t="s">
        <v>15</v>
      </c>
      <c r="E402" t="s">
        <v>231</v>
      </c>
      <c r="F402" s="1">
        <v>12115</v>
      </c>
      <c r="G402" s="1">
        <v>41</v>
      </c>
      <c r="H402" s="1">
        <v>51</v>
      </c>
      <c r="I402" t="s">
        <v>3</v>
      </c>
      <c r="J402" t="s">
        <v>6</v>
      </c>
      <c r="K402" s="1">
        <v>41051</v>
      </c>
      <c r="L402" s="1">
        <v>41</v>
      </c>
      <c r="M402" s="1"/>
      <c r="N402" s="1">
        <v>1132420</v>
      </c>
      <c r="O402" s="1">
        <v>41051</v>
      </c>
      <c r="P402" s="1">
        <v>0</v>
      </c>
      <c r="Q402" s="1">
        <v>1</v>
      </c>
    </row>
    <row r="403">
      <c r="A403" s="1">
        <v>2019</v>
      </c>
      <c r="B403" s="1">
        <v>13</v>
      </c>
      <c r="C403" s="1">
        <v>0</v>
      </c>
      <c r="D403" t="s">
        <v>411</v>
      </c>
      <c r="E403" t="s">
        <v>276</v>
      </c>
      <c r="F403" s="1">
        <v>13000</v>
      </c>
      <c r="G403" s="1">
        <v>41</v>
      </c>
      <c r="H403" s="1">
        <v>51</v>
      </c>
      <c r="I403" t="s">
        <v>3</v>
      </c>
      <c r="J403" t="s">
        <v>6</v>
      </c>
      <c r="K403" s="1">
        <v>41051</v>
      </c>
      <c r="L403" s="1">
        <v>103</v>
      </c>
      <c r="M403" s="1"/>
      <c r="N403" s="1">
        <v>1730400</v>
      </c>
      <c r="O403" s="1">
        <v>41051</v>
      </c>
      <c r="P403" s="1">
        <v>0</v>
      </c>
      <c r="Q403" s="1">
        <v>1</v>
      </c>
    </row>
    <row r="404">
      <c r="A404" s="1">
        <v>2019</v>
      </c>
      <c r="B404" s="1">
        <v>15</v>
      </c>
      <c r="C404" s="1">
        <v>0</v>
      </c>
      <c r="D404" t="s">
        <v>411</v>
      </c>
      <c r="E404" t="s">
        <v>276</v>
      </c>
      <c r="F404" s="1">
        <v>15000</v>
      </c>
      <c r="G404" s="1">
        <v>41</v>
      </c>
      <c r="H404" s="1">
        <v>51</v>
      </c>
      <c r="I404" t="s">
        <v>3</v>
      </c>
      <c r="J404" t="s">
        <v>6</v>
      </c>
      <c r="K404" s="1">
        <v>41051</v>
      </c>
      <c r="L404" s="1">
        <v>698</v>
      </c>
      <c r="M404" s="1">
        <v>527</v>
      </c>
      <c r="N404" s="1">
        <v>12190000</v>
      </c>
      <c r="O404" s="1">
        <v>41051</v>
      </c>
      <c r="P404" s="1">
        <v>0</v>
      </c>
      <c r="Q404" s="1">
        <v>1</v>
      </c>
    </row>
    <row r="405">
      <c r="A405" s="1">
        <v>2019</v>
      </c>
      <c r="B405" s="1">
        <v>15</v>
      </c>
      <c r="C405" s="1">
        <v>3</v>
      </c>
      <c r="D405" t="s">
        <v>17</v>
      </c>
      <c r="E405" t="s">
        <v>93</v>
      </c>
      <c r="F405" s="1">
        <v>15003</v>
      </c>
      <c r="G405" s="1">
        <v>41</v>
      </c>
      <c r="H405" s="1">
        <v>51</v>
      </c>
      <c r="I405" t="s">
        <v>3</v>
      </c>
      <c r="J405" t="s">
        <v>6</v>
      </c>
      <c r="K405" s="1">
        <v>41051</v>
      </c>
      <c r="L405" s="1">
        <v>453</v>
      </c>
      <c r="M405" s="1">
        <v>161</v>
      </c>
      <c r="N405" s="1">
        <v>19038000</v>
      </c>
      <c r="O405" s="1">
        <v>41051</v>
      </c>
      <c r="P405" s="1">
        <v>0</v>
      </c>
      <c r="Q405" s="1">
        <v>1</v>
      </c>
    </row>
    <row r="406">
      <c r="A406" s="1">
        <v>2019</v>
      </c>
      <c r="B406" s="1">
        <v>16</v>
      </c>
      <c r="C406" s="1">
        <v>0</v>
      </c>
      <c r="D406" t="s">
        <v>411</v>
      </c>
      <c r="E406" t="s">
        <v>276</v>
      </c>
      <c r="F406" s="1">
        <v>16000</v>
      </c>
      <c r="G406" s="1">
        <v>41</v>
      </c>
      <c r="H406" s="1">
        <v>51</v>
      </c>
      <c r="I406" t="s">
        <v>3</v>
      </c>
      <c r="J406" t="s">
        <v>6</v>
      </c>
      <c r="K406" s="1">
        <v>41051</v>
      </c>
      <c r="L406" s="1">
        <v>179</v>
      </c>
      <c r="M406" s="1">
        <v>73</v>
      </c>
      <c r="N406" s="1">
        <v>901440</v>
      </c>
      <c r="O406" s="1">
        <v>41051</v>
      </c>
      <c r="P406" s="1">
        <v>0</v>
      </c>
      <c r="Q406" s="1">
        <v>1</v>
      </c>
    </row>
    <row r="407">
      <c r="A407" s="1">
        <v>2019</v>
      </c>
      <c r="B407" s="1">
        <v>17</v>
      </c>
      <c r="C407" s="1">
        <v>31</v>
      </c>
      <c r="D407" t="s">
        <v>19</v>
      </c>
      <c r="E407" t="s">
        <v>98</v>
      </c>
      <c r="F407" s="1">
        <v>17031</v>
      </c>
      <c r="G407" s="1">
        <v>41</v>
      </c>
      <c r="H407" s="1">
        <v>51</v>
      </c>
      <c r="I407" t="s">
        <v>3</v>
      </c>
      <c r="J407" t="s">
        <v>6</v>
      </c>
      <c r="K407" s="1">
        <v>41051</v>
      </c>
      <c r="L407" s="1">
        <v>594</v>
      </c>
      <c r="M407" s="1">
        <v>258</v>
      </c>
      <c r="N407" s="1">
        <v>64717040</v>
      </c>
      <c r="O407" s="1">
        <v>41051</v>
      </c>
      <c r="P407" s="1">
        <v>0</v>
      </c>
      <c r="Q407" s="1">
        <v>1</v>
      </c>
    </row>
    <row r="408">
      <c r="A408" s="1">
        <v>2019</v>
      </c>
      <c r="B408" s="1">
        <v>17</v>
      </c>
      <c r="C408" s="1">
        <v>43</v>
      </c>
      <c r="D408" t="s">
        <v>19</v>
      </c>
      <c r="E408" t="s">
        <v>187</v>
      </c>
      <c r="F408" s="1">
        <v>17043</v>
      </c>
      <c r="G408" s="1">
        <v>41</v>
      </c>
      <c r="H408" s="1">
        <v>51</v>
      </c>
      <c r="I408" t="s">
        <v>3</v>
      </c>
      <c r="J408" t="s">
        <v>6</v>
      </c>
      <c r="K408" s="1">
        <v>41051</v>
      </c>
      <c r="L408" s="1">
        <v>137</v>
      </c>
      <c r="M408" s="1">
        <v>69</v>
      </c>
      <c r="N408" s="1">
        <v>1201800</v>
      </c>
      <c r="O408" s="1">
        <v>41051</v>
      </c>
      <c r="P408" s="1">
        <v>0</v>
      </c>
      <c r="Q408" s="1">
        <v>1</v>
      </c>
    </row>
    <row r="409">
      <c r="A409" s="1">
        <v>2019</v>
      </c>
      <c r="B409" s="1">
        <v>19</v>
      </c>
      <c r="C409" s="1">
        <v>0</v>
      </c>
      <c r="D409" t="s">
        <v>411</v>
      </c>
      <c r="E409" t="s">
        <v>276</v>
      </c>
      <c r="F409" s="1">
        <v>19000</v>
      </c>
      <c r="G409" s="1">
        <v>41</v>
      </c>
      <c r="H409" s="1">
        <v>51</v>
      </c>
      <c r="I409" t="s">
        <v>3</v>
      </c>
      <c r="J409" t="s">
        <v>6</v>
      </c>
      <c r="K409" s="1">
        <v>41051</v>
      </c>
      <c r="L409" s="1">
        <v>421</v>
      </c>
      <c r="M409" s="1">
        <v>155</v>
      </c>
      <c r="N409" s="1">
        <v>11855000</v>
      </c>
      <c r="O409" s="1">
        <v>41051</v>
      </c>
      <c r="P409" s="1">
        <v>0</v>
      </c>
      <c r="Q409" s="1">
        <v>1</v>
      </c>
    </row>
    <row r="410">
      <c r="A410" s="1">
        <v>2019</v>
      </c>
      <c r="B410" s="1">
        <v>20</v>
      </c>
      <c r="C410" s="1">
        <v>45</v>
      </c>
      <c r="D410" t="s">
        <v>42</v>
      </c>
      <c r="E410" t="s">
        <v>131</v>
      </c>
      <c r="F410" s="1">
        <v>20045</v>
      </c>
      <c r="G410" s="1">
        <v>41</v>
      </c>
      <c r="H410" s="1">
        <v>51</v>
      </c>
      <c r="I410" t="s">
        <v>3</v>
      </c>
      <c r="J410" t="s">
        <v>6</v>
      </c>
      <c r="K410" s="1">
        <v>41051</v>
      </c>
      <c r="L410" s="1">
        <v>81</v>
      </c>
      <c r="M410" s="1">
        <v>81</v>
      </c>
      <c r="N410" s="1">
        <v>162000</v>
      </c>
      <c r="O410" s="1">
        <v>41051</v>
      </c>
      <c r="P410" s="1">
        <v>0</v>
      </c>
      <c r="Q410" s="1">
        <v>1</v>
      </c>
    </row>
    <row r="411">
      <c r="A411" s="1">
        <v>2019</v>
      </c>
      <c r="B411" s="1">
        <v>22</v>
      </c>
      <c r="C411" s="1">
        <v>71</v>
      </c>
      <c r="D411" t="s">
        <v>22</v>
      </c>
      <c r="E411" t="s">
        <v>101</v>
      </c>
      <c r="F411" s="1">
        <v>22071</v>
      </c>
      <c r="G411" s="1">
        <v>41</v>
      </c>
      <c r="H411" s="1">
        <v>51</v>
      </c>
      <c r="I411" t="s">
        <v>3</v>
      </c>
      <c r="J411" t="s">
        <v>6</v>
      </c>
      <c r="K411" s="1">
        <v>41051</v>
      </c>
      <c r="L411" s="1">
        <v>117</v>
      </c>
      <c r="M411" s="1"/>
      <c r="N411" s="1">
        <v>4680000</v>
      </c>
      <c r="O411" s="1">
        <v>41051</v>
      </c>
      <c r="P411" s="1">
        <v>0</v>
      </c>
      <c r="Q411" s="1">
        <v>1</v>
      </c>
    </row>
    <row r="412">
      <c r="A412" s="1">
        <v>2019</v>
      </c>
      <c r="B412" s="1">
        <v>24</v>
      </c>
      <c r="C412" s="1">
        <v>27</v>
      </c>
      <c r="D412" t="s">
        <v>24</v>
      </c>
      <c r="E412" t="s">
        <v>353</v>
      </c>
      <c r="F412" s="1">
        <v>24027</v>
      </c>
      <c r="G412" s="1">
        <v>41</v>
      </c>
      <c r="H412" s="1">
        <v>51</v>
      </c>
      <c r="I412" t="s">
        <v>3</v>
      </c>
      <c r="J412" t="s">
        <v>6</v>
      </c>
      <c r="K412" s="1">
        <v>41051</v>
      </c>
      <c r="L412" s="1">
        <v>44</v>
      </c>
      <c r="M412" s="1">
        <v>44</v>
      </c>
      <c r="N412" s="1">
        <v>369600</v>
      </c>
      <c r="O412" s="1">
        <v>41051</v>
      </c>
      <c r="P412" s="1">
        <v>0</v>
      </c>
      <c r="Q412" s="1">
        <v>1</v>
      </c>
    </row>
    <row r="413">
      <c r="A413" s="1">
        <v>2019</v>
      </c>
      <c r="B413" s="1">
        <v>24</v>
      </c>
      <c r="C413" s="1">
        <v>510</v>
      </c>
      <c r="D413" t="s">
        <v>24</v>
      </c>
      <c r="E413" t="s">
        <v>190</v>
      </c>
      <c r="F413" s="1">
        <v>24510</v>
      </c>
      <c r="G413" s="1">
        <v>41</v>
      </c>
      <c r="H413" s="1">
        <v>51</v>
      </c>
      <c r="I413" t="s">
        <v>3</v>
      </c>
      <c r="J413" t="s">
        <v>6</v>
      </c>
      <c r="K413" s="1">
        <v>41051</v>
      </c>
      <c r="L413" s="1">
        <v>52</v>
      </c>
      <c r="M413" s="1"/>
      <c r="N413" s="1">
        <v>182000</v>
      </c>
      <c r="O413" s="1">
        <v>41051</v>
      </c>
      <c r="P413" s="1">
        <v>0</v>
      </c>
      <c r="Q413" s="1">
        <v>1</v>
      </c>
    </row>
    <row r="414">
      <c r="A414" s="1">
        <v>2019</v>
      </c>
      <c r="B414" s="1">
        <v>25</v>
      </c>
      <c r="C414" s="1">
        <v>0</v>
      </c>
      <c r="D414" t="s">
        <v>411</v>
      </c>
      <c r="E414" t="s">
        <v>276</v>
      </c>
      <c r="F414" s="1">
        <v>25000</v>
      </c>
      <c r="G414" s="1">
        <v>41</v>
      </c>
      <c r="H414" s="1">
        <v>51</v>
      </c>
      <c r="I414" t="s">
        <v>3</v>
      </c>
      <c r="J414" t="s">
        <v>6</v>
      </c>
      <c r="K414" s="1">
        <v>41051</v>
      </c>
      <c r="L414" s="1">
        <v>281</v>
      </c>
      <c r="M414" s="1">
        <v>89</v>
      </c>
      <c r="N414" s="1">
        <v>21319000</v>
      </c>
      <c r="O414" s="1">
        <v>41051</v>
      </c>
      <c r="P414" s="1">
        <v>0</v>
      </c>
      <c r="Q414" s="1">
        <v>1</v>
      </c>
    </row>
    <row r="415">
      <c r="A415" s="1">
        <v>2019</v>
      </c>
      <c r="B415" s="1">
        <v>25</v>
      </c>
      <c r="C415" s="1">
        <v>25</v>
      </c>
      <c r="D415" t="s">
        <v>25</v>
      </c>
      <c r="E415" t="s">
        <v>105</v>
      </c>
      <c r="F415" s="1">
        <v>25025</v>
      </c>
      <c r="G415" s="1">
        <v>41</v>
      </c>
      <c r="H415" s="1">
        <v>51</v>
      </c>
      <c r="I415" t="s">
        <v>3</v>
      </c>
      <c r="J415" t="s">
        <v>6</v>
      </c>
      <c r="K415" s="1">
        <v>41051</v>
      </c>
      <c r="L415" s="1">
        <v>205</v>
      </c>
      <c r="M415" s="1">
        <v>123</v>
      </c>
      <c r="N415" s="1">
        <v>15558000</v>
      </c>
      <c r="O415" s="1">
        <v>41051</v>
      </c>
      <c r="P415" s="1">
        <v>0</v>
      </c>
      <c r="Q415" s="1">
        <v>1</v>
      </c>
    </row>
    <row r="416">
      <c r="A416" s="1">
        <v>2019</v>
      </c>
      <c r="B416" s="1">
        <v>26</v>
      </c>
      <c r="C416" s="1">
        <v>77</v>
      </c>
      <c r="D416" t="s">
        <v>26</v>
      </c>
      <c r="E416" t="s">
        <v>328</v>
      </c>
      <c r="F416" s="1">
        <v>26077</v>
      </c>
      <c r="G416" s="1">
        <v>41</v>
      </c>
      <c r="H416" s="1">
        <v>51</v>
      </c>
      <c r="I416" t="s">
        <v>3</v>
      </c>
      <c r="J416" t="s">
        <v>6</v>
      </c>
      <c r="K416" s="1">
        <v>41051</v>
      </c>
      <c r="L416" s="1">
        <v>48</v>
      </c>
      <c r="M416" s="1"/>
      <c r="N416" s="1">
        <v>2400000</v>
      </c>
      <c r="O416" s="1">
        <v>41051</v>
      </c>
      <c r="P416" s="1">
        <v>0</v>
      </c>
      <c r="Q416" s="1">
        <v>1</v>
      </c>
    </row>
    <row r="417">
      <c r="A417" s="1">
        <v>2019</v>
      </c>
      <c r="B417" s="1">
        <v>26</v>
      </c>
      <c r="C417" s="1">
        <v>125</v>
      </c>
      <c r="D417" t="s">
        <v>26</v>
      </c>
      <c r="E417" t="s">
        <v>194</v>
      </c>
      <c r="F417" s="1">
        <v>26125</v>
      </c>
      <c r="G417" s="1">
        <v>41</v>
      </c>
      <c r="H417" s="1">
        <v>51</v>
      </c>
      <c r="I417" t="s">
        <v>3</v>
      </c>
      <c r="J417" t="s">
        <v>6</v>
      </c>
      <c r="K417" s="1">
        <v>41051</v>
      </c>
      <c r="L417" s="1">
        <v>56</v>
      </c>
      <c r="M417" s="1">
        <v>55</v>
      </c>
      <c r="N417" s="1">
        <v>5488000</v>
      </c>
      <c r="O417" s="1">
        <v>41051</v>
      </c>
      <c r="P417" s="1">
        <v>0</v>
      </c>
      <c r="Q417" s="1">
        <v>1</v>
      </c>
    </row>
    <row r="418">
      <c r="A418" s="1">
        <v>2019</v>
      </c>
      <c r="B418" s="1">
        <v>27</v>
      </c>
      <c r="C418" s="1">
        <v>53</v>
      </c>
      <c r="D418" t="s">
        <v>27</v>
      </c>
      <c r="E418" t="s">
        <v>107</v>
      </c>
      <c r="F418" s="1">
        <v>27053</v>
      </c>
      <c r="G418" s="1">
        <v>41</v>
      </c>
      <c r="H418" s="1">
        <v>51</v>
      </c>
      <c r="I418" t="s">
        <v>3</v>
      </c>
      <c r="J418" t="s">
        <v>6</v>
      </c>
      <c r="K418" s="1">
        <v>41051</v>
      </c>
      <c r="L418" s="1">
        <v>205</v>
      </c>
      <c r="M418" s="1">
        <v>205</v>
      </c>
      <c r="N418" s="1">
        <v>11337000</v>
      </c>
      <c r="O418" s="1">
        <v>41051</v>
      </c>
      <c r="P418" s="1">
        <v>0</v>
      </c>
      <c r="Q418" s="1">
        <v>1</v>
      </c>
    </row>
    <row r="419">
      <c r="A419" s="1">
        <v>2019</v>
      </c>
      <c r="B419" s="1">
        <v>27</v>
      </c>
      <c r="C419" s="1">
        <v>163</v>
      </c>
      <c r="D419" t="s">
        <v>27</v>
      </c>
      <c r="E419" t="s">
        <v>143</v>
      </c>
      <c r="F419" s="1">
        <v>27163</v>
      </c>
      <c r="G419" s="1">
        <v>41</v>
      </c>
      <c r="H419" s="1">
        <v>51</v>
      </c>
      <c r="I419" t="s">
        <v>3</v>
      </c>
      <c r="J419" t="s">
        <v>6</v>
      </c>
      <c r="K419" s="1">
        <v>41051</v>
      </c>
      <c r="L419" s="1">
        <v>134</v>
      </c>
      <c r="M419" s="1">
        <v>134</v>
      </c>
      <c r="N419" s="1">
        <v>17420000</v>
      </c>
      <c r="O419" s="1">
        <v>41051</v>
      </c>
      <c r="P419" s="1">
        <v>0</v>
      </c>
      <c r="Q419" s="1">
        <v>1</v>
      </c>
    </row>
    <row r="420">
      <c r="A420" s="1">
        <v>2019</v>
      </c>
      <c r="B420" s="1">
        <v>29</v>
      </c>
      <c r="C420" s="1">
        <v>189</v>
      </c>
      <c r="D420" t="s">
        <v>44</v>
      </c>
      <c r="E420" t="s">
        <v>197</v>
      </c>
      <c r="F420" s="1">
        <v>29189</v>
      </c>
      <c r="G420" s="1">
        <v>41</v>
      </c>
      <c r="H420" s="1">
        <v>51</v>
      </c>
      <c r="I420" t="s">
        <v>3</v>
      </c>
      <c r="J420" t="s">
        <v>6</v>
      </c>
      <c r="K420" s="1">
        <v>41051</v>
      </c>
      <c r="L420" s="1">
        <v>59</v>
      </c>
      <c r="M420" s="1">
        <v>59</v>
      </c>
      <c r="N420" s="1">
        <v>31565000</v>
      </c>
      <c r="O420" s="1">
        <v>41051</v>
      </c>
      <c r="P420" s="1">
        <v>0</v>
      </c>
      <c r="Q420" s="1">
        <v>1</v>
      </c>
    </row>
    <row r="421">
      <c r="A421" s="1">
        <v>2019</v>
      </c>
      <c r="B421" s="1">
        <v>30</v>
      </c>
      <c r="C421" s="1">
        <v>0</v>
      </c>
      <c r="D421" t="s">
        <v>411</v>
      </c>
      <c r="E421" t="s">
        <v>276</v>
      </c>
      <c r="F421" s="1">
        <v>30000</v>
      </c>
      <c r="G421" s="1">
        <v>41</v>
      </c>
      <c r="H421" s="1">
        <v>51</v>
      </c>
      <c r="I421" t="s">
        <v>3</v>
      </c>
      <c r="J421" t="s">
        <v>6</v>
      </c>
      <c r="K421" s="1">
        <v>41051</v>
      </c>
      <c r="L421" s="1">
        <v>436</v>
      </c>
      <c r="M421" s="1">
        <v>159</v>
      </c>
      <c r="N421" s="1">
        <v>11886000</v>
      </c>
      <c r="O421" s="1">
        <v>41051</v>
      </c>
      <c r="P421" s="1">
        <v>0</v>
      </c>
      <c r="Q421" s="1">
        <v>1</v>
      </c>
    </row>
    <row r="422">
      <c r="A422" s="1">
        <v>2019</v>
      </c>
      <c r="B422" s="1">
        <v>32</v>
      </c>
      <c r="C422" s="1">
        <v>3</v>
      </c>
      <c r="D422" t="s">
        <v>29</v>
      </c>
      <c r="E422" t="s">
        <v>112</v>
      </c>
      <c r="F422" s="1">
        <v>32003</v>
      </c>
      <c r="G422" s="1">
        <v>41</v>
      </c>
      <c r="H422" s="1">
        <v>51</v>
      </c>
      <c r="I422" t="s">
        <v>3</v>
      </c>
      <c r="J422" t="s">
        <v>6</v>
      </c>
      <c r="K422" s="1">
        <v>41051</v>
      </c>
      <c r="L422" s="1">
        <v>874</v>
      </c>
      <c r="M422" s="1">
        <v>136</v>
      </c>
      <c r="N422" s="1">
        <v>39950200</v>
      </c>
      <c r="O422" s="1">
        <v>41051</v>
      </c>
      <c r="P422" s="1">
        <v>0</v>
      </c>
      <c r="Q422" s="1">
        <v>1</v>
      </c>
    </row>
    <row r="423">
      <c r="A423" s="1">
        <v>2019</v>
      </c>
      <c r="B423" s="1">
        <v>34</v>
      </c>
      <c r="C423" s="1">
        <v>0</v>
      </c>
      <c r="D423" t="s">
        <v>411</v>
      </c>
      <c r="E423" t="s">
        <v>276</v>
      </c>
      <c r="F423" s="1">
        <v>34000</v>
      </c>
      <c r="G423" s="1">
        <v>41</v>
      </c>
      <c r="H423" s="1">
        <v>51</v>
      </c>
      <c r="I423" t="s">
        <v>3</v>
      </c>
      <c r="J423" t="s">
        <v>6</v>
      </c>
      <c r="K423" s="1">
        <v>41051</v>
      </c>
      <c r="L423" s="1">
        <v>230</v>
      </c>
      <c r="M423" s="1">
        <v>113</v>
      </c>
      <c r="N423" s="1">
        <v>8970000</v>
      </c>
      <c r="O423" s="1">
        <v>41051</v>
      </c>
      <c r="P423" s="1">
        <v>0</v>
      </c>
      <c r="Q423" s="1">
        <v>1</v>
      </c>
    </row>
    <row r="424">
      <c r="A424" s="1">
        <v>2019</v>
      </c>
      <c r="B424" s="1">
        <v>36</v>
      </c>
      <c r="C424" s="1">
        <v>1</v>
      </c>
      <c r="D424" t="s">
        <v>31</v>
      </c>
      <c r="E424" t="s">
        <v>315</v>
      </c>
      <c r="F424" s="1">
        <v>36001</v>
      </c>
      <c r="G424" s="1">
        <v>41</v>
      </c>
      <c r="H424" s="1">
        <v>51</v>
      </c>
      <c r="I424" t="s">
        <v>3</v>
      </c>
      <c r="J424" t="s">
        <v>6</v>
      </c>
      <c r="K424" s="1">
        <v>41051</v>
      </c>
      <c r="L424" s="1">
        <v>131</v>
      </c>
      <c r="M424" s="1">
        <v>130</v>
      </c>
      <c r="N424" s="1">
        <v>0</v>
      </c>
      <c r="O424" s="1">
        <v>41051</v>
      </c>
      <c r="P424" s="1">
        <v>0</v>
      </c>
      <c r="Q424" s="1">
        <v>1</v>
      </c>
    </row>
    <row r="425">
      <c r="A425" s="1">
        <v>2019</v>
      </c>
      <c r="B425" s="1">
        <v>36</v>
      </c>
      <c r="C425" s="1">
        <v>47</v>
      </c>
      <c r="D425" t="s">
        <v>31</v>
      </c>
      <c r="E425" t="s">
        <v>116</v>
      </c>
      <c r="F425" s="1">
        <v>36047</v>
      </c>
      <c r="G425" s="1">
        <v>41</v>
      </c>
      <c r="H425" s="1">
        <v>51</v>
      </c>
      <c r="I425" t="s">
        <v>3</v>
      </c>
      <c r="J425" t="s">
        <v>6</v>
      </c>
      <c r="K425" s="1">
        <v>41051</v>
      </c>
      <c r="L425" s="1">
        <v>349</v>
      </c>
      <c r="M425" s="1">
        <v>348</v>
      </c>
      <c r="N425" s="1">
        <v>20315600</v>
      </c>
      <c r="O425" s="1">
        <v>41051</v>
      </c>
      <c r="P425" s="1">
        <v>0</v>
      </c>
      <c r="Q425" s="1">
        <v>1</v>
      </c>
    </row>
    <row r="426">
      <c r="A426" s="1">
        <v>2019</v>
      </c>
      <c r="B426" s="1">
        <v>36</v>
      </c>
      <c r="C426" s="1">
        <v>81</v>
      </c>
      <c r="D426" t="s">
        <v>31</v>
      </c>
      <c r="E426" t="s">
        <v>118</v>
      </c>
      <c r="F426" s="1">
        <v>36081</v>
      </c>
      <c r="G426" s="1">
        <v>41</v>
      </c>
      <c r="H426" s="1">
        <v>51</v>
      </c>
      <c r="I426" t="s">
        <v>3</v>
      </c>
      <c r="J426" t="s">
        <v>6</v>
      </c>
      <c r="K426" s="1">
        <v>41051</v>
      </c>
      <c r="L426" s="1">
        <v>522</v>
      </c>
      <c r="M426" s="1">
        <v>273</v>
      </c>
      <c r="N426" s="1">
        <v>46222150</v>
      </c>
      <c r="O426" s="1">
        <v>41051</v>
      </c>
      <c r="P426" s="1">
        <v>0</v>
      </c>
      <c r="Q426" s="1">
        <v>1</v>
      </c>
    </row>
    <row r="427">
      <c r="A427" s="1">
        <v>2019</v>
      </c>
      <c r="B427" s="1">
        <v>37</v>
      </c>
      <c r="C427" s="1">
        <v>183</v>
      </c>
      <c r="D427" t="s">
        <v>32</v>
      </c>
      <c r="E427" t="s">
        <v>206</v>
      </c>
      <c r="F427" s="1">
        <v>37183</v>
      </c>
      <c r="G427" s="1">
        <v>41</v>
      </c>
      <c r="H427" s="1">
        <v>51</v>
      </c>
      <c r="I427" t="s">
        <v>3</v>
      </c>
      <c r="J427" t="s">
        <v>6</v>
      </c>
      <c r="K427" s="1">
        <v>41051</v>
      </c>
      <c r="L427" s="1">
        <v>85</v>
      </c>
      <c r="M427" s="1"/>
      <c r="N427" s="1">
        <v>7565000</v>
      </c>
      <c r="O427" s="1">
        <v>41051</v>
      </c>
      <c r="P427" s="1">
        <v>0</v>
      </c>
      <c r="Q427" s="1">
        <v>1</v>
      </c>
    </row>
    <row r="428">
      <c r="A428" s="1">
        <v>2019</v>
      </c>
      <c r="B428" s="1">
        <v>39</v>
      </c>
      <c r="C428" s="1">
        <v>17</v>
      </c>
      <c r="D428" t="s">
        <v>33</v>
      </c>
      <c r="E428" t="s">
        <v>377</v>
      </c>
      <c r="F428" s="1">
        <v>39017</v>
      </c>
      <c r="G428" s="1">
        <v>41</v>
      </c>
      <c r="H428" s="1">
        <v>51</v>
      </c>
      <c r="I428" t="s">
        <v>3</v>
      </c>
      <c r="J428" t="s">
        <v>6</v>
      </c>
      <c r="K428" s="1">
        <v>41051</v>
      </c>
      <c r="L428" s="1">
        <v>187</v>
      </c>
      <c r="M428" s="1"/>
      <c r="N428" s="1">
        <v>430100</v>
      </c>
      <c r="O428" s="1">
        <v>41051</v>
      </c>
      <c r="P428" s="1">
        <v>0</v>
      </c>
      <c r="Q428" s="1">
        <v>1</v>
      </c>
    </row>
    <row r="429">
      <c r="A429" s="1">
        <v>2019</v>
      </c>
      <c r="B429" s="1">
        <v>39</v>
      </c>
      <c r="C429" s="1">
        <v>49</v>
      </c>
      <c r="D429" t="s">
        <v>33</v>
      </c>
      <c r="E429" t="s">
        <v>122</v>
      </c>
      <c r="F429" s="1">
        <v>39049</v>
      </c>
      <c r="G429" s="1">
        <v>41</v>
      </c>
      <c r="H429" s="1">
        <v>51</v>
      </c>
      <c r="I429" t="s">
        <v>3</v>
      </c>
      <c r="J429" t="s">
        <v>6</v>
      </c>
      <c r="K429" s="1">
        <v>41051</v>
      </c>
      <c r="L429" s="1">
        <v>274</v>
      </c>
      <c r="M429" s="1">
        <v>77</v>
      </c>
      <c r="N429" s="1">
        <v>7954000</v>
      </c>
      <c r="O429" s="1">
        <v>41051</v>
      </c>
      <c r="P429" s="1">
        <v>0</v>
      </c>
      <c r="Q429" s="1">
        <v>1</v>
      </c>
    </row>
    <row r="430">
      <c r="A430" s="1">
        <v>2019</v>
      </c>
      <c r="B430" s="1">
        <v>40</v>
      </c>
      <c r="C430" s="1">
        <v>0</v>
      </c>
      <c r="D430" t="s">
        <v>411</v>
      </c>
      <c r="E430" t="s">
        <v>276</v>
      </c>
      <c r="F430" s="1">
        <v>40000</v>
      </c>
      <c r="G430" s="1">
        <v>41</v>
      </c>
      <c r="H430" s="1">
        <v>51</v>
      </c>
      <c r="I430" t="s">
        <v>3</v>
      </c>
      <c r="J430" t="s">
        <v>6</v>
      </c>
      <c r="K430" s="1">
        <v>41051</v>
      </c>
      <c r="L430" s="1">
        <v>714</v>
      </c>
      <c r="M430" s="1">
        <v>429</v>
      </c>
      <c r="N430" s="1">
        <v>35577600</v>
      </c>
      <c r="O430" s="1">
        <v>41051</v>
      </c>
      <c r="P430" s="1">
        <v>0</v>
      </c>
      <c r="Q430" s="1">
        <v>1</v>
      </c>
    </row>
    <row r="431">
      <c r="A431" s="1">
        <v>2019</v>
      </c>
      <c r="B431" s="1">
        <v>41</v>
      </c>
      <c r="C431" s="1">
        <v>0</v>
      </c>
      <c r="D431" t="s">
        <v>411</v>
      </c>
      <c r="E431" t="s">
        <v>276</v>
      </c>
      <c r="F431" s="1">
        <v>41000</v>
      </c>
      <c r="G431" s="1">
        <v>41</v>
      </c>
      <c r="H431" s="1">
        <v>51</v>
      </c>
      <c r="I431" t="s">
        <v>3</v>
      </c>
      <c r="J431" t="s">
        <v>6</v>
      </c>
      <c r="K431" s="1">
        <v>41051</v>
      </c>
      <c r="L431" s="1">
        <v>1804</v>
      </c>
      <c r="M431" s="1">
        <v>646</v>
      </c>
      <c r="N431" s="1">
        <v>79194500</v>
      </c>
      <c r="O431" s="1">
        <v>41051</v>
      </c>
      <c r="P431" s="1">
        <v>0</v>
      </c>
      <c r="Q431" s="1">
        <v>1</v>
      </c>
    </row>
    <row r="432">
      <c r="A432" s="1">
        <v>2019</v>
      </c>
      <c r="B432" s="1">
        <v>41</v>
      </c>
      <c r="C432" s="1">
        <v>5</v>
      </c>
      <c r="D432" t="s">
        <v>3</v>
      </c>
      <c r="E432" t="s">
        <v>125</v>
      </c>
      <c r="F432" s="1">
        <v>41005</v>
      </c>
      <c r="G432" s="1">
        <v>41</v>
      </c>
      <c r="H432" s="1">
        <v>51</v>
      </c>
      <c r="I432" t="s">
        <v>3</v>
      </c>
      <c r="J432" t="s">
        <v>6</v>
      </c>
      <c r="K432" s="1">
        <v>41051</v>
      </c>
      <c r="L432" s="1">
        <v>8354</v>
      </c>
      <c r="M432" s="1">
        <v>2987</v>
      </c>
      <c r="N432" s="1">
        <v>259489000</v>
      </c>
      <c r="O432" s="1">
        <v>41051</v>
      </c>
      <c r="P432" s="1">
        <v>0</v>
      </c>
      <c r="Q432" s="1">
        <v>1</v>
      </c>
    </row>
    <row r="433">
      <c r="A433" s="1">
        <v>2019</v>
      </c>
      <c r="B433" s="1">
        <v>41</v>
      </c>
      <c r="C433" s="1">
        <v>17</v>
      </c>
      <c r="D433" t="s">
        <v>3</v>
      </c>
      <c r="E433" t="s">
        <v>130</v>
      </c>
      <c r="F433" s="1">
        <v>41017</v>
      </c>
      <c r="G433" s="1">
        <v>41</v>
      </c>
      <c r="H433" s="1">
        <v>51</v>
      </c>
      <c r="I433" t="s">
        <v>3</v>
      </c>
      <c r="J433" t="s">
        <v>6</v>
      </c>
      <c r="K433" s="1">
        <v>41051</v>
      </c>
      <c r="L433" s="1">
        <v>436</v>
      </c>
      <c r="M433" s="1"/>
      <c r="N433" s="1">
        <v>11790000</v>
      </c>
      <c r="O433" s="1">
        <v>41051</v>
      </c>
      <c r="P433" s="1">
        <v>0</v>
      </c>
      <c r="Q433" s="1">
        <v>1</v>
      </c>
    </row>
    <row r="434">
      <c r="A434" s="1">
        <v>2019</v>
      </c>
      <c r="B434" s="1">
        <v>41</v>
      </c>
      <c r="C434" s="1">
        <v>19</v>
      </c>
      <c r="D434" t="s">
        <v>3</v>
      </c>
      <c r="E434" t="s">
        <v>131</v>
      </c>
      <c r="F434" s="1">
        <v>41019</v>
      </c>
      <c r="G434" s="1">
        <v>41</v>
      </c>
      <c r="H434" s="1">
        <v>51</v>
      </c>
      <c r="I434" t="s">
        <v>3</v>
      </c>
      <c r="J434" t="s">
        <v>6</v>
      </c>
      <c r="K434" s="1">
        <v>41051</v>
      </c>
      <c r="L434" s="1">
        <v>136</v>
      </c>
      <c r="M434" s="1">
        <v>137</v>
      </c>
      <c r="N434" s="1">
        <v>1033600</v>
      </c>
      <c r="O434" s="1">
        <v>41051</v>
      </c>
      <c r="P434" s="1">
        <v>0</v>
      </c>
      <c r="Q434" s="1">
        <v>1</v>
      </c>
    </row>
    <row r="435">
      <c r="A435" s="1">
        <v>2019</v>
      </c>
      <c r="B435" s="1">
        <v>41</v>
      </c>
      <c r="C435" s="1">
        <v>29</v>
      </c>
      <c r="D435" t="s">
        <v>3</v>
      </c>
      <c r="E435" t="s">
        <v>133</v>
      </c>
      <c r="F435" s="1">
        <v>41029</v>
      </c>
      <c r="G435" s="1">
        <v>41</v>
      </c>
      <c r="H435" s="1">
        <v>51</v>
      </c>
      <c r="I435" t="s">
        <v>3</v>
      </c>
      <c r="J435" t="s">
        <v>6</v>
      </c>
      <c r="K435" s="1">
        <v>41051</v>
      </c>
      <c r="L435" s="1">
        <v>75</v>
      </c>
      <c r="M435" s="1"/>
      <c r="N435" s="1">
        <v>6675000</v>
      </c>
      <c r="O435" s="1">
        <v>41051</v>
      </c>
      <c r="P435" s="1">
        <v>0</v>
      </c>
      <c r="Q435" s="1">
        <v>1</v>
      </c>
    </row>
    <row r="436">
      <c r="A436" s="1">
        <v>2019</v>
      </c>
      <c r="B436" s="1">
        <v>41</v>
      </c>
      <c r="C436" s="1">
        <v>39</v>
      </c>
      <c r="D436" t="s">
        <v>3</v>
      </c>
      <c r="E436" t="s">
        <v>136</v>
      </c>
      <c r="F436" s="1">
        <v>41039</v>
      </c>
      <c r="G436" s="1">
        <v>41</v>
      </c>
      <c r="H436" s="1">
        <v>51</v>
      </c>
      <c r="I436" t="s">
        <v>3</v>
      </c>
      <c r="J436" t="s">
        <v>6</v>
      </c>
      <c r="K436" s="1">
        <v>41051</v>
      </c>
      <c r="L436" s="1">
        <v>1599</v>
      </c>
      <c r="M436" s="1">
        <v>696</v>
      </c>
      <c r="N436" s="1">
        <v>99518720</v>
      </c>
      <c r="O436" s="1">
        <v>41051</v>
      </c>
      <c r="P436" s="1">
        <v>0</v>
      </c>
      <c r="Q436" s="1">
        <v>1</v>
      </c>
    </row>
    <row r="437">
      <c r="A437" s="1">
        <v>2019</v>
      </c>
      <c r="B437" s="1">
        <v>41</v>
      </c>
      <c r="C437" s="1">
        <v>47</v>
      </c>
      <c r="D437" t="s">
        <v>3</v>
      </c>
      <c r="E437" t="s">
        <v>99</v>
      </c>
      <c r="F437" s="1">
        <v>41047</v>
      </c>
      <c r="G437" s="1">
        <v>41</v>
      </c>
      <c r="H437" s="1">
        <v>51</v>
      </c>
      <c r="I437" t="s">
        <v>3</v>
      </c>
      <c r="J437" t="s">
        <v>6</v>
      </c>
      <c r="K437" s="1">
        <v>41051</v>
      </c>
      <c r="L437" s="1">
        <v>1246</v>
      </c>
      <c r="M437" s="1">
        <v>517</v>
      </c>
      <c r="N437" s="1">
        <v>42373500</v>
      </c>
      <c r="O437" s="1">
        <v>41051</v>
      </c>
      <c r="P437" s="1">
        <v>0</v>
      </c>
      <c r="Q437" s="1">
        <v>1</v>
      </c>
    </row>
    <row r="438">
      <c r="A438" s="1">
        <v>2019</v>
      </c>
      <c r="B438" s="1">
        <v>41</v>
      </c>
      <c r="C438" s="1">
        <v>51</v>
      </c>
      <c r="D438" t="s">
        <v>3</v>
      </c>
      <c r="E438" t="s">
        <v>6</v>
      </c>
      <c r="F438" s="1">
        <v>41051</v>
      </c>
      <c r="G438" s="1">
        <v>41</v>
      </c>
      <c r="H438" s="1">
        <v>51</v>
      </c>
      <c r="I438" t="s">
        <v>3</v>
      </c>
      <c r="J438" t="s">
        <v>6</v>
      </c>
      <c r="K438" s="1">
        <v>41051</v>
      </c>
      <c r="L438" s="1">
        <v>595569</v>
      </c>
      <c r="M438" s="1">
        <v>315838</v>
      </c>
      <c r="N438" s="1">
        <v>31683865620</v>
      </c>
      <c r="O438" s="1">
        <v>41051</v>
      </c>
      <c r="P438" s="1">
        <v>1</v>
      </c>
      <c r="Q438" s="1">
        <v>1</v>
      </c>
    </row>
    <row r="439">
      <c r="A439" s="1">
        <v>2019</v>
      </c>
      <c r="B439" s="1">
        <v>41</v>
      </c>
      <c r="C439" s="1">
        <v>67</v>
      </c>
      <c r="D439" t="s">
        <v>3</v>
      </c>
      <c r="E439" t="s">
        <v>143</v>
      </c>
      <c r="F439" s="1">
        <v>41067</v>
      </c>
      <c r="G439" s="1">
        <v>41</v>
      </c>
      <c r="H439" s="1">
        <v>51</v>
      </c>
      <c r="I439" t="s">
        <v>3</v>
      </c>
      <c r="J439" t="s">
        <v>6</v>
      </c>
      <c r="K439" s="1">
        <v>41051</v>
      </c>
      <c r="L439" s="1">
        <v>4616</v>
      </c>
      <c r="M439" s="1">
        <v>2051</v>
      </c>
      <c r="N439" s="1">
        <v>235675700</v>
      </c>
      <c r="O439" s="1">
        <v>41051</v>
      </c>
      <c r="P439" s="1">
        <v>0</v>
      </c>
      <c r="Q439" s="1">
        <v>1</v>
      </c>
    </row>
    <row r="440">
      <c r="A440" s="1">
        <v>2019</v>
      </c>
      <c r="B440" s="1">
        <v>42</v>
      </c>
      <c r="C440" s="1">
        <v>27</v>
      </c>
      <c r="D440" t="s">
        <v>34</v>
      </c>
      <c r="E440" t="s">
        <v>312</v>
      </c>
      <c r="F440" s="1">
        <v>42027</v>
      </c>
      <c r="G440" s="1">
        <v>41</v>
      </c>
      <c r="H440" s="1">
        <v>51</v>
      </c>
      <c r="I440" t="s">
        <v>3</v>
      </c>
      <c r="J440" t="s">
        <v>6</v>
      </c>
      <c r="K440" s="1">
        <v>41051</v>
      </c>
      <c r="L440" s="1">
        <v>352</v>
      </c>
      <c r="M440" s="1">
        <v>134</v>
      </c>
      <c r="N440" s="1">
        <v>9504000</v>
      </c>
      <c r="O440" s="1">
        <v>41051</v>
      </c>
      <c r="P440" s="1">
        <v>0</v>
      </c>
      <c r="Q440" s="1">
        <v>1</v>
      </c>
    </row>
    <row r="441">
      <c r="A441" s="1">
        <v>2019</v>
      </c>
      <c r="B441" s="1">
        <v>42</v>
      </c>
      <c r="C441" s="1">
        <v>45</v>
      </c>
      <c r="D441" t="s">
        <v>34</v>
      </c>
      <c r="E441" t="s">
        <v>292</v>
      </c>
      <c r="F441" s="1">
        <v>42045</v>
      </c>
      <c r="G441" s="1">
        <v>41</v>
      </c>
      <c r="H441" s="1">
        <v>51</v>
      </c>
      <c r="I441" t="s">
        <v>3</v>
      </c>
      <c r="J441" t="s">
        <v>6</v>
      </c>
      <c r="K441" s="1">
        <v>41051</v>
      </c>
      <c r="L441" s="1">
        <v>220</v>
      </c>
      <c r="M441" s="1">
        <v>106</v>
      </c>
      <c r="N441" s="1">
        <v>18549800</v>
      </c>
      <c r="O441" s="1">
        <v>41051</v>
      </c>
      <c r="P441" s="1">
        <v>0</v>
      </c>
      <c r="Q441" s="1">
        <v>1</v>
      </c>
    </row>
    <row r="442">
      <c r="A442" s="1">
        <v>2019</v>
      </c>
      <c r="B442" s="1">
        <v>42</v>
      </c>
      <c r="C442" s="1">
        <v>51</v>
      </c>
      <c r="D442" t="s">
        <v>34</v>
      </c>
      <c r="E442" t="s">
        <v>283</v>
      </c>
      <c r="F442" s="1">
        <v>42051</v>
      </c>
      <c r="G442" s="1">
        <v>41</v>
      </c>
      <c r="H442" s="1">
        <v>51</v>
      </c>
      <c r="I442" t="s">
        <v>3</v>
      </c>
      <c r="J442" t="s">
        <v>6</v>
      </c>
      <c r="K442" s="1">
        <v>41051</v>
      </c>
      <c r="L442" s="1">
        <v>78</v>
      </c>
      <c r="M442" s="1"/>
      <c r="N442" s="1">
        <v>397800</v>
      </c>
      <c r="O442" s="1">
        <v>41051</v>
      </c>
      <c r="P442" s="1">
        <v>0</v>
      </c>
      <c r="Q442" s="1">
        <v>1</v>
      </c>
    </row>
    <row r="443">
      <c r="A443" s="1">
        <v>2019</v>
      </c>
      <c r="B443" s="1">
        <v>42</v>
      </c>
      <c r="C443" s="1">
        <v>101</v>
      </c>
      <c r="D443" t="s">
        <v>34</v>
      </c>
      <c r="E443" t="s">
        <v>146</v>
      </c>
      <c r="F443" s="1">
        <v>42101</v>
      </c>
      <c r="G443" s="1">
        <v>41</v>
      </c>
      <c r="H443" s="1">
        <v>51</v>
      </c>
      <c r="I443" t="s">
        <v>3</v>
      </c>
      <c r="J443" t="s">
        <v>6</v>
      </c>
      <c r="K443" s="1">
        <v>41051</v>
      </c>
      <c r="L443" s="1">
        <v>280</v>
      </c>
      <c r="M443" s="1">
        <v>175</v>
      </c>
      <c r="N443" s="1">
        <v>29442000</v>
      </c>
      <c r="O443" s="1">
        <v>41051</v>
      </c>
      <c r="P443" s="1">
        <v>0</v>
      </c>
      <c r="Q443" s="1">
        <v>1</v>
      </c>
    </row>
    <row r="444">
      <c r="A444" s="1">
        <v>2019</v>
      </c>
      <c r="B444" s="1">
        <v>45</v>
      </c>
      <c r="C444" s="1">
        <v>0</v>
      </c>
      <c r="D444" t="s">
        <v>411</v>
      </c>
      <c r="E444" t="s">
        <v>276</v>
      </c>
      <c r="F444" s="1">
        <v>45000</v>
      </c>
      <c r="G444" s="1">
        <v>41</v>
      </c>
      <c r="H444" s="1">
        <v>51</v>
      </c>
      <c r="I444" t="s">
        <v>3</v>
      </c>
      <c r="J444" t="s">
        <v>6</v>
      </c>
      <c r="K444" s="1">
        <v>41051</v>
      </c>
      <c r="L444" s="1">
        <v>102</v>
      </c>
      <c r="M444" s="1">
        <v>102</v>
      </c>
      <c r="N444" s="1">
        <v>510000</v>
      </c>
      <c r="O444" s="1">
        <v>41051</v>
      </c>
      <c r="P444" s="1">
        <v>0</v>
      </c>
      <c r="Q444" s="1">
        <v>1</v>
      </c>
    </row>
    <row r="445">
      <c r="A445" s="1">
        <v>2019</v>
      </c>
      <c r="B445" s="1">
        <v>47</v>
      </c>
      <c r="C445" s="1">
        <v>37</v>
      </c>
      <c r="D445" t="s">
        <v>35</v>
      </c>
      <c r="E445" t="s">
        <v>147</v>
      </c>
      <c r="F445" s="1">
        <v>47037</v>
      </c>
      <c r="G445" s="1">
        <v>41</v>
      </c>
      <c r="H445" s="1">
        <v>51</v>
      </c>
      <c r="I445" t="s">
        <v>3</v>
      </c>
      <c r="J445" t="s">
        <v>6</v>
      </c>
      <c r="K445" s="1">
        <v>41051</v>
      </c>
      <c r="L445" s="1">
        <v>98</v>
      </c>
      <c r="M445" s="1">
        <v>98</v>
      </c>
      <c r="N445" s="1">
        <v>4214000</v>
      </c>
      <c r="O445" s="1">
        <v>41051</v>
      </c>
      <c r="P445" s="1">
        <v>0</v>
      </c>
      <c r="Q445" s="1">
        <v>1</v>
      </c>
    </row>
    <row r="446">
      <c r="A446" s="1">
        <v>2019</v>
      </c>
      <c r="B446" s="1">
        <v>48</v>
      </c>
      <c r="C446" s="1">
        <v>27</v>
      </c>
      <c r="D446" t="s">
        <v>36</v>
      </c>
      <c r="E446" t="s">
        <v>306</v>
      </c>
      <c r="F446" s="1">
        <v>48027</v>
      </c>
      <c r="G446" s="1">
        <v>41</v>
      </c>
      <c r="H446" s="1">
        <v>51</v>
      </c>
      <c r="I446" t="s">
        <v>3</v>
      </c>
      <c r="J446" t="s">
        <v>6</v>
      </c>
      <c r="K446" s="1">
        <v>41051</v>
      </c>
      <c r="L446" s="1">
        <v>448</v>
      </c>
      <c r="M446" s="1">
        <v>239</v>
      </c>
      <c r="N446" s="1">
        <v>25621070</v>
      </c>
      <c r="O446" s="1">
        <v>41051</v>
      </c>
      <c r="P446" s="1">
        <v>0</v>
      </c>
      <c r="Q446" s="1">
        <v>1</v>
      </c>
    </row>
    <row r="447">
      <c r="A447" s="1">
        <v>2019</v>
      </c>
      <c r="B447" s="1">
        <v>48</v>
      </c>
      <c r="C447" s="1">
        <v>29</v>
      </c>
      <c r="D447" t="s">
        <v>36</v>
      </c>
      <c r="E447" t="s">
        <v>149</v>
      </c>
      <c r="F447" s="1">
        <v>48029</v>
      </c>
      <c r="G447" s="1">
        <v>41</v>
      </c>
      <c r="H447" s="1">
        <v>51</v>
      </c>
      <c r="I447" t="s">
        <v>3</v>
      </c>
      <c r="J447" t="s">
        <v>6</v>
      </c>
      <c r="K447" s="1">
        <v>41051</v>
      </c>
      <c r="L447" s="1">
        <v>228</v>
      </c>
      <c r="M447" s="1">
        <v>113</v>
      </c>
      <c r="N447" s="1">
        <v>15555000</v>
      </c>
      <c r="O447" s="1">
        <v>41051</v>
      </c>
      <c r="P447" s="1">
        <v>0</v>
      </c>
      <c r="Q447" s="1">
        <v>1</v>
      </c>
    </row>
    <row r="448">
      <c r="A448" s="1">
        <v>2019</v>
      </c>
      <c r="B448" s="1">
        <v>48</v>
      </c>
      <c r="C448" s="1">
        <v>113</v>
      </c>
      <c r="D448" t="s">
        <v>36</v>
      </c>
      <c r="E448" t="s">
        <v>150</v>
      </c>
      <c r="F448" s="1">
        <v>48113</v>
      </c>
      <c r="G448" s="1">
        <v>41</v>
      </c>
      <c r="H448" s="1">
        <v>51</v>
      </c>
      <c r="I448" t="s">
        <v>3</v>
      </c>
      <c r="J448" t="s">
        <v>6</v>
      </c>
      <c r="K448" s="1">
        <v>41051</v>
      </c>
      <c r="L448" s="1">
        <v>79</v>
      </c>
      <c r="M448" s="1">
        <v>79</v>
      </c>
      <c r="N448" s="1">
        <v>2054000</v>
      </c>
      <c r="O448" s="1">
        <v>41051</v>
      </c>
      <c r="P448" s="1">
        <v>0</v>
      </c>
      <c r="Q448" s="1">
        <v>1</v>
      </c>
    </row>
    <row r="449">
      <c r="A449" s="1">
        <v>2019</v>
      </c>
      <c r="B449" s="1">
        <v>48</v>
      </c>
      <c r="C449" s="1">
        <v>201</v>
      </c>
      <c r="D449" t="s">
        <v>36</v>
      </c>
      <c r="E449" t="s">
        <v>151</v>
      </c>
      <c r="F449" s="1">
        <v>48201</v>
      </c>
      <c r="G449" s="1">
        <v>41</v>
      </c>
      <c r="H449" s="1">
        <v>51</v>
      </c>
      <c r="I449" t="s">
        <v>3</v>
      </c>
      <c r="J449" t="s">
        <v>6</v>
      </c>
      <c r="K449" s="1">
        <v>41051</v>
      </c>
      <c r="L449" s="1">
        <v>133</v>
      </c>
      <c r="M449" s="1">
        <v>77</v>
      </c>
      <c r="N449" s="1">
        <v>8095900</v>
      </c>
      <c r="O449" s="1">
        <v>41051</v>
      </c>
      <c r="P449" s="1">
        <v>0</v>
      </c>
      <c r="Q449" s="1">
        <v>1</v>
      </c>
    </row>
    <row r="450">
      <c r="A450" s="1">
        <v>2019</v>
      </c>
      <c r="B450" s="1">
        <v>48</v>
      </c>
      <c r="C450" s="1">
        <v>251</v>
      </c>
      <c r="D450" t="s">
        <v>36</v>
      </c>
      <c r="E450" t="s">
        <v>188</v>
      </c>
      <c r="F450" s="1">
        <v>48251</v>
      </c>
      <c r="G450" s="1">
        <v>41</v>
      </c>
      <c r="H450" s="1">
        <v>51</v>
      </c>
      <c r="I450" t="s">
        <v>3</v>
      </c>
      <c r="J450" t="s">
        <v>6</v>
      </c>
      <c r="K450" s="1">
        <v>41051</v>
      </c>
      <c r="L450" s="1">
        <v>67</v>
      </c>
      <c r="M450" s="1"/>
      <c r="N450" s="1">
        <v>3350000</v>
      </c>
      <c r="O450" s="1">
        <v>41051</v>
      </c>
      <c r="P450" s="1">
        <v>0</v>
      </c>
      <c r="Q450" s="1">
        <v>1</v>
      </c>
    </row>
    <row r="451">
      <c r="A451" s="1">
        <v>2019</v>
      </c>
      <c r="B451" s="1">
        <v>48</v>
      </c>
      <c r="C451" s="1">
        <v>303</v>
      </c>
      <c r="D451" t="s">
        <v>36</v>
      </c>
      <c r="E451" t="s">
        <v>313</v>
      </c>
      <c r="F451" s="1">
        <v>48303</v>
      </c>
      <c r="G451" s="1">
        <v>41</v>
      </c>
      <c r="H451" s="1">
        <v>51</v>
      </c>
      <c r="I451" t="s">
        <v>3</v>
      </c>
      <c r="J451" t="s">
        <v>6</v>
      </c>
      <c r="K451" s="1">
        <v>41051</v>
      </c>
      <c r="L451" s="1">
        <v>234</v>
      </c>
      <c r="M451" s="1">
        <v>105</v>
      </c>
      <c r="N451" s="1">
        <v>9620000</v>
      </c>
      <c r="O451" s="1">
        <v>41051</v>
      </c>
      <c r="P451" s="1">
        <v>0</v>
      </c>
      <c r="Q451" s="1">
        <v>1</v>
      </c>
    </row>
    <row r="452">
      <c r="A452" s="1">
        <v>2019</v>
      </c>
      <c r="B452" s="1">
        <v>49</v>
      </c>
      <c r="C452" s="1">
        <v>53</v>
      </c>
      <c r="D452" t="s">
        <v>37</v>
      </c>
      <c r="E452" t="s">
        <v>143</v>
      </c>
      <c r="F452" s="1">
        <v>49053</v>
      </c>
      <c r="G452" s="1">
        <v>41</v>
      </c>
      <c r="H452" s="1">
        <v>51</v>
      </c>
      <c r="I452" t="s">
        <v>3</v>
      </c>
      <c r="J452" t="s">
        <v>6</v>
      </c>
      <c r="K452" s="1">
        <v>41051</v>
      </c>
      <c r="L452" s="1">
        <v>159</v>
      </c>
      <c r="M452" s="1"/>
      <c r="N452" s="1">
        <v>1431000</v>
      </c>
      <c r="O452" s="1">
        <v>41051</v>
      </c>
      <c r="P452" s="1">
        <v>0</v>
      </c>
      <c r="Q452" s="1">
        <v>1</v>
      </c>
    </row>
    <row r="453">
      <c r="A453" s="1">
        <v>2019</v>
      </c>
      <c r="B453" s="1">
        <v>49</v>
      </c>
      <c r="C453" s="1">
        <v>57</v>
      </c>
      <c r="D453" t="s">
        <v>37</v>
      </c>
      <c r="E453" t="s">
        <v>220</v>
      </c>
      <c r="F453" s="1">
        <v>49057</v>
      </c>
      <c r="G453" s="1">
        <v>41</v>
      </c>
      <c r="H453" s="1">
        <v>51</v>
      </c>
      <c r="I453" t="s">
        <v>3</v>
      </c>
      <c r="J453" t="s">
        <v>6</v>
      </c>
      <c r="K453" s="1">
        <v>41051</v>
      </c>
      <c r="L453" s="1">
        <v>313</v>
      </c>
      <c r="M453" s="1">
        <v>106</v>
      </c>
      <c r="N453" s="1">
        <v>82014000</v>
      </c>
      <c r="O453" s="1">
        <v>41051</v>
      </c>
      <c r="P453" s="1">
        <v>0</v>
      </c>
      <c r="Q453" s="1">
        <v>1</v>
      </c>
    </row>
    <row r="454">
      <c r="A454" s="1">
        <v>2019</v>
      </c>
      <c r="B454" s="1">
        <v>50</v>
      </c>
      <c r="C454" s="1">
        <v>0</v>
      </c>
      <c r="D454" t="s">
        <v>411</v>
      </c>
      <c r="E454" t="s">
        <v>276</v>
      </c>
      <c r="F454" s="1">
        <v>50000</v>
      </c>
      <c r="G454" s="1">
        <v>41</v>
      </c>
      <c r="H454" s="1">
        <v>51</v>
      </c>
      <c r="I454" t="s">
        <v>3</v>
      </c>
      <c r="J454" t="s">
        <v>6</v>
      </c>
      <c r="K454" s="1">
        <v>41051</v>
      </c>
      <c r="L454" s="1">
        <v>74</v>
      </c>
      <c r="M454" s="1">
        <v>74</v>
      </c>
      <c r="N454" s="1">
        <v>1036000</v>
      </c>
      <c r="O454" s="1">
        <v>41051</v>
      </c>
      <c r="P454" s="1">
        <v>0</v>
      </c>
      <c r="Q454" s="1">
        <v>1</v>
      </c>
    </row>
    <row r="455">
      <c r="A455" s="1">
        <v>2019</v>
      </c>
      <c r="B455" s="1">
        <v>51</v>
      </c>
      <c r="C455" s="1">
        <v>0</v>
      </c>
      <c r="D455" t="s">
        <v>411</v>
      </c>
      <c r="E455" t="s">
        <v>276</v>
      </c>
      <c r="F455" s="1">
        <v>51000</v>
      </c>
      <c r="G455" s="1">
        <v>41</v>
      </c>
      <c r="H455" s="1">
        <v>51</v>
      </c>
      <c r="I455" t="s">
        <v>3</v>
      </c>
      <c r="J455" t="s">
        <v>6</v>
      </c>
      <c r="K455" s="1">
        <v>41051</v>
      </c>
      <c r="L455" s="1">
        <v>264</v>
      </c>
      <c r="M455" s="1"/>
      <c r="N455" s="1">
        <v>22238000</v>
      </c>
      <c r="O455" s="1">
        <v>41051</v>
      </c>
      <c r="P455" s="1">
        <v>0</v>
      </c>
      <c r="Q455" s="1">
        <v>1</v>
      </c>
    </row>
    <row r="456">
      <c r="A456" s="1">
        <v>2019</v>
      </c>
      <c r="B456" s="1">
        <v>51</v>
      </c>
      <c r="C456" s="1">
        <v>41</v>
      </c>
      <c r="D456" t="s">
        <v>39</v>
      </c>
      <c r="E456" t="s">
        <v>378</v>
      </c>
      <c r="F456" s="1">
        <v>51041</v>
      </c>
      <c r="G456" s="1">
        <v>41</v>
      </c>
      <c r="H456" s="1">
        <v>51</v>
      </c>
      <c r="I456" t="s">
        <v>3</v>
      </c>
      <c r="J456" t="s">
        <v>6</v>
      </c>
      <c r="K456" s="1">
        <v>41051</v>
      </c>
      <c r="L456" s="1">
        <v>196</v>
      </c>
      <c r="M456" s="1">
        <v>72</v>
      </c>
      <c r="N456" s="1">
        <v>9181000</v>
      </c>
      <c r="O456" s="1">
        <v>41051</v>
      </c>
      <c r="P456" s="1">
        <v>0</v>
      </c>
      <c r="Q456" s="1">
        <v>1</v>
      </c>
    </row>
    <row r="457">
      <c r="A457" s="1">
        <v>2019</v>
      </c>
      <c r="B457" s="1">
        <v>51</v>
      </c>
      <c r="C457" s="1">
        <v>107</v>
      </c>
      <c r="D457" t="s">
        <v>39</v>
      </c>
      <c r="E457" t="s">
        <v>379</v>
      </c>
      <c r="F457" s="1">
        <v>51107</v>
      </c>
      <c r="G457" s="1">
        <v>41</v>
      </c>
      <c r="H457" s="1">
        <v>51</v>
      </c>
      <c r="I457" t="s">
        <v>3</v>
      </c>
      <c r="J457" t="s">
        <v>6</v>
      </c>
      <c r="K457" s="1">
        <v>41051</v>
      </c>
      <c r="L457" s="1">
        <v>218</v>
      </c>
      <c r="M457" s="1">
        <v>140</v>
      </c>
      <c r="N457" s="1">
        <v>4089000</v>
      </c>
      <c r="O457" s="1">
        <v>41051</v>
      </c>
      <c r="P457" s="1">
        <v>0</v>
      </c>
      <c r="Q457" s="1">
        <v>1</v>
      </c>
    </row>
    <row r="458">
      <c r="A458" s="1">
        <v>2019</v>
      </c>
      <c r="B458" s="1">
        <v>53</v>
      </c>
      <c r="C458" s="1">
        <v>0</v>
      </c>
      <c r="D458" t="s">
        <v>411</v>
      </c>
      <c r="E458" t="s">
        <v>276</v>
      </c>
      <c r="F458" s="1">
        <v>53000</v>
      </c>
      <c r="G458" s="1">
        <v>41</v>
      </c>
      <c r="H458" s="1">
        <v>51</v>
      </c>
      <c r="I458" t="s">
        <v>3</v>
      </c>
      <c r="J458" t="s">
        <v>6</v>
      </c>
      <c r="K458" s="1">
        <v>41051</v>
      </c>
      <c r="L458" s="1">
        <v>150</v>
      </c>
      <c r="M458" s="1">
        <v>47</v>
      </c>
      <c r="N458" s="1">
        <v>5611000</v>
      </c>
      <c r="O458" s="1">
        <v>41051</v>
      </c>
      <c r="P458" s="1">
        <v>0</v>
      </c>
      <c r="Q458" s="1">
        <v>1</v>
      </c>
    </row>
    <row r="459">
      <c r="A459" s="1">
        <v>2019</v>
      </c>
      <c r="B459" s="1">
        <v>53</v>
      </c>
      <c r="C459" s="1">
        <v>11</v>
      </c>
      <c r="D459" t="s">
        <v>40</v>
      </c>
      <c r="E459" t="s">
        <v>112</v>
      </c>
      <c r="F459" s="1">
        <v>53011</v>
      </c>
      <c r="G459" s="1">
        <v>41</v>
      </c>
      <c r="H459" s="1">
        <v>51</v>
      </c>
      <c r="I459" t="s">
        <v>3</v>
      </c>
      <c r="J459" t="s">
        <v>6</v>
      </c>
      <c r="K459" s="1">
        <v>41051</v>
      </c>
      <c r="L459" s="1">
        <v>2361</v>
      </c>
      <c r="M459" s="1">
        <v>1353</v>
      </c>
      <c r="N459" s="1">
        <v>135866500</v>
      </c>
      <c r="O459" s="1">
        <v>41051</v>
      </c>
      <c r="P459" s="1">
        <v>0</v>
      </c>
      <c r="Q459" s="1">
        <v>1</v>
      </c>
    </row>
    <row r="460">
      <c r="A460" s="1">
        <v>2019</v>
      </c>
      <c r="B460" s="1">
        <v>53</v>
      </c>
      <c r="C460" s="1">
        <v>33</v>
      </c>
      <c r="D460" t="s">
        <v>40</v>
      </c>
      <c r="E460" t="s">
        <v>160</v>
      </c>
      <c r="F460" s="1">
        <v>53033</v>
      </c>
      <c r="G460" s="1">
        <v>41</v>
      </c>
      <c r="H460" s="1">
        <v>51</v>
      </c>
      <c r="I460" t="s">
        <v>3</v>
      </c>
      <c r="J460" t="s">
        <v>6</v>
      </c>
      <c r="K460" s="1">
        <v>41051</v>
      </c>
      <c r="L460" s="1">
        <v>1025</v>
      </c>
      <c r="M460" s="1">
        <v>664</v>
      </c>
      <c r="N460" s="1">
        <v>65499400</v>
      </c>
      <c r="O460" s="1">
        <v>41051</v>
      </c>
      <c r="P460" s="1">
        <v>0</v>
      </c>
      <c r="Q460" s="1">
        <v>1</v>
      </c>
    </row>
    <row r="461">
      <c r="A461" s="1">
        <v>2019</v>
      </c>
      <c r="B461" s="1">
        <v>53</v>
      </c>
      <c r="C461" s="1">
        <v>53</v>
      </c>
      <c r="D461" t="s">
        <v>40</v>
      </c>
      <c r="E461" t="s">
        <v>165</v>
      </c>
      <c r="F461" s="1">
        <v>53053</v>
      </c>
      <c r="G461" s="1">
        <v>41</v>
      </c>
      <c r="H461" s="1">
        <v>51</v>
      </c>
      <c r="I461" t="s">
        <v>3</v>
      </c>
      <c r="J461" t="s">
        <v>6</v>
      </c>
      <c r="K461" s="1">
        <v>41051</v>
      </c>
      <c r="L461" s="1">
        <v>95</v>
      </c>
      <c r="M461" s="1">
        <v>38</v>
      </c>
      <c r="N461" s="1">
        <v>4183800</v>
      </c>
      <c r="O461" s="1">
        <v>41051</v>
      </c>
      <c r="P461" s="1">
        <v>0</v>
      </c>
      <c r="Q461" s="1">
        <v>1</v>
      </c>
    </row>
    <row r="462">
      <c r="A462" s="1">
        <v>2019</v>
      </c>
      <c r="B462" s="1">
        <v>53</v>
      </c>
      <c r="C462" s="1">
        <v>61</v>
      </c>
      <c r="D462" t="s">
        <v>40</v>
      </c>
      <c r="E462" t="s">
        <v>167</v>
      </c>
      <c r="F462" s="1">
        <v>53061</v>
      </c>
      <c r="G462" s="1">
        <v>41</v>
      </c>
      <c r="H462" s="1">
        <v>51</v>
      </c>
      <c r="I462" t="s">
        <v>3</v>
      </c>
      <c r="J462" t="s">
        <v>6</v>
      </c>
      <c r="K462" s="1">
        <v>41051</v>
      </c>
      <c r="L462" s="1">
        <v>373</v>
      </c>
      <c r="M462" s="1">
        <v>374</v>
      </c>
      <c r="N462" s="1">
        <v>5936800</v>
      </c>
      <c r="O462" s="1">
        <v>41051</v>
      </c>
      <c r="P462" s="1">
        <v>0</v>
      </c>
      <c r="Q462" s="1">
        <v>1</v>
      </c>
    </row>
    <row r="463">
      <c r="A463" s="1">
        <v>2019</v>
      </c>
      <c r="B463" s="1">
        <v>53</v>
      </c>
      <c r="C463" s="1">
        <v>63</v>
      </c>
      <c r="D463" t="s">
        <v>40</v>
      </c>
      <c r="E463" t="s">
        <v>168</v>
      </c>
      <c r="F463" s="1">
        <v>53063</v>
      </c>
      <c r="G463" s="1">
        <v>41</v>
      </c>
      <c r="H463" s="1">
        <v>51</v>
      </c>
      <c r="I463" t="s">
        <v>3</v>
      </c>
      <c r="J463" t="s">
        <v>6</v>
      </c>
      <c r="K463" s="1">
        <v>41051</v>
      </c>
      <c r="L463" s="1">
        <v>434</v>
      </c>
      <c r="M463" s="1">
        <v>377</v>
      </c>
      <c r="N463" s="1">
        <v>16650400</v>
      </c>
      <c r="O463" s="1">
        <v>41051</v>
      </c>
      <c r="P463" s="1">
        <v>0</v>
      </c>
      <c r="Q463" s="1">
        <v>1</v>
      </c>
    </row>
    <row r="464">
      <c r="A464" s="1">
        <v>2019</v>
      </c>
      <c r="B464" s="1">
        <v>53</v>
      </c>
      <c r="C464" s="1">
        <v>67</v>
      </c>
      <c r="D464" t="s">
        <v>40</v>
      </c>
      <c r="E464" t="s">
        <v>169</v>
      </c>
      <c r="F464" s="1">
        <v>53067</v>
      </c>
      <c r="G464" s="1">
        <v>41</v>
      </c>
      <c r="H464" s="1">
        <v>51</v>
      </c>
      <c r="I464" t="s">
        <v>3</v>
      </c>
      <c r="J464" t="s">
        <v>6</v>
      </c>
      <c r="K464" s="1">
        <v>41051</v>
      </c>
      <c r="L464" s="1">
        <v>152</v>
      </c>
      <c r="M464" s="1">
        <v>78</v>
      </c>
      <c r="N464" s="1">
        <v>3985000</v>
      </c>
      <c r="O464" s="1">
        <v>41051</v>
      </c>
      <c r="P464" s="1">
        <v>0</v>
      </c>
      <c r="Q464" s="1">
        <v>1</v>
      </c>
    </row>
    <row r="465">
      <c r="A465" s="1">
        <v>2019</v>
      </c>
      <c r="B465" s="1">
        <v>55</v>
      </c>
      <c r="C465" s="1">
        <v>25</v>
      </c>
      <c r="D465" t="s">
        <v>41</v>
      </c>
      <c r="E465" t="s">
        <v>173</v>
      </c>
      <c r="F465" s="1">
        <v>55025</v>
      </c>
      <c r="G465" s="1">
        <v>41</v>
      </c>
      <c r="H465" s="1">
        <v>51</v>
      </c>
      <c r="I465" t="s">
        <v>3</v>
      </c>
      <c r="J465" t="s">
        <v>6</v>
      </c>
      <c r="K465" s="1">
        <v>41051</v>
      </c>
      <c r="L465" s="1">
        <v>248</v>
      </c>
      <c r="M465" s="1">
        <v>119</v>
      </c>
      <c r="N465" s="1">
        <v>10062000</v>
      </c>
      <c r="O465" s="1">
        <v>41051</v>
      </c>
      <c r="P465" s="1">
        <v>0</v>
      </c>
      <c r="Q465" s="1">
        <v>1</v>
      </c>
    </row>
    <row r="466">
      <c r="A466" s="1">
        <v>2019</v>
      </c>
      <c r="B466" s="1">
        <v>55</v>
      </c>
      <c r="C466" s="1">
        <v>117</v>
      </c>
      <c r="D466" t="s">
        <v>41</v>
      </c>
      <c r="E466" t="s">
        <v>380</v>
      </c>
      <c r="F466" s="1">
        <v>55117</v>
      </c>
      <c r="G466" s="1">
        <v>41</v>
      </c>
      <c r="H466" s="1">
        <v>51</v>
      </c>
      <c r="I466" t="s">
        <v>3</v>
      </c>
      <c r="J466" t="s">
        <v>6</v>
      </c>
      <c r="K466" s="1">
        <v>41051</v>
      </c>
      <c r="L466" s="1">
        <v>336</v>
      </c>
      <c r="M466" s="1">
        <v>138</v>
      </c>
      <c r="N466" s="1">
        <v>13224000</v>
      </c>
      <c r="O466" s="1">
        <v>41051</v>
      </c>
      <c r="P466" s="1">
        <v>0</v>
      </c>
      <c r="Q466" s="1">
        <v>1</v>
      </c>
    </row>
    <row r="467">
      <c r="A467" s="1">
        <v>2019</v>
      </c>
      <c r="B467" s="1">
        <v>56</v>
      </c>
      <c r="C467" s="1">
        <v>0</v>
      </c>
      <c r="D467" t="s">
        <v>411</v>
      </c>
      <c r="E467" t="s">
        <v>276</v>
      </c>
      <c r="F467" s="1">
        <v>56000</v>
      </c>
      <c r="G467" s="1">
        <v>41</v>
      </c>
      <c r="H467" s="1">
        <v>51</v>
      </c>
      <c r="I467" t="s">
        <v>3</v>
      </c>
      <c r="J467" t="s">
        <v>6</v>
      </c>
      <c r="K467" s="1">
        <v>41051</v>
      </c>
      <c r="L467" s="1">
        <v>156</v>
      </c>
      <c r="M467" s="1">
        <v>65</v>
      </c>
      <c r="N467" s="1">
        <v>631400</v>
      </c>
      <c r="O467" s="1">
        <v>41051</v>
      </c>
      <c r="P467" s="1">
        <v>0</v>
      </c>
      <c r="Q467" s="1">
        <v>1</v>
      </c>
    </row>
    <row r="468">
      <c r="A468" s="1">
        <v>2020</v>
      </c>
      <c r="B468" s="1">
        <v>1</v>
      </c>
      <c r="C468" s="1">
        <v>0</v>
      </c>
      <c r="D468" t="s">
        <v>411</v>
      </c>
      <c r="E468" t="s">
        <v>276</v>
      </c>
      <c r="F468" s="1">
        <v>1000</v>
      </c>
      <c r="G468" s="1">
        <v>41</v>
      </c>
      <c r="H468" s="1">
        <v>51</v>
      </c>
      <c r="I468" t="s">
        <v>3</v>
      </c>
      <c r="J468" t="s">
        <v>6</v>
      </c>
      <c r="K468" s="1">
        <v>41051</v>
      </c>
      <c r="L468" s="1">
        <v>66</v>
      </c>
      <c r="M468" s="1"/>
      <c r="N468" s="1">
        <v>79200</v>
      </c>
      <c r="O468" s="1">
        <v>41051</v>
      </c>
      <c r="P468" s="1">
        <v>0</v>
      </c>
      <c r="Q468" s="1">
        <v>1</v>
      </c>
    </row>
    <row r="469">
      <c r="A469" s="1">
        <v>2020</v>
      </c>
      <c r="B469" s="1">
        <v>4</v>
      </c>
      <c r="C469" s="1">
        <v>13</v>
      </c>
      <c r="D469" t="s">
        <v>10</v>
      </c>
      <c r="E469" t="s">
        <v>53</v>
      </c>
      <c r="F469" s="1">
        <v>4013</v>
      </c>
      <c r="G469" s="1">
        <v>41</v>
      </c>
      <c r="H469" s="1">
        <v>51</v>
      </c>
      <c r="I469" t="s">
        <v>3</v>
      </c>
      <c r="J469" t="s">
        <v>6</v>
      </c>
      <c r="K469" s="1">
        <v>41051</v>
      </c>
      <c r="L469" s="1">
        <v>73</v>
      </c>
      <c r="M469" s="1">
        <v>73</v>
      </c>
      <c r="N469" s="1">
        <v>2058600</v>
      </c>
      <c r="O469" s="1">
        <v>41051</v>
      </c>
      <c r="P469" s="1">
        <v>0</v>
      </c>
      <c r="Q469" s="1">
        <v>1</v>
      </c>
    </row>
    <row r="470">
      <c r="A470" s="1">
        <v>2020</v>
      </c>
      <c r="B470" s="1">
        <v>4</v>
      </c>
      <c r="C470" s="1">
        <v>19</v>
      </c>
      <c r="D470" t="s">
        <v>10</v>
      </c>
      <c r="E470" t="s">
        <v>54</v>
      </c>
      <c r="F470" s="1">
        <v>4019</v>
      </c>
      <c r="G470" s="1">
        <v>41</v>
      </c>
      <c r="H470" s="1">
        <v>51</v>
      </c>
      <c r="I470" t="s">
        <v>3</v>
      </c>
      <c r="J470" t="s">
        <v>6</v>
      </c>
      <c r="K470" s="1">
        <v>41051</v>
      </c>
      <c r="L470" s="1">
        <v>79</v>
      </c>
      <c r="M470" s="1">
        <v>79</v>
      </c>
      <c r="N470" s="1">
        <v>9480000</v>
      </c>
      <c r="O470" s="1">
        <v>41051</v>
      </c>
      <c r="P470" s="1">
        <v>0</v>
      </c>
      <c r="Q470" s="1">
        <v>1</v>
      </c>
    </row>
    <row r="471">
      <c r="A471" s="1">
        <v>2020</v>
      </c>
      <c r="B471" s="1">
        <v>6</v>
      </c>
      <c r="C471" s="1">
        <v>0</v>
      </c>
      <c r="D471" t="s">
        <v>411</v>
      </c>
      <c r="E471" t="s">
        <v>276</v>
      </c>
      <c r="F471" s="1">
        <v>6000</v>
      </c>
      <c r="G471" s="1">
        <v>41</v>
      </c>
      <c r="H471" s="1">
        <v>51</v>
      </c>
      <c r="I471" t="s">
        <v>3</v>
      </c>
      <c r="J471" t="s">
        <v>6</v>
      </c>
      <c r="K471" s="1">
        <v>41051</v>
      </c>
      <c r="L471" s="1">
        <v>318</v>
      </c>
      <c r="M471" s="1">
        <v>100</v>
      </c>
      <c r="N471" s="1">
        <v>4040400</v>
      </c>
      <c r="O471" s="1">
        <v>41051</v>
      </c>
      <c r="P471" s="1">
        <v>0</v>
      </c>
      <c r="Q471" s="1">
        <v>1</v>
      </c>
    </row>
    <row r="472">
      <c r="A472" s="1">
        <v>2020</v>
      </c>
      <c r="B472" s="1">
        <v>6</v>
      </c>
      <c r="C472" s="1">
        <v>13</v>
      </c>
      <c r="D472" t="s">
        <v>11</v>
      </c>
      <c r="E472" t="s">
        <v>57</v>
      </c>
      <c r="F472" s="1">
        <v>6013</v>
      </c>
      <c r="G472" s="1">
        <v>41</v>
      </c>
      <c r="H472" s="1">
        <v>51</v>
      </c>
      <c r="I472" t="s">
        <v>3</v>
      </c>
      <c r="J472" t="s">
        <v>6</v>
      </c>
      <c r="K472" s="1">
        <v>41051</v>
      </c>
      <c r="L472" s="1">
        <v>369</v>
      </c>
      <c r="M472" s="1">
        <v>369</v>
      </c>
      <c r="N472" s="1">
        <v>24570500</v>
      </c>
      <c r="O472" s="1">
        <v>41051</v>
      </c>
      <c r="P472" s="1">
        <v>0</v>
      </c>
      <c r="Q472" s="1">
        <v>1</v>
      </c>
    </row>
    <row r="473">
      <c r="A473" s="1">
        <v>2020</v>
      </c>
      <c r="B473" s="1">
        <v>6</v>
      </c>
      <c r="C473" s="1">
        <v>37</v>
      </c>
      <c r="D473" t="s">
        <v>11</v>
      </c>
      <c r="E473" t="s">
        <v>61</v>
      </c>
      <c r="F473" s="1">
        <v>6037</v>
      </c>
      <c r="G473" s="1">
        <v>41</v>
      </c>
      <c r="H473" s="1">
        <v>51</v>
      </c>
      <c r="I473" t="s">
        <v>3</v>
      </c>
      <c r="J473" t="s">
        <v>6</v>
      </c>
      <c r="K473" s="1">
        <v>41051</v>
      </c>
      <c r="L473" s="1">
        <v>794</v>
      </c>
      <c r="M473" s="1">
        <v>794</v>
      </c>
      <c r="N473" s="1">
        <v>58029160</v>
      </c>
      <c r="O473" s="1">
        <v>41051</v>
      </c>
      <c r="P473" s="1">
        <v>0</v>
      </c>
      <c r="Q473" s="1">
        <v>1</v>
      </c>
    </row>
    <row r="474">
      <c r="A474" s="1">
        <v>2020</v>
      </c>
      <c r="B474" s="1">
        <v>6</v>
      </c>
      <c r="C474" s="1">
        <v>47</v>
      </c>
      <c r="D474" t="s">
        <v>11</v>
      </c>
      <c r="E474" t="s">
        <v>376</v>
      </c>
      <c r="F474" s="1">
        <v>6047</v>
      </c>
      <c r="G474" s="1">
        <v>41</v>
      </c>
      <c r="H474" s="1">
        <v>51</v>
      </c>
      <c r="I474" t="s">
        <v>3</v>
      </c>
      <c r="J474" t="s">
        <v>6</v>
      </c>
      <c r="K474" s="1">
        <v>41051</v>
      </c>
      <c r="L474" s="1">
        <v>260</v>
      </c>
      <c r="M474" s="1"/>
      <c r="N474" s="1">
        <v>2735200</v>
      </c>
      <c r="O474" s="1">
        <v>41051</v>
      </c>
      <c r="P474" s="1">
        <v>0</v>
      </c>
      <c r="Q474" s="1">
        <v>1</v>
      </c>
    </row>
    <row r="475">
      <c r="A475" s="1">
        <v>2020</v>
      </c>
      <c r="B475" s="1">
        <v>6</v>
      </c>
      <c r="C475" s="1">
        <v>55</v>
      </c>
      <c r="D475" t="s">
        <v>11</v>
      </c>
      <c r="E475" t="s">
        <v>299</v>
      </c>
      <c r="F475" s="1">
        <v>6055</v>
      </c>
      <c r="G475" s="1">
        <v>41</v>
      </c>
      <c r="H475" s="1">
        <v>51</v>
      </c>
      <c r="I475" t="s">
        <v>3</v>
      </c>
      <c r="J475" t="s">
        <v>6</v>
      </c>
      <c r="K475" s="1">
        <v>41051</v>
      </c>
      <c r="L475" s="1">
        <v>70</v>
      </c>
      <c r="M475" s="1">
        <v>70</v>
      </c>
      <c r="N475" s="1">
        <v>3031000</v>
      </c>
      <c r="O475" s="1">
        <v>41051</v>
      </c>
      <c r="P475" s="1">
        <v>0</v>
      </c>
      <c r="Q475" s="1">
        <v>1</v>
      </c>
    </row>
    <row r="476">
      <c r="A476" s="1">
        <v>2020</v>
      </c>
      <c r="B476" s="1">
        <v>6</v>
      </c>
      <c r="C476" s="1">
        <v>59</v>
      </c>
      <c r="D476" t="s">
        <v>11</v>
      </c>
      <c r="E476" t="s">
        <v>64</v>
      </c>
      <c r="F476" s="1">
        <v>6059</v>
      </c>
      <c r="G476" s="1">
        <v>41</v>
      </c>
      <c r="H476" s="1">
        <v>51</v>
      </c>
      <c r="I476" t="s">
        <v>3</v>
      </c>
      <c r="J476" t="s">
        <v>6</v>
      </c>
      <c r="K476" s="1">
        <v>41051</v>
      </c>
      <c r="L476" s="1">
        <v>690</v>
      </c>
      <c r="M476" s="1">
        <v>492</v>
      </c>
      <c r="N476" s="1">
        <v>13699000</v>
      </c>
      <c r="O476" s="1">
        <v>41051</v>
      </c>
      <c r="P476" s="1">
        <v>0</v>
      </c>
      <c r="Q476" s="1">
        <v>1</v>
      </c>
    </row>
    <row r="477">
      <c r="A477" s="1">
        <v>2020</v>
      </c>
      <c r="B477" s="1">
        <v>6</v>
      </c>
      <c r="C477" s="1">
        <v>73</v>
      </c>
      <c r="D477" t="s">
        <v>11</v>
      </c>
      <c r="E477" t="s">
        <v>69</v>
      </c>
      <c r="F477" s="1">
        <v>6073</v>
      </c>
      <c r="G477" s="1">
        <v>41</v>
      </c>
      <c r="H477" s="1">
        <v>51</v>
      </c>
      <c r="I477" t="s">
        <v>3</v>
      </c>
      <c r="J477" t="s">
        <v>6</v>
      </c>
      <c r="K477" s="1">
        <v>41051</v>
      </c>
      <c r="L477" s="1">
        <v>86</v>
      </c>
      <c r="M477" s="1"/>
      <c r="N477" s="1">
        <v>1376000</v>
      </c>
      <c r="O477" s="1">
        <v>41051</v>
      </c>
      <c r="P477" s="1">
        <v>0</v>
      </c>
      <c r="Q477" s="1">
        <v>1</v>
      </c>
    </row>
    <row r="478">
      <c r="A478" s="1">
        <v>2020</v>
      </c>
      <c r="B478" s="1">
        <v>6</v>
      </c>
      <c r="C478" s="1">
        <v>75</v>
      </c>
      <c r="D478" t="s">
        <v>11</v>
      </c>
      <c r="E478" t="s">
        <v>70</v>
      </c>
      <c r="F478" s="1">
        <v>6075</v>
      </c>
      <c r="G478" s="1">
        <v>41</v>
      </c>
      <c r="H478" s="1">
        <v>51</v>
      </c>
      <c r="I478" t="s">
        <v>3</v>
      </c>
      <c r="J478" t="s">
        <v>6</v>
      </c>
      <c r="K478" s="1">
        <v>41051</v>
      </c>
      <c r="L478" s="1">
        <v>704</v>
      </c>
      <c r="M478" s="1">
        <v>119</v>
      </c>
      <c r="N478" s="1">
        <v>83190000</v>
      </c>
      <c r="O478" s="1">
        <v>41051</v>
      </c>
      <c r="P478" s="1">
        <v>0</v>
      </c>
      <c r="Q478" s="1">
        <v>1</v>
      </c>
    </row>
    <row r="479">
      <c r="A479" s="1">
        <v>2020</v>
      </c>
      <c r="B479" s="1">
        <v>6</v>
      </c>
      <c r="C479" s="1">
        <v>81</v>
      </c>
      <c r="D479" t="s">
        <v>11</v>
      </c>
      <c r="E479" t="s">
        <v>72</v>
      </c>
      <c r="F479" s="1">
        <v>6081</v>
      </c>
      <c r="G479" s="1">
        <v>41</v>
      </c>
      <c r="H479" s="1">
        <v>51</v>
      </c>
      <c r="I479" t="s">
        <v>3</v>
      </c>
      <c r="J479" t="s">
        <v>6</v>
      </c>
      <c r="K479" s="1">
        <v>41051</v>
      </c>
      <c r="L479" s="1">
        <v>195</v>
      </c>
      <c r="M479" s="1">
        <v>106</v>
      </c>
      <c r="N479" s="1">
        <v>2925000</v>
      </c>
      <c r="O479" s="1">
        <v>41051</v>
      </c>
      <c r="P479" s="1">
        <v>0</v>
      </c>
      <c r="Q479" s="1">
        <v>1</v>
      </c>
    </row>
    <row r="480">
      <c r="A480" s="1">
        <v>2020</v>
      </c>
      <c r="B480" s="1">
        <v>6</v>
      </c>
      <c r="C480" s="1">
        <v>83</v>
      </c>
      <c r="D480" t="s">
        <v>11</v>
      </c>
      <c r="E480" t="s">
        <v>73</v>
      </c>
      <c r="F480" s="1">
        <v>6083</v>
      </c>
      <c r="G480" s="1">
        <v>41</v>
      </c>
      <c r="H480" s="1">
        <v>51</v>
      </c>
      <c r="I480" t="s">
        <v>3</v>
      </c>
      <c r="J480" t="s">
        <v>6</v>
      </c>
      <c r="K480" s="1">
        <v>41051</v>
      </c>
      <c r="L480" s="1">
        <v>110</v>
      </c>
      <c r="M480" s="1">
        <v>110</v>
      </c>
      <c r="N480" s="1">
        <v>220000</v>
      </c>
      <c r="O480" s="1">
        <v>41051</v>
      </c>
      <c r="P480" s="1">
        <v>0</v>
      </c>
      <c r="Q480" s="1">
        <v>1</v>
      </c>
    </row>
    <row r="481">
      <c r="A481" s="1">
        <v>2020</v>
      </c>
      <c r="B481" s="1">
        <v>6</v>
      </c>
      <c r="C481" s="1">
        <v>85</v>
      </c>
      <c r="D481" t="s">
        <v>11</v>
      </c>
      <c r="E481" t="s">
        <v>74</v>
      </c>
      <c r="F481" s="1">
        <v>6085</v>
      </c>
      <c r="G481" s="1">
        <v>41</v>
      </c>
      <c r="H481" s="1">
        <v>51</v>
      </c>
      <c r="I481" t="s">
        <v>3</v>
      </c>
      <c r="J481" t="s">
        <v>6</v>
      </c>
      <c r="K481" s="1">
        <v>41051</v>
      </c>
      <c r="L481" s="1">
        <v>608</v>
      </c>
      <c r="M481" s="1">
        <v>239</v>
      </c>
      <c r="N481" s="1">
        <v>9835820</v>
      </c>
      <c r="O481" s="1">
        <v>41051</v>
      </c>
      <c r="P481" s="1">
        <v>0</v>
      </c>
      <c r="Q481" s="1">
        <v>1</v>
      </c>
    </row>
    <row r="482">
      <c r="A482" s="1">
        <v>2020</v>
      </c>
      <c r="B482" s="1">
        <v>6</v>
      </c>
      <c r="C482" s="1">
        <v>97</v>
      </c>
      <c r="D482" t="s">
        <v>11</v>
      </c>
      <c r="E482" t="s">
        <v>77</v>
      </c>
      <c r="F482" s="1">
        <v>6097</v>
      </c>
      <c r="G482" s="1">
        <v>41</v>
      </c>
      <c r="H482" s="1">
        <v>51</v>
      </c>
      <c r="I482" t="s">
        <v>3</v>
      </c>
      <c r="J482" t="s">
        <v>6</v>
      </c>
      <c r="K482" s="1">
        <v>41051</v>
      </c>
      <c r="L482" s="1">
        <v>1061</v>
      </c>
      <c r="M482" s="1">
        <v>525</v>
      </c>
      <c r="N482" s="1">
        <v>68701100</v>
      </c>
      <c r="O482" s="1">
        <v>41051</v>
      </c>
      <c r="P482" s="1">
        <v>0</v>
      </c>
      <c r="Q482" s="1">
        <v>1</v>
      </c>
    </row>
    <row r="483">
      <c r="A483" s="1">
        <v>2020</v>
      </c>
      <c r="B483" s="1">
        <v>8</v>
      </c>
      <c r="C483" s="1">
        <v>0</v>
      </c>
      <c r="D483" t="s">
        <v>411</v>
      </c>
      <c r="E483" t="s">
        <v>276</v>
      </c>
      <c r="F483" s="1">
        <v>8000</v>
      </c>
      <c r="G483" s="1">
        <v>41</v>
      </c>
      <c r="H483" s="1">
        <v>51</v>
      </c>
      <c r="I483" t="s">
        <v>3</v>
      </c>
      <c r="J483" t="s">
        <v>6</v>
      </c>
      <c r="K483" s="1">
        <v>41051</v>
      </c>
      <c r="L483" s="1">
        <v>257</v>
      </c>
      <c r="M483" s="1">
        <v>257</v>
      </c>
      <c r="N483" s="1">
        <v>12658900</v>
      </c>
      <c r="O483" s="1">
        <v>41051</v>
      </c>
      <c r="P483" s="1">
        <v>0</v>
      </c>
      <c r="Q483" s="1">
        <v>1</v>
      </c>
    </row>
    <row r="484">
      <c r="A484" s="1">
        <v>2020</v>
      </c>
      <c r="B484" s="1">
        <v>8</v>
      </c>
      <c r="C484" s="1">
        <v>69</v>
      </c>
      <c r="D484" t="s">
        <v>12</v>
      </c>
      <c r="E484" t="s">
        <v>84</v>
      </c>
      <c r="F484" s="1">
        <v>8069</v>
      </c>
      <c r="G484" s="1">
        <v>41</v>
      </c>
      <c r="H484" s="1">
        <v>51</v>
      </c>
      <c r="I484" t="s">
        <v>3</v>
      </c>
      <c r="J484" t="s">
        <v>6</v>
      </c>
      <c r="K484" s="1">
        <v>41051</v>
      </c>
      <c r="L484" s="1">
        <v>242</v>
      </c>
      <c r="M484" s="1">
        <v>242</v>
      </c>
      <c r="N484" s="1">
        <v>36300</v>
      </c>
      <c r="O484" s="1">
        <v>41051</v>
      </c>
      <c r="P484" s="1">
        <v>0</v>
      </c>
      <c r="Q484" s="1">
        <v>1</v>
      </c>
    </row>
    <row r="485">
      <c r="A485" s="1">
        <v>2020</v>
      </c>
      <c r="B485" s="1">
        <v>9</v>
      </c>
      <c r="C485" s="1">
        <v>11</v>
      </c>
      <c r="D485" t="s">
        <v>13</v>
      </c>
      <c r="E485" t="s">
        <v>381</v>
      </c>
      <c r="F485" s="1">
        <v>9011</v>
      </c>
      <c r="G485" s="1">
        <v>41</v>
      </c>
      <c r="H485" s="1">
        <v>51</v>
      </c>
      <c r="I485" t="s">
        <v>3</v>
      </c>
      <c r="J485" t="s">
        <v>6</v>
      </c>
      <c r="K485" s="1">
        <v>41051</v>
      </c>
      <c r="L485" s="1">
        <v>181</v>
      </c>
      <c r="M485" s="1">
        <v>107</v>
      </c>
      <c r="N485" s="1">
        <v>9978000</v>
      </c>
      <c r="O485" s="1">
        <v>41051</v>
      </c>
      <c r="P485" s="1">
        <v>0</v>
      </c>
      <c r="Q485" s="1">
        <v>1</v>
      </c>
    </row>
    <row r="486">
      <c r="A486" s="1">
        <v>2020</v>
      </c>
      <c r="B486" s="1">
        <v>11</v>
      </c>
      <c r="C486" s="1">
        <v>1</v>
      </c>
      <c r="D486" t="s">
        <v>14</v>
      </c>
      <c r="E486" t="s">
        <v>14</v>
      </c>
      <c r="F486" s="1">
        <v>11001</v>
      </c>
      <c r="G486" s="1">
        <v>41</v>
      </c>
      <c r="H486" s="1">
        <v>51</v>
      </c>
      <c r="I486" t="s">
        <v>3</v>
      </c>
      <c r="J486" t="s">
        <v>6</v>
      </c>
      <c r="K486" s="1">
        <v>41051</v>
      </c>
      <c r="L486" s="1">
        <v>103</v>
      </c>
      <c r="M486" s="1">
        <v>103</v>
      </c>
      <c r="N486" s="1">
        <v>11845000</v>
      </c>
      <c r="O486" s="1">
        <v>41051</v>
      </c>
      <c r="P486" s="1">
        <v>0</v>
      </c>
      <c r="Q486" s="1">
        <v>1</v>
      </c>
    </row>
    <row r="487">
      <c r="A487" s="1">
        <v>2020</v>
      </c>
      <c r="B487" s="1">
        <v>12</v>
      </c>
      <c r="C487" s="1">
        <v>1</v>
      </c>
      <c r="D487" t="s">
        <v>15</v>
      </c>
      <c r="E487" t="s">
        <v>350</v>
      </c>
      <c r="F487" s="1">
        <v>12001</v>
      </c>
      <c r="G487" s="1">
        <v>41</v>
      </c>
      <c r="H487" s="1">
        <v>51</v>
      </c>
      <c r="I487" t="s">
        <v>3</v>
      </c>
      <c r="J487" t="s">
        <v>6</v>
      </c>
      <c r="K487" s="1">
        <v>41051</v>
      </c>
      <c r="L487" s="1">
        <v>262</v>
      </c>
      <c r="M487" s="1"/>
      <c r="N487" s="1">
        <v>6232660</v>
      </c>
      <c r="O487" s="1">
        <v>41051</v>
      </c>
      <c r="P487" s="1">
        <v>0</v>
      </c>
      <c r="Q487" s="1">
        <v>1</v>
      </c>
    </row>
    <row r="488">
      <c r="A488" s="1">
        <v>2020</v>
      </c>
      <c r="B488" s="1">
        <v>12</v>
      </c>
      <c r="C488" s="1">
        <v>33</v>
      </c>
      <c r="D488" t="s">
        <v>15</v>
      </c>
      <c r="E488" t="s">
        <v>382</v>
      </c>
      <c r="F488" s="1">
        <v>12033</v>
      </c>
      <c r="G488" s="1">
        <v>41</v>
      </c>
      <c r="H488" s="1">
        <v>51</v>
      </c>
      <c r="I488" t="s">
        <v>3</v>
      </c>
      <c r="J488" t="s">
        <v>6</v>
      </c>
      <c r="K488" s="1">
        <v>41051</v>
      </c>
      <c r="L488" s="1">
        <v>97</v>
      </c>
      <c r="M488" s="1"/>
      <c r="N488" s="1">
        <v>15908000</v>
      </c>
      <c r="O488" s="1">
        <v>41051</v>
      </c>
      <c r="P488" s="1">
        <v>0</v>
      </c>
      <c r="Q488" s="1">
        <v>1</v>
      </c>
    </row>
    <row r="489">
      <c r="A489" s="1">
        <v>2020</v>
      </c>
      <c r="B489" s="1">
        <v>16</v>
      </c>
      <c r="C489" s="1">
        <v>0</v>
      </c>
      <c r="D489" t="s">
        <v>411</v>
      </c>
      <c r="E489" t="s">
        <v>276</v>
      </c>
      <c r="F489" s="1">
        <v>16000</v>
      </c>
      <c r="G489" s="1">
        <v>41</v>
      </c>
      <c r="H489" s="1">
        <v>51</v>
      </c>
      <c r="I489" t="s">
        <v>3</v>
      </c>
      <c r="J489" t="s">
        <v>6</v>
      </c>
      <c r="K489" s="1">
        <v>41051</v>
      </c>
      <c r="L489" s="1">
        <v>382</v>
      </c>
      <c r="M489" s="1">
        <v>133</v>
      </c>
      <c r="N489" s="1">
        <v>23282500</v>
      </c>
      <c r="O489" s="1">
        <v>41051</v>
      </c>
      <c r="P489" s="1">
        <v>0</v>
      </c>
      <c r="Q489" s="1">
        <v>1</v>
      </c>
    </row>
    <row r="490">
      <c r="A490" s="1">
        <v>2020</v>
      </c>
      <c r="B490" s="1">
        <v>17</v>
      </c>
      <c r="C490" s="1">
        <v>31</v>
      </c>
      <c r="D490" t="s">
        <v>19</v>
      </c>
      <c r="E490" t="s">
        <v>98</v>
      </c>
      <c r="F490" s="1">
        <v>17031</v>
      </c>
      <c r="G490" s="1">
        <v>41</v>
      </c>
      <c r="H490" s="1">
        <v>51</v>
      </c>
      <c r="I490" t="s">
        <v>3</v>
      </c>
      <c r="J490" t="s">
        <v>6</v>
      </c>
      <c r="K490" s="1">
        <v>41051</v>
      </c>
      <c r="L490" s="1">
        <v>302</v>
      </c>
      <c r="M490" s="1">
        <v>252</v>
      </c>
      <c r="N490" s="1">
        <v>25200000</v>
      </c>
      <c r="O490" s="1">
        <v>41051</v>
      </c>
      <c r="P490" s="1">
        <v>0</v>
      </c>
      <c r="Q490" s="1">
        <v>1</v>
      </c>
    </row>
    <row r="491">
      <c r="A491" s="1">
        <v>2020</v>
      </c>
      <c r="B491" s="1">
        <v>17</v>
      </c>
      <c r="C491" s="1">
        <v>43</v>
      </c>
      <c r="D491" t="s">
        <v>19</v>
      </c>
      <c r="E491" t="s">
        <v>187</v>
      </c>
      <c r="F491" s="1">
        <v>17043</v>
      </c>
      <c r="G491" s="1">
        <v>41</v>
      </c>
      <c r="H491" s="1">
        <v>51</v>
      </c>
      <c r="I491" t="s">
        <v>3</v>
      </c>
      <c r="J491" t="s">
        <v>6</v>
      </c>
      <c r="K491" s="1">
        <v>41051</v>
      </c>
      <c r="L491" s="1">
        <v>59</v>
      </c>
      <c r="M491" s="1">
        <v>59</v>
      </c>
      <c r="N491" s="1">
        <v>3532330</v>
      </c>
      <c r="O491" s="1">
        <v>41051</v>
      </c>
      <c r="P491" s="1">
        <v>0</v>
      </c>
      <c r="Q491" s="1">
        <v>1</v>
      </c>
    </row>
    <row r="492">
      <c r="A492" s="1">
        <v>2020</v>
      </c>
      <c r="B492" s="1">
        <v>19</v>
      </c>
      <c r="C492" s="1">
        <v>103</v>
      </c>
      <c r="D492" t="s">
        <v>21</v>
      </c>
      <c r="E492" t="s">
        <v>188</v>
      </c>
      <c r="F492" s="1">
        <v>19103</v>
      </c>
      <c r="G492" s="1">
        <v>41</v>
      </c>
      <c r="H492" s="1">
        <v>51</v>
      </c>
      <c r="I492" t="s">
        <v>3</v>
      </c>
      <c r="J492" t="s">
        <v>6</v>
      </c>
      <c r="K492" s="1">
        <v>41051</v>
      </c>
      <c r="L492" s="1">
        <v>456</v>
      </c>
      <c r="M492" s="1"/>
      <c r="N492" s="1">
        <v>5238000</v>
      </c>
      <c r="O492" s="1">
        <v>41051</v>
      </c>
      <c r="P492" s="1">
        <v>0</v>
      </c>
      <c r="Q492" s="1">
        <v>1</v>
      </c>
    </row>
    <row r="493">
      <c r="A493" s="1">
        <v>2020</v>
      </c>
      <c r="B493" s="1">
        <v>22</v>
      </c>
      <c r="C493" s="1">
        <v>71</v>
      </c>
      <c r="D493" t="s">
        <v>22</v>
      </c>
      <c r="E493" t="s">
        <v>101</v>
      </c>
      <c r="F493" s="1">
        <v>22071</v>
      </c>
      <c r="G493" s="1">
        <v>41</v>
      </c>
      <c r="H493" s="1">
        <v>51</v>
      </c>
      <c r="I493" t="s">
        <v>3</v>
      </c>
      <c r="J493" t="s">
        <v>6</v>
      </c>
      <c r="K493" s="1">
        <v>41051</v>
      </c>
      <c r="L493" s="1">
        <v>85</v>
      </c>
      <c r="M493" s="1">
        <v>85</v>
      </c>
      <c r="N493" s="1">
        <v>4250000</v>
      </c>
      <c r="O493" s="1">
        <v>41051</v>
      </c>
      <c r="P493" s="1">
        <v>0</v>
      </c>
      <c r="Q493" s="1">
        <v>1</v>
      </c>
    </row>
    <row r="494">
      <c r="A494" s="1">
        <v>2020</v>
      </c>
      <c r="B494" s="1">
        <v>25</v>
      </c>
      <c r="C494" s="1">
        <v>0</v>
      </c>
      <c r="D494" t="s">
        <v>411</v>
      </c>
      <c r="E494" t="s">
        <v>276</v>
      </c>
      <c r="F494" s="1">
        <v>25000</v>
      </c>
      <c r="G494" s="1">
        <v>41</v>
      </c>
      <c r="H494" s="1">
        <v>51</v>
      </c>
      <c r="I494" t="s">
        <v>3</v>
      </c>
      <c r="J494" t="s">
        <v>6</v>
      </c>
      <c r="K494" s="1">
        <v>41051</v>
      </c>
      <c r="L494" s="1">
        <v>410</v>
      </c>
      <c r="M494" s="1">
        <v>184</v>
      </c>
      <c r="N494" s="1">
        <v>61366000</v>
      </c>
      <c r="O494" s="1">
        <v>41051</v>
      </c>
      <c r="P494" s="1">
        <v>0</v>
      </c>
      <c r="Q494" s="1">
        <v>1</v>
      </c>
    </row>
    <row r="495">
      <c r="A495" s="1">
        <v>2020</v>
      </c>
      <c r="B495" s="1">
        <v>25</v>
      </c>
      <c r="C495" s="1">
        <v>25</v>
      </c>
      <c r="D495" t="s">
        <v>25</v>
      </c>
      <c r="E495" t="s">
        <v>105</v>
      </c>
      <c r="F495" s="1">
        <v>25025</v>
      </c>
      <c r="G495" s="1">
        <v>41</v>
      </c>
      <c r="H495" s="1">
        <v>51</v>
      </c>
      <c r="I495" t="s">
        <v>3</v>
      </c>
      <c r="J495" t="s">
        <v>6</v>
      </c>
      <c r="K495" s="1">
        <v>41051</v>
      </c>
      <c r="L495" s="1">
        <v>107</v>
      </c>
      <c r="M495" s="1">
        <v>107</v>
      </c>
      <c r="N495" s="1">
        <v>6420000</v>
      </c>
      <c r="O495" s="1">
        <v>41051</v>
      </c>
      <c r="P495" s="1">
        <v>0</v>
      </c>
      <c r="Q495" s="1">
        <v>1</v>
      </c>
    </row>
    <row r="496">
      <c r="A496" s="1">
        <v>2020</v>
      </c>
      <c r="B496" s="1">
        <v>26</v>
      </c>
      <c r="C496" s="1">
        <v>81</v>
      </c>
      <c r="D496" t="s">
        <v>26</v>
      </c>
      <c r="E496" t="s">
        <v>193</v>
      </c>
      <c r="F496" s="1">
        <v>26081</v>
      </c>
      <c r="G496" s="1">
        <v>41</v>
      </c>
      <c r="H496" s="1">
        <v>51</v>
      </c>
      <c r="I496" t="s">
        <v>3</v>
      </c>
      <c r="J496" t="s">
        <v>6</v>
      </c>
      <c r="K496" s="1">
        <v>41051</v>
      </c>
      <c r="L496" s="1">
        <v>268</v>
      </c>
      <c r="M496" s="1">
        <v>268</v>
      </c>
      <c r="N496" s="1">
        <v>2787200</v>
      </c>
      <c r="O496" s="1">
        <v>41051</v>
      </c>
      <c r="P496" s="1">
        <v>0</v>
      </c>
      <c r="Q496" s="1">
        <v>1</v>
      </c>
    </row>
    <row r="497">
      <c r="A497" s="1">
        <v>2020</v>
      </c>
      <c r="B497" s="1">
        <v>26</v>
      </c>
      <c r="C497" s="1">
        <v>99</v>
      </c>
      <c r="D497" t="s">
        <v>26</v>
      </c>
      <c r="E497" t="s">
        <v>300</v>
      </c>
      <c r="F497" s="1">
        <v>26099</v>
      </c>
      <c r="G497" s="1">
        <v>41</v>
      </c>
      <c r="H497" s="1">
        <v>51</v>
      </c>
      <c r="I497" t="s">
        <v>3</v>
      </c>
      <c r="J497" t="s">
        <v>6</v>
      </c>
      <c r="K497" s="1">
        <v>41051</v>
      </c>
      <c r="L497" s="1">
        <v>101</v>
      </c>
      <c r="M497" s="1">
        <v>101</v>
      </c>
      <c r="N497" s="1">
        <v>4040000</v>
      </c>
      <c r="O497" s="1">
        <v>41051</v>
      </c>
      <c r="P497" s="1">
        <v>0</v>
      </c>
      <c r="Q497" s="1">
        <v>1</v>
      </c>
    </row>
    <row r="498">
      <c r="A498" s="1">
        <v>2020</v>
      </c>
      <c r="B498" s="1">
        <v>26</v>
      </c>
      <c r="C498" s="1">
        <v>163</v>
      </c>
      <c r="D498" t="s">
        <v>26</v>
      </c>
      <c r="E498" t="s">
        <v>195</v>
      </c>
      <c r="F498" s="1">
        <v>26163</v>
      </c>
      <c r="G498" s="1">
        <v>41</v>
      </c>
      <c r="H498" s="1">
        <v>51</v>
      </c>
      <c r="I498" t="s">
        <v>3</v>
      </c>
      <c r="J498" t="s">
        <v>6</v>
      </c>
      <c r="K498" s="1">
        <v>41051</v>
      </c>
      <c r="L498" s="1">
        <v>159</v>
      </c>
      <c r="M498" s="1"/>
      <c r="N498" s="1">
        <v>1749000</v>
      </c>
      <c r="O498" s="1">
        <v>41051</v>
      </c>
      <c r="P498" s="1">
        <v>0</v>
      </c>
      <c r="Q498" s="1">
        <v>1</v>
      </c>
    </row>
    <row r="499">
      <c r="A499" s="1">
        <v>2020</v>
      </c>
      <c r="B499" s="1">
        <v>27</v>
      </c>
      <c r="C499" s="1">
        <v>163</v>
      </c>
      <c r="D499" t="s">
        <v>27</v>
      </c>
      <c r="E499" t="s">
        <v>143</v>
      </c>
      <c r="F499" s="1">
        <v>27163</v>
      </c>
      <c r="G499" s="1">
        <v>41</v>
      </c>
      <c r="H499" s="1">
        <v>51</v>
      </c>
      <c r="I499" t="s">
        <v>3</v>
      </c>
      <c r="J499" t="s">
        <v>6</v>
      </c>
      <c r="K499" s="1">
        <v>41051</v>
      </c>
      <c r="L499" s="1">
        <v>115</v>
      </c>
      <c r="M499" s="1">
        <v>115</v>
      </c>
      <c r="N499" s="1">
        <v>4761000</v>
      </c>
      <c r="O499" s="1">
        <v>41051</v>
      </c>
      <c r="P499" s="1">
        <v>0</v>
      </c>
      <c r="Q499" s="1">
        <v>1</v>
      </c>
    </row>
    <row r="500">
      <c r="A500" s="1">
        <v>2020</v>
      </c>
      <c r="B500" s="1">
        <v>32</v>
      </c>
      <c r="C500" s="1">
        <v>31</v>
      </c>
      <c r="D500" t="s">
        <v>29</v>
      </c>
      <c r="E500" t="s">
        <v>113</v>
      </c>
      <c r="F500" s="1">
        <v>32031</v>
      </c>
      <c r="G500" s="1">
        <v>41</v>
      </c>
      <c r="H500" s="1">
        <v>51</v>
      </c>
      <c r="I500" t="s">
        <v>3</v>
      </c>
      <c r="J500" t="s">
        <v>6</v>
      </c>
      <c r="K500" s="1">
        <v>41051</v>
      </c>
      <c r="L500" s="1">
        <v>406</v>
      </c>
      <c r="M500" s="1">
        <v>336</v>
      </c>
      <c r="N500" s="1">
        <v>21033390</v>
      </c>
      <c r="O500" s="1">
        <v>41051</v>
      </c>
      <c r="P500" s="1">
        <v>0</v>
      </c>
      <c r="Q500" s="1">
        <v>1</v>
      </c>
    </row>
    <row r="501">
      <c r="A501" s="1">
        <v>2020</v>
      </c>
      <c r="B501" s="1">
        <v>34</v>
      </c>
      <c r="C501" s="1">
        <v>27</v>
      </c>
      <c r="D501" t="s">
        <v>46</v>
      </c>
      <c r="E501" t="s">
        <v>383</v>
      </c>
      <c r="F501" s="1">
        <v>34027</v>
      </c>
      <c r="G501" s="1">
        <v>41</v>
      </c>
      <c r="H501" s="1">
        <v>51</v>
      </c>
      <c r="I501" t="s">
        <v>3</v>
      </c>
      <c r="J501" t="s">
        <v>6</v>
      </c>
      <c r="K501" s="1">
        <v>41051</v>
      </c>
      <c r="L501" s="1">
        <v>99</v>
      </c>
      <c r="M501" s="1"/>
      <c r="N501" s="1">
        <v>11880000</v>
      </c>
      <c r="O501" s="1">
        <v>41051</v>
      </c>
      <c r="P501" s="1">
        <v>0</v>
      </c>
      <c r="Q501" s="1">
        <v>1</v>
      </c>
    </row>
    <row r="502">
      <c r="A502" s="1">
        <v>2020</v>
      </c>
      <c r="B502" s="1">
        <v>35</v>
      </c>
      <c r="C502" s="1">
        <v>0</v>
      </c>
      <c r="D502" t="s">
        <v>411</v>
      </c>
      <c r="E502" t="s">
        <v>276</v>
      </c>
      <c r="F502" s="1">
        <v>35000</v>
      </c>
      <c r="G502" s="1">
        <v>41</v>
      </c>
      <c r="H502" s="1">
        <v>51</v>
      </c>
      <c r="I502" t="s">
        <v>3</v>
      </c>
      <c r="J502" t="s">
        <v>6</v>
      </c>
      <c r="K502" s="1">
        <v>41051</v>
      </c>
      <c r="L502" s="1">
        <v>652</v>
      </c>
      <c r="M502" s="1">
        <v>435</v>
      </c>
      <c r="N502" s="1">
        <v>32633460</v>
      </c>
      <c r="O502" s="1">
        <v>41051</v>
      </c>
      <c r="P502" s="1">
        <v>0</v>
      </c>
      <c r="Q502" s="1">
        <v>1</v>
      </c>
    </row>
    <row r="503">
      <c r="A503" s="1">
        <v>2020</v>
      </c>
      <c r="B503" s="1">
        <v>36</v>
      </c>
      <c r="C503" s="1">
        <v>0</v>
      </c>
      <c r="D503" t="s">
        <v>411</v>
      </c>
      <c r="E503" t="s">
        <v>276</v>
      </c>
      <c r="F503" s="1">
        <v>36000</v>
      </c>
      <c r="G503" s="1">
        <v>41</v>
      </c>
      <c r="H503" s="1">
        <v>51</v>
      </c>
      <c r="I503" t="s">
        <v>3</v>
      </c>
      <c r="J503" t="s">
        <v>6</v>
      </c>
      <c r="K503" s="1">
        <v>41051</v>
      </c>
      <c r="L503" s="1">
        <v>1220</v>
      </c>
      <c r="M503" s="1">
        <v>1121</v>
      </c>
      <c r="N503" s="1">
        <v>12170070</v>
      </c>
      <c r="O503" s="1">
        <v>41051</v>
      </c>
      <c r="P503" s="1">
        <v>0</v>
      </c>
      <c r="Q503" s="1">
        <v>1</v>
      </c>
    </row>
    <row r="504">
      <c r="A504" s="1">
        <v>2020</v>
      </c>
      <c r="B504" s="1">
        <v>36</v>
      </c>
      <c r="C504" s="1">
        <v>5</v>
      </c>
      <c r="D504" t="s">
        <v>31</v>
      </c>
      <c r="E504" t="s">
        <v>288</v>
      </c>
      <c r="F504" s="1">
        <v>36005</v>
      </c>
      <c r="G504" s="1">
        <v>41</v>
      </c>
      <c r="H504" s="1">
        <v>51</v>
      </c>
      <c r="I504" t="s">
        <v>3</v>
      </c>
      <c r="J504" t="s">
        <v>6</v>
      </c>
      <c r="K504" s="1">
        <v>41051</v>
      </c>
      <c r="L504" s="1">
        <v>199</v>
      </c>
      <c r="M504" s="1"/>
      <c r="N504" s="1">
        <v>1333300</v>
      </c>
      <c r="O504" s="1">
        <v>41051</v>
      </c>
      <c r="P504" s="1">
        <v>0</v>
      </c>
      <c r="Q504" s="1">
        <v>1</v>
      </c>
    </row>
    <row r="505">
      <c r="A505" s="1">
        <v>2020</v>
      </c>
      <c r="B505" s="1">
        <v>36</v>
      </c>
      <c r="C505" s="1">
        <v>81</v>
      </c>
      <c r="D505" t="s">
        <v>31</v>
      </c>
      <c r="E505" t="s">
        <v>118</v>
      </c>
      <c r="F505" s="1">
        <v>36081</v>
      </c>
      <c r="G505" s="1">
        <v>41</v>
      </c>
      <c r="H505" s="1">
        <v>51</v>
      </c>
      <c r="I505" t="s">
        <v>3</v>
      </c>
      <c r="J505" t="s">
        <v>6</v>
      </c>
      <c r="K505" s="1">
        <v>41051</v>
      </c>
      <c r="L505" s="1">
        <v>196</v>
      </c>
      <c r="M505" s="1"/>
      <c r="N505" s="1">
        <v>0</v>
      </c>
      <c r="O505" s="1">
        <v>41051</v>
      </c>
      <c r="P505" s="1">
        <v>0</v>
      </c>
      <c r="Q505" s="1">
        <v>1</v>
      </c>
    </row>
    <row r="506">
      <c r="A506" s="1">
        <v>2020</v>
      </c>
      <c r="B506" s="1">
        <v>37</v>
      </c>
      <c r="C506" s="1">
        <v>0</v>
      </c>
      <c r="D506" t="s">
        <v>411</v>
      </c>
      <c r="E506" t="s">
        <v>276</v>
      </c>
      <c r="F506" s="1">
        <v>37000</v>
      </c>
      <c r="G506" s="1">
        <v>41</v>
      </c>
      <c r="H506" s="1">
        <v>51</v>
      </c>
      <c r="I506" t="s">
        <v>3</v>
      </c>
      <c r="J506" t="s">
        <v>6</v>
      </c>
      <c r="K506" s="1">
        <v>41051</v>
      </c>
      <c r="L506" s="1">
        <v>99</v>
      </c>
      <c r="M506" s="1">
        <v>99</v>
      </c>
      <c r="N506" s="1">
        <v>1782000</v>
      </c>
      <c r="O506" s="1">
        <v>41051</v>
      </c>
      <c r="P506" s="1">
        <v>0</v>
      </c>
      <c r="Q506" s="1">
        <v>1</v>
      </c>
    </row>
    <row r="507">
      <c r="A507" s="1">
        <v>2020</v>
      </c>
      <c r="B507" s="1">
        <v>37</v>
      </c>
      <c r="C507" s="1">
        <v>67</v>
      </c>
      <c r="D507" t="s">
        <v>32</v>
      </c>
      <c r="E507" t="s">
        <v>384</v>
      </c>
      <c r="F507" s="1">
        <v>37067</v>
      </c>
      <c r="G507" s="1">
        <v>41</v>
      </c>
      <c r="H507" s="1">
        <v>51</v>
      </c>
      <c r="I507" t="s">
        <v>3</v>
      </c>
      <c r="J507" t="s">
        <v>6</v>
      </c>
      <c r="K507" s="1">
        <v>41051</v>
      </c>
      <c r="L507" s="1">
        <v>513</v>
      </c>
      <c r="M507" s="1">
        <v>188</v>
      </c>
      <c r="N507" s="1">
        <v>17566100</v>
      </c>
      <c r="O507" s="1">
        <v>41051</v>
      </c>
      <c r="P507" s="1">
        <v>0</v>
      </c>
      <c r="Q507" s="1">
        <v>1</v>
      </c>
    </row>
    <row r="508">
      <c r="A508" s="1">
        <v>2020</v>
      </c>
      <c r="B508" s="1">
        <v>38</v>
      </c>
      <c r="C508" s="1">
        <v>17</v>
      </c>
      <c r="D508" t="s">
        <v>273</v>
      </c>
      <c r="E508" t="s">
        <v>358</v>
      </c>
      <c r="F508" s="1">
        <v>38017</v>
      </c>
      <c r="G508" s="1">
        <v>41</v>
      </c>
      <c r="H508" s="1">
        <v>51</v>
      </c>
      <c r="I508" t="s">
        <v>3</v>
      </c>
      <c r="J508" t="s">
        <v>6</v>
      </c>
      <c r="K508" s="1">
        <v>41051</v>
      </c>
      <c r="L508" s="1">
        <v>155</v>
      </c>
      <c r="M508" s="1">
        <v>155</v>
      </c>
      <c r="N508" s="1">
        <v>7130000</v>
      </c>
      <c r="O508" s="1">
        <v>41051</v>
      </c>
      <c r="P508" s="1">
        <v>0</v>
      </c>
      <c r="Q508" s="1">
        <v>1</v>
      </c>
    </row>
    <row r="509">
      <c r="A509" s="1">
        <v>2020</v>
      </c>
      <c r="B509" s="1">
        <v>39</v>
      </c>
      <c r="C509" s="1">
        <v>49</v>
      </c>
      <c r="D509" t="s">
        <v>33</v>
      </c>
      <c r="E509" t="s">
        <v>122</v>
      </c>
      <c r="F509" s="1">
        <v>39049</v>
      </c>
      <c r="G509" s="1">
        <v>41</v>
      </c>
      <c r="H509" s="1">
        <v>51</v>
      </c>
      <c r="I509" t="s">
        <v>3</v>
      </c>
      <c r="J509" t="s">
        <v>6</v>
      </c>
      <c r="K509" s="1">
        <v>41051</v>
      </c>
      <c r="L509" s="1">
        <v>43</v>
      </c>
      <c r="M509" s="1">
        <v>43</v>
      </c>
      <c r="N509" s="1">
        <v>2838000</v>
      </c>
      <c r="O509" s="1">
        <v>41051</v>
      </c>
      <c r="P509" s="1">
        <v>0</v>
      </c>
      <c r="Q509" s="1">
        <v>1</v>
      </c>
    </row>
    <row r="510">
      <c r="A510" s="1">
        <v>2020</v>
      </c>
      <c r="B510" s="1">
        <v>39</v>
      </c>
      <c r="C510" s="1">
        <v>61</v>
      </c>
      <c r="D510" t="s">
        <v>33</v>
      </c>
      <c r="E510" t="s">
        <v>208</v>
      </c>
      <c r="F510" s="1">
        <v>39061</v>
      </c>
      <c r="G510" s="1">
        <v>41</v>
      </c>
      <c r="H510" s="1">
        <v>51</v>
      </c>
      <c r="I510" t="s">
        <v>3</v>
      </c>
      <c r="J510" t="s">
        <v>6</v>
      </c>
      <c r="K510" s="1">
        <v>41051</v>
      </c>
      <c r="L510" s="1">
        <v>84</v>
      </c>
      <c r="M510" s="1"/>
      <c r="N510" s="1">
        <v>4620000</v>
      </c>
      <c r="O510" s="1">
        <v>41051</v>
      </c>
      <c r="P510" s="1">
        <v>0</v>
      </c>
      <c r="Q510" s="1">
        <v>1</v>
      </c>
    </row>
    <row r="511">
      <c r="A511" s="1">
        <v>2020</v>
      </c>
      <c r="B511" s="1">
        <v>41</v>
      </c>
      <c r="C511" s="1">
        <v>0</v>
      </c>
      <c r="D511" t="s">
        <v>411</v>
      </c>
      <c r="E511" t="s">
        <v>276</v>
      </c>
      <c r="F511" s="1">
        <v>41000</v>
      </c>
      <c r="G511" s="1">
        <v>41</v>
      </c>
      <c r="H511" s="1">
        <v>51</v>
      </c>
      <c r="I511" t="s">
        <v>3</v>
      </c>
      <c r="J511" t="s">
        <v>6</v>
      </c>
      <c r="K511" s="1">
        <v>41051</v>
      </c>
      <c r="L511" s="1">
        <v>2442</v>
      </c>
      <c r="M511" s="1">
        <v>788</v>
      </c>
      <c r="N511" s="1">
        <v>106215100</v>
      </c>
      <c r="O511" s="1">
        <v>41051</v>
      </c>
      <c r="P511" s="1">
        <v>0</v>
      </c>
      <c r="Q511" s="1">
        <v>1</v>
      </c>
    </row>
    <row r="512">
      <c r="A512" s="1">
        <v>2020</v>
      </c>
      <c r="B512" s="1">
        <v>41</v>
      </c>
      <c r="C512" s="1">
        <v>5</v>
      </c>
      <c r="D512" t="s">
        <v>3</v>
      </c>
      <c r="E512" t="s">
        <v>125</v>
      </c>
      <c r="F512" s="1">
        <v>41005</v>
      </c>
      <c r="G512" s="1">
        <v>41</v>
      </c>
      <c r="H512" s="1">
        <v>51</v>
      </c>
      <c r="I512" t="s">
        <v>3</v>
      </c>
      <c r="J512" t="s">
        <v>6</v>
      </c>
      <c r="K512" s="1">
        <v>41051</v>
      </c>
      <c r="L512" s="1">
        <v>5633</v>
      </c>
      <c r="M512" s="1">
        <v>3167</v>
      </c>
      <c r="N512" s="1">
        <v>235602200</v>
      </c>
      <c r="O512" s="1">
        <v>41051</v>
      </c>
      <c r="P512" s="1">
        <v>0</v>
      </c>
      <c r="Q512" s="1">
        <v>1</v>
      </c>
    </row>
    <row r="513">
      <c r="A513" s="1">
        <v>2020</v>
      </c>
      <c r="B513" s="1">
        <v>41</v>
      </c>
      <c r="C513" s="1">
        <v>17</v>
      </c>
      <c r="D513" t="s">
        <v>3</v>
      </c>
      <c r="E513" t="s">
        <v>130</v>
      </c>
      <c r="F513" s="1">
        <v>41017</v>
      </c>
      <c r="G513" s="1">
        <v>41</v>
      </c>
      <c r="H513" s="1">
        <v>51</v>
      </c>
      <c r="I513" t="s">
        <v>3</v>
      </c>
      <c r="J513" t="s">
        <v>6</v>
      </c>
      <c r="K513" s="1">
        <v>41051</v>
      </c>
      <c r="L513" s="1">
        <v>211</v>
      </c>
      <c r="M513" s="1">
        <v>117</v>
      </c>
      <c r="N513" s="1">
        <v>867000</v>
      </c>
      <c r="O513" s="1">
        <v>41051</v>
      </c>
      <c r="P513" s="1">
        <v>0</v>
      </c>
      <c r="Q513" s="1">
        <v>1</v>
      </c>
    </row>
    <row r="514">
      <c r="A514" s="1">
        <v>2020</v>
      </c>
      <c r="B514" s="1">
        <v>41</v>
      </c>
      <c r="C514" s="1">
        <v>29</v>
      </c>
      <c r="D514" t="s">
        <v>3</v>
      </c>
      <c r="E514" t="s">
        <v>133</v>
      </c>
      <c r="F514" s="1">
        <v>41029</v>
      </c>
      <c r="G514" s="1">
        <v>41</v>
      </c>
      <c r="H514" s="1">
        <v>51</v>
      </c>
      <c r="I514" t="s">
        <v>3</v>
      </c>
      <c r="J514" t="s">
        <v>6</v>
      </c>
      <c r="K514" s="1">
        <v>41051</v>
      </c>
      <c r="L514" s="1">
        <v>1315</v>
      </c>
      <c r="M514" s="1">
        <v>1042</v>
      </c>
      <c r="N514" s="1">
        <v>37977800</v>
      </c>
      <c r="O514" s="1">
        <v>41051</v>
      </c>
      <c r="P514" s="1">
        <v>0</v>
      </c>
      <c r="Q514" s="1">
        <v>1</v>
      </c>
    </row>
    <row r="515">
      <c r="A515" s="1">
        <v>2020</v>
      </c>
      <c r="B515" s="1">
        <v>41</v>
      </c>
      <c r="C515" s="1">
        <v>39</v>
      </c>
      <c r="D515" t="s">
        <v>3</v>
      </c>
      <c r="E515" t="s">
        <v>136</v>
      </c>
      <c r="F515" s="1">
        <v>41039</v>
      </c>
      <c r="G515" s="1">
        <v>41</v>
      </c>
      <c r="H515" s="1">
        <v>51</v>
      </c>
      <c r="I515" t="s">
        <v>3</v>
      </c>
      <c r="J515" t="s">
        <v>6</v>
      </c>
      <c r="K515" s="1">
        <v>41051</v>
      </c>
      <c r="L515" s="1">
        <v>2685</v>
      </c>
      <c r="M515" s="1">
        <v>800</v>
      </c>
      <c r="N515" s="1">
        <v>77452350</v>
      </c>
      <c r="O515" s="1">
        <v>41051</v>
      </c>
      <c r="P515" s="1">
        <v>0</v>
      </c>
      <c r="Q515" s="1">
        <v>1</v>
      </c>
    </row>
    <row r="516">
      <c r="A516" s="1">
        <v>2020</v>
      </c>
      <c r="B516" s="1">
        <v>41</v>
      </c>
      <c r="C516" s="1">
        <v>47</v>
      </c>
      <c r="D516" t="s">
        <v>3</v>
      </c>
      <c r="E516" t="s">
        <v>99</v>
      </c>
      <c r="F516" s="1">
        <v>41047</v>
      </c>
      <c r="G516" s="1">
        <v>41</v>
      </c>
      <c r="H516" s="1">
        <v>51</v>
      </c>
      <c r="I516" t="s">
        <v>3</v>
      </c>
      <c r="J516" t="s">
        <v>6</v>
      </c>
      <c r="K516" s="1">
        <v>41051</v>
      </c>
      <c r="L516" s="1">
        <v>2646</v>
      </c>
      <c r="M516" s="1">
        <v>639</v>
      </c>
      <c r="N516" s="1">
        <v>98390640</v>
      </c>
      <c r="O516" s="1">
        <v>41051</v>
      </c>
      <c r="P516" s="1">
        <v>0</v>
      </c>
      <c r="Q516" s="1">
        <v>1</v>
      </c>
    </row>
    <row r="517">
      <c r="A517" s="1">
        <v>2020</v>
      </c>
      <c r="B517" s="1">
        <v>41</v>
      </c>
      <c r="C517" s="1">
        <v>51</v>
      </c>
      <c r="D517" t="s">
        <v>3</v>
      </c>
      <c r="E517" t="s">
        <v>6</v>
      </c>
      <c r="F517" s="1">
        <v>41051</v>
      </c>
      <c r="G517" s="1">
        <v>41</v>
      </c>
      <c r="H517" s="1">
        <v>51</v>
      </c>
      <c r="I517" t="s">
        <v>3</v>
      </c>
      <c r="J517" t="s">
        <v>6</v>
      </c>
      <c r="K517" s="1">
        <v>41051</v>
      </c>
      <c r="L517" s="1">
        <v>596774</v>
      </c>
      <c r="M517" s="1">
        <v>326048</v>
      </c>
      <c r="N517" s="1">
        <v>34804726934</v>
      </c>
      <c r="O517" s="1">
        <v>41051</v>
      </c>
      <c r="P517" s="1">
        <v>1</v>
      </c>
      <c r="Q517" s="1">
        <v>1</v>
      </c>
    </row>
    <row r="518">
      <c r="A518" s="1">
        <v>2020</v>
      </c>
      <c r="B518" s="1">
        <v>41</v>
      </c>
      <c r="C518" s="1">
        <v>67</v>
      </c>
      <c r="D518" t="s">
        <v>3</v>
      </c>
      <c r="E518" t="s">
        <v>143</v>
      </c>
      <c r="F518" s="1">
        <v>41067</v>
      </c>
      <c r="G518" s="1">
        <v>41</v>
      </c>
      <c r="H518" s="1">
        <v>51</v>
      </c>
      <c r="I518" t="s">
        <v>3</v>
      </c>
      <c r="J518" t="s">
        <v>6</v>
      </c>
      <c r="K518" s="1">
        <v>41051</v>
      </c>
      <c r="L518" s="1">
        <v>6606</v>
      </c>
      <c r="M518" s="1">
        <v>3624</v>
      </c>
      <c r="N518" s="1">
        <v>418829280</v>
      </c>
      <c r="O518" s="1">
        <v>41051</v>
      </c>
      <c r="P518" s="1">
        <v>0</v>
      </c>
      <c r="Q518" s="1">
        <v>1</v>
      </c>
    </row>
    <row r="519">
      <c r="A519" s="1">
        <v>2020</v>
      </c>
      <c r="B519" s="1">
        <v>42</v>
      </c>
      <c r="C519" s="1">
        <v>27</v>
      </c>
      <c r="D519" t="s">
        <v>34</v>
      </c>
      <c r="E519" t="s">
        <v>312</v>
      </c>
      <c r="F519" s="1">
        <v>42027</v>
      </c>
      <c r="G519" s="1">
        <v>41</v>
      </c>
      <c r="H519" s="1">
        <v>51</v>
      </c>
      <c r="I519" t="s">
        <v>3</v>
      </c>
      <c r="J519" t="s">
        <v>6</v>
      </c>
      <c r="K519" s="1">
        <v>41051</v>
      </c>
      <c r="L519" s="1">
        <v>92</v>
      </c>
      <c r="M519" s="1"/>
      <c r="N519" s="1">
        <v>1380000</v>
      </c>
      <c r="O519" s="1">
        <v>41051</v>
      </c>
      <c r="P519" s="1">
        <v>0</v>
      </c>
      <c r="Q519" s="1">
        <v>1</v>
      </c>
    </row>
    <row r="520">
      <c r="A520" s="1">
        <v>2020</v>
      </c>
      <c r="B520" s="1">
        <v>42</v>
      </c>
      <c r="C520" s="1">
        <v>29</v>
      </c>
      <c r="D520" t="s">
        <v>34</v>
      </c>
      <c r="E520" t="s">
        <v>360</v>
      </c>
      <c r="F520" s="1">
        <v>42029</v>
      </c>
      <c r="G520" s="1">
        <v>41</v>
      </c>
      <c r="H520" s="1">
        <v>51</v>
      </c>
      <c r="I520" t="s">
        <v>3</v>
      </c>
      <c r="J520" t="s">
        <v>6</v>
      </c>
      <c r="K520" s="1">
        <v>41051</v>
      </c>
      <c r="L520" s="1">
        <v>146</v>
      </c>
      <c r="M520" s="1">
        <v>71</v>
      </c>
      <c r="N520" s="1">
        <v>13128590</v>
      </c>
      <c r="O520" s="1">
        <v>41051</v>
      </c>
      <c r="P520" s="1">
        <v>0</v>
      </c>
      <c r="Q520" s="1">
        <v>1</v>
      </c>
    </row>
    <row r="521">
      <c r="A521" s="1">
        <v>2020</v>
      </c>
      <c r="B521" s="1">
        <v>44</v>
      </c>
      <c r="C521" s="1">
        <v>7</v>
      </c>
      <c r="D521" t="s">
        <v>48</v>
      </c>
      <c r="E521" t="s">
        <v>212</v>
      </c>
      <c r="F521" s="1">
        <v>44007</v>
      </c>
      <c r="G521" s="1">
        <v>41</v>
      </c>
      <c r="H521" s="1">
        <v>51</v>
      </c>
      <c r="I521" t="s">
        <v>3</v>
      </c>
      <c r="J521" t="s">
        <v>6</v>
      </c>
      <c r="K521" s="1">
        <v>41051</v>
      </c>
      <c r="L521" s="1">
        <v>186</v>
      </c>
      <c r="M521" s="1">
        <v>186</v>
      </c>
      <c r="N521" s="1">
        <v>6138000</v>
      </c>
      <c r="O521" s="1">
        <v>41051</v>
      </c>
      <c r="P521" s="1">
        <v>0</v>
      </c>
      <c r="Q521" s="1">
        <v>1</v>
      </c>
    </row>
    <row r="522">
      <c r="A522" s="1">
        <v>2020</v>
      </c>
      <c r="B522" s="1">
        <v>47</v>
      </c>
      <c r="C522" s="1">
        <v>0</v>
      </c>
      <c r="D522" t="s">
        <v>411</v>
      </c>
      <c r="E522" t="s">
        <v>276</v>
      </c>
      <c r="F522" s="1">
        <v>47000</v>
      </c>
      <c r="G522" s="1">
        <v>41</v>
      </c>
      <c r="H522" s="1">
        <v>51</v>
      </c>
      <c r="I522" t="s">
        <v>3</v>
      </c>
      <c r="J522" t="s">
        <v>6</v>
      </c>
      <c r="K522" s="1">
        <v>41051</v>
      </c>
      <c r="L522" s="1">
        <v>188</v>
      </c>
      <c r="M522" s="1">
        <v>94</v>
      </c>
      <c r="N522" s="1">
        <v>8290800</v>
      </c>
      <c r="O522" s="1">
        <v>41051</v>
      </c>
      <c r="P522" s="1">
        <v>0</v>
      </c>
      <c r="Q522" s="1">
        <v>1</v>
      </c>
    </row>
    <row r="523">
      <c r="A523" s="1">
        <v>2020</v>
      </c>
      <c r="B523" s="1">
        <v>47</v>
      </c>
      <c r="C523" s="1">
        <v>157</v>
      </c>
      <c r="D523" t="s">
        <v>35</v>
      </c>
      <c r="E523" t="s">
        <v>215</v>
      </c>
      <c r="F523" s="1">
        <v>47157</v>
      </c>
      <c r="G523" s="1">
        <v>41</v>
      </c>
      <c r="H523" s="1">
        <v>51</v>
      </c>
      <c r="I523" t="s">
        <v>3</v>
      </c>
      <c r="J523" t="s">
        <v>6</v>
      </c>
      <c r="K523" s="1">
        <v>41051</v>
      </c>
      <c r="L523" s="1">
        <v>251</v>
      </c>
      <c r="M523" s="1">
        <v>123</v>
      </c>
      <c r="N523" s="1">
        <v>7180300</v>
      </c>
      <c r="O523" s="1">
        <v>41051</v>
      </c>
      <c r="P523" s="1">
        <v>0</v>
      </c>
      <c r="Q523" s="1">
        <v>1</v>
      </c>
    </row>
    <row r="524">
      <c r="A524" s="1">
        <v>2020</v>
      </c>
      <c r="B524" s="1">
        <v>48</v>
      </c>
      <c r="C524" s="1">
        <v>85</v>
      </c>
      <c r="D524" t="s">
        <v>36</v>
      </c>
      <c r="E524" t="s">
        <v>216</v>
      </c>
      <c r="F524" s="1">
        <v>48085</v>
      </c>
      <c r="G524" s="1">
        <v>41</v>
      </c>
      <c r="H524" s="1">
        <v>51</v>
      </c>
      <c r="I524" t="s">
        <v>3</v>
      </c>
      <c r="J524" t="s">
        <v>6</v>
      </c>
      <c r="K524" s="1">
        <v>41051</v>
      </c>
      <c r="L524" s="1">
        <v>199</v>
      </c>
      <c r="M524" s="1">
        <v>199</v>
      </c>
      <c r="N524" s="1">
        <v>14328000</v>
      </c>
      <c r="O524" s="1">
        <v>41051</v>
      </c>
      <c r="P524" s="1">
        <v>0</v>
      </c>
      <c r="Q524" s="1">
        <v>1</v>
      </c>
    </row>
    <row r="525">
      <c r="A525" s="1">
        <v>2020</v>
      </c>
      <c r="B525" s="1">
        <v>48</v>
      </c>
      <c r="C525" s="1">
        <v>157</v>
      </c>
      <c r="D525" t="s">
        <v>36</v>
      </c>
      <c r="E525" t="s">
        <v>253</v>
      </c>
      <c r="F525" s="1">
        <v>48157</v>
      </c>
      <c r="G525" s="1">
        <v>41</v>
      </c>
      <c r="H525" s="1">
        <v>51</v>
      </c>
      <c r="I525" t="s">
        <v>3</v>
      </c>
      <c r="J525" t="s">
        <v>6</v>
      </c>
      <c r="K525" s="1">
        <v>41051</v>
      </c>
      <c r="L525" s="1">
        <v>1213</v>
      </c>
      <c r="M525" s="1">
        <v>603</v>
      </c>
      <c r="N525" s="1">
        <v>206350000</v>
      </c>
      <c r="O525" s="1">
        <v>41051</v>
      </c>
      <c r="P525" s="1">
        <v>0</v>
      </c>
      <c r="Q525" s="1">
        <v>1</v>
      </c>
    </row>
    <row r="526">
      <c r="A526" s="1">
        <v>2020</v>
      </c>
      <c r="B526" s="1">
        <v>48</v>
      </c>
      <c r="C526" s="1">
        <v>439</v>
      </c>
      <c r="D526" t="s">
        <v>36</v>
      </c>
      <c r="E526" t="s">
        <v>152</v>
      </c>
      <c r="F526" s="1">
        <v>48439</v>
      </c>
      <c r="G526" s="1">
        <v>41</v>
      </c>
      <c r="H526" s="1">
        <v>51</v>
      </c>
      <c r="I526" t="s">
        <v>3</v>
      </c>
      <c r="J526" t="s">
        <v>6</v>
      </c>
      <c r="K526" s="1">
        <v>41051</v>
      </c>
      <c r="L526" s="1">
        <v>266</v>
      </c>
      <c r="M526" s="1">
        <v>126</v>
      </c>
      <c r="N526" s="1">
        <v>9926000</v>
      </c>
      <c r="O526" s="1">
        <v>41051</v>
      </c>
      <c r="P526" s="1">
        <v>0</v>
      </c>
      <c r="Q526" s="1">
        <v>1</v>
      </c>
    </row>
    <row r="527">
      <c r="A527" s="1">
        <v>2020</v>
      </c>
      <c r="B527" s="1">
        <v>49</v>
      </c>
      <c r="C527" s="1">
        <v>35</v>
      </c>
      <c r="D527" t="s">
        <v>37</v>
      </c>
      <c r="E527" t="s">
        <v>154</v>
      </c>
      <c r="F527" s="1">
        <v>49035</v>
      </c>
      <c r="G527" s="1">
        <v>41</v>
      </c>
      <c r="H527" s="1">
        <v>51</v>
      </c>
      <c r="I527" t="s">
        <v>3</v>
      </c>
      <c r="J527" t="s">
        <v>6</v>
      </c>
      <c r="K527" s="1">
        <v>41051</v>
      </c>
      <c r="L527" s="1">
        <v>110</v>
      </c>
      <c r="M527" s="1">
        <v>110</v>
      </c>
      <c r="N527" s="1">
        <v>275000</v>
      </c>
      <c r="O527" s="1">
        <v>41051</v>
      </c>
      <c r="P527" s="1">
        <v>0</v>
      </c>
      <c r="Q527" s="1">
        <v>1</v>
      </c>
    </row>
    <row r="528">
      <c r="A528" s="1">
        <v>2020</v>
      </c>
      <c r="B528" s="1">
        <v>51</v>
      </c>
      <c r="C528" s="1">
        <v>0</v>
      </c>
      <c r="D528" t="s">
        <v>411</v>
      </c>
      <c r="E528" t="s">
        <v>276</v>
      </c>
      <c r="F528" s="1">
        <v>51000</v>
      </c>
      <c r="G528" s="1">
        <v>41</v>
      </c>
      <c r="H528" s="1">
        <v>51</v>
      </c>
      <c r="I528" t="s">
        <v>3</v>
      </c>
      <c r="J528" t="s">
        <v>6</v>
      </c>
      <c r="K528" s="1">
        <v>41051</v>
      </c>
      <c r="L528" s="1">
        <v>1019</v>
      </c>
      <c r="M528" s="1">
        <v>144</v>
      </c>
      <c r="N528" s="1">
        <v>62382800</v>
      </c>
      <c r="O528" s="1">
        <v>41051</v>
      </c>
      <c r="P528" s="1">
        <v>0</v>
      </c>
      <c r="Q528" s="1">
        <v>1</v>
      </c>
    </row>
    <row r="529">
      <c r="A529" s="1">
        <v>2020</v>
      </c>
      <c r="B529" s="1">
        <v>53</v>
      </c>
      <c r="C529" s="1">
        <v>0</v>
      </c>
      <c r="D529" t="s">
        <v>411</v>
      </c>
      <c r="E529" t="s">
        <v>276</v>
      </c>
      <c r="F529" s="1">
        <v>53000</v>
      </c>
      <c r="G529" s="1">
        <v>41</v>
      </c>
      <c r="H529" s="1">
        <v>51</v>
      </c>
      <c r="I529" t="s">
        <v>3</v>
      </c>
      <c r="J529" t="s">
        <v>6</v>
      </c>
      <c r="K529" s="1">
        <v>41051</v>
      </c>
      <c r="L529" s="1">
        <v>391</v>
      </c>
      <c r="M529" s="1">
        <v>163</v>
      </c>
      <c r="N529" s="1">
        <v>7851200</v>
      </c>
      <c r="O529" s="1">
        <v>41051</v>
      </c>
      <c r="P529" s="1">
        <v>0</v>
      </c>
      <c r="Q529" s="1">
        <v>1</v>
      </c>
    </row>
    <row r="530">
      <c r="A530" s="1">
        <v>2020</v>
      </c>
      <c r="B530" s="1">
        <v>53</v>
      </c>
      <c r="C530" s="1">
        <v>11</v>
      </c>
      <c r="D530" t="s">
        <v>40</v>
      </c>
      <c r="E530" t="s">
        <v>112</v>
      </c>
      <c r="F530" s="1">
        <v>53011</v>
      </c>
      <c r="G530" s="1">
        <v>41</v>
      </c>
      <c r="H530" s="1">
        <v>51</v>
      </c>
      <c r="I530" t="s">
        <v>3</v>
      </c>
      <c r="J530" t="s">
        <v>6</v>
      </c>
      <c r="K530" s="1">
        <v>41051</v>
      </c>
      <c r="L530" s="1">
        <v>1490</v>
      </c>
      <c r="M530" s="1">
        <v>559</v>
      </c>
      <c r="N530" s="1">
        <v>83973000</v>
      </c>
      <c r="O530" s="1">
        <v>41051</v>
      </c>
      <c r="P530" s="1">
        <v>0</v>
      </c>
      <c r="Q530" s="1">
        <v>1</v>
      </c>
    </row>
    <row r="531">
      <c r="A531" s="1">
        <v>2020</v>
      </c>
      <c r="B531" s="1">
        <v>53</v>
      </c>
      <c r="C531" s="1">
        <v>33</v>
      </c>
      <c r="D531" t="s">
        <v>40</v>
      </c>
      <c r="E531" t="s">
        <v>160</v>
      </c>
      <c r="F531" s="1">
        <v>53033</v>
      </c>
      <c r="G531" s="1">
        <v>41</v>
      </c>
      <c r="H531" s="1">
        <v>51</v>
      </c>
      <c r="I531" t="s">
        <v>3</v>
      </c>
      <c r="J531" t="s">
        <v>6</v>
      </c>
      <c r="K531" s="1">
        <v>41051</v>
      </c>
      <c r="L531" s="1">
        <v>1445</v>
      </c>
      <c r="M531" s="1">
        <v>1026</v>
      </c>
      <c r="N531" s="1">
        <v>42302600</v>
      </c>
      <c r="O531" s="1">
        <v>41051</v>
      </c>
      <c r="P531" s="1">
        <v>0</v>
      </c>
      <c r="Q531" s="1">
        <v>1</v>
      </c>
    </row>
    <row r="532">
      <c r="A532" s="1">
        <v>2020</v>
      </c>
      <c r="B532" s="1">
        <v>53</v>
      </c>
      <c r="C532" s="1">
        <v>35</v>
      </c>
      <c r="D532" t="s">
        <v>40</v>
      </c>
      <c r="E532" t="s">
        <v>161</v>
      </c>
      <c r="F532" s="1">
        <v>53035</v>
      </c>
      <c r="G532" s="1">
        <v>41</v>
      </c>
      <c r="H532" s="1">
        <v>51</v>
      </c>
      <c r="I532" t="s">
        <v>3</v>
      </c>
      <c r="J532" t="s">
        <v>6</v>
      </c>
      <c r="K532" s="1">
        <v>41051</v>
      </c>
      <c r="L532" s="1">
        <v>133</v>
      </c>
      <c r="M532" s="1"/>
      <c r="N532" s="1">
        <v>7581000</v>
      </c>
      <c r="O532" s="1">
        <v>41051</v>
      </c>
      <c r="P532" s="1">
        <v>0</v>
      </c>
      <c r="Q532" s="1">
        <v>1</v>
      </c>
    </row>
    <row r="533">
      <c r="A533" s="1">
        <v>2020</v>
      </c>
      <c r="B533" s="1">
        <v>53</v>
      </c>
      <c r="C533" s="1">
        <v>53</v>
      </c>
      <c r="D533" t="s">
        <v>40</v>
      </c>
      <c r="E533" t="s">
        <v>165</v>
      </c>
      <c r="F533" s="1">
        <v>53053</v>
      </c>
      <c r="G533" s="1">
        <v>41</v>
      </c>
      <c r="H533" s="1">
        <v>51</v>
      </c>
      <c r="I533" t="s">
        <v>3</v>
      </c>
      <c r="J533" t="s">
        <v>6</v>
      </c>
      <c r="K533" s="1">
        <v>41051</v>
      </c>
      <c r="L533" s="1">
        <v>292</v>
      </c>
      <c r="M533" s="1">
        <v>170</v>
      </c>
      <c r="N533" s="1">
        <v>33022000</v>
      </c>
      <c r="O533" s="1">
        <v>41051</v>
      </c>
      <c r="P533" s="1">
        <v>0</v>
      </c>
      <c r="Q533" s="1">
        <v>1</v>
      </c>
    </row>
    <row r="534">
      <c r="A534" s="1">
        <v>2020</v>
      </c>
      <c r="B534" s="1">
        <v>53</v>
      </c>
      <c r="C534" s="1">
        <v>61</v>
      </c>
      <c r="D534" t="s">
        <v>40</v>
      </c>
      <c r="E534" t="s">
        <v>167</v>
      </c>
      <c r="F534" s="1">
        <v>53061</v>
      </c>
      <c r="G534" s="1">
        <v>41</v>
      </c>
      <c r="H534" s="1">
        <v>51</v>
      </c>
      <c r="I534" t="s">
        <v>3</v>
      </c>
      <c r="J534" t="s">
        <v>6</v>
      </c>
      <c r="K534" s="1">
        <v>41051</v>
      </c>
      <c r="L534" s="1">
        <v>251</v>
      </c>
      <c r="M534" s="1">
        <v>89</v>
      </c>
      <c r="N534" s="1">
        <v>9918720</v>
      </c>
      <c r="O534" s="1">
        <v>41051</v>
      </c>
      <c r="P534" s="1">
        <v>0</v>
      </c>
      <c r="Q534" s="1">
        <v>1</v>
      </c>
    </row>
    <row r="535">
      <c r="A535" s="1">
        <v>2020</v>
      </c>
      <c r="B535" s="1">
        <v>53</v>
      </c>
      <c r="C535" s="1">
        <v>63</v>
      </c>
      <c r="D535" t="s">
        <v>40</v>
      </c>
      <c r="E535" t="s">
        <v>168</v>
      </c>
      <c r="F535" s="1">
        <v>53063</v>
      </c>
      <c r="G535" s="1">
        <v>41</v>
      </c>
      <c r="H535" s="1">
        <v>51</v>
      </c>
      <c r="I535" t="s">
        <v>3</v>
      </c>
      <c r="J535" t="s">
        <v>6</v>
      </c>
      <c r="K535" s="1">
        <v>41051</v>
      </c>
      <c r="L535" s="1">
        <v>210</v>
      </c>
      <c r="M535" s="1">
        <v>105</v>
      </c>
      <c r="N535" s="1">
        <v>10500000</v>
      </c>
      <c r="O535" s="1">
        <v>41051</v>
      </c>
      <c r="P535" s="1">
        <v>0</v>
      </c>
      <c r="Q535" s="1">
        <v>1</v>
      </c>
    </row>
    <row r="536">
      <c r="A536" s="1">
        <v>2020</v>
      </c>
      <c r="B536" s="1">
        <v>53</v>
      </c>
      <c r="C536" s="1">
        <v>67</v>
      </c>
      <c r="D536" t="s">
        <v>40</v>
      </c>
      <c r="E536" t="s">
        <v>169</v>
      </c>
      <c r="F536" s="1">
        <v>53067</v>
      </c>
      <c r="G536" s="1">
        <v>41</v>
      </c>
      <c r="H536" s="1">
        <v>51</v>
      </c>
      <c r="I536" t="s">
        <v>3</v>
      </c>
      <c r="J536" t="s">
        <v>6</v>
      </c>
      <c r="K536" s="1">
        <v>41051</v>
      </c>
      <c r="L536" s="1">
        <v>957</v>
      </c>
      <c r="M536" s="1">
        <v>957</v>
      </c>
      <c r="N536" s="1">
        <v>49432950</v>
      </c>
      <c r="O536" s="1">
        <v>41051</v>
      </c>
      <c r="P536" s="1">
        <v>0</v>
      </c>
      <c r="Q536" s="1">
        <v>1</v>
      </c>
    </row>
    <row r="537">
      <c r="A537" s="1">
        <v>2020</v>
      </c>
      <c r="B537" s="1">
        <v>53</v>
      </c>
      <c r="C537" s="1">
        <v>73</v>
      </c>
      <c r="D537" t="s">
        <v>40</v>
      </c>
      <c r="E537" t="s">
        <v>171</v>
      </c>
      <c r="F537" s="1">
        <v>53073</v>
      </c>
      <c r="G537" s="1">
        <v>41</v>
      </c>
      <c r="H537" s="1">
        <v>51</v>
      </c>
      <c r="I537" t="s">
        <v>3</v>
      </c>
      <c r="J537" t="s">
        <v>6</v>
      </c>
      <c r="K537" s="1">
        <v>41051</v>
      </c>
      <c r="L537" s="1">
        <v>743</v>
      </c>
      <c r="M537" s="1">
        <v>121</v>
      </c>
      <c r="N537" s="1">
        <v>44229000</v>
      </c>
      <c r="O537" s="1">
        <v>41051</v>
      </c>
      <c r="P537" s="1">
        <v>0</v>
      </c>
      <c r="Q537" s="1">
        <v>1</v>
      </c>
    </row>
    <row r="538">
      <c r="A538" s="1">
        <v>2020</v>
      </c>
      <c r="B538" s="1">
        <v>55</v>
      </c>
      <c r="C538" s="1">
        <v>79</v>
      </c>
      <c r="D538" t="s">
        <v>41</v>
      </c>
      <c r="E538" t="s">
        <v>174</v>
      </c>
      <c r="F538" s="1">
        <v>55079</v>
      </c>
      <c r="G538" s="1">
        <v>41</v>
      </c>
      <c r="H538" s="1">
        <v>51</v>
      </c>
      <c r="I538" t="s">
        <v>3</v>
      </c>
      <c r="J538" t="s">
        <v>6</v>
      </c>
      <c r="K538" s="1">
        <v>41051</v>
      </c>
      <c r="L538" s="1">
        <v>162</v>
      </c>
      <c r="M538" s="1">
        <v>162</v>
      </c>
      <c r="N538" s="1">
        <v>4860000</v>
      </c>
      <c r="O538" s="1">
        <v>41051</v>
      </c>
      <c r="P538" s="1">
        <v>0</v>
      </c>
      <c r="Q538" s="1">
        <v>1</v>
      </c>
    </row>
    <row r="539">
      <c r="A539" s="1">
        <v>2021</v>
      </c>
      <c r="B539" s="1">
        <v>4</v>
      </c>
      <c r="C539" s="1">
        <v>0</v>
      </c>
      <c r="D539" t="s">
        <v>411</v>
      </c>
      <c r="E539" t="s">
        <v>276</v>
      </c>
      <c r="F539" s="1">
        <v>4000</v>
      </c>
      <c r="G539" s="1">
        <v>41</v>
      </c>
      <c r="H539" s="1">
        <v>51</v>
      </c>
      <c r="I539" t="s">
        <v>3</v>
      </c>
      <c r="J539" t="s">
        <v>6</v>
      </c>
      <c r="K539" s="1">
        <v>41051</v>
      </c>
      <c r="L539" s="1">
        <v>712</v>
      </c>
      <c r="M539" s="1">
        <v>285</v>
      </c>
      <c r="N539" s="1">
        <v>19147480</v>
      </c>
      <c r="O539" s="1">
        <v>41051</v>
      </c>
      <c r="P539" s="1">
        <v>0</v>
      </c>
      <c r="Q539" s="1">
        <v>1</v>
      </c>
    </row>
    <row r="540">
      <c r="A540" s="1">
        <v>2021</v>
      </c>
      <c r="B540" s="1">
        <v>4</v>
      </c>
      <c r="C540" s="1">
        <v>13</v>
      </c>
      <c r="D540" t="s">
        <v>10</v>
      </c>
      <c r="E540" t="s">
        <v>53</v>
      </c>
      <c r="F540" s="1">
        <v>4013</v>
      </c>
      <c r="G540" s="1">
        <v>41</v>
      </c>
      <c r="H540" s="1">
        <v>51</v>
      </c>
      <c r="I540" t="s">
        <v>3</v>
      </c>
      <c r="J540" t="s">
        <v>6</v>
      </c>
      <c r="K540" s="1">
        <v>41051</v>
      </c>
      <c r="L540" s="1">
        <v>186</v>
      </c>
      <c r="M540" s="1">
        <v>124</v>
      </c>
      <c r="N540" s="1">
        <v>9595000</v>
      </c>
      <c r="O540" s="1">
        <v>41051</v>
      </c>
      <c r="P540" s="1">
        <v>0</v>
      </c>
      <c r="Q540" s="1">
        <v>1</v>
      </c>
    </row>
    <row r="541">
      <c r="A541" s="1">
        <v>2021</v>
      </c>
      <c r="B541" s="1">
        <v>6</v>
      </c>
      <c r="C541" s="1">
        <v>0</v>
      </c>
      <c r="D541" t="s">
        <v>411</v>
      </c>
      <c r="E541" t="s">
        <v>276</v>
      </c>
      <c r="F541" s="1">
        <v>6000</v>
      </c>
      <c r="G541" s="1">
        <v>41</v>
      </c>
      <c r="H541" s="1">
        <v>51</v>
      </c>
      <c r="I541" t="s">
        <v>3</v>
      </c>
      <c r="J541" t="s">
        <v>6</v>
      </c>
      <c r="K541" s="1">
        <v>41051</v>
      </c>
      <c r="L541" s="1">
        <v>1433</v>
      </c>
      <c r="M541" s="1">
        <v>460</v>
      </c>
      <c r="N541" s="1">
        <v>93743500</v>
      </c>
      <c r="O541" s="1">
        <v>41051</v>
      </c>
      <c r="P541" s="1">
        <v>0</v>
      </c>
      <c r="Q541" s="1">
        <v>1</v>
      </c>
    </row>
    <row r="542">
      <c r="A542" s="1">
        <v>2021</v>
      </c>
      <c r="B542" s="1">
        <v>6</v>
      </c>
      <c r="C542" s="1">
        <v>1</v>
      </c>
      <c r="D542" t="s">
        <v>11</v>
      </c>
      <c r="E542" t="s">
        <v>56</v>
      </c>
      <c r="F542" s="1">
        <v>6001</v>
      </c>
      <c r="G542" s="1">
        <v>41</v>
      </c>
      <c r="H542" s="1">
        <v>51</v>
      </c>
      <c r="I542" t="s">
        <v>3</v>
      </c>
      <c r="J542" t="s">
        <v>6</v>
      </c>
      <c r="K542" s="1">
        <v>41051</v>
      </c>
      <c r="L542" s="1">
        <v>2637</v>
      </c>
      <c r="M542" s="1">
        <v>1247</v>
      </c>
      <c r="N542" s="1">
        <v>186411500</v>
      </c>
      <c r="O542" s="1">
        <v>41051</v>
      </c>
      <c r="P542" s="1">
        <v>0</v>
      </c>
      <c r="Q542" s="1">
        <v>1</v>
      </c>
    </row>
    <row r="543">
      <c r="A543" s="1">
        <v>2021</v>
      </c>
      <c r="B543" s="1">
        <v>6</v>
      </c>
      <c r="C543" s="1">
        <v>13</v>
      </c>
      <c r="D543" t="s">
        <v>11</v>
      </c>
      <c r="E543" t="s">
        <v>57</v>
      </c>
      <c r="F543" s="1">
        <v>6013</v>
      </c>
      <c r="G543" s="1">
        <v>41</v>
      </c>
      <c r="H543" s="1">
        <v>51</v>
      </c>
      <c r="I543" t="s">
        <v>3</v>
      </c>
      <c r="J543" t="s">
        <v>6</v>
      </c>
      <c r="K543" s="1">
        <v>41051</v>
      </c>
      <c r="L543" s="1">
        <v>268</v>
      </c>
      <c r="M543" s="1">
        <v>106</v>
      </c>
      <c r="N543" s="1">
        <v>32197000</v>
      </c>
      <c r="O543" s="1">
        <v>41051</v>
      </c>
      <c r="P543" s="1">
        <v>0</v>
      </c>
      <c r="Q543" s="1">
        <v>1</v>
      </c>
    </row>
    <row r="544">
      <c r="A544" s="1">
        <v>2021</v>
      </c>
      <c r="B544" s="1">
        <v>6</v>
      </c>
      <c r="C544" s="1">
        <v>19</v>
      </c>
      <c r="D544" t="s">
        <v>11</v>
      </c>
      <c r="E544" t="s">
        <v>58</v>
      </c>
      <c r="F544" s="1">
        <v>6019</v>
      </c>
      <c r="G544" s="1">
        <v>41</v>
      </c>
      <c r="H544" s="1">
        <v>51</v>
      </c>
      <c r="I544" t="s">
        <v>3</v>
      </c>
      <c r="J544" t="s">
        <v>6</v>
      </c>
      <c r="K544" s="1">
        <v>41051</v>
      </c>
      <c r="L544" s="1">
        <v>113</v>
      </c>
      <c r="M544" s="1"/>
      <c r="N544" s="1">
        <v>7910000</v>
      </c>
      <c r="O544" s="1">
        <v>41051</v>
      </c>
      <c r="P544" s="1">
        <v>0</v>
      </c>
      <c r="Q544" s="1">
        <v>1</v>
      </c>
    </row>
    <row r="545">
      <c r="A545" s="1">
        <v>2021</v>
      </c>
      <c r="B545" s="1">
        <v>6</v>
      </c>
      <c r="C545" s="1">
        <v>23</v>
      </c>
      <c r="D545" t="s">
        <v>11</v>
      </c>
      <c r="E545" t="s">
        <v>59</v>
      </c>
      <c r="F545" s="1">
        <v>6023</v>
      </c>
      <c r="G545" s="1">
        <v>41</v>
      </c>
      <c r="H545" s="1">
        <v>51</v>
      </c>
      <c r="I545" t="s">
        <v>3</v>
      </c>
      <c r="J545" t="s">
        <v>6</v>
      </c>
      <c r="K545" s="1">
        <v>41051</v>
      </c>
      <c r="L545" s="1">
        <v>73</v>
      </c>
      <c r="M545" s="1">
        <v>74</v>
      </c>
      <c r="N545" s="1">
        <v>0</v>
      </c>
      <c r="O545" s="1">
        <v>41051</v>
      </c>
      <c r="P545" s="1">
        <v>0</v>
      </c>
      <c r="Q545" s="1">
        <v>1</v>
      </c>
    </row>
    <row r="546">
      <c r="A546" s="1">
        <v>2021</v>
      </c>
      <c r="B546" s="1">
        <v>6</v>
      </c>
      <c r="C546" s="1">
        <v>37</v>
      </c>
      <c r="D546" t="s">
        <v>11</v>
      </c>
      <c r="E546" t="s">
        <v>61</v>
      </c>
      <c r="F546" s="1">
        <v>6037</v>
      </c>
      <c r="G546" s="1">
        <v>41</v>
      </c>
      <c r="H546" s="1">
        <v>51</v>
      </c>
      <c r="I546" t="s">
        <v>3</v>
      </c>
      <c r="J546" t="s">
        <v>6</v>
      </c>
      <c r="K546" s="1">
        <v>41051</v>
      </c>
      <c r="L546" s="1">
        <v>3032</v>
      </c>
      <c r="M546" s="1">
        <v>1537</v>
      </c>
      <c r="N546" s="1">
        <v>158644300</v>
      </c>
      <c r="O546" s="1">
        <v>41051</v>
      </c>
      <c r="P546" s="1">
        <v>0</v>
      </c>
      <c r="Q546" s="1">
        <v>1</v>
      </c>
    </row>
    <row r="547">
      <c r="A547" s="1">
        <v>2021</v>
      </c>
      <c r="B547" s="1">
        <v>6</v>
      </c>
      <c r="C547" s="1">
        <v>39</v>
      </c>
      <c r="D547" t="s">
        <v>11</v>
      </c>
      <c r="E547" t="s">
        <v>385</v>
      </c>
      <c r="F547" s="1">
        <v>6039</v>
      </c>
      <c r="G547" s="1">
        <v>41</v>
      </c>
      <c r="H547" s="1">
        <v>51</v>
      </c>
      <c r="I547" t="s">
        <v>3</v>
      </c>
      <c r="J547" t="s">
        <v>6</v>
      </c>
      <c r="K547" s="1">
        <v>41051</v>
      </c>
      <c r="L547" s="1">
        <v>70</v>
      </c>
      <c r="M547" s="1">
        <v>70</v>
      </c>
      <c r="N547" s="1">
        <v>2380000</v>
      </c>
      <c r="O547" s="1">
        <v>41051</v>
      </c>
      <c r="P547" s="1">
        <v>0</v>
      </c>
      <c r="Q547" s="1">
        <v>1</v>
      </c>
    </row>
    <row r="548">
      <c r="A548" s="1">
        <v>2021</v>
      </c>
      <c r="B548" s="1">
        <v>6</v>
      </c>
      <c r="C548" s="1">
        <v>59</v>
      </c>
      <c r="D548" t="s">
        <v>11</v>
      </c>
      <c r="E548" t="s">
        <v>64</v>
      </c>
      <c r="F548" s="1">
        <v>6059</v>
      </c>
      <c r="G548" s="1">
        <v>41</v>
      </c>
      <c r="H548" s="1">
        <v>51</v>
      </c>
      <c r="I548" t="s">
        <v>3</v>
      </c>
      <c r="J548" t="s">
        <v>6</v>
      </c>
      <c r="K548" s="1">
        <v>41051</v>
      </c>
      <c r="L548" s="1">
        <v>643</v>
      </c>
      <c r="M548" s="1">
        <v>415</v>
      </c>
      <c r="N548" s="1">
        <v>25631000</v>
      </c>
      <c r="O548" s="1">
        <v>41051</v>
      </c>
      <c r="P548" s="1">
        <v>0</v>
      </c>
      <c r="Q548" s="1">
        <v>1</v>
      </c>
    </row>
    <row r="549">
      <c r="A549" s="1">
        <v>2021</v>
      </c>
      <c r="B549" s="1">
        <v>6</v>
      </c>
      <c r="C549" s="1">
        <v>67</v>
      </c>
      <c r="D549" t="s">
        <v>11</v>
      </c>
      <c r="E549" t="s">
        <v>67</v>
      </c>
      <c r="F549" s="1">
        <v>6067</v>
      </c>
      <c r="G549" s="1">
        <v>41</v>
      </c>
      <c r="H549" s="1">
        <v>51</v>
      </c>
      <c r="I549" t="s">
        <v>3</v>
      </c>
      <c r="J549" t="s">
        <v>6</v>
      </c>
      <c r="K549" s="1">
        <v>41051</v>
      </c>
      <c r="L549" s="1">
        <v>476</v>
      </c>
      <c r="M549" s="1">
        <v>475</v>
      </c>
      <c r="N549" s="1">
        <v>15659000</v>
      </c>
      <c r="O549" s="1">
        <v>41051</v>
      </c>
      <c r="P549" s="1">
        <v>0</v>
      </c>
      <c r="Q549" s="1">
        <v>1</v>
      </c>
    </row>
    <row r="550">
      <c r="A550" s="1">
        <v>2021</v>
      </c>
      <c r="B550" s="1">
        <v>6</v>
      </c>
      <c r="C550" s="1">
        <v>71</v>
      </c>
      <c r="D550" t="s">
        <v>11</v>
      </c>
      <c r="E550" t="s">
        <v>68</v>
      </c>
      <c r="F550" s="1">
        <v>6071</v>
      </c>
      <c r="G550" s="1">
        <v>41</v>
      </c>
      <c r="H550" s="1">
        <v>51</v>
      </c>
      <c r="I550" t="s">
        <v>3</v>
      </c>
      <c r="J550" t="s">
        <v>6</v>
      </c>
      <c r="K550" s="1">
        <v>41051</v>
      </c>
      <c r="L550" s="1">
        <v>62</v>
      </c>
      <c r="M550" s="1">
        <v>62</v>
      </c>
      <c r="N550" s="1">
        <v>6076000</v>
      </c>
      <c r="O550" s="1">
        <v>41051</v>
      </c>
      <c r="P550" s="1">
        <v>0</v>
      </c>
      <c r="Q550" s="1">
        <v>1</v>
      </c>
    </row>
    <row r="551">
      <c r="A551" s="1">
        <v>2021</v>
      </c>
      <c r="B551" s="1">
        <v>6</v>
      </c>
      <c r="C551" s="1">
        <v>73</v>
      </c>
      <c r="D551" t="s">
        <v>11</v>
      </c>
      <c r="E551" t="s">
        <v>69</v>
      </c>
      <c r="F551" s="1">
        <v>6073</v>
      </c>
      <c r="G551" s="1">
        <v>41</v>
      </c>
      <c r="H551" s="1">
        <v>51</v>
      </c>
      <c r="I551" t="s">
        <v>3</v>
      </c>
      <c r="J551" t="s">
        <v>6</v>
      </c>
      <c r="K551" s="1">
        <v>41051</v>
      </c>
      <c r="L551" s="1">
        <v>387</v>
      </c>
      <c r="M551" s="1">
        <v>205</v>
      </c>
      <c r="N551" s="1">
        <v>18869200</v>
      </c>
      <c r="O551" s="1">
        <v>41051</v>
      </c>
      <c r="P551" s="1">
        <v>0</v>
      </c>
      <c r="Q551" s="1">
        <v>1</v>
      </c>
    </row>
    <row r="552">
      <c r="A552" s="1">
        <v>2021</v>
      </c>
      <c r="B552" s="1">
        <v>6</v>
      </c>
      <c r="C552" s="1">
        <v>75</v>
      </c>
      <c r="D552" t="s">
        <v>11</v>
      </c>
      <c r="E552" t="s">
        <v>70</v>
      </c>
      <c r="F552" s="1">
        <v>6075</v>
      </c>
      <c r="G552" s="1">
        <v>41</v>
      </c>
      <c r="H552" s="1">
        <v>51</v>
      </c>
      <c r="I552" t="s">
        <v>3</v>
      </c>
      <c r="J552" t="s">
        <v>6</v>
      </c>
      <c r="K552" s="1">
        <v>41051</v>
      </c>
      <c r="L552" s="1">
        <v>1671</v>
      </c>
      <c r="M552" s="1">
        <v>1017</v>
      </c>
      <c r="N552" s="1">
        <v>221597000</v>
      </c>
      <c r="O552" s="1">
        <v>41051</v>
      </c>
      <c r="P552" s="1">
        <v>0</v>
      </c>
      <c r="Q552" s="1">
        <v>1</v>
      </c>
    </row>
    <row r="553">
      <c r="A553" s="1">
        <v>2021</v>
      </c>
      <c r="B553" s="1">
        <v>6</v>
      </c>
      <c r="C553" s="1">
        <v>81</v>
      </c>
      <c r="D553" t="s">
        <v>11</v>
      </c>
      <c r="E553" t="s">
        <v>72</v>
      </c>
      <c r="F553" s="1">
        <v>6081</v>
      </c>
      <c r="G553" s="1">
        <v>41</v>
      </c>
      <c r="H553" s="1">
        <v>51</v>
      </c>
      <c r="I553" t="s">
        <v>3</v>
      </c>
      <c r="J553" t="s">
        <v>6</v>
      </c>
      <c r="K553" s="1">
        <v>41051</v>
      </c>
      <c r="L553" s="1">
        <v>393</v>
      </c>
      <c r="M553" s="1">
        <v>324</v>
      </c>
      <c r="N553" s="1">
        <v>55731000</v>
      </c>
      <c r="O553" s="1">
        <v>41051</v>
      </c>
      <c r="P553" s="1">
        <v>0</v>
      </c>
      <c r="Q553" s="1">
        <v>1</v>
      </c>
    </row>
    <row r="554">
      <c r="A554" s="1">
        <v>2021</v>
      </c>
      <c r="B554" s="1">
        <v>6</v>
      </c>
      <c r="C554" s="1">
        <v>87</v>
      </c>
      <c r="D554" t="s">
        <v>11</v>
      </c>
      <c r="E554" t="s">
        <v>75</v>
      </c>
      <c r="F554" s="1">
        <v>6087</v>
      </c>
      <c r="G554" s="1">
        <v>41</v>
      </c>
      <c r="H554" s="1">
        <v>51</v>
      </c>
      <c r="I554" t="s">
        <v>3</v>
      </c>
      <c r="J554" t="s">
        <v>6</v>
      </c>
      <c r="K554" s="1">
        <v>41051</v>
      </c>
      <c r="L554" s="1">
        <v>158</v>
      </c>
      <c r="M554" s="1"/>
      <c r="N554" s="1">
        <v>2370000</v>
      </c>
      <c r="O554" s="1">
        <v>41051</v>
      </c>
      <c r="P554" s="1">
        <v>0</v>
      </c>
      <c r="Q554" s="1">
        <v>1</v>
      </c>
    </row>
    <row r="555">
      <c r="A555" s="1">
        <v>2021</v>
      </c>
      <c r="B555" s="1">
        <v>6</v>
      </c>
      <c r="C555" s="1">
        <v>97</v>
      </c>
      <c r="D555" t="s">
        <v>11</v>
      </c>
      <c r="E555" t="s">
        <v>77</v>
      </c>
      <c r="F555" s="1">
        <v>6097</v>
      </c>
      <c r="G555" s="1">
        <v>41</v>
      </c>
      <c r="H555" s="1">
        <v>51</v>
      </c>
      <c r="I555" t="s">
        <v>3</v>
      </c>
      <c r="J555" t="s">
        <v>6</v>
      </c>
      <c r="K555" s="1">
        <v>41051</v>
      </c>
      <c r="L555" s="1">
        <v>137</v>
      </c>
      <c r="M555" s="1">
        <v>78</v>
      </c>
      <c r="N555" s="1">
        <v>4090400</v>
      </c>
      <c r="O555" s="1">
        <v>41051</v>
      </c>
      <c r="P555" s="1">
        <v>0</v>
      </c>
      <c r="Q555" s="1">
        <v>1</v>
      </c>
    </row>
    <row r="556">
      <c r="A556" s="1">
        <v>2021</v>
      </c>
      <c r="B556" s="1">
        <v>6</v>
      </c>
      <c r="C556" s="1">
        <v>111</v>
      </c>
      <c r="D556" t="s">
        <v>11</v>
      </c>
      <c r="E556" t="s">
        <v>78</v>
      </c>
      <c r="F556" s="1">
        <v>6111</v>
      </c>
      <c r="G556" s="1">
        <v>41</v>
      </c>
      <c r="H556" s="1">
        <v>51</v>
      </c>
      <c r="I556" t="s">
        <v>3</v>
      </c>
      <c r="J556" t="s">
        <v>6</v>
      </c>
      <c r="K556" s="1">
        <v>41051</v>
      </c>
      <c r="L556" s="1">
        <v>117</v>
      </c>
      <c r="M556" s="1"/>
      <c r="N556" s="1">
        <v>2340000</v>
      </c>
      <c r="O556" s="1">
        <v>41051</v>
      </c>
      <c r="P556" s="1">
        <v>0</v>
      </c>
      <c r="Q556" s="1">
        <v>1</v>
      </c>
    </row>
    <row r="557">
      <c r="A557" s="1">
        <v>2021</v>
      </c>
      <c r="B557" s="1">
        <v>8</v>
      </c>
      <c r="C557" s="1">
        <v>0</v>
      </c>
      <c r="D557" t="s">
        <v>411</v>
      </c>
      <c r="E557" t="s">
        <v>276</v>
      </c>
      <c r="F557" s="1">
        <v>8000</v>
      </c>
      <c r="G557" s="1">
        <v>41</v>
      </c>
      <c r="H557" s="1">
        <v>51</v>
      </c>
      <c r="I557" t="s">
        <v>3</v>
      </c>
      <c r="J557" t="s">
        <v>6</v>
      </c>
      <c r="K557" s="1">
        <v>41051</v>
      </c>
      <c r="L557" s="1">
        <v>741</v>
      </c>
      <c r="M557" s="1">
        <v>497</v>
      </c>
      <c r="N557" s="1">
        <v>37180800</v>
      </c>
      <c r="O557" s="1">
        <v>41051</v>
      </c>
      <c r="P557" s="1">
        <v>0</v>
      </c>
      <c r="Q557" s="1">
        <v>1</v>
      </c>
    </row>
    <row r="558">
      <c r="A558" s="1">
        <v>2021</v>
      </c>
      <c r="B558" s="1">
        <v>8</v>
      </c>
      <c r="C558" s="1">
        <v>69</v>
      </c>
      <c r="D558" t="s">
        <v>12</v>
      </c>
      <c r="E558" t="s">
        <v>84</v>
      </c>
      <c r="F558" s="1">
        <v>8069</v>
      </c>
      <c r="G558" s="1">
        <v>41</v>
      </c>
      <c r="H558" s="1">
        <v>51</v>
      </c>
      <c r="I558" t="s">
        <v>3</v>
      </c>
      <c r="J558" t="s">
        <v>6</v>
      </c>
      <c r="K558" s="1">
        <v>41051</v>
      </c>
      <c r="L558" s="1">
        <v>67</v>
      </c>
      <c r="M558" s="1"/>
      <c r="N558" s="1">
        <v>1206000</v>
      </c>
      <c r="O558" s="1">
        <v>41051</v>
      </c>
      <c r="P558" s="1">
        <v>0</v>
      </c>
      <c r="Q558" s="1">
        <v>1</v>
      </c>
    </row>
    <row r="559">
      <c r="A559" s="1">
        <v>2021</v>
      </c>
      <c r="B559" s="1">
        <v>9</v>
      </c>
      <c r="C559" s="1">
        <v>11</v>
      </c>
      <c r="D559" t="s">
        <v>13</v>
      </c>
      <c r="E559" t="s">
        <v>381</v>
      </c>
      <c r="F559" s="1">
        <v>9011</v>
      </c>
      <c r="G559" s="1">
        <v>41</v>
      </c>
      <c r="H559" s="1">
        <v>51</v>
      </c>
      <c r="I559" t="s">
        <v>3</v>
      </c>
      <c r="J559" t="s">
        <v>6</v>
      </c>
      <c r="K559" s="1">
        <v>41051</v>
      </c>
      <c r="L559" s="1">
        <v>83</v>
      </c>
      <c r="M559" s="1"/>
      <c r="N559" s="1">
        <v>1593600</v>
      </c>
      <c r="O559" s="1">
        <v>41051</v>
      </c>
      <c r="P559" s="1">
        <v>0</v>
      </c>
      <c r="Q559" s="1">
        <v>1</v>
      </c>
    </row>
    <row r="560">
      <c r="A560" s="1">
        <v>2021</v>
      </c>
      <c r="B560" s="1">
        <v>10</v>
      </c>
      <c r="C560" s="1">
        <v>3</v>
      </c>
      <c r="D560" t="s">
        <v>343</v>
      </c>
      <c r="E560" t="s">
        <v>349</v>
      </c>
      <c r="F560" s="1">
        <v>10003</v>
      </c>
      <c r="G560" s="1">
        <v>41</v>
      </c>
      <c r="H560" s="1">
        <v>51</v>
      </c>
      <c r="I560" t="s">
        <v>3</v>
      </c>
      <c r="J560" t="s">
        <v>6</v>
      </c>
      <c r="K560" s="1">
        <v>41051</v>
      </c>
      <c r="L560" s="1">
        <v>113</v>
      </c>
      <c r="M560" s="1">
        <v>57</v>
      </c>
      <c r="N560" s="1">
        <v>9440500</v>
      </c>
      <c r="O560" s="1">
        <v>41051</v>
      </c>
      <c r="P560" s="1">
        <v>0</v>
      </c>
      <c r="Q560" s="1">
        <v>1</v>
      </c>
    </row>
    <row r="561">
      <c r="A561" s="1">
        <v>2021</v>
      </c>
      <c r="B561" s="1">
        <v>12</v>
      </c>
      <c r="C561" s="1">
        <v>11</v>
      </c>
      <c r="D561" t="s">
        <v>15</v>
      </c>
      <c r="E561" t="s">
        <v>183</v>
      </c>
      <c r="F561" s="1">
        <v>12011</v>
      </c>
      <c r="G561" s="1">
        <v>41</v>
      </c>
      <c r="H561" s="1">
        <v>51</v>
      </c>
      <c r="I561" t="s">
        <v>3</v>
      </c>
      <c r="J561" t="s">
        <v>6</v>
      </c>
      <c r="K561" s="1">
        <v>41051</v>
      </c>
      <c r="L561" s="1">
        <v>312</v>
      </c>
      <c r="M561" s="1">
        <v>312</v>
      </c>
      <c r="N561" s="1">
        <v>3744000</v>
      </c>
      <c r="O561" s="1">
        <v>41051</v>
      </c>
      <c r="P561" s="1">
        <v>0</v>
      </c>
      <c r="Q561" s="1">
        <v>1</v>
      </c>
    </row>
    <row r="562">
      <c r="A562" s="1">
        <v>2021</v>
      </c>
      <c r="B562" s="1">
        <v>12</v>
      </c>
      <c r="C562" s="1">
        <v>99</v>
      </c>
      <c r="D562" t="s">
        <v>15</v>
      </c>
      <c r="E562" t="s">
        <v>88</v>
      </c>
      <c r="F562" s="1">
        <v>12099</v>
      </c>
      <c r="G562" s="1">
        <v>41</v>
      </c>
      <c r="H562" s="1">
        <v>51</v>
      </c>
      <c r="I562" t="s">
        <v>3</v>
      </c>
      <c r="J562" t="s">
        <v>6</v>
      </c>
      <c r="K562" s="1">
        <v>41051</v>
      </c>
      <c r="L562" s="1">
        <v>147</v>
      </c>
      <c r="M562" s="1">
        <v>146</v>
      </c>
      <c r="N562" s="1">
        <v>8085000</v>
      </c>
      <c r="O562" s="1">
        <v>41051</v>
      </c>
      <c r="P562" s="1">
        <v>0</v>
      </c>
      <c r="Q562" s="1">
        <v>1</v>
      </c>
    </row>
    <row r="563">
      <c r="A563" s="1">
        <v>2021</v>
      </c>
      <c r="B563" s="1">
        <v>15</v>
      </c>
      <c r="C563" s="1">
        <v>1</v>
      </c>
      <c r="D563" t="s">
        <v>17</v>
      </c>
      <c r="E563" t="s">
        <v>92</v>
      </c>
      <c r="F563" s="1">
        <v>15001</v>
      </c>
      <c r="G563" s="1">
        <v>41</v>
      </c>
      <c r="H563" s="1">
        <v>51</v>
      </c>
      <c r="I563" t="s">
        <v>3</v>
      </c>
      <c r="J563" t="s">
        <v>6</v>
      </c>
      <c r="K563" s="1">
        <v>41051</v>
      </c>
      <c r="L563" s="1">
        <v>188</v>
      </c>
      <c r="M563" s="1">
        <v>64</v>
      </c>
      <c r="N563" s="1">
        <v>7322000</v>
      </c>
      <c r="O563" s="1">
        <v>41051</v>
      </c>
      <c r="P563" s="1">
        <v>0</v>
      </c>
      <c r="Q563" s="1">
        <v>1</v>
      </c>
    </row>
    <row r="564">
      <c r="A564" s="1">
        <v>2021</v>
      </c>
      <c r="B564" s="1">
        <v>16</v>
      </c>
      <c r="C564" s="1">
        <v>0</v>
      </c>
      <c r="D564" t="s">
        <v>411</v>
      </c>
      <c r="E564" t="s">
        <v>276</v>
      </c>
      <c r="F564" s="1">
        <v>16000</v>
      </c>
      <c r="G564" s="1">
        <v>41</v>
      </c>
      <c r="H564" s="1">
        <v>51</v>
      </c>
      <c r="I564" t="s">
        <v>3</v>
      </c>
      <c r="J564" t="s">
        <v>6</v>
      </c>
      <c r="K564" s="1">
        <v>41051</v>
      </c>
      <c r="L564" s="1">
        <v>11</v>
      </c>
      <c r="M564" s="1">
        <v>11</v>
      </c>
      <c r="N564" s="1">
        <v>825000</v>
      </c>
      <c r="O564" s="1">
        <v>41051</v>
      </c>
      <c r="P564" s="1">
        <v>0</v>
      </c>
      <c r="Q564" s="1">
        <v>1</v>
      </c>
    </row>
    <row r="565">
      <c r="A565" s="1">
        <v>2021</v>
      </c>
      <c r="B565" s="1">
        <v>17</v>
      </c>
      <c r="C565" s="1">
        <v>0</v>
      </c>
      <c r="D565" t="s">
        <v>411</v>
      </c>
      <c r="E565" t="s">
        <v>276</v>
      </c>
      <c r="F565" s="1">
        <v>17000</v>
      </c>
      <c r="G565" s="1">
        <v>41</v>
      </c>
      <c r="H565" s="1">
        <v>51</v>
      </c>
      <c r="I565" t="s">
        <v>3</v>
      </c>
      <c r="J565" t="s">
        <v>6</v>
      </c>
      <c r="K565" s="1">
        <v>41051</v>
      </c>
      <c r="L565" s="1">
        <v>187</v>
      </c>
      <c r="M565" s="1">
        <v>88</v>
      </c>
      <c r="N565" s="1">
        <v>9405000</v>
      </c>
      <c r="O565" s="1">
        <v>41051</v>
      </c>
      <c r="P565" s="1">
        <v>0</v>
      </c>
      <c r="Q565" s="1">
        <v>1</v>
      </c>
    </row>
    <row r="566">
      <c r="A566" s="1">
        <v>2021</v>
      </c>
      <c r="B566" s="1">
        <v>17</v>
      </c>
      <c r="C566" s="1">
        <v>31</v>
      </c>
      <c r="D566" t="s">
        <v>19</v>
      </c>
      <c r="E566" t="s">
        <v>98</v>
      </c>
      <c r="F566" s="1">
        <v>17031</v>
      </c>
      <c r="G566" s="1">
        <v>41</v>
      </c>
      <c r="H566" s="1">
        <v>51</v>
      </c>
      <c r="I566" t="s">
        <v>3</v>
      </c>
      <c r="J566" t="s">
        <v>6</v>
      </c>
      <c r="K566" s="1">
        <v>41051</v>
      </c>
      <c r="L566" s="1">
        <v>319</v>
      </c>
      <c r="M566" s="1">
        <v>161</v>
      </c>
      <c r="N566" s="1">
        <v>48584000</v>
      </c>
      <c r="O566" s="1">
        <v>41051</v>
      </c>
      <c r="P566" s="1">
        <v>0</v>
      </c>
      <c r="Q566" s="1">
        <v>1</v>
      </c>
    </row>
    <row r="567">
      <c r="A567" s="1">
        <v>2021</v>
      </c>
      <c r="B567" s="1">
        <v>18</v>
      </c>
      <c r="C567" s="1">
        <v>91</v>
      </c>
      <c r="D567" t="s">
        <v>20</v>
      </c>
      <c r="E567" t="s">
        <v>386</v>
      </c>
      <c r="F567" s="1">
        <v>18091</v>
      </c>
      <c r="G567" s="1">
        <v>41</v>
      </c>
      <c r="H567" s="1">
        <v>51</v>
      </c>
      <c r="I567" t="s">
        <v>3</v>
      </c>
      <c r="J567" t="s">
        <v>6</v>
      </c>
      <c r="K567" s="1">
        <v>41051</v>
      </c>
      <c r="L567" s="1">
        <v>157</v>
      </c>
      <c r="M567" s="1">
        <v>157</v>
      </c>
      <c r="N567" s="1">
        <v>1774100</v>
      </c>
      <c r="O567" s="1">
        <v>41051</v>
      </c>
      <c r="P567" s="1">
        <v>0</v>
      </c>
      <c r="Q567" s="1">
        <v>1</v>
      </c>
    </row>
    <row r="568">
      <c r="A568" s="1">
        <v>2021</v>
      </c>
      <c r="B568" s="1">
        <v>19</v>
      </c>
      <c r="C568" s="1">
        <v>0</v>
      </c>
      <c r="D568" t="s">
        <v>411</v>
      </c>
      <c r="E568" t="s">
        <v>276</v>
      </c>
      <c r="F568" s="1">
        <v>19000</v>
      </c>
      <c r="G568" s="1">
        <v>41</v>
      </c>
      <c r="H568" s="1">
        <v>51</v>
      </c>
      <c r="I568" t="s">
        <v>3</v>
      </c>
      <c r="J568" t="s">
        <v>6</v>
      </c>
      <c r="K568" s="1">
        <v>41051</v>
      </c>
      <c r="L568" s="1">
        <v>100</v>
      </c>
      <c r="M568" s="1">
        <v>100</v>
      </c>
      <c r="N568" s="1">
        <v>8400000</v>
      </c>
      <c r="O568" s="1">
        <v>41051</v>
      </c>
      <c r="P568" s="1">
        <v>0</v>
      </c>
      <c r="Q568" s="1">
        <v>1</v>
      </c>
    </row>
    <row r="569">
      <c r="A569" s="1">
        <v>2021</v>
      </c>
      <c r="B569" s="1">
        <v>22</v>
      </c>
      <c r="C569" s="1">
        <v>33</v>
      </c>
      <c r="D569" t="s">
        <v>22</v>
      </c>
      <c r="E569" t="s">
        <v>364</v>
      </c>
      <c r="F569" s="1">
        <v>22033</v>
      </c>
      <c r="G569" s="1">
        <v>41</v>
      </c>
      <c r="H569" s="1">
        <v>51</v>
      </c>
      <c r="I569" t="s">
        <v>3</v>
      </c>
      <c r="J569" t="s">
        <v>6</v>
      </c>
      <c r="K569" s="1">
        <v>41051</v>
      </c>
      <c r="L569" s="1">
        <v>215</v>
      </c>
      <c r="M569" s="1">
        <v>216</v>
      </c>
      <c r="N569" s="1">
        <v>2150000</v>
      </c>
      <c r="O569" s="1">
        <v>41051</v>
      </c>
      <c r="P569" s="1">
        <v>0</v>
      </c>
      <c r="Q569" s="1">
        <v>1</v>
      </c>
    </row>
    <row r="570">
      <c r="A570" s="1">
        <v>2021</v>
      </c>
      <c r="B570" s="1">
        <v>22</v>
      </c>
      <c r="C570" s="1">
        <v>71</v>
      </c>
      <c r="D570" t="s">
        <v>22</v>
      </c>
      <c r="E570" t="s">
        <v>101</v>
      </c>
      <c r="F570" s="1">
        <v>22071</v>
      </c>
      <c r="G570" s="1">
        <v>41</v>
      </c>
      <c r="H570" s="1">
        <v>51</v>
      </c>
      <c r="I570" t="s">
        <v>3</v>
      </c>
      <c r="J570" t="s">
        <v>6</v>
      </c>
      <c r="K570" s="1">
        <v>41051</v>
      </c>
      <c r="L570" s="1">
        <v>638</v>
      </c>
      <c r="M570" s="1"/>
      <c r="N570" s="1">
        <v>14917200</v>
      </c>
      <c r="O570" s="1">
        <v>41051</v>
      </c>
      <c r="P570" s="1">
        <v>0</v>
      </c>
      <c r="Q570" s="1">
        <v>1</v>
      </c>
    </row>
    <row r="571">
      <c r="A571" s="1">
        <v>2021</v>
      </c>
      <c r="B571" s="1">
        <v>24</v>
      </c>
      <c r="C571" s="1">
        <v>31</v>
      </c>
      <c r="D571" t="s">
        <v>24</v>
      </c>
      <c r="E571" t="s">
        <v>103</v>
      </c>
      <c r="F571" s="1">
        <v>24031</v>
      </c>
      <c r="G571" s="1">
        <v>41</v>
      </c>
      <c r="H571" s="1">
        <v>51</v>
      </c>
      <c r="I571" t="s">
        <v>3</v>
      </c>
      <c r="J571" t="s">
        <v>6</v>
      </c>
      <c r="K571" s="1">
        <v>41051</v>
      </c>
      <c r="L571" s="1">
        <v>58</v>
      </c>
      <c r="M571" s="1">
        <v>58</v>
      </c>
      <c r="N571" s="1">
        <v>29348000</v>
      </c>
      <c r="O571" s="1">
        <v>41051</v>
      </c>
      <c r="P571" s="1">
        <v>0</v>
      </c>
      <c r="Q571" s="1">
        <v>1</v>
      </c>
    </row>
    <row r="572">
      <c r="A572" s="1">
        <v>2021</v>
      </c>
      <c r="B572" s="1">
        <v>25</v>
      </c>
      <c r="C572" s="1">
        <v>0</v>
      </c>
      <c r="D572" t="s">
        <v>411</v>
      </c>
      <c r="E572" t="s">
        <v>276</v>
      </c>
      <c r="F572" s="1">
        <v>25000</v>
      </c>
      <c r="G572" s="1">
        <v>41</v>
      </c>
      <c r="H572" s="1">
        <v>51</v>
      </c>
      <c r="I572" t="s">
        <v>3</v>
      </c>
      <c r="J572" t="s">
        <v>6</v>
      </c>
      <c r="K572" s="1">
        <v>41051</v>
      </c>
      <c r="L572" s="1">
        <v>406</v>
      </c>
      <c r="M572" s="1">
        <v>181</v>
      </c>
      <c r="N572" s="1">
        <v>24447400</v>
      </c>
      <c r="O572" s="1">
        <v>41051</v>
      </c>
      <c r="P572" s="1">
        <v>0</v>
      </c>
      <c r="Q572" s="1">
        <v>1</v>
      </c>
    </row>
    <row r="573">
      <c r="A573" s="1">
        <v>2021</v>
      </c>
      <c r="B573" s="1">
        <v>26</v>
      </c>
      <c r="C573" s="1">
        <v>0</v>
      </c>
      <c r="D573" t="s">
        <v>411</v>
      </c>
      <c r="E573" t="s">
        <v>276</v>
      </c>
      <c r="F573" s="1">
        <v>26000</v>
      </c>
      <c r="G573" s="1">
        <v>41</v>
      </c>
      <c r="H573" s="1">
        <v>51</v>
      </c>
      <c r="I573" t="s">
        <v>3</v>
      </c>
      <c r="J573" t="s">
        <v>6</v>
      </c>
      <c r="K573" s="1">
        <v>41051</v>
      </c>
      <c r="L573" s="1">
        <v>473</v>
      </c>
      <c r="M573" s="1">
        <v>307</v>
      </c>
      <c r="N573" s="1">
        <v>5505500</v>
      </c>
      <c r="O573" s="1">
        <v>41051</v>
      </c>
      <c r="P573" s="1">
        <v>0</v>
      </c>
      <c r="Q573" s="1">
        <v>1</v>
      </c>
    </row>
    <row r="574">
      <c r="A574" s="1">
        <v>2021</v>
      </c>
      <c r="B574" s="1">
        <v>26</v>
      </c>
      <c r="C574" s="1">
        <v>65</v>
      </c>
      <c r="D574" t="s">
        <v>26</v>
      </c>
      <c r="E574" t="s">
        <v>355</v>
      </c>
      <c r="F574" s="1">
        <v>26065</v>
      </c>
      <c r="G574" s="1">
        <v>41</v>
      </c>
      <c r="H574" s="1">
        <v>51</v>
      </c>
      <c r="I574" t="s">
        <v>3</v>
      </c>
      <c r="J574" t="s">
        <v>6</v>
      </c>
      <c r="K574" s="1">
        <v>41051</v>
      </c>
      <c r="L574" s="1">
        <v>110</v>
      </c>
      <c r="M574" s="1">
        <v>110</v>
      </c>
      <c r="N574" s="1">
        <v>5082000</v>
      </c>
      <c r="O574" s="1">
        <v>41051</v>
      </c>
      <c r="P574" s="1">
        <v>0</v>
      </c>
      <c r="Q574" s="1">
        <v>1</v>
      </c>
    </row>
    <row r="575">
      <c r="A575" s="1">
        <v>2021</v>
      </c>
      <c r="B575" s="1">
        <v>26</v>
      </c>
      <c r="C575" s="1">
        <v>161</v>
      </c>
      <c r="D575" t="s">
        <v>26</v>
      </c>
      <c r="E575" t="s">
        <v>106</v>
      </c>
      <c r="F575" s="1">
        <v>26161</v>
      </c>
      <c r="G575" s="1">
        <v>41</v>
      </c>
      <c r="H575" s="1">
        <v>51</v>
      </c>
      <c r="I575" t="s">
        <v>3</v>
      </c>
      <c r="J575" t="s">
        <v>6</v>
      </c>
      <c r="K575" s="1">
        <v>41051</v>
      </c>
      <c r="L575" s="1">
        <v>99</v>
      </c>
      <c r="M575" s="1"/>
      <c r="N575" s="1">
        <v>2534400</v>
      </c>
      <c r="O575" s="1">
        <v>41051</v>
      </c>
      <c r="P575" s="1">
        <v>0</v>
      </c>
      <c r="Q575" s="1">
        <v>1</v>
      </c>
    </row>
    <row r="576">
      <c r="A576" s="1">
        <v>2021</v>
      </c>
      <c r="B576" s="1">
        <v>27</v>
      </c>
      <c r="C576" s="1">
        <v>53</v>
      </c>
      <c r="D576" t="s">
        <v>27</v>
      </c>
      <c r="E576" t="s">
        <v>107</v>
      </c>
      <c r="F576" s="1">
        <v>27053</v>
      </c>
      <c r="G576" s="1">
        <v>41</v>
      </c>
      <c r="H576" s="1">
        <v>51</v>
      </c>
      <c r="I576" t="s">
        <v>3</v>
      </c>
      <c r="J576" t="s">
        <v>6</v>
      </c>
      <c r="K576" s="1">
        <v>41051</v>
      </c>
      <c r="L576" s="1">
        <v>341</v>
      </c>
      <c r="M576" s="1">
        <v>92</v>
      </c>
      <c r="N576" s="1">
        <v>19789000</v>
      </c>
      <c r="O576" s="1">
        <v>41051</v>
      </c>
      <c r="P576" s="1">
        <v>0</v>
      </c>
      <c r="Q576" s="1">
        <v>1</v>
      </c>
    </row>
    <row r="577">
      <c r="A577" s="1">
        <v>2021</v>
      </c>
      <c r="B577" s="1">
        <v>30</v>
      </c>
      <c r="C577" s="1">
        <v>0</v>
      </c>
      <c r="D577" t="s">
        <v>411</v>
      </c>
      <c r="E577" t="s">
        <v>276</v>
      </c>
      <c r="F577" s="1">
        <v>30000</v>
      </c>
      <c r="G577" s="1">
        <v>41</v>
      </c>
      <c r="H577" s="1">
        <v>51</v>
      </c>
      <c r="I577" t="s">
        <v>3</v>
      </c>
      <c r="J577" t="s">
        <v>6</v>
      </c>
      <c r="K577" s="1">
        <v>41051</v>
      </c>
      <c r="L577" s="1">
        <v>367</v>
      </c>
      <c r="M577" s="1">
        <v>88</v>
      </c>
      <c r="N577" s="1">
        <v>21908000</v>
      </c>
      <c r="O577" s="1">
        <v>41051</v>
      </c>
      <c r="P577" s="1">
        <v>0</v>
      </c>
      <c r="Q577" s="1">
        <v>1</v>
      </c>
    </row>
    <row r="578">
      <c r="A578" s="1">
        <v>2021</v>
      </c>
      <c r="B578" s="1">
        <v>31</v>
      </c>
      <c r="C578" s="1">
        <v>55</v>
      </c>
      <c r="D578" t="s">
        <v>45</v>
      </c>
      <c r="E578" t="s">
        <v>131</v>
      </c>
      <c r="F578" s="1">
        <v>31055</v>
      </c>
      <c r="G578" s="1">
        <v>41</v>
      </c>
      <c r="H578" s="1">
        <v>51</v>
      </c>
      <c r="I578" t="s">
        <v>3</v>
      </c>
      <c r="J578" t="s">
        <v>6</v>
      </c>
      <c r="K578" s="1">
        <v>41051</v>
      </c>
      <c r="L578" s="1">
        <v>163</v>
      </c>
      <c r="M578" s="1">
        <v>163</v>
      </c>
      <c r="N578" s="1">
        <v>0</v>
      </c>
      <c r="O578" s="1">
        <v>41051</v>
      </c>
      <c r="P578" s="1">
        <v>0</v>
      </c>
      <c r="Q578" s="1">
        <v>1</v>
      </c>
    </row>
    <row r="579">
      <c r="A579" s="1">
        <v>2021</v>
      </c>
      <c r="B579" s="1">
        <v>32</v>
      </c>
      <c r="C579" s="1">
        <v>31</v>
      </c>
      <c r="D579" t="s">
        <v>29</v>
      </c>
      <c r="E579" t="s">
        <v>113</v>
      </c>
      <c r="F579" s="1">
        <v>32031</v>
      </c>
      <c r="G579" s="1">
        <v>41</v>
      </c>
      <c r="H579" s="1">
        <v>51</v>
      </c>
      <c r="I579" t="s">
        <v>3</v>
      </c>
      <c r="J579" t="s">
        <v>6</v>
      </c>
      <c r="K579" s="1">
        <v>41051</v>
      </c>
      <c r="L579" s="1">
        <v>223</v>
      </c>
      <c r="M579" s="1">
        <v>182</v>
      </c>
      <c r="N579" s="1">
        <v>13639000</v>
      </c>
      <c r="O579" s="1">
        <v>41051</v>
      </c>
      <c r="P579" s="1">
        <v>0</v>
      </c>
      <c r="Q579" s="1">
        <v>1</v>
      </c>
    </row>
    <row r="580">
      <c r="A580" s="1">
        <v>2021</v>
      </c>
      <c r="B580" s="1">
        <v>35</v>
      </c>
      <c r="C580" s="1">
        <v>0</v>
      </c>
      <c r="D580" t="s">
        <v>411</v>
      </c>
      <c r="E580" t="s">
        <v>276</v>
      </c>
      <c r="F580" s="1">
        <v>35000</v>
      </c>
      <c r="G580" s="1">
        <v>41</v>
      </c>
      <c r="H580" s="1">
        <v>51</v>
      </c>
      <c r="I580" t="s">
        <v>3</v>
      </c>
      <c r="J580" t="s">
        <v>6</v>
      </c>
      <c r="K580" s="1">
        <v>41051</v>
      </c>
      <c r="L580" s="1">
        <v>85</v>
      </c>
      <c r="M580" s="1">
        <v>84</v>
      </c>
      <c r="N580" s="1">
        <v>3808000</v>
      </c>
      <c r="O580" s="1">
        <v>41051</v>
      </c>
      <c r="P580" s="1">
        <v>0</v>
      </c>
      <c r="Q580" s="1">
        <v>1</v>
      </c>
    </row>
    <row r="581">
      <c r="A581" s="1">
        <v>2021</v>
      </c>
      <c r="B581" s="1">
        <v>35</v>
      </c>
      <c r="C581" s="1">
        <v>49</v>
      </c>
      <c r="D581" t="s">
        <v>30</v>
      </c>
      <c r="E581" t="s">
        <v>115</v>
      </c>
      <c r="F581" s="1">
        <v>35049</v>
      </c>
      <c r="G581" s="1">
        <v>41</v>
      </c>
      <c r="H581" s="1">
        <v>51</v>
      </c>
      <c r="I581" t="s">
        <v>3</v>
      </c>
      <c r="J581" t="s">
        <v>6</v>
      </c>
      <c r="K581" s="1">
        <v>41051</v>
      </c>
      <c r="L581" s="1">
        <v>188</v>
      </c>
      <c r="M581" s="1">
        <v>93</v>
      </c>
      <c r="N581" s="1">
        <v>2541000</v>
      </c>
      <c r="O581" s="1">
        <v>41051</v>
      </c>
      <c r="P581" s="1">
        <v>0</v>
      </c>
      <c r="Q581" s="1">
        <v>1</v>
      </c>
    </row>
    <row r="582">
      <c r="A582" s="1">
        <v>2021</v>
      </c>
      <c r="B582" s="1">
        <v>36</v>
      </c>
      <c r="C582" s="1">
        <v>0</v>
      </c>
      <c r="D582" t="s">
        <v>411</v>
      </c>
      <c r="E582" t="s">
        <v>276</v>
      </c>
      <c r="F582" s="1">
        <v>36000</v>
      </c>
      <c r="G582" s="1">
        <v>41</v>
      </c>
      <c r="H582" s="1">
        <v>51</v>
      </c>
      <c r="I582" t="s">
        <v>3</v>
      </c>
      <c r="J582" t="s">
        <v>6</v>
      </c>
      <c r="K582" s="1">
        <v>41051</v>
      </c>
      <c r="L582" s="1">
        <v>310</v>
      </c>
      <c r="M582" s="1">
        <v>148</v>
      </c>
      <c r="N582" s="1">
        <v>23040000</v>
      </c>
      <c r="O582" s="1">
        <v>41051</v>
      </c>
      <c r="P582" s="1">
        <v>0</v>
      </c>
      <c r="Q582" s="1">
        <v>1</v>
      </c>
    </row>
    <row r="583">
      <c r="A583" s="1">
        <v>2021</v>
      </c>
      <c r="B583" s="1">
        <v>36</v>
      </c>
      <c r="C583" s="1">
        <v>47</v>
      </c>
      <c r="D583" t="s">
        <v>31</v>
      </c>
      <c r="E583" t="s">
        <v>116</v>
      </c>
      <c r="F583" s="1">
        <v>36047</v>
      </c>
      <c r="G583" s="1">
        <v>41</v>
      </c>
      <c r="H583" s="1">
        <v>51</v>
      </c>
      <c r="I583" t="s">
        <v>3</v>
      </c>
      <c r="J583" t="s">
        <v>6</v>
      </c>
      <c r="K583" s="1">
        <v>41051</v>
      </c>
      <c r="L583" s="1">
        <v>1416</v>
      </c>
      <c r="M583" s="1">
        <v>773</v>
      </c>
      <c r="N583" s="1">
        <v>67073600</v>
      </c>
      <c r="O583" s="1">
        <v>41051</v>
      </c>
      <c r="P583" s="1">
        <v>0</v>
      </c>
      <c r="Q583" s="1">
        <v>1</v>
      </c>
    </row>
    <row r="584">
      <c r="A584" s="1">
        <v>2021</v>
      </c>
      <c r="B584" s="1">
        <v>36</v>
      </c>
      <c r="C584" s="1">
        <v>55</v>
      </c>
      <c r="D584" t="s">
        <v>31</v>
      </c>
      <c r="E584" t="s">
        <v>203</v>
      </c>
      <c r="F584" s="1">
        <v>36055</v>
      </c>
      <c r="G584" s="1">
        <v>41</v>
      </c>
      <c r="H584" s="1">
        <v>51</v>
      </c>
      <c r="I584" t="s">
        <v>3</v>
      </c>
      <c r="J584" t="s">
        <v>6</v>
      </c>
      <c r="K584" s="1">
        <v>41051</v>
      </c>
      <c r="L584" s="1">
        <v>151</v>
      </c>
      <c r="M584" s="1">
        <v>152</v>
      </c>
      <c r="N584" s="1">
        <v>8259700</v>
      </c>
      <c r="O584" s="1">
        <v>41051</v>
      </c>
      <c r="P584" s="1">
        <v>0</v>
      </c>
      <c r="Q584" s="1">
        <v>1</v>
      </c>
    </row>
    <row r="585">
      <c r="A585" s="1">
        <v>2021</v>
      </c>
      <c r="B585" s="1">
        <v>36</v>
      </c>
      <c r="C585" s="1">
        <v>61</v>
      </c>
      <c r="D585" t="s">
        <v>31</v>
      </c>
      <c r="E585" t="s">
        <v>117</v>
      </c>
      <c r="F585" s="1">
        <v>36061</v>
      </c>
      <c r="G585" s="1">
        <v>41</v>
      </c>
      <c r="H585" s="1">
        <v>51</v>
      </c>
      <c r="I585" t="s">
        <v>3</v>
      </c>
      <c r="J585" t="s">
        <v>6</v>
      </c>
      <c r="K585" s="1">
        <v>41051</v>
      </c>
      <c r="L585" s="1">
        <v>157</v>
      </c>
      <c r="M585" s="1">
        <v>156</v>
      </c>
      <c r="N585" s="1">
        <v>7315400</v>
      </c>
      <c r="O585" s="1">
        <v>41051</v>
      </c>
      <c r="P585" s="1">
        <v>0</v>
      </c>
      <c r="Q585" s="1">
        <v>1</v>
      </c>
    </row>
    <row r="586">
      <c r="A586" s="1">
        <v>2021</v>
      </c>
      <c r="B586" s="1">
        <v>36</v>
      </c>
      <c r="C586" s="1">
        <v>81</v>
      </c>
      <c r="D586" t="s">
        <v>31</v>
      </c>
      <c r="E586" t="s">
        <v>118</v>
      </c>
      <c r="F586" s="1">
        <v>36081</v>
      </c>
      <c r="G586" s="1">
        <v>41</v>
      </c>
      <c r="H586" s="1">
        <v>51</v>
      </c>
      <c r="I586" t="s">
        <v>3</v>
      </c>
      <c r="J586" t="s">
        <v>6</v>
      </c>
      <c r="K586" s="1">
        <v>41051</v>
      </c>
      <c r="L586" s="1">
        <v>52</v>
      </c>
      <c r="M586" s="1"/>
      <c r="N586" s="1">
        <v>0</v>
      </c>
      <c r="O586" s="1">
        <v>41051</v>
      </c>
      <c r="P586" s="1">
        <v>0</v>
      </c>
      <c r="Q586" s="1">
        <v>1</v>
      </c>
    </row>
    <row r="587">
      <c r="A587" s="1">
        <v>2021</v>
      </c>
      <c r="B587" s="1">
        <v>37</v>
      </c>
      <c r="C587" s="1">
        <v>21</v>
      </c>
      <c r="D587" t="s">
        <v>32</v>
      </c>
      <c r="E587" t="s">
        <v>120</v>
      </c>
      <c r="F587" s="1">
        <v>37021</v>
      </c>
      <c r="G587" s="1">
        <v>41</v>
      </c>
      <c r="H587" s="1">
        <v>51</v>
      </c>
      <c r="I587" t="s">
        <v>3</v>
      </c>
      <c r="J587" t="s">
        <v>6</v>
      </c>
      <c r="K587" s="1">
        <v>41051</v>
      </c>
      <c r="L587" s="1">
        <v>60</v>
      </c>
      <c r="M587" s="1"/>
      <c r="N587" s="1">
        <v>210000</v>
      </c>
      <c r="O587" s="1">
        <v>41051</v>
      </c>
      <c r="P587" s="1">
        <v>0</v>
      </c>
      <c r="Q587" s="1">
        <v>1</v>
      </c>
    </row>
    <row r="588">
      <c r="A588" s="1">
        <v>2021</v>
      </c>
      <c r="B588" s="1">
        <v>37</v>
      </c>
      <c r="C588" s="1">
        <v>183</v>
      </c>
      <c r="D588" t="s">
        <v>32</v>
      </c>
      <c r="E588" t="s">
        <v>206</v>
      </c>
      <c r="F588" s="1">
        <v>37183</v>
      </c>
      <c r="G588" s="1">
        <v>41</v>
      </c>
      <c r="H588" s="1">
        <v>51</v>
      </c>
      <c r="I588" t="s">
        <v>3</v>
      </c>
      <c r="J588" t="s">
        <v>6</v>
      </c>
      <c r="K588" s="1">
        <v>41051</v>
      </c>
      <c r="L588" s="1">
        <v>120</v>
      </c>
      <c r="M588" s="1">
        <v>59</v>
      </c>
      <c r="N588" s="1">
        <v>34754000</v>
      </c>
      <c r="O588" s="1">
        <v>41051</v>
      </c>
      <c r="P588" s="1">
        <v>0</v>
      </c>
      <c r="Q588" s="1">
        <v>1</v>
      </c>
    </row>
    <row r="589">
      <c r="A589" s="1">
        <v>2021</v>
      </c>
      <c r="B589" s="1">
        <v>40</v>
      </c>
      <c r="C589" s="1">
        <v>0</v>
      </c>
      <c r="D589" t="s">
        <v>411</v>
      </c>
      <c r="E589" t="s">
        <v>276</v>
      </c>
      <c r="F589" s="1">
        <v>40000</v>
      </c>
      <c r="G589" s="1">
        <v>41</v>
      </c>
      <c r="H589" s="1">
        <v>51</v>
      </c>
      <c r="I589" t="s">
        <v>3</v>
      </c>
      <c r="J589" t="s">
        <v>6</v>
      </c>
      <c r="K589" s="1">
        <v>41051</v>
      </c>
      <c r="L589" s="1">
        <v>338</v>
      </c>
      <c r="M589" s="1">
        <v>160</v>
      </c>
      <c r="N589" s="1">
        <v>19744000</v>
      </c>
      <c r="O589" s="1">
        <v>41051</v>
      </c>
      <c r="P589" s="1">
        <v>0</v>
      </c>
      <c r="Q589" s="1">
        <v>1</v>
      </c>
    </row>
    <row r="590">
      <c r="A590" s="1">
        <v>2021</v>
      </c>
      <c r="B590" s="1">
        <v>41</v>
      </c>
      <c r="C590" s="1">
        <v>0</v>
      </c>
      <c r="D590" t="s">
        <v>411</v>
      </c>
      <c r="E590" t="s">
        <v>276</v>
      </c>
      <c r="F590" s="1">
        <v>41000</v>
      </c>
      <c r="G590" s="1">
        <v>41</v>
      </c>
      <c r="H590" s="1">
        <v>51</v>
      </c>
      <c r="I590" t="s">
        <v>3</v>
      </c>
      <c r="J590" t="s">
        <v>6</v>
      </c>
      <c r="K590" s="1">
        <v>41051</v>
      </c>
      <c r="L590" s="1">
        <v>1904</v>
      </c>
      <c r="M590" s="1">
        <v>918</v>
      </c>
      <c r="N590" s="1">
        <v>41882780</v>
      </c>
      <c r="O590" s="1">
        <v>41051</v>
      </c>
      <c r="P590" s="1">
        <v>0</v>
      </c>
      <c r="Q590" s="1">
        <v>1</v>
      </c>
    </row>
    <row r="591">
      <c r="A591" s="1">
        <v>2021</v>
      </c>
      <c r="B591" s="1">
        <v>41</v>
      </c>
      <c r="C591" s="1">
        <v>5</v>
      </c>
      <c r="D591" t="s">
        <v>3</v>
      </c>
      <c r="E591" t="s">
        <v>125</v>
      </c>
      <c r="F591" s="1">
        <v>41005</v>
      </c>
      <c r="G591" s="1">
        <v>41</v>
      </c>
      <c r="H591" s="1">
        <v>51</v>
      </c>
      <c r="I591" t="s">
        <v>3</v>
      </c>
      <c r="J591" t="s">
        <v>6</v>
      </c>
      <c r="K591" s="1">
        <v>41051</v>
      </c>
      <c r="L591" s="1">
        <v>4706</v>
      </c>
      <c r="M591" s="1">
        <v>2362</v>
      </c>
      <c r="N591" s="1">
        <v>221607540</v>
      </c>
      <c r="O591" s="1">
        <v>41051</v>
      </c>
      <c r="P591" s="1">
        <v>0</v>
      </c>
      <c r="Q591" s="1">
        <v>1</v>
      </c>
    </row>
    <row r="592">
      <c r="A592" s="1">
        <v>2021</v>
      </c>
      <c r="B592" s="1">
        <v>41</v>
      </c>
      <c r="C592" s="1">
        <v>17</v>
      </c>
      <c r="D592" t="s">
        <v>3</v>
      </c>
      <c r="E592" t="s">
        <v>130</v>
      </c>
      <c r="F592" s="1">
        <v>41017</v>
      </c>
      <c r="G592" s="1">
        <v>41</v>
      </c>
      <c r="H592" s="1">
        <v>51</v>
      </c>
      <c r="I592" t="s">
        <v>3</v>
      </c>
      <c r="J592" t="s">
        <v>6</v>
      </c>
      <c r="K592" s="1">
        <v>41051</v>
      </c>
      <c r="L592" s="1">
        <v>900</v>
      </c>
      <c r="M592" s="1">
        <v>387</v>
      </c>
      <c r="N592" s="1">
        <v>23238500</v>
      </c>
      <c r="O592" s="1">
        <v>41051</v>
      </c>
      <c r="P592" s="1">
        <v>0</v>
      </c>
      <c r="Q592" s="1">
        <v>1</v>
      </c>
    </row>
    <row r="593">
      <c r="A593" s="1">
        <v>2021</v>
      </c>
      <c r="B593" s="1">
        <v>41</v>
      </c>
      <c r="C593" s="1">
        <v>19</v>
      </c>
      <c r="D593" t="s">
        <v>3</v>
      </c>
      <c r="E593" t="s">
        <v>131</v>
      </c>
      <c r="F593" s="1">
        <v>41019</v>
      </c>
      <c r="G593" s="1">
        <v>41</v>
      </c>
      <c r="H593" s="1">
        <v>51</v>
      </c>
      <c r="I593" t="s">
        <v>3</v>
      </c>
      <c r="J593" t="s">
        <v>6</v>
      </c>
      <c r="K593" s="1">
        <v>41051</v>
      </c>
      <c r="L593" s="1">
        <v>47</v>
      </c>
      <c r="M593" s="1">
        <v>47</v>
      </c>
      <c r="N593" s="1">
        <v>836600</v>
      </c>
      <c r="O593" s="1">
        <v>41051</v>
      </c>
      <c r="P593" s="1">
        <v>0</v>
      </c>
      <c r="Q593" s="1">
        <v>1</v>
      </c>
    </row>
    <row r="594">
      <c r="A594" s="1">
        <v>2021</v>
      </c>
      <c r="B594" s="1">
        <v>41</v>
      </c>
      <c r="C594" s="1">
        <v>29</v>
      </c>
      <c r="D594" t="s">
        <v>3</v>
      </c>
      <c r="E594" t="s">
        <v>133</v>
      </c>
      <c r="F594" s="1">
        <v>41029</v>
      </c>
      <c r="G594" s="1">
        <v>41</v>
      </c>
      <c r="H594" s="1">
        <v>51</v>
      </c>
      <c r="I594" t="s">
        <v>3</v>
      </c>
      <c r="J594" t="s">
        <v>6</v>
      </c>
      <c r="K594" s="1">
        <v>41051</v>
      </c>
      <c r="L594" s="1">
        <v>182</v>
      </c>
      <c r="M594" s="1">
        <v>89</v>
      </c>
      <c r="N594" s="1">
        <v>16712000</v>
      </c>
      <c r="O594" s="1">
        <v>41051</v>
      </c>
      <c r="P594" s="1">
        <v>0</v>
      </c>
      <c r="Q594" s="1">
        <v>1</v>
      </c>
    </row>
    <row r="595">
      <c r="A595" s="1">
        <v>2021</v>
      </c>
      <c r="B595" s="1">
        <v>41</v>
      </c>
      <c r="C595" s="1">
        <v>39</v>
      </c>
      <c r="D595" t="s">
        <v>3</v>
      </c>
      <c r="E595" t="s">
        <v>136</v>
      </c>
      <c r="F595" s="1">
        <v>41039</v>
      </c>
      <c r="G595" s="1">
        <v>41</v>
      </c>
      <c r="H595" s="1">
        <v>51</v>
      </c>
      <c r="I595" t="s">
        <v>3</v>
      </c>
      <c r="J595" t="s">
        <v>6</v>
      </c>
      <c r="K595" s="1">
        <v>41051</v>
      </c>
      <c r="L595" s="1">
        <v>2060</v>
      </c>
      <c r="M595" s="1">
        <v>553</v>
      </c>
      <c r="N595" s="1">
        <v>59165200</v>
      </c>
      <c r="O595" s="1">
        <v>41051</v>
      </c>
      <c r="P595" s="1">
        <v>0</v>
      </c>
      <c r="Q595" s="1">
        <v>1</v>
      </c>
    </row>
    <row r="596">
      <c r="A596" s="1">
        <v>2021</v>
      </c>
      <c r="B596" s="1">
        <v>41</v>
      </c>
      <c r="C596" s="1">
        <v>47</v>
      </c>
      <c r="D596" t="s">
        <v>3</v>
      </c>
      <c r="E596" t="s">
        <v>99</v>
      </c>
      <c r="F596" s="1">
        <v>41047</v>
      </c>
      <c r="G596" s="1">
        <v>41</v>
      </c>
      <c r="H596" s="1">
        <v>51</v>
      </c>
      <c r="I596" t="s">
        <v>3</v>
      </c>
      <c r="J596" t="s">
        <v>6</v>
      </c>
      <c r="K596" s="1">
        <v>41051</v>
      </c>
      <c r="L596" s="1">
        <v>1376</v>
      </c>
      <c r="M596" s="1">
        <v>826</v>
      </c>
      <c r="N596" s="1">
        <v>58330000</v>
      </c>
      <c r="O596" s="1">
        <v>41051</v>
      </c>
      <c r="P596" s="1">
        <v>0</v>
      </c>
      <c r="Q596" s="1">
        <v>1</v>
      </c>
    </row>
    <row r="597">
      <c r="A597" s="1">
        <v>2021</v>
      </c>
      <c r="B597" s="1">
        <v>41</v>
      </c>
      <c r="C597" s="1">
        <v>51</v>
      </c>
      <c r="D597" t="s">
        <v>3</v>
      </c>
      <c r="E597" t="s">
        <v>6</v>
      </c>
      <c r="F597" s="1">
        <v>41051</v>
      </c>
      <c r="G597" s="1">
        <v>41</v>
      </c>
      <c r="H597" s="1">
        <v>51</v>
      </c>
      <c r="I597" t="s">
        <v>3</v>
      </c>
      <c r="J597" t="s">
        <v>6</v>
      </c>
      <c r="K597" s="1">
        <v>41051</v>
      </c>
      <c r="L597" s="1">
        <v>592986</v>
      </c>
      <c r="M597" s="1">
        <v>322040</v>
      </c>
      <c r="N597" s="1">
        <v>33479016054</v>
      </c>
      <c r="O597" s="1">
        <v>41051</v>
      </c>
      <c r="P597" s="1">
        <v>1</v>
      </c>
      <c r="Q597" s="1">
        <v>1</v>
      </c>
    </row>
    <row r="598">
      <c r="A598" s="1">
        <v>2021</v>
      </c>
      <c r="B598" s="1">
        <v>41</v>
      </c>
      <c r="C598" s="1">
        <v>67</v>
      </c>
      <c r="D598" t="s">
        <v>3</v>
      </c>
      <c r="E598" t="s">
        <v>143</v>
      </c>
      <c r="F598" s="1">
        <v>41067</v>
      </c>
      <c r="G598" s="1">
        <v>41</v>
      </c>
      <c r="H598" s="1">
        <v>51</v>
      </c>
      <c r="I598" t="s">
        <v>3</v>
      </c>
      <c r="J598" t="s">
        <v>6</v>
      </c>
      <c r="K598" s="1">
        <v>41051</v>
      </c>
      <c r="L598" s="1">
        <v>9658</v>
      </c>
      <c r="M598" s="1">
        <v>6068</v>
      </c>
      <c r="N598" s="1">
        <v>588877650</v>
      </c>
      <c r="O598" s="1">
        <v>41051</v>
      </c>
      <c r="P598" s="1">
        <v>0</v>
      </c>
      <c r="Q598" s="1">
        <v>1</v>
      </c>
    </row>
    <row r="599">
      <c r="A599" s="1">
        <v>2021</v>
      </c>
      <c r="B599" s="1">
        <v>42</v>
      </c>
      <c r="C599" s="1">
        <v>0</v>
      </c>
      <c r="D599" t="s">
        <v>411</v>
      </c>
      <c r="E599" t="s">
        <v>276</v>
      </c>
      <c r="F599" s="1">
        <v>42000</v>
      </c>
      <c r="G599" s="1">
        <v>41</v>
      </c>
      <c r="H599" s="1">
        <v>51</v>
      </c>
      <c r="I599" t="s">
        <v>3</v>
      </c>
      <c r="J599" t="s">
        <v>6</v>
      </c>
      <c r="K599" s="1">
        <v>41051</v>
      </c>
      <c r="L599" s="1">
        <v>230</v>
      </c>
      <c r="M599" s="1">
        <v>109</v>
      </c>
      <c r="N599" s="1">
        <v>12131800</v>
      </c>
      <c r="O599" s="1">
        <v>41051</v>
      </c>
      <c r="P599" s="1">
        <v>0</v>
      </c>
      <c r="Q599" s="1">
        <v>1</v>
      </c>
    </row>
    <row r="600">
      <c r="A600" s="1">
        <v>2021</v>
      </c>
      <c r="B600" s="1">
        <v>42</v>
      </c>
      <c r="C600" s="1">
        <v>11</v>
      </c>
      <c r="D600" t="s">
        <v>34</v>
      </c>
      <c r="E600" t="s">
        <v>324</v>
      </c>
      <c r="F600" s="1">
        <v>42011</v>
      </c>
      <c r="G600" s="1">
        <v>41</v>
      </c>
      <c r="H600" s="1">
        <v>51</v>
      </c>
      <c r="I600" t="s">
        <v>3</v>
      </c>
      <c r="J600" t="s">
        <v>6</v>
      </c>
      <c r="K600" s="1">
        <v>41051</v>
      </c>
      <c r="L600" s="1">
        <v>340</v>
      </c>
      <c r="M600" s="1">
        <v>51</v>
      </c>
      <c r="N600" s="1">
        <v>3189120</v>
      </c>
      <c r="O600" s="1">
        <v>41051</v>
      </c>
      <c r="P600" s="1">
        <v>0</v>
      </c>
      <c r="Q600" s="1">
        <v>1</v>
      </c>
    </row>
    <row r="601">
      <c r="A601" s="1">
        <v>2021</v>
      </c>
      <c r="B601" s="1">
        <v>42</v>
      </c>
      <c r="C601" s="1">
        <v>133</v>
      </c>
      <c r="D601" t="s">
        <v>34</v>
      </c>
      <c r="E601" t="s">
        <v>387</v>
      </c>
      <c r="F601" s="1">
        <v>42133</v>
      </c>
      <c r="G601" s="1">
        <v>41</v>
      </c>
      <c r="H601" s="1">
        <v>51</v>
      </c>
      <c r="I601" t="s">
        <v>3</v>
      </c>
      <c r="J601" t="s">
        <v>6</v>
      </c>
      <c r="K601" s="1">
        <v>41051</v>
      </c>
      <c r="L601" s="1">
        <v>233</v>
      </c>
      <c r="M601" s="1">
        <v>234</v>
      </c>
      <c r="N601" s="1">
        <v>2353300</v>
      </c>
      <c r="O601" s="1">
        <v>41051</v>
      </c>
      <c r="P601" s="1">
        <v>0</v>
      </c>
      <c r="Q601" s="1">
        <v>1</v>
      </c>
    </row>
    <row r="602">
      <c r="A602" s="1">
        <v>2021</v>
      </c>
      <c r="B602" s="1">
        <v>45</v>
      </c>
      <c r="C602" s="1">
        <v>0</v>
      </c>
      <c r="D602" t="s">
        <v>411</v>
      </c>
      <c r="E602" t="s">
        <v>276</v>
      </c>
      <c r="F602" s="1">
        <v>45000</v>
      </c>
      <c r="G602" s="1">
        <v>41</v>
      </c>
      <c r="H602" s="1">
        <v>51</v>
      </c>
      <c r="I602" t="s">
        <v>3</v>
      </c>
      <c r="J602" t="s">
        <v>6</v>
      </c>
      <c r="K602" s="1">
        <v>41051</v>
      </c>
      <c r="L602" s="1">
        <v>86</v>
      </c>
      <c r="M602" s="1"/>
      <c r="N602" s="1">
        <v>3837320</v>
      </c>
      <c r="O602" s="1">
        <v>41051</v>
      </c>
      <c r="P602" s="1">
        <v>0</v>
      </c>
      <c r="Q602" s="1">
        <v>1</v>
      </c>
    </row>
    <row r="603">
      <c r="A603" s="1">
        <v>2021</v>
      </c>
      <c r="B603" s="1">
        <v>47</v>
      </c>
      <c r="C603" s="1">
        <v>0</v>
      </c>
      <c r="D603" t="s">
        <v>411</v>
      </c>
      <c r="E603" t="s">
        <v>276</v>
      </c>
      <c r="F603" s="1">
        <v>47000</v>
      </c>
      <c r="G603" s="1">
        <v>41</v>
      </c>
      <c r="H603" s="1">
        <v>51</v>
      </c>
      <c r="I603" t="s">
        <v>3</v>
      </c>
      <c r="J603" t="s">
        <v>6</v>
      </c>
      <c r="K603" s="1">
        <v>41051</v>
      </c>
      <c r="L603" s="1">
        <v>100</v>
      </c>
      <c r="M603" s="1">
        <v>100</v>
      </c>
      <c r="N603" s="1">
        <v>5270000</v>
      </c>
      <c r="O603" s="1">
        <v>41051</v>
      </c>
      <c r="P603" s="1">
        <v>0</v>
      </c>
      <c r="Q603" s="1">
        <v>1</v>
      </c>
    </row>
    <row r="604">
      <c r="A604" s="1">
        <v>2021</v>
      </c>
      <c r="B604" s="1">
        <v>47</v>
      </c>
      <c r="C604" s="1">
        <v>37</v>
      </c>
      <c r="D604" t="s">
        <v>35</v>
      </c>
      <c r="E604" t="s">
        <v>147</v>
      </c>
      <c r="F604" s="1">
        <v>47037</v>
      </c>
      <c r="G604" s="1">
        <v>41</v>
      </c>
      <c r="H604" s="1">
        <v>51</v>
      </c>
      <c r="I604" t="s">
        <v>3</v>
      </c>
      <c r="J604" t="s">
        <v>6</v>
      </c>
      <c r="K604" s="1">
        <v>41051</v>
      </c>
      <c r="L604" s="1">
        <v>195</v>
      </c>
      <c r="M604" s="1">
        <v>115</v>
      </c>
      <c r="N604" s="1">
        <v>7350500</v>
      </c>
      <c r="O604" s="1">
        <v>41051</v>
      </c>
      <c r="P604" s="1">
        <v>0</v>
      </c>
      <c r="Q604" s="1">
        <v>1</v>
      </c>
    </row>
    <row r="605">
      <c r="A605" s="1">
        <v>2021</v>
      </c>
      <c r="B605" s="1">
        <v>48</v>
      </c>
      <c r="C605" s="1">
        <v>27</v>
      </c>
      <c r="D605" t="s">
        <v>36</v>
      </c>
      <c r="E605" t="s">
        <v>306</v>
      </c>
      <c r="F605" s="1">
        <v>48027</v>
      </c>
      <c r="G605" s="1">
        <v>41</v>
      </c>
      <c r="H605" s="1">
        <v>51</v>
      </c>
      <c r="I605" t="s">
        <v>3</v>
      </c>
      <c r="J605" t="s">
        <v>6</v>
      </c>
      <c r="K605" s="1">
        <v>41051</v>
      </c>
      <c r="L605" s="1">
        <v>138</v>
      </c>
      <c r="M605" s="1">
        <v>95</v>
      </c>
      <c r="N605" s="1">
        <v>3719500</v>
      </c>
      <c r="O605" s="1">
        <v>41051</v>
      </c>
      <c r="P605" s="1">
        <v>0</v>
      </c>
      <c r="Q605" s="1">
        <v>1</v>
      </c>
    </row>
    <row r="606">
      <c r="A606" s="1">
        <v>2021</v>
      </c>
      <c r="B606" s="1">
        <v>48</v>
      </c>
      <c r="C606" s="1">
        <v>157</v>
      </c>
      <c r="D606" t="s">
        <v>36</v>
      </c>
      <c r="E606" t="s">
        <v>253</v>
      </c>
      <c r="F606" s="1">
        <v>48157</v>
      </c>
      <c r="G606" s="1">
        <v>41</v>
      </c>
      <c r="H606" s="1">
        <v>51</v>
      </c>
      <c r="I606" t="s">
        <v>3</v>
      </c>
      <c r="J606" t="s">
        <v>6</v>
      </c>
      <c r="K606" s="1">
        <v>41051</v>
      </c>
      <c r="L606" s="1">
        <v>228</v>
      </c>
      <c r="M606" s="1">
        <v>106</v>
      </c>
      <c r="N606" s="1">
        <v>36818000</v>
      </c>
      <c r="O606" s="1">
        <v>41051</v>
      </c>
      <c r="P606" s="1">
        <v>0</v>
      </c>
      <c r="Q606" s="1">
        <v>1</v>
      </c>
    </row>
    <row r="607">
      <c r="A607" s="1">
        <v>2021</v>
      </c>
      <c r="B607" s="1">
        <v>48</v>
      </c>
      <c r="C607" s="1">
        <v>201</v>
      </c>
      <c r="D607" t="s">
        <v>36</v>
      </c>
      <c r="E607" t="s">
        <v>151</v>
      </c>
      <c r="F607" s="1">
        <v>48201</v>
      </c>
      <c r="G607" s="1">
        <v>41</v>
      </c>
      <c r="H607" s="1">
        <v>51</v>
      </c>
      <c r="I607" t="s">
        <v>3</v>
      </c>
      <c r="J607" t="s">
        <v>6</v>
      </c>
      <c r="K607" s="1">
        <v>41051</v>
      </c>
      <c r="L607" s="1">
        <v>85</v>
      </c>
      <c r="M607" s="1"/>
      <c r="N607" s="1">
        <v>595000</v>
      </c>
      <c r="O607" s="1">
        <v>41051</v>
      </c>
      <c r="P607" s="1">
        <v>0</v>
      </c>
      <c r="Q607" s="1">
        <v>1</v>
      </c>
    </row>
    <row r="608">
      <c r="A608" s="1">
        <v>2021</v>
      </c>
      <c r="B608" s="1">
        <v>48</v>
      </c>
      <c r="C608" s="1">
        <v>439</v>
      </c>
      <c r="D608" t="s">
        <v>36</v>
      </c>
      <c r="E608" t="s">
        <v>152</v>
      </c>
      <c r="F608" s="1">
        <v>48439</v>
      </c>
      <c r="G608" s="1">
        <v>41</v>
      </c>
      <c r="H608" s="1">
        <v>51</v>
      </c>
      <c r="I608" t="s">
        <v>3</v>
      </c>
      <c r="J608" t="s">
        <v>6</v>
      </c>
      <c r="K608" s="1">
        <v>41051</v>
      </c>
      <c r="L608" s="1">
        <v>430</v>
      </c>
      <c r="M608" s="1">
        <v>268</v>
      </c>
      <c r="N608" s="1">
        <v>32382500</v>
      </c>
      <c r="O608" s="1">
        <v>41051</v>
      </c>
      <c r="P608" s="1">
        <v>0</v>
      </c>
      <c r="Q608" s="1">
        <v>1</v>
      </c>
    </row>
    <row r="609">
      <c r="A609" s="1">
        <v>2021</v>
      </c>
      <c r="B609" s="1">
        <v>48</v>
      </c>
      <c r="C609" s="1">
        <v>453</v>
      </c>
      <c r="D609" t="s">
        <v>36</v>
      </c>
      <c r="E609" t="s">
        <v>153</v>
      </c>
      <c r="F609" s="1">
        <v>48453</v>
      </c>
      <c r="G609" s="1">
        <v>41</v>
      </c>
      <c r="H609" s="1">
        <v>51</v>
      </c>
      <c r="I609" t="s">
        <v>3</v>
      </c>
      <c r="J609" t="s">
        <v>6</v>
      </c>
      <c r="K609" s="1">
        <v>41051</v>
      </c>
      <c r="L609" s="1">
        <v>95</v>
      </c>
      <c r="M609" s="1"/>
      <c r="N609" s="1">
        <v>760000</v>
      </c>
      <c r="O609" s="1">
        <v>41051</v>
      </c>
      <c r="P609" s="1">
        <v>0</v>
      </c>
      <c r="Q609" s="1">
        <v>1</v>
      </c>
    </row>
    <row r="610">
      <c r="A610" s="1">
        <v>2021</v>
      </c>
      <c r="B610" s="1">
        <v>49</v>
      </c>
      <c r="C610" s="1">
        <v>35</v>
      </c>
      <c r="D610" t="s">
        <v>37</v>
      </c>
      <c r="E610" t="s">
        <v>154</v>
      </c>
      <c r="F610" s="1">
        <v>49035</v>
      </c>
      <c r="G610" s="1">
        <v>41</v>
      </c>
      <c r="H610" s="1">
        <v>51</v>
      </c>
      <c r="I610" t="s">
        <v>3</v>
      </c>
      <c r="J610" t="s">
        <v>6</v>
      </c>
      <c r="K610" s="1">
        <v>41051</v>
      </c>
      <c r="L610" s="1">
        <v>120</v>
      </c>
      <c r="M610" s="1">
        <v>61</v>
      </c>
      <c r="N610" s="1">
        <v>9240000</v>
      </c>
      <c r="O610" s="1">
        <v>41051</v>
      </c>
      <c r="P610" s="1">
        <v>0</v>
      </c>
      <c r="Q610" s="1">
        <v>1</v>
      </c>
    </row>
    <row r="611">
      <c r="A611" s="1">
        <v>2021</v>
      </c>
      <c r="B611" s="1">
        <v>49</v>
      </c>
      <c r="C611" s="1">
        <v>49</v>
      </c>
      <c r="D611" t="s">
        <v>37</v>
      </c>
      <c r="E611" t="s">
        <v>219</v>
      </c>
      <c r="F611" s="1">
        <v>49049</v>
      </c>
      <c r="G611" s="1">
        <v>41</v>
      </c>
      <c r="H611" s="1">
        <v>51</v>
      </c>
      <c r="I611" t="s">
        <v>3</v>
      </c>
      <c r="J611" t="s">
        <v>6</v>
      </c>
      <c r="K611" s="1">
        <v>41051</v>
      </c>
      <c r="L611" s="1">
        <v>43</v>
      </c>
      <c r="M611" s="1"/>
      <c r="N611" s="1">
        <v>817000</v>
      </c>
      <c r="O611" s="1">
        <v>41051</v>
      </c>
      <c r="P611" s="1">
        <v>0</v>
      </c>
      <c r="Q611" s="1">
        <v>1</v>
      </c>
    </row>
    <row r="612">
      <c r="A612" s="1">
        <v>2021</v>
      </c>
      <c r="B612" s="1">
        <v>49</v>
      </c>
      <c r="C612" s="1">
        <v>53</v>
      </c>
      <c r="D612" t="s">
        <v>37</v>
      </c>
      <c r="E612" t="s">
        <v>143</v>
      </c>
      <c r="F612" s="1">
        <v>49053</v>
      </c>
      <c r="G612" s="1">
        <v>41</v>
      </c>
      <c r="H612" s="1">
        <v>51</v>
      </c>
      <c r="I612" t="s">
        <v>3</v>
      </c>
      <c r="J612" t="s">
        <v>6</v>
      </c>
      <c r="K612" s="1">
        <v>41051</v>
      </c>
      <c r="L612" s="1">
        <v>167</v>
      </c>
      <c r="M612" s="1"/>
      <c r="N612" s="1">
        <v>4664500</v>
      </c>
      <c r="O612" s="1">
        <v>41051</v>
      </c>
      <c r="P612" s="1">
        <v>0</v>
      </c>
      <c r="Q612" s="1">
        <v>1</v>
      </c>
    </row>
    <row r="613">
      <c r="A613" s="1">
        <v>2021</v>
      </c>
      <c r="B613" s="1">
        <v>51</v>
      </c>
      <c r="C613" s="1">
        <v>0</v>
      </c>
      <c r="D613" t="s">
        <v>411</v>
      </c>
      <c r="E613" t="s">
        <v>276</v>
      </c>
      <c r="F613" s="1">
        <v>51000</v>
      </c>
      <c r="G613" s="1">
        <v>41</v>
      </c>
      <c r="H613" s="1">
        <v>51</v>
      </c>
      <c r="I613" t="s">
        <v>3</v>
      </c>
      <c r="J613" t="s">
        <v>6</v>
      </c>
      <c r="K613" s="1">
        <v>41051</v>
      </c>
      <c r="L613" s="1">
        <v>83</v>
      </c>
      <c r="M613" s="1">
        <v>83</v>
      </c>
      <c r="N613" s="1">
        <v>8403750</v>
      </c>
      <c r="O613" s="1">
        <v>41051</v>
      </c>
      <c r="P613" s="1">
        <v>0</v>
      </c>
      <c r="Q613" s="1">
        <v>1</v>
      </c>
    </row>
    <row r="614">
      <c r="A614" s="1">
        <v>2021</v>
      </c>
      <c r="B614" s="1">
        <v>53</v>
      </c>
      <c r="C614" s="1">
        <v>0</v>
      </c>
      <c r="D614" t="s">
        <v>411</v>
      </c>
      <c r="E614" t="s">
        <v>276</v>
      </c>
      <c r="F614" s="1">
        <v>53000</v>
      </c>
      <c r="G614" s="1">
        <v>41</v>
      </c>
      <c r="H614" s="1">
        <v>51</v>
      </c>
      <c r="I614" t="s">
        <v>3</v>
      </c>
      <c r="J614" t="s">
        <v>6</v>
      </c>
      <c r="K614" s="1">
        <v>41051</v>
      </c>
      <c r="L614" s="1">
        <v>470</v>
      </c>
      <c r="M614" s="1">
        <v>185</v>
      </c>
      <c r="N614" s="1">
        <v>7882550</v>
      </c>
      <c r="O614" s="1">
        <v>41051</v>
      </c>
      <c r="P614" s="1">
        <v>0</v>
      </c>
      <c r="Q614" s="1">
        <v>1</v>
      </c>
    </row>
    <row r="615">
      <c r="A615" s="1">
        <v>2021</v>
      </c>
      <c r="B615" s="1">
        <v>53</v>
      </c>
      <c r="C615" s="1">
        <v>11</v>
      </c>
      <c r="D615" t="s">
        <v>40</v>
      </c>
      <c r="E615" t="s">
        <v>112</v>
      </c>
      <c r="F615" s="1">
        <v>53011</v>
      </c>
      <c r="G615" s="1">
        <v>41</v>
      </c>
      <c r="H615" s="1">
        <v>51</v>
      </c>
      <c r="I615" t="s">
        <v>3</v>
      </c>
      <c r="J615" t="s">
        <v>6</v>
      </c>
      <c r="K615" s="1">
        <v>41051</v>
      </c>
      <c r="L615" s="1">
        <v>1557</v>
      </c>
      <c r="M615" s="1">
        <v>1161</v>
      </c>
      <c r="N615" s="1">
        <v>102499400</v>
      </c>
      <c r="O615" s="1">
        <v>41051</v>
      </c>
      <c r="P615" s="1">
        <v>0</v>
      </c>
      <c r="Q615" s="1">
        <v>1</v>
      </c>
    </row>
    <row r="616">
      <c r="A616" s="1">
        <v>2021</v>
      </c>
      <c r="B616" s="1">
        <v>53</v>
      </c>
      <c r="C616" s="1">
        <v>33</v>
      </c>
      <c r="D616" t="s">
        <v>40</v>
      </c>
      <c r="E616" t="s">
        <v>160</v>
      </c>
      <c r="F616" s="1">
        <v>53033</v>
      </c>
      <c r="G616" s="1">
        <v>41</v>
      </c>
      <c r="H616" s="1">
        <v>51</v>
      </c>
      <c r="I616" t="s">
        <v>3</v>
      </c>
      <c r="J616" t="s">
        <v>6</v>
      </c>
      <c r="K616" s="1">
        <v>41051</v>
      </c>
      <c r="L616" s="1">
        <v>719</v>
      </c>
      <c r="M616" s="1">
        <v>542</v>
      </c>
      <c r="N616" s="1">
        <v>35118600</v>
      </c>
      <c r="O616" s="1">
        <v>41051</v>
      </c>
      <c r="P616" s="1">
        <v>0</v>
      </c>
      <c r="Q616" s="1">
        <v>1</v>
      </c>
    </row>
    <row r="617">
      <c r="A617" s="1">
        <v>2021</v>
      </c>
      <c r="B617" s="1">
        <v>53</v>
      </c>
      <c r="C617" s="1">
        <v>61</v>
      </c>
      <c r="D617" t="s">
        <v>40</v>
      </c>
      <c r="E617" t="s">
        <v>167</v>
      </c>
      <c r="F617" s="1">
        <v>53061</v>
      </c>
      <c r="G617" s="1">
        <v>41</v>
      </c>
      <c r="H617" s="1">
        <v>51</v>
      </c>
      <c r="I617" t="s">
        <v>3</v>
      </c>
      <c r="J617" t="s">
        <v>6</v>
      </c>
      <c r="K617" s="1">
        <v>41051</v>
      </c>
      <c r="L617" s="1">
        <v>125</v>
      </c>
      <c r="M617" s="1">
        <v>124</v>
      </c>
      <c r="N617" s="1">
        <v>13465000</v>
      </c>
      <c r="O617" s="1">
        <v>41051</v>
      </c>
      <c r="P617" s="1">
        <v>0</v>
      </c>
      <c r="Q617" s="1">
        <v>1</v>
      </c>
    </row>
    <row r="618">
      <c r="A618" s="1">
        <v>2021</v>
      </c>
      <c r="B618" s="1">
        <v>53</v>
      </c>
      <c r="C618" s="1">
        <v>63</v>
      </c>
      <c r="D618" t="s">
        <v>40</v>
      </c>
      <c r="E618" t="s">
        <v>168</v>
      </c>
      <c r="F618" s="1">
        <v>53063</v>
      </c>
      <c r="G618" s="1">
        <v>41</v>
      </c>
      <c r="H618" s="1">
        <v>51</v>
      </c>
      <c r="I618" t="s">
        <v>3</v>
      </c>
      <c r="J618" t="s">
        <v>6</v>
      </c>
      <c r="K618" s="1">
        <v>41051</v>
      </c>
      <c r="L618" s="1">
        <v>123</v>
      </c>
      <c r="M618" s="1"/>
      <c r="N618" s="1">
        <v>3031710</v>
      </c>
      <c r="O618" s="1">
        <v>41051</v>
      </c>
      <c r="P618" s="1">
        <v>0</v>
      </c>
      <c r="Q618" s="1">
        <v>1</v>
      </c>
    </row>
    <row r="619">
      <c r="A619" s="1">
        <v>2021</v>
      </c>
      <c r="B619" s="1">
        <v>53</v>
      </c>
      <c r="C619" s="1">
        <v>67</v>
      </c>
      <c r="D619" t="s">
        <v>40</v>
      </c>
      <c r="E619" t="s">
        <v>169</v>
      </c>
      <c r="F619" s="1">
        <v>53067</v>
      </c>
      <c r="G619" s="1">
        <v>41</v>
      </c>
      <c r="H619" s="1">
        <v>51</v>
      </c>
      <c r="I619" t="s">
        <v>3</v>
      </c>
      <c r="J619" t="s">
        <v>6</v>
      </c>
      <c r="K619" s="1">
        <v>41051</v>
      </c>
      <c r="L619" s="1">
        <v>221</v>
      </c>
      <c r="M619" s="1">
        <v>153</v>
      </c>
      <c r="N619" s="1">
        <v>9787600</v>
      </c>
      <c r="O619" s="1">
        <v>41051</v>
      </c>
      <c r="P619" s="1">
        <v>0</v>
      </c>
      <c r="Q619" s="1">
        <v>1</v>
      </c>
    </row>
    <row r="620">
      <c r="A620" s="1">
        <v>2021</v>
      </c>
      <c r="B620" s="1">
        <v>53</v>
      </c>
      <c r="C620" s="1">
        <v>77</v>
      </c>
      <c r="D620" t="s">
        <v>40</v>
      </c>
      <c r="E620" t="s">
        <v>172</v>
      </c>
      <c r="F620" s="1">
        <v>53077</v>
      </c>
      <c r="G620" s="1">
        <v>41</v>
      </c>
      <c r="H620" s="1">
        <v>51</v>
      </c>
      <c r="I620" t="s">
        <v>3</v>
      </c>
      <c r="J620" t="s">
        <v>6</v>
      </c>
      <c r="K620" s="1">
        <v>41051</v>
      </c>
      <c r="L620" s="1">
        <v>61</v>
      </c>
      <c r="M620" s="1">
        <v>60</v>
      </c>
      <c r="N620" s="1">
        <v>0</v>
      </c>
      <c r="O620" s="1">
        <v>41051</v>
      </c>
      <c r="P620" s="1">
        <v>0</v>
      </c>
      <c r="Q620" s="1">
        <v>1</v>
      </c>
    </row>
    <row r="621">
      <c r="A621" s="1">
        <v>2022</v>
      </c>
      <c r="B621" s="1">
        <v>4</v>
      </c>
      <c r="C621" s="1">
        <v>0</v>
      </c>
      <c r="D621" t="s">
        <v>411</v>
      </c>
      <c r="E621" t="s">
        <v>276</v>
      </c>
      <c r="F621" s="1">
        <v>4000</v>
      </c>
      <c r="G621" s="1">
        <v>41</v>
      </c>
      <c r="H621" s="1">
        <v>51</v>
      </c>
      <c r="I621" t="s">
        <v>3</v>
      </c>
      <c r="J621" t="s">
        <v>6</v>
      </c>
      <c r="K621" s="1">
        <v>41051</v>
      </c>
      <c r="L621" s="1">
        <v>40</v>
      </c>
      <c r="M621" s="1">
        <v>41</v>
      </c>
      <c r="N621" s="1">
        <v>3720000</v>
      </c>
      <c r="O621" s="1">
        <v>41051</v>
      </c>
      <c r="P621" s="1">
        <v>0</v>
      </c>
      <c r="Q621" s="1">
        <v>1</v>
      </c>
    </row>
    <row r="622">
      <c r="A622" s="1">
        <v>2022</v>
      </c>
      <c r="B622" s="1">
        <v>4</v>
      </c>
      <c r="C622" s="1">
        <v>13</v>
      </c>
      <c r="D622" t="s">
        <v>10</v>
      </c>
      <c r="E622" t="s">
        <v>53</v>
      </c>
      <c r="F622" s="1">
        <v>4013</v>
      </c>
      <c r="G622" s="1">
        <v>41</v>
      </c>
      <c r="H622" s="1">
        <v>51</v>
      </c>
      <c r="I622" t="s">
        <v>3</v>
      </c>
      <c r="J622" t="s">
        <v>6</v>
      </c>
      <c r="K622" s="1">
        <v>41051</v>
      </c>
      <c r="L622" s="1">
        <v>804</v>
      </c>
      <c r="M622" s="1">
        <v>417</v>
      </c>
      <c r="N622" s="1">
        <v>32099300</v>
      </c>
      <c r="O622" s="1">
        <v>41051</v>
      </c>
      <c r="P622" s="1">
        <v>0</v>
      </c>
      <c r="Q622" s="1">
        <v>1</v>
      </c>
    </row>
    <row r="623">
      <c r="A623" s="1">
        <v>2022</v>
      </c>
      <c r="B623" s="1">
        <v>5</v>
      </c>
      <c r="C623" s="1">
        <v>143</v>
      </c>
      <c r="D623" t="s">
        <v>272</v>
      </c>
      <c r="E623" t="s">
        <v>143</v>
      </c>
      <c r="F623" s="1">
        <v>5143</v>
      </c>
      <c r="G623" s="1">
        <v>41</v>
      </c>
      <c r="H623" s="1">
        <v>51</v>
      </c>
      <c r="I623" t="s">
        <v>3</v>
      </c>
      <c r="J623" t="s">
        <v>6</v>
      </c>
      <c r="K623" s="1">
        <v>41051</v>
      </c>
      <c r="L623" s="1">
        <v>128</v>
      </c>
      <c r="M623" s="1">
        <v>128</v>
      </c>
      <c r="N623" s="1">
        <v>1920000</v>
      </c>
      <c r="O623" s="1">
        <v>41051</v>
      </c>
      <c r="P623" s="1">
        <v>0</v>
      </c>
      <c r="Q623" s="1">
        <v>1</v>
      </c>
    </row>
    <row r="624">
      <c r="A624" s="1">
        <v>2022</v>
      </c>
      <c r="B624" s="1">
        <v>6</v>
      </c>
      <c r="C624" s="1">
        <v>0</v>
      </c>
      <c r="D624" t="s">
        <v>411</v>
      </c>
      <c r="E624" t="s">
        <v>276</v>
      </c>
      <c r="F624" s="1">
        <v>6000</v>
      </c>
      <c r="G624" s="1">
        <v>41</v>
      </c>
      <c r="H624" s="1">
        <v>51</v>
      </c>
      <c r="I624" t="s">
        <v>3</v>
      </c>
      <c r="J624" t="s">
        <v>6</v>
      </c>
      <c r="K624" s="1">
        <v>41051</v>
      </c>
      <c r="L624" s="1">
        <v>281</v>
      </c>
      <c r="M624" s="1">
        <v>192</v>
      </c>
      <c r="N624" s="1">
        <v>9201500</v>
      </c>
      <c r="O624" s="1">
        <v>41051</v>
      </c>
      <c r="P624" s="1">
        <v>0</v>
      </c>
      <c r="Q624" s="1">
        <v>1</v>
      </c>
    </row>
    <row r="625">
      <c r="A625" s="1">
        <v>2022</v>
      </c>
      <c r="B625" s="1">
        <v>6</v>
      </c>
      <c r="C625" s="1">
        <v>1</v>
      </c>
      <c r="D625" t="s">
        <v>11</v>
      </c>
      <c r="E625" t="s">
        <v>56</v>
      </c>
      <c r="F625" s="1">
        <v>6001</v>
      </c>
      <c r="G625" s="1">
        <v>41</v>
      </c>
      <c r="H625" s="1">
        <v>51</v>
      </c>
      <c r="I625" t="s">
        <v>3</v>
      </c>
      <c r="J625" t="s">
        <v>6</v>
      </c>
      <c r="K625" s="1">
        <v>41051</v>
      </c>
      <c r="L625" s="1">
        <v>926</v>
      </c>
      <c r="M625" s="1">
        <v>835</v>
      </c>
      <c r="N625" s="1">
        <v>27846800</v>
      </c>
      <c r="O625" s="1">
        <v>41051</v>
      </c>
      <c r="P625" s="1">
        <v>0</v>
      </c>
      <c r="Q625" s="1">
        <v>1</v>
      </c>
    </row>
    <row r="626">
      <c r="A626" s="1">
        <v>2022</v>
      </c>
      <c r="B626" s="1">
        <v>6</v>
      </c>
      <c r="C626" s="1">
        <v>23</v>
      </c>
      <c r="D626" t="s">
        <v>11</v>
      </c>
      <c r="E626" t="s">
        <v>59</v>
      </c>
      <c r="F626" s="1">
        <v>6023</v>
      </c>
      <c r="G626" s="1">
        <v>41</v>
      </c>
      <c r="H626" s="1">
        <v>51</v>
      </c>
      <c r="I626" t="s">
        <v>3</v>
      </c>
      <c r="J626" t="s">
        <v>6</v>
      </c>
      <c r="K626" s="1">
        <v>41051</v>
      </c>
      <c r="L626" s="1">
        <v>155</v>
      </c>
      <c r="M626" s="1">
        <v>155</v>
      </c>
      <c r="N626" s="1">
        <v>13640000</v>
      </c>
      <c r="O626" s="1">
        <v>41051</v>
      </c>
      <c r="P626" s="1">
        <v>0</v>
      </c>
      <c r="Q626" s="1">
        <v>1</v>
      </c>
    </row>
    <row r="627">
      <c r="A627" s="1">
        <v>2022</v>
      </c>
      <c r="B627" s="1">
        <v>6</v>
      </c>
      <c r="C627" s="1">
        <v>37</v>
      </c>
      <c r="D627" t="s">
        <v>11</v>
      </c>
      <c r="E627" t="s">
        <v>61</v>
      </c>
      <c r="F627" s="1">
        <v>6037</v>
      </c>
      <c r="G627" s="1">
        <v>41</v>
      </c>
      <c r="H627" s="1">
        <v>51</v>
      </c>
      <c r="I627" t="s">
        <v>3</v>
      </c>
      <c r="J627" t="s">
        <v>6</v>
      </c>
      <c r="K627" s="1">
        <v>41051</v>
      </c>
      <c r="L627" s="1">
        <v>1028</v>
      </c>
      <c r="M627" s="1">
        <v>698</v>
      </c>
      <c r="N627" s="1">
        <v>29699400</v>
      </c>
      <c r="O627" s="1">
        <v>41051</v>
      </c>
      <c r="P627" s="1">
        <v>0</v>
      </c>
      <c r="Q627" s="1">
        <v>1</v>
      </c>
    </row>
    <row r="628">
      <c r="A628" s="1">
        <v>2022</v>
      </c>
      <c r="B628" s="1">
        <v>6</v>
      </c>
      <c r="C628" s="1">
        <v>41</v>
      </c>
      <c r="D628" t="s">
        <v>11</v>
      </c>
      <c r="E628" t="s">
        <v>62</v>
      </c>
      <c r="F628" s="1">
        <v>6041</v>
      </c>
      <c r="G628" s="1">
        <v>41</v>
      </c>
      <c r="H628" s="1">
        <v>51</v>
      </c>
      <c r="I628" t="s">
        <v>3</v>
      </c>
      <c r="J628" t="s">
        <v>6</v>
      </c>
      <c r="K628" s="1">
        <v>41051</v>
      </c>
      <c r="L628" s="1">
        <v>120</v>
      </c>
      <c r="M628" s="1"/>
      <c r="N628" s="1">
        <v>3288000</v>
      </c>
      <c r="O628" s="1">
        <v>41051</v>
      </c>
      <c r="P628" s="1">
        <v>0</v>
      </c>
      <c r="Q628" s="1">
        <v>1</v>
      </c>
    </row>
    <row r="629">
      <c r="A629" s="1">
        <v>2022</v>
      </c>
      <c r="B629" s="1">
        <v>6</v>
      </c>
      <c r="C629" s="1">
        <v>59</v>
      </c>
      <c r="D629" t="s">
        <v>11</v>
      </c>
      <c r="E629" t="s">
        <v>64</v>
      </c>
      <c r="F629" s="1">
        <v>6059</v>
      </c>
      <c r="G629" s="1">
        <v>41</v>
      </c>
      <c r="H629" s="1">
        <v>51</v>
      </c>
      <c r="I629" t="s">
        <v>3</v>
      </c>
      <c r="J629" t="s">
        <v>6</v>
      </c>
      <c r="K629" s="1">
        <v>41051</v>
      </c>
      <c r="L629" s="1">
        <v>288</v>
      </c>
      <c r="M629" s="1">
        <v>287</v>
      </c>
      <c r="N629" s="1">
        <v>8810000</v>
      </c>
      <c r="O629" s="1">
        <v>41051</v>
      </c>
      <c r="P629" s="1">
        <v>0</v>
      </c>
      <c r="Q629" s="1">
        <v>1</v>
      </c>
    </row>
    <row r="630">
      <c r="A630" s="1">
        <v>2022</v>
      </c>
      <c r="B630" s="1">
        <v>6</v>
      </c>
      <c r="C630" s="1">
        <v>61</v>
      </c>
      <c r="D630" t="s">
        <v>11</v>
      </c>
      <c r="E630" t="s">
        <v>65</v>
      </c>
      <c r="F630" s="1">
        <v>6061</v>
      </c>
      <c r="G630" s="1">
        <v>41</v>
      </c>
      <c r="H630" s="1">
        <v>51</v>
      </c>
      <c r="I630" t="s">
        <v>3</v>
      </c>
      <c r="J630" t="s">
        <v>6</v>
      </c>
      <c r="K630" s="1">
        <v>41051</v>
      </c>
      <c r="L630" s="1">
        <v>101</v>
      </c>
      <c r="M630" s="1">
        <v>101</v>
      </c>
      <c r="N630" s="1">
        <v>4423800</v>
      </c>
      <c r="O630" s="1">
        <v>41051</v>
      </c>
      <c r="P630" s="1">
        <v>0</v>
      </c>
      <c r="Q630" s="1">
        <v>1</v>
      </c>
    </row>
    <row r="631">
      <c r="A631" s="1">
        <v>2022</v>
      </c>
      <c r="B631" s="1">
        <v>6</v>
      </c>
      <c r="C631" s="1">
        <v>73</v>
      </c>
      <c r="D631" t="s">
        <v>11</v>
      </c>
      <c r="E631" t="s">
        <v>69</v>
      </c>
      <c r="F631" s="1">
        <v>6073</v>
      </c>
      <c r="G631" s="1">
        <v>41</v>
      </c>
      <c r="H631" s="1">
        <v>51</v>
      </c>
      <c r="I631" t="s">
        <v>3</v>
      </c>
      <c r="J631" t="s">
        <v>6</v>
      </c>
      <c r="K631" s="1">
        <v>41051</v>
      </c>
      <c r="L631" s="1">
        <v>268</v>
      </c>
      <c r="M631" s="1">
        <v>269</v>
      </c>
      <c r="N631" s="1">
        <v>48899500</v>
      </c>
      <c r="O631" s="1">
        <v>41051</v>
      </c>
      <c r="P631" s="1">
        <v>0</v>
      </c>
      <c r="Q631" s="1">
        <v>1</v>
      </c>
    </row>
    <row r="632">
      <c r="A632" s="1">
        <v>2022</v>
      </c>
      <c r="B632" s="1">
        <v>6</v>
      </c>
      <c r="C632" s="1">
        <v>75</v>
      </c>
      <c r="D632" t="s">
        <v>11</v>
      </c>
      <c r="E632" t="s">
        <v>70</v>
      </c>
      <c r="F632" s="1">
        <v>6075</v>
      </c>
      <c r="G632" s="1">
        <v>41</v>
      </c>
      <c r="H632" s="1">
        <v>51</v>
      </c>
      <c r="I632" t="s">
        <v>3</v>
      </c>
      <c r="J632" t="s">
        <v>6</v>
      </c>
      <c r="K632" s="1">
        <v>41051</v>
      </c>
      <c r="L632" s="1">
        <v>249</v>
      </c>
      <c r="M632" s="1">
        <v>112</v>
      </c>
      <c r="N632" s="1">
        <v>29338000</v>
      </c>
      <c r="O632" s="1">
        <v>41051</v>
      </c>
      <c r="P632" s="1">
        <v>0</v>
      </c>
      <c r="Q632" s="1">
        <v>1</v>
      </c>
    </row>
    <row r="633">
      <c r="A633" s="1">
        <v>2022</v>
      </c>
      <c r="B633" s="1">
        <v>6</v>
      </c>
      <c r="C633" s="1">
        <v>79</v>
      </c>
      <c r="D633" t="s">
        <v>11</v>
      </c>
      <c r="E633" t="s">
        <v>71</v>
      </c>
      <c r="F633" s="1">
        <v>6079</v>
      </c>
      <c r="G633" s="1">
        <v>41</v>
      </c>
      <c r="H633" s="1">
        <v>51</v>
      </c>
      <c r="I633" t="s">
        <v>3</v>
      </c>
      <c r="J633" t="s">
        <v>6</v>
      </c>
      <c r="K633" s="1">
        <v>41051</v>
      </c>
      <c r="L633" s="1">
        <v>112</v>
      </c>
      <c r="M633" s="1"/>
      <c r="N633" s="1">
        <v>4748800</v>
      </c>
      <c r="O633" s="1">
        <v>41051</v>
      </c>
      <c r="P633" s="1">
        <v>0</v>
      </c>
      <c r="Q633" s="1">
        <v>1</v>
      </c>
    </row>
    <row r="634">
      <c r="A634" s="1">
        <v>2022</v>
      </c>
      <c r="B634" s="1">
        <v>6</v>
      </c>
      <c r="C634" s="1">
        <v>81</v>
      </c>
      <c r="D634" t="s">
        <v>11</v>
      </c>
      <c r="E634" t="s">
        <v>72</v>
      </c>
      <c r="F634" s="1">
        <v>6081</v>
      </c>
      <c r="G634" s="1">
        <v>41</v>
      </c>
      <c r="H634" s="1">
        <v>51</v>
      </c>
      <c r="I634" t="s">
        <v>3</v>
      </c>
      <c r="J634" t="s">
        <v>6</v>
      </c>
      <c r="K634" s="1">
        <v>41051</v>
      </c>
      <c r="L634" s="1">
        <v>693</v>
      </c>
      <c r="M634" s="1">
        <v>178</v>
      </c>
      <c r="N634" s="1">
        <v>40774000</v>
      </c>
      <c r="O634" s="1">
        <v>41051</v>
      </c>
      <c r="P634" s="1">
        <v>0</v>
      </c>
      <c r="Q634" s="1">
        <v>1</v>
      </c>
    </row>
    <row r="635">
      <c r="A635" s="1">
        <v>2022</v>
      </c>
      <c r="B635" s="1">
        <v>6</v>
      </c>
      <c r="C635" s="1">
        <v>83</v>
      </c>
      <c r="D635" t="s">
        <v>11</v>
      </c>
      <c r="E635" t="s">
        <v>73</v>
      </c>
      <c r="F635" s="1">
        <v>6083</v>
      </c>
      <c r="G635" s="1">
        <v>41</v>
      </c>
      <c r="H635" s="1">
        <v>51</v>
      </c>
      <c r="I635" t="s">
        <v>3</v>
      </c>
      <c r="J635" t="s">
        <v>6</v>
      </c>
      <c r="K635" s="1">
        <v>41051</v>
      </c>
      <c r="L635" s="1">
        <v>110</v>
      </c>
      <c r="M635" s="1">
        <v>52</v>
      </c>
      <c r="N635" s="1">
        <v>11399200</v>
      </c>
      <c r="O635" s="1">
        <v>41051</v>
      </c>
      <c r="P635" s="1">
        <v>0</v>
      </c>
      <c r="Q635" s="1">
        <v>1</v>
      </c>
    </row>
    <row r="636">
      <c r="A636" s="1">
        <v>2022</v>
      </c>
      <c r="B636" s="1">
        <v>6</v>
      </c>
      <c r="C636" s="1">
        <v>85</v>
      </c>
      <c r="D636" t="s">
        <v>11</v>
      </c>
      <c r="E636" t="s">
        <v>74</v>
      </c>
      <c r="F636" s="1">
        <v>6085</v>
      </c>
      <c r="G636" s="1">
        <v>41</v>
      </c>
      <c r="H636" s="1">
        <v>51</v>
      </c>
      <c r="I636" t="s">
        <v>3</v>
      </c>
      <c r="J636" t="s">
        <v>6</v>
      </c>
      <c r="K636" s="1">
        <v>41051</v>
      </c>
      <c r="L636" s="1">
        <v>341</v>
      </c>
      <c r="M636" s="1">
        <v>240</v>
      </c>
      <c r="N636" s="1">
        <v>18908600</v>
      </c>
      <c r="O636" s="1">
        <v>41051</v>
      </c>
      <c r="P636" s="1">
        <v>0</v>
      </c>
      <c r="Q636" s="1">
        <v>1</v>
      </c>
    </row>
    <row r="637">
      <c r="A637" s="1">
        <v>2022</v>
      </c>
      <c r="B637" s="1">
        <v>6</v>
      </c>
      <c r="C637" s="1">
        <v>97</v>
      </c>
      <c r="D637" t="s">
        <v>11</v>
      </c>
      <c r="E637" t="s">
        <v>77</v>
      </c>
      <c r="F637" s="1">
        <v>6097</v>
      </c>
      <c r="G637" s="1">
        <v>41</v>
      </c>
      <c r="H637" s="1">
        <v>51</v>
      </c>
      <c r="I637" t="s">
        <v>3</v>
      </c>
      <c r="J637" t="s">
        <v>6</v>
      </c>
      <c r="K637" s="1">
        <v>41051</v>
      </c>
      <c r="L637" s="1">
        <v>268</v>
      </c>
      <c r="M637" s="1">
        <v>180</v>
      </c>
      <c r="N637" s="1">
        <v>6401000</v>
      </c>
      <c r="O637" s="1">
        <v>41051</v>
      </c>
      <c r="P637" s="1">
        <v>0</v>
      </c>
      <c r="Q637" s="1">
        <v>1</v>
      </c>
    </row>
    <row r="638">
      <c r="A638" s="1">
        <v>2022</v>
      </c>
      <c r="B638" s="1">
        <v>8</v>
      </c>
      <c r="C638" s="1">
        <v>0</v>
      </c>
      <c r="D638" t="s">
        <v>411</v>
      </c>
      <c r="E638" t="s">
        <v>276</v>
      </c>
      <c r="F638" s="1">
        <v>8000</v>
      </c>
      <c r="G638" s="1">
        <v>41</v>
      </c>
      <c r="H638" s="1">
        <v>51</v>
      </c>
      <c r="I638" t="s">
        <v>3</v>
      </c>
      <c r="J638" t="s">
        <v>6</v>
      </c>
      <c r="K638" s="1">
        <v>41051</v>
      </c>
      <c r="L638" s="1">
        <v>432</v>
      </c>
      <c r="M638" s="1">
        <v>79</v>
      </c>
      <c r="N638" s="1">
        <v>2299760</v>
      </c>
      <c r="O638" s="1">
        <v>41051</v>
      </c>
      <c r="P638" s="1">
        <v>0</v>
      </c>
      <c r="Q638" s="1">
        <v>1</v>
      </c>
    </row>
    <row r="639">
      <c r="A639" s="1">
        <v>2022</v>
      </c>
      <c r="B639" s="1">
        <v>9</v>
      </c>
      <c r="C639" s="1">
        <v>0</v>
      </c>
      <c r="D639" t="s">
        <v>411</v>
      </c>
      <c r="E639" t="s">
        <v>276</v>
      </c>
      <c r="F639" s="1">
        <v>9000</v>
      </c>
      <c r="G639" s="1">
        <v>41</v>
      </c>
      <c r="H639" s="1">
        <v>51</v>
      </c>
      <c r="I639" t="s">
        <v>3</v>
      </c>
      <c r="J639" t="s">
        <v>6</v>
      </c>
      <c r="K639" s="1">
        <v>41051</v>
      </c>
      <c r="L639" s="1">
        <v>345</v>
      </c>
      <c r="M639" s="1">
        <v>195</v>
      </c>
      <c r="N639" s="1">
        <v>13728000</v>
      </c>
      <c r="O639" s="1">
        <v>41051</v>
      </c>
      <c r="P639" s="1">
        <v>0</v>
      </c>
      <c r="Q639" s="1">
        <v>1</v>
      </c>
    </row>
    <row r="640">
      <c r="A640" s="1">
        <v>2022</v>
      </c>
      <c r="B640" s="1">
        <v>12</v>
      </c>
      <c r="C640" s="1">
        <v>0</v>
      </c>
      <c r="D640" t="s">
        <v>411</v>
      </c>
      <c r="E640" t="s">
        <v>276</v>
      </c>
      <c r="F640" s="1">
        <v>12000</v>
      </c>
      <c r="G640" s="1">
        <v>41</v>
      </c>
      <c r="H640" s="1">
        <v>51</v>
      </c>
      <c r="I640" t="s">
        <v>3</v>
      </c>
      <c r="J640" t="s">
        <v>6</v>
      </c>
      <c r="K640" s="1">
        <v>41051</v>
      </c>
      <c r="L640" s="1">
        <v>219</v>
      </c>
      <c r="M640" s="1">
        <v>219</v>
      </c>
      <c r="N640" s="1">
        <v>21900000</v>
      </c>
      <c r="O640" s="1">
        <v>41051</v>
      </c>
      <c r="P640" s="1">
        <v>0</v>
      </c>
      <c r="Q640" s="1">
        <v>1</v>
      </c>
    </row>
    <row r="641">
      <c r="A641" s="1">
        <v>2022</v>
      </c>
      <c r="B641" s="1">
        <v>12</v>
      </c>
      <c r="C641" s="1">
        <v>9</v>
      </c>
      <c r="D641" t="s">
        <v>15</v>
      </c>
      <c r="E641" t="s">
        <v>277</v>
      </c>
      <c r="F641" s="1">
        <v>12009</v>
      </c>
      <c r="G641" s="1">
        <v>41</v>
      </c>
      <c r="H641" s="1">
        <v>51</v>
      </c>
      <c r="I641" t="s">
        <v>3</v>
      </c>
      <c r="J641" t="s">
        <v>6</v>
      </c>
      <c r="K641" s="1">
        <v>41051</v>
      </c>
      <c r="L641" s="1">
        <v>296</v>
      </c>
      <c r="M641" s="1">
        <v>175</v>
      </c>
      <c r="N641" s="1">
        <v>18642000</v>
      </c>
      <c r="O641" s="1">
        <v>41051</v>
      </c>
      <c r="P641" s="1">
        <v>0</v>
      </c>
      <c r="Q641" s="1">
        <v>1</v>
      </c>
    </row>
    <row r="642">
      <c r="A642" s="1">
        <v>2022</v>
      </c>
      <c r="B642" s="1">
        <v>12</v>
      </c>
      <c r="C642" s="1">
        <v>33</v>
      </c>
      <c r="D642" t="s">
        <v>15</v>
      </c>
      <c r="E642" t="s">
        <v>382</v>
      </c>
      <c r="F642" s="1">
        <v>12033</v>
      </c>
      <c r="G642" s="1">
        <v>41</v>
      </c>
      <c r="H642" s="1">
        <v>51</v>
      </c>
      <c r="I642" t="s">
        <v>3</v>
      </c>
      <c r="J642" t="s">
        <v>6</v>
      </c>
      <c r="K642" s="1">
        <v>41051</v>
      </c>
      <c r="L642" s="1">
        <v>264</v>
      </c>
      <c r="M642" s="1">
        <v>265</v>
      </c>
      <c r="N642" s="1">
        <v>3632000</v>
      </c>
      <c r="O642" s="1">
        <v>41051</v>
      </c>
      <c r="P642" s="1">
        <v>0</v>
      </c>
      <c r="Q642" s="1">
        <v>1</v>
      </c>
    </row>
    <row r="643">
      <c r="A643" s="1">
        <v>2022</v>
      </c>
      <c r="B643" s="1">
        <v>12</v>
      </c>
      <c r="C643" s="1">
        <v>95</v>
      </c>
      <c r="D643" t="s">
        <v>15</v>
      </c>
      <c r="E643" t="s">
        <v>64</v>
      </c>
      <c r="F643" s="1">
        <v>12095</v>
      </c>
      <c r="G643" s="1">
        <v>41</v>
      </c>
      <c r="H643" s="1">
        <v>51</v>
      </c>
      <c r="I643" t="s">
        <v>3</v>
      </c>
      <c r="J643" t="s">
        <v>6</v>
      </c>
      <c r="K643" s="1">
        <v>41051</v>
      </c>
      <c r="L643" s="1">
        <v>348</v>
      </c>
      <c r="M643" s="1"/>
      <c r="N643" s="1">
        <v>31320000</v>
      </c>
      <c r="O643" s="1">
        <v>41051</v>
      </c>
      <c r="P643" s="1">
        <v>0</v>
      </c>
      <c r="Q643" s="1">
        <v>1</v>
      </c>
    </row>
    <row r="644">
      <c r="A644" s="1">
        <v>2022</v>
      </c>
      <c r="B644" s="1">
        <v>12</v>
      </c>
      <c r="C644" s="1">
        <v>99</v>
      </c>
      <c r="D644" t="s">
        <v>15</v>
      </c>
      <c r="E644" t="s">
        <v>88</v>
      </c>
      <c r="F644" s="1">
        <v>12099</v>
      </c>
      <c r="G644" s="1">
        <v>41</v>
      </c>
      <c r="H644" s="1">
        <v>51</v>
      </c>
      <c r="I644" t="s">
        <v>3</v>
      </c>
      <c r="J644" t="s">
        <v>6</v>
      </c>
      <c r="K644" s="1">
        <v>41051</v>
      </c>
      <c r="L644" s="1">
        <v>71</v>
      </c>
      <c r="M644" s="1">
        <v>70</v>
      </c>
      <c r="N644" s="1">
        <v>3209200</v>
      </c>
      <c r="O644" s="1">
        <v>41051</v>
      </c>
      <c r="P644" s="1">
        <v>0</v>
      </c>
      <c r="Q644" s="1">
        <v>1</v>
      </c>
    </row>
    <row r="645">
      <c r="A645" s="1">
        <v>2022</v>
      </c>
      <c r="B645" s="1">
        <v>13</v>
      </c>
      <c r="C645" s="1">
        <v>57</v>
      </c>
      <c r="D645" t="s">
        <v>16</v>
      </c>
      <c r="E645" t="s">
        <v>388</v>
      </c>
      <c r="F645" s="1">
        <v>13057</v>
      </c>
      <c r="G645" s="1">
        <v>41</v>
      </c>
      <c r="H645" s="1">
        <v>51</v>
      </c>
      <c r="I645" t="s">
        <v>3</v>
      </c>
      <c r="J645" t="s">
        <v>6</v>
      </c>
      <c r="K645" s="1">
        <v>41051</v>
      </c>
      <c r="L645" s="1">
        <v>128</v>
      </c>
      <c r="M645" s="1">
        <v>128</v>
      </c>
      <c r="N645" s="1">
        <v>11776000</v>
      </c>
      <c r="O645" s="1">
        <v>41051</v>
      </c>
      <c r="P645" s="1">
        <v>0</v>
      </c>
      <c r="Q645" s="1">
        <v>1</v>
      </c>
    </row>
    <row r="646">
      <c r="A646" s="1">
        <v>2022</v>
      </c>
      <c r="B646" s="1">
        <v>13</v>
      </c>
      <c r="C646" s="1">
        <v>121</v>
      </c>
      <c r="D646" t="s">
        <v>16</v>
      </c>
      <c r="E646" t="s">
        <v>91</v>
      </c>
      <c r="F646" s="1">
        <v>13121</v>
      </c>
      <c r="G646" s="1">
        <v>41</v>
      </c>
      <c r="H646" s="1">
        <v>51</v>
      </c>
      <c r="I646" t="s">
        <v>3</v>
      </c>
      <c r="J646" t="s">
        <v>6</v>
      </c>
      <c r="K646" s="1">
        <v>41051</v>
      </c>
      <c r="L646" s="1">
        <v>501</v>
      </c>
      <c r="M646" s="1">
        <v>147</v>
      </c>
      <c r="N646" s="1">
        <v>45102000</v>
      </c>
      <c r="O646" s="1">
        <v>41051</v>
      </c>
      <c r="P646" s="1">
        <v>0</v>
      </c>
      <c r="Q646" s="1">
        <v>1</v>
      </c>
    </row>
    <row r="647">
      <c r="A647" s="1">
        <v>2022</v>
      </c>
      <c r="B647" s="1">
        <v>15</v>
      </c>
      <c r="C647" s="1">
        <v>1</v>
      </c>
      <c r="D647" t="s">
        <v>17</v>
      </c>
      <c r="E647" t="s">
        <v>92</v>
      </c>
      <c r="F647" s="1">
        <v>15001</v>
      </c>
      <c r="G647" s="1">
        <v>41</v>
      </c>
      <c r="H647" s="1">
        <v>51</v>
      </c>
      <c r="I647" t="s">
        <v>3</v>
      </c>
      <c r="J647" t="s">
        <v>6</v>
      </c>
      <c r="K647" s="1">
        <v>41051</v>
      </c>
      <c r="L647" s="1">
        <v>87</v>
      </c>
      <c r="M647" s="1">
        <v>87</v>
      </c>
      <c r="N647" s="1">
        <v>2070600</v>
      </c>
      <c r="O647" s="1">
        <v>41051</v>
      </c>
      <c r="P647" s="1">
        <v>0</v>
      </c>
      <c r="Q647" s="1">
        <v>1</v>
      </c>
    </row>
    <row r="648">
      <c r="A648" s="1">
        <v>2022</v>
      </c>
      <c r="B648" s="1">
        <v>15</v>
      </c>
      <c r="C648" s="1">
        <v>3</v>
      </c>
      <c r="D648" t="s">
        <v>17</v>
      </c>
      <c r="E648" t="s">
        <v>93</v>
      </c>
      <c r="F648" s="1">
        <v>15003</v>
      </c>
      <c r="G648" s="1">
        <v>41</v>
      </c>
      <c r="H648" s="1">
        <v>51</v>
      </c>
      <c r="I648" t="s">
        <v>3</v>
      </c>
      <c r="J648" t="s">
        <v>6</v>
      </c>
      <c r="K648" s="1">
        <v>41051</v>
      </c>
      <c r="L648" s="1">
        <v>206</v>
      </c>
      <c r="M648" s="1">
        <v>137</v>
      </c>
      <c r="N648" s="1">
        <v>4072000</v>
      </c>
      <c r="O648" s="1">
        <v>41051</v>
      </c>
      <c r="P648" s="1">
        <v>0</v>
      </c>
      <c r="Q648" s="1">
        <v>1</v>
      </c>
    </row>
    <row r="649">
      <c r="A649" s="1">
        <v>2022</v>
      </c>
      <c r="B649" s="1">
        <v>16</v>
      </c>
      <c r="C649" s="1">
        <v>0</v>
      </c>
      <c r="D649" t="s">
        <v>411</v>
      </c>
      <c r="E649" t="s">
        <v>276</v>
      </c>
      <c r="F649" s="1">
        <v>16000</v>
      </c>
      <c r="G649" s="1">
        <v>41</v>
      </c>
      <c r="H649" s="1">
        <v>51</v>
      </c>
      <c r="I649" t="s">
        <v>3</v>
      </c>
      <c r="J649" t="s">
        <v>6</v>
      </c>
      <c r="K649" s="1">
        <v>41051</v>
      </c>
      <c r="L649" s="1">
        <v>151</v>
      </c>
      <c r="M649" s="1">
        <v>151</v>
      </c>
      <c r="N649" s="1">
        <v>7990000</v>
      </c>
      <c r="O649" s="1">
        <v>41051</v>
      </c>
      <c r="P649" s="1">
        <v>0</v>
      </c>
      <c r="Q649" s="1">
        <v>1</v>
      </c>
    </row>
    <row r="650">
      <c r="A650" s="1">
        <v>2022</v>
      </c>
      <c r="B650" s="1">
        <v>17</v>
      </c>
      <c r="C650" s="1">
        <v>0</v>
      </c>
      <c r="D650" t="s">
        <v>411</v>
      </c>
      <c r="E650" t="s">
        <v>276</v>
      </c>
      <c r="F650" s="1">
        <v>17000</v>
      </c>
      <c r="G650" s="1">
        <v>41</v>
      </c>
      <c r="H650" s="1">
        <v>51</v>
      </c>
      <c r="I650" t="s">
        <v>3</v>
      </c>
      <c r="J650" t="s">
        <v>6</v>
      </c>
      <c r="K650" s="1">
        <v>41051</v>
      </c>
      <c r="L650" s="1">
        <v>138</v>
      </c>
      <c r="M650" s="1">
        <v>60</v>
      </c>
      <c r="N650" s="1">
        <v>20800000</v>
      </c>
      <c r="O650" s="1">
        <v>41051</v>
      </c>
      <c r="P650" s="1">
        <v>0</v>
      </c>
      <c r="Q650" s="1">
        <v>1</v>
      </c>
    </row>
    <row r="651">
      <c r="A651" s="1">
        <v>2022</v>
      </c>
      <c r="B651" s="1">
        <v>17</v>
      </c>
      <c r="C651" s="1">
        <v>31</v>
      </c>
      <c r="D651" t="s">
        <v>19</v>
      </c>
      <c r="E651" t="s">
        <v>98</v>
      </c>
      <c r="F651" s="1">
        <v>17031</v>
      </c>
      <c r="G651" s="1">
        <v>41</v>
      </c>
      <c r="H651" s="1">
        <v>51</v>
      </c>
      <c r="I651" t="s">
        <v>3</v>
      </c>
      <c r="J651" t="s">
        <v>6</v>
      </c>
      <c r="K651" s="1">
        <v>41051</v>
      </c>
      <c r="L651" s="1">
        <v>975</v>
      </c>
      <c r="M651" s="1">
        <v>657</v>
      </c>
      <c r="N651" s="1">
        <v>118851700</v>
      </c>
      <c r="O651" s="1">
        <v>41051</v>
      </c>
      <c r="P651" s="1">
        <v>0</v>
      </c>
      <c r="Q651" s="1">
        <v>1</v>
      </c>
    </row>
    <row r="652">
      <c r="A652" s="1">
        <v>2022</v>
      </c>
      <c r="B652" s="1">
        <v>18</v>
      </c>
      <c r="C652" s="1">
        <v>97</v>
      </c>
      <c r="D652" t="s">
        <v>20</v>
      </c>
      <c r="E652" t="s">
        <v>99</v>
      </c>
      <c r="F652" s="1">
        <v>18097</v>
      </c>
      <c r="G652" s="1">
        <v>41</v>
      </c>
      <c r="H652" s="1">
        <v>51</v>
      </c>
      <c r="I652" t="s">
        <v>3</v>
      </c>
      <c r="J652" t="s">
        <v>6</v>
      </c>
      <c r="K652" s="1">
        <v>41051</v>
      </c>
      <c r="L652" s="1">
        <v>115</v>
      </c>
      <c r="M652" s="1">
        <v>64</v>
      </c>
      <c r="N652" s="1">
        <v>7050000</v>
      </c>
      <c r="O652" s="1">
        <v>41051</v>
      </c>
      <c r="P652" s="1">
        <v>0</v>
      </c>
      <c r="Q652" s="1">
        <v>1</v>
      </c>
    </row>
    <row r="653">
      <c r="A653" s="1">
        <v>2022</v>
      </c>
      <c r="B653" s="1">
        <v>19</v>
      </c>
      <c r="C653" s="1">
        <v>0</v>
      </c>
      <c r="D653" t="s">
        <v>411</v>
      </c>
      <c r="E653" t="s">
        <v>276</v>
      </c>
      <c r="F653" s="1">
        <v>19000</v>
      </c>
      <c r="G653" s="1">
        <v>41</v>
      </c>
      <c r="H653" s="1">
        <v>51</v>
      </c>
      <c r="I653" t="s">
        <v>3</v>
      </c>
      <c r="J653" t="s">
        <v>6</v>
      </c>
      <c r="K653" s="1">
        <v>41051</v>
      </c>
      <c r="L653" s="1">
        <v>162</v>
      </c>
      <c r="M653" s="1"/>
      <c r="N653" s="1">
        <v>3420000</v>
      </c>
      <c r="O653" s="1">
        <v>41051</v>
      </c>
      <c r="P653" s="1">
        <v>0</v>
      </c>
      <c r="Q653" s="1">
        <v>1</v>
      </c>
    </row>
    <row r="654">
      <c r="A654" s="1">
        <v>2022</v>
      </c>
      <c r="B654" s="1">
        <v>20</v>
      </c>
      <c r="C654" s="1">
        <v>209</v>
      </c>
      <c r="D654" t="s">
        <v>42</v>
      </c>
      <c r="E654" t="s">
        <v>389</v>
      </c>
      <c r="F654" s="1">
        <v>20209</v>
      </c>
      <c r="G654" s="1">
        <v>41</v>
      </c>
      <c r="H654" s="1">
        <v>51</v>
      </c>
      <c r="I654" t="s">
        <v>3</v>
      </c>
      <c r="J654" t="s">
        <v>6</v>
      </c>
      <c r="K654" s="1">
        <v>41051</v>
      </c>
      <c r="L654" s="1">
        <v>110</v>
      </c>
      <c r="M654" s="1">
        <v>110</v>
      </c>
      <c r="N654" s="1">
        <v>4169000</v>
      </c>
      <c r="O654" s="1">
        <v>41051</v>
      </c>
      <c r="P654" s="1">
        <v>0</v>
      </c>
      <c r="Q654" s="1">
        <v>1</v>
      </c>
    </row>
    <row r="655">
      <c r="A655" s="1">
        <v>2022</v>
      </c>
      <c r="B655" s="1">
        <v>21</v>
      </c>
      <c r="C655" s="1">
        <v>0</v>
      </c>
      <c r="D655" t="s">
        <v>411</v>
      </c>
      <c r="E655" t="s">
        <v>276</v>
      </c>
      <c r="F655" s="1">
        <v>21000</v>
      </c>
      <c r="G655" s="1">
        <v>41</v>
      </c>
      <c r="H655" s="1">
        <v>51</v>
      </c>
      <c r="I655" t="s">
        <v>3</v>
      </c>
      <c r="J655" t="s">
        <v>6</v>
      </c>
      <c r="K655" s="1">
        <v>41051</v>
      </c>
      <c r="L655" s="1">
        <v>64</v>
      </c>
      <c r="M655" s="1">
        <v>63</v>
      </c>
      <c r="N655" s="1">
        <v>192000</v>
      </c>
      <c r="O655" s="1">
        <v>41051</v>
      </c>
      <c r="P655" s="1">
        <v>0</v>
      </c>
      <c r="Q655" s="1">
        <v>1</v>
      </c>
    </row>
    <row r="656">
      <c r="A656" s="1">
        <v>2022</v>
      </c>
      <c r="B656" s="1">
        <v>22</v>
      </c>
      <c r="C656" s="1">
        <v>71</v>
      </c>
      <c r="D656" t="s">
        <v>22</v>
      </c>
      <c r="E656" t="s">
        <v>101</v>
      </c>
      <c r="F656" s="1">
        <v>22071</v>
      </c>
      <c r="G656" s="1">
        <v>41</v>
      </c>
      <c r="H656" s="1">
        <v>51</v>
      </c>
      <c r="I656" t="s">
        <v>3</v>
      </c>
      <c r="J656" t="s">
        <v>6</v>
      </c>
      <c r="K656" s="1">
        <v>41051</v>
      </c>
      <c r="L656" s="1">
        <v>382</v>
      </c>
      <c r="M656" s="1">
        <v>211</v>
      </c>
      <c r="N656" s="1">
        <v>11815560</v>
      </c>
      <c r="O656" s="1">
        <v>41051</v>
      </c>
      <c r="P656" s="1">
        <v>0</v>
      </c>
      <c r="Q656" s="1">
        <v>1</v>
      </c>
    </row>
    <row r="657">
      <c r="A657" s="1">
        <v>2022</v>
      </c>
      <c r="B657" s="1">
        <v>23</v>
      </c>
      <c r="C657" s="1">
        <v>11</v>
      </c>
      <c r="D657" t="s">
        <v>23</v>
      </c>
      <c r="E657" t="s">
        <v>371</v>
      </c>
      <c r="F657" s="1">
        <v>23011</v>
      </c>
      <c r="G657" s="1">
        <v>41</v>
      </c>
      <c r="H657" s="1">
        <v>51</v>
      </c>
      <c r="I657" t="s">
        <v>3</v>
      </c>
      <c r="J657" t="s">
        <v>6</v>
      </c>
      <c r="K657" s="1">
        <v>41051</v>
      </c>
      <c r="L657" s="1">
        <v>111</v>
      </c>
      <c r="M657" s="1">
        <v>53</v>
      </c>
      <c r="N657" s="1">
        <v>4839100</v>
      </c>
      <c r="O657" s="1">
        <v>41051</v>
      </c>
      <c r="P657" s="1">
        <v>0</v>
      </c>
      <c r="Q657" s="1">
        <v>1</v>
      </c>
    </row>
    <row r="658">
      <c r="A658" s="1">
        <v>2022</v>
      </c>
      <c r="B658" s="1">
        <v>25</v>
      </c>
      <c r="C658" s="1">
        <v>0</v>
      </c>
      <c r="D658" t="s">
        <v>411</v>
      </c>
      <c r="E658" t="s">
        <v>276</v>
      </c>
      <c r="F658" s="1">
        <v>25000</v>
      </c>
      <c r="G658" s="1">
        <v>41</v>
      </c>
      <c r="H658" s="1">
        <v>51</v>
      </c>
      <c r="I658" t="s">
        <v>3</v>
      </c>
      <c r="J658" t="s">
        <v>6</v>
      </c>
      <c r="K658" s="1">
        <v>41051</v>
      </c>
      <c r="L658" s="1">
        <v>346</v>
      </c>
      <c r="M658" s="1">
        <v>177</v>
      </c>
      <c r="N658" s="1">
        <v>19651950</v>
      </c>
      <c r="O658" s="1">
        <v>41051</v>
      </c>
      <c r="P658" s="1">
        <v>0</v>
      </c>
      <c r="Q658" s="1">
        <v>1</v>
      </c>
    </row>
    <row r="659">
      <c r="A659" s="1">
        <v>2022</v>
      </c>
      <c r="B659" s="1">
        <v>25</v>
      </c>
      <c r="C659" s="1">
        <v>9</v>
      </c>
      <c r="D659" t="s">
        <v>25</v>
      </c>
      <c r="E659" t="s">
        <v>305</v>
      </c>
      <c r="F659" s="1">
        <v>25009</v>
      </c>
      <c r="G659" s="1">
        <v>41</v>
      </c>
      <c r="H659" s="1">
        <v>51</v>
      </c>
      <c r="I659" t="s">
        <v>3</v>
      </c>
      <c r="J659" t="s">
        <v>6</v>
      </c>
      <c r="K659" s="1">
        <v>41051</v>
      </c>
      <c r="L659" s="1">
        <v>294</v>
      </c>
      <c r="M659" s="1"/>
      <c r="N659" s="1">
        <v>2940000</v>
      </c>
      <c r="O659" s="1">
        <v>41051</v>
      </c>
      <c r="P659" s="1">
        <v>0</v>
      </c>
      <c r="Q659" s="1">
        <v>1</v>
      </c>
    </row>
    <row r="660">
      <c r="A660" s="1">
        <v>2022</v>
      </c>
      <c r="B660" s="1">
        <v>25</v>
      </c>
      <c r="C660" s="1">
        <v>21</v>
      </c>
      <c r="D660" t="s">
        <v>25</v>
      </c>
      <c r="E660" t="s">
        <v>192</v>
      </c>
      <c r="F660" s="1">
        <v>25021</v>
      </c>
      <c r="G660" s="1">
        <v>41</v>
      </c>
      <c r="H660" s="1">
        <v>51</v>
      </c>
      <c r="I660" t="s">
        <v>3</v>
      </c>
      <c r="J660" t="s">
        <v>6</v>
      </c>
      <c r="K660" s="1">
        <v>41051</v>
      </c>
      <c r="L660" s="1">
        <v>136</v>
      </c>
      <c r="M660" s="1">
        <v>63</v>
      </c>
      <c r="N660" s="1">
        <v>7560000</v>
      </c>
      <c r="O660" s="1">
        <v>41051</v>
      </c>
      <c r="P660" s="1">
        <v>0</v>
      </c>
      <c r="Q660" s="1">
        <v>1</v>
      </c>
    </row>
    <row r="661">
      <c r="A661" s="1">
        <v>2022</v>
      </c>
      <c r="B661" s="1">
        <v>26</v>
      </c>
      <c r="C661" s="1">
        <v>81</v>
      </c>
      <c r="D661" t="s">
        <v>26</v>
      </c>
      <c r="E661" t="s">
        <v>193</v>
      </c>
      <c r="F661" s="1">
        <v>26081</v>
      </c>
      <c r="G661" s="1">
        <v>41</v>
      </c>
      <c r="H661" s="1">
        <v>51</v>
      </c>
      <c r="I661" t="s">
        <v>3</v>
      </c>
      <c r="J661" t="s">
        <v>6</v>
      </c>
      <c r="K661" s="1">
        <v>41051</v>
      </c>
      <c r="L661" s="1">
        <v>126</v>
      </c>
      <c r="M661" s="1"/>
      <c r="N661" s="1">
        <v>1260000</v>
      </c>
      <c r="O661" s="1">
        <v>41051</v>
      </c>
      <c r="P661" s="1">
        <v>0</v>
      </c>
      <c r="Q661" s="1">
        <v>1</v>
      </c>
    </row>
    <row r="662">
      <c r="A662" s="1">
        <v>2022</v>
      </c>
      <c r="B662" s="1">
        <v>27</v>
      </c>
      <c r="C662" s="1">
        <v>0</v>
      </c>
      <c r="D662" t="s">
        <v>411</v>
      </c>
      <c r="E662" t="s">
        <v>276</v>
      </c>
      <c r="F662" s="1">
        <v>27000</v>
      </c>
      <c r="G662" s="1">
        <v>41</v>
      </c>
      <c r="H662" s="1">
        <v>51</v>
      </c>
      <c r="I662" t="s">
        <v>3</v>
      </c>
      <c r="J662" t="s">
        <v>6</v>
      </c>
      <c r="K662" s="1">
        <v>41051</v>
      </c>
      <c r="L662" s="1">
        <v>60</v>
      </c>
      <c r="M662" s="1">
        <v>60</v>
      </c>
      <c r="N662" s="1">
        <v>900000</v>
      </c>
      <c r="O662" s="1">
        <v>41051</v>
      </c>
      <c r="P662" s="1">
        <v>0</v>
      </c>
      <c r="Q662" s="1">
        <v>1</v>
      </c>
    </row>
    <row r="663">
      <c r="A663" s="1">
        <v>2022</v>
      </c>
      <c r="B663" s="1">
        <v>27</v>
      </c>
      <c r="C663" s="1">
        <v>53</v>
      </c>
      <c r="D663" t="s">
        <v>27</v>
      </c>
      <c r="E663" t="s">
        <v>107</v>
      </c>
      <c r="F663" s="1">
        <v>27053</v>
      </c>
      <c r="G663" s="1">
        <v>41</v>
      </c>
      <c r="H663" s="1">
        <v>51</v>
      </c>
      <c r="I663" t="s">
        <v>3</v>
      </c>
      <c r="J663" t="s">
        <v>6</v>
      </c>
      <c r="K663" s="1">
        <v>41051</v>
      </c>
      <c r="L663" s="1">
        <v>171</v>
      </c>
      <c r="M663" s="1">
        <v>170</v>
      </c>
      <c r="N663" s="1">
        <v>16530000</v>
      </c>
      <c r="O663" s="1">
        <v>41051</v>
      </c>
      <c r="P663" s="1">
        <v>0</v>
      </c>
      <c r="Q663" s="1">
        <v>1</v>
      </c>
    </row>
    <row r="664">
      <c r="A664" s="1">
        <v>2022</v>
      </c>
      <c r="B664" s="1">
        <v>29</v>
      </c>
      <c r="C664" s="1">
        <v>189</v>
      </c>
      <c r="D664" t="s">
        <v>44</v>
      </c>
      <c r="E664" t="s">
        <v>197</v>
      </c>
      <c r="F664" s="1">
        <v>29189</v>
      </c>
      <c r="G664" s="1">
        <v>41</v>
      </c>
      <c r="H664" s="1">
        <v>51</v>
      </c>
      <c r="I664" t="s">
        <v>3</v>
      </c>
      <c r="J664" t="s">
        <v>6</v>
      </c>
      <c r="K664" s="1">
        <v>41051</v>
      </c>
      <c r="L664" s="1">
        <v>91</v>
      </c>
      <c r="M664" s="1"/>
      <c r="N664" s="1">
        <v>3458000</v>
      </c>
      <c r="O664" s="1">
        <v>41051</v>
      </c>
      <c r="P664" s="1">
        <v>0</v>
      </c>
      <c r="Q664" s="1">
        <v>1</v>
      </c>
    </row>
    <row r="665">
      <c r="A665" s="1">
        <v>2022</v>
      </c>
      <c r="B665" s="1">
        <v>30</v>
      </c>
      <c r="C665" s="1">
        <v>0</v>
      </c>
      <c r="D665" t="s">
        <v>411</v>
      </c>
      <c r="E665" t="s">
        <v>276</v>
      </c>
      <c r="F665" s="1">
        <v>30000</v>
      </c>
      <c r="G665" s="1">
        <v>41</v>
      </c>
      <c r="H665" s="1">
        <v>51</v>
      </c>
      <c r="I665" t="s">
        <v>3</v>
      </c>
      <c r="J665" t="s">
        <v>6</v>
      </c>
      <c r="K665" s="1">
        <v>41051</v>
      </c>
      <c r="L665" s="1">
        <v>856</v>
      </c>
      <c r="M665" s="1">
        <v>79</v>
      </c>
      <c r="N665" s="1">
        <v>16489200</v>
      </c>
      <c r="O665" s="1">
        <v>41051</v>
      </c>
      <c r="P665" s="1">
        <v>0</v>
      </c>
      <c r="Q665" s="1">
        <v>1</v>
      </c>
    </row>
    <row r="666">
      <c r="A666" s="1">
        <v>2022</v>
      </c>
      <c r="B666" s="1">
        <v>30</v>
      </c>
      <c r="C666" s="1">
        <v>31</v>
      </c>
      <c r="D666" t="s">
        <v>28</v>
      </c>
      <c r="E666" t="s">
        <v>109</v>
      </c>
      <c r="F666" s="1">
        <v>30031</v>
      </c>
      <c r="G666" s="1">
        <v>41</v>
      </c>
      <c r="H666" s="1">
        <v>51</v>
      </c>
      <c r="I666" t="s">
        <v>3</v>
      </c>
      <c r="J666" t="s">
        <v>6</v>
      </c>
      <c r="K666" s="1">
        <v>41051</v>
      </c>
      <c r="L666" s="1">
        <v>141</v>
      </c>
      <c r="M666" s="1"/>
      <c r="N666" s="1">
        <v>3278000</v>
      </c>
      <c r="O666" s="1">
        <v>41051</v>
      </c>
      <c r="P666" s="1">
        <v>0</v>
      </c>
      <c r="Q666" s="1">
        <v>1</v>
      </c>
    </row>
    <row r="667">
      <c r="A667" s="1">
        <v>2022</v>
      </c>
      <c r="B667" s="1">
        <v>31</v>
      </c>
      <c r="C667" s="1">
        <v>55</v>
      </c>
      <c r="D667" t="s">
        <v>45</v>
      </c>
      <c r="E667" t="s">
        <v>131</v>
      </c>
      <c r="F667" s="1">
        <v>31055</v>
      </c>
      <c r="G667" s="1">
        <v>41</v>
      </c>
      <c r="H667" s="1">
        <v>51</v>
      </c>
      <c r="I667" t="s">
        <v>3</v>
      </c>
      <c r="J667" t="s">
        <v>6</v>
      </c>
      <c r="K667" s="1">
        <v>41051</v>
      </c>
      <c r="L667" s="1">
        <v>395</v>
      </c>
      <c r="M667" s="1">
        <v>268</v>
      </c>
      <c r="N667" s="1">
        <v>10994000</v>
      </c>
      <c r="O667" s="1">
        <v>41051</v>
      </c>
      <c r="P667" s="1">
        <v>0</v>
      </c>
      <c r="Q667" s="1">
        <v>1</v>
      </c>
    </row>
    <row r="668">
      <c r="A668" s="1">
        <v>2022</v>
      </c>
      <c r="B668" s="1">
        <v>31</v>
      </c>
      <c r="C668" s="1">
        <v>109</v>
      </c>
      <c r="D668" t="s">
        <v>45</v>
      </c>
      <c r="E668" t="s">
        <v>356</v>
      </c>
      <c r="F668" s="1">
        <v>31109</v>
      </c>
      <c r="G668" s="1">
        <v>41</v>
      </c>
      <c r="H668" s="1">
        <v>51</v>
      </c>
      <c r="I668" t="s">
        <v>3</v>
      </c>
      <c r="J668" t="s">
        <v>6</v>
      </c>
      <c r="K668" s="1">
        <v>41051</v>
      </c>
      <c r="L668" s="1">
        <v>252</v>
      </c>
      <c r="M668" s="1">
        <v>91</v>
      </c>
      <c r="N668" s="1">
        <v>8232000</v>
      </c>
      <c r="O668" s="1">
        <v>41051</v>
      </c>
      <c r="P668" s="1">
        <v>0</v>
      </c>
      <c r="Q668" s="1">
        <v>1</v>
      </c>
    </row>
    <row r="669">
      <c r="A669" s="1">
        <v>2022</v>
      </c>
      <c r="B669" s="1">
        <v>34</v>
      </c>
      <c r="C669" s="1">
        <v>13</v>
      </c>
      <c r="D669" t="s">
        <v>46</v>
      </c>
      <c r="E669" t="s">
        <v>305</v>
      </c>
      <c r="F669" s="1">
        <v>34013</v>
      </c>
      <c r="G669" s="1">
        <v>41</v>
      </c>
      <c r="H669" s="1">
        <v>51</v>
      </c>
      <c r="I669" t="s">
        <v>3</v>
      </c>
      <c r="J669" t="s">
        <v>6</v>
      </c>
      <c r="K669" s="1">
        <v>41051</v>
      </c>
      <c r="L669" s="1">
        <v>73</v>
      </c>
      <c r="M669" s="1">
        <v>73</v>
      </c>
      <c r="N669" s="1">
        <v>7300000</v>
      </c>
      <c r="O669" s="1">
        <v>41051</v>
      </c>
      <c r="P669" s="1">
        <v>0</v>
      </c>
      <c r="Q669" s="1">
        <v>1</v>
      </c>
    </row>
    <row r="670">
      <c r="A670" s="1">
        <v>2022</v>
      </c>
      <c r="B670" s="1">
        <v>34</v>
      </c>
      <c r="C670" s="1">
        <v>29</v>
      </c>
      <c r="D670" t="s">
        <v>46</v>
      </c>
      <c r="E670" t="s">
        <v>390</v>
      </c>
      <c r="F670" s="1">
        <v>34029</v>
      </c>
      <c r="G670" s="1">
        <v>41</v>
      </c>
      <c r="H670" s="1">
        <v>51</v>
      </c>
      <c r="I670" t="s">
        <v>3</v>
      </c>
      <c r="J670" t="s">
        <v>6</v>
      </c>
      <c r="K670" s="1">
        <v>41051</v>
      </c>
      <c r="L670" s="1">
        <v>137</v>
      </c>
      <c r="M670" s="1">
        <v>137</v>
      </c>
      <c r="N670" s="1">
        <v>12330000</v>
      </c>
      <c r="O670" s="1">
        <v>41051</v>
      </c>
      <c r="P670" s="1">
        <v>0</v>
      </c>
      <c r="Q670" s="1">
        <v>1</v>
      </c>
    </row>
    <row r="671">
      <c r="A671" s="1">
        <v>2022</v>
      </c>
      <c r="B671" s="1">
        <v>34</v>
      </c>
      <c r="C671" s="1">
        <v>37</v>
      </c>
      <c r="D671" t="s">
        <v>46</v>
      </c>
      <c r="E671" t="s">
        <v>391</v>
      </c>
      <c r="F671" s="1">
        <v>34037</v>
      </c>
      <c r="G671" s="1">
        <v>41</v>
      </c>
      <c r="H671" s="1">
        <v>51</v>
      </c>
      <c r="I671" t="s">
        <v>3</v>
      </c>
      <c r="J671" t="s">
        <v>6</v>
      </c>
      <c r="K671" s="1">
        <v>41051</v>
      </c>
      <c r="L671" s="1">
        <v>87</v>
      </c>
      <c r="M671" s="1">
        <v>87</v>
      </c>
      <c r="N671" s="1">
        <v>7954410</v>
      </c>
      <c r="O671" s="1">
        <v>41051</v>
      </c>
      <c r="P671" s="1">
        <v>0</v>
      </c>
      <c r="Q671" s="1">
        <v>1</v>
      </c>
    </row>
    <row r="672">
      <c r="A672" s="1">
        <v>2022</v>
      </c>
      <c r="B672" s="1">
        <v>36</v>
      </c>
      <c r="C672" s="1">
        <v>0</v>
      </c>
      <c r="D672" t="s">
        <v>411</v>
      </c>
      <c r="E672" t="s">
        <v>276</v>
      </c>
      <c r="F672" s="1">
        <v>36000</v>
      </c>
      <c r="G672" s="1">
        <v>41</v>
      </c>
      <c r="H672" s="1">
        <v>51</v>
      </c>
      <c r="I672" t="s">
        <v>3</v>
      </c>
      <c r="J672" t="s">
        <v>6</v>
      </c>
      <c r="K672" s="1">
        <v>41051</v>
      </c>
      <c r="L672" s="1">
        <v>132</v>
      </c>
      <c r="M672" s="1"/>
      <c r="N672" s="1">
        <v>4224000</v>
      </c>
      <c r="O672" s="1">
        <v>41051</v>
      </c>
      <c r="P672" s="1">
        <v>0</v>
      </c>
      <c r="Q672" s="1">
        <v>1</v>
      </c>
    </row>
    <row r="673">
      <c r="A673" s="1">
        <v>2022</v>
      </c>
      <c r="B673" s="1">
        <v>36</v>
      </c>
      <c r="C673" s="1">
        <v>13</v>
      </c>
      <c r="D673" t="s">
        <v>31</v>
      </c>
      <c r="E673" t="s">
        <v>331</v>
      </c>
      <c r="F673" s="1">
        <v>36013</v>
      </c>
      <c r="G673" s="1">
        <v>41</v>
      </c>
      <c r="H673" s="1">
        <v>51</v>
      </c>
      <c r="I673" t="s">
        <v>3</v>
      </c>
      <c r="J673" t="s">
        <v>6</v>
      </c>
      <c r="K673" s="1">
        <v>41051</v>
      </c>
      <c r="L673" s="1">
        <v>111</v>
      </c>
      <c r="M673" s="1">
        <v>111</v>
      </c>
      <c r="N673" s="1">
        <v>666000</v>
      </c>
      <c r="O673" s="1">
        <v>41051</v>
      </c>
      <c r="P673" s="1">
        <v>0</v>
      </c>
      <c r="Q673" s="1">
        <v>1</v>
      </c>
    </row>
    <row r="674">
      <c r="A674" s="1">
        <v>2022</v>
      </c>
      <c r="B674" s="1">
        <v>36</v>
      </c>
      <c r="C674" s="1">
        <v>47</v>
      </c>
      <c r="D674" t="s">
        <v>31</v>
      </c>
      <c r="E674" t="s">
        <v>116</v>
      </c>
      <c r="F674" s="1">
        <v>36047</v>
      </c>
      <c r="G674" s="1">
        <v>41</v>
      </c>
      <c r="H674" s="1">
        <v>51</v>
      </c>
      <c r="I674" t="s">
        <v>3</v>
      </c>
      <c r="J674" t="s">
        <v>6</v>
      </c>
      <c r="K674" s="1">
        <v>41051</v>
      </c>
      <c r="L674" s="1">
        <v>451</v>
      </c>
      <c r="M674" s="1">
        <v>330</v>
      </c>
      <c r="N674" s="1">
        <v>36243000</v>
      </c>
      <c r="O674" s="1">
        <v>41051</v>
      </c>
      <c r="P674" s="1">
        <v>0</v>
      </c>
      <c r="Q674" s="1">
        <v>1</v>
      </c>
    </row>
    <row r="675">
      <c r="A675" s="1">
        <v>2022</v>
      </c>
      <c r="B675" s="1">
        <v>36</v>
      </c>
      <c r="C675" s="1">
        <v>81</v>
      </c>
      <c r="D675" t="s">
        <v>31</v>
      </c>
      <c r="E675" t="s">
        <v>118</v>
      </c>
      <c r="F675" s="1">
        <v>36081</v>
      </c>
      <c r="G675" s="1">
        <v>41</v>
      </c>
      <c r="H675" s="1">
        <v>51</v>
      </c>
      <c r="I675" t="s">
        <v>3</v>
      </c>
      <c r="J675" t="s">
        <v>6</v>
      </c>
      <c r="K675" s="1">
        <v>41051</v>
      </c>
      <c r="L675" s="1">
        <v>202</v>
      </c>
      <c r="M675" s="1">
        <v>47</v>
      </c>
      <c r="N675" s="1">
        <v>11960000</v>
      </c>
      <c r="O675" s="1">
        <v>41051</v>
      </c>
      <c r="P675" s="1">
        <v>0</v>
      </c>
      <c r="Q675" s="1">
        <v>1</v>
      </c>
    </row>
    <row r="676">
      <c r="A676" s="1">
        <v>2022</v>
      </c>
      <c r="B676" s="1">
        <v>36</v>
      </c>
      <c r="C676" s="1">
        <v>91</v>
      </c>
      <c r="D676" t="s">
        <v>31</v>
      </c>
      <c r="E676" t="s">
        <v>392</v>
      </c>
      <c r="F676" s="1">
        <v>36091</v>
      </c>
      <c r="G676" s="1">
        <v>41</v>
      </c>
      <c r="H676" s="1">
        <v>51</v>
      </c>
      <c r="I676" t="s">
        <v>3</v>
      </c>
      <c r="J676" t="s">
        <v>6</v>
      </c>
      <c r="K676" s="1">
        <v>41051</v>
      </c>
      <c r="L676" s="1">
        <v>149</v>
      </c>
      <c r="M676" s="1">
        <v>149</v>
      </c>
      <c r="N676" s="1">
        <v>1415500</v>
      </c>
      <c r="O676" s="1">
        <v>41051</v>
      </c>
      <c r="P676" s="1">
        <v>0</v>
      </c>
      <c r="Q676" s="1">
        <v>1</v>
      </c>
    </row>
    <row r="677">
      <c r="A677" s="1">
        <v>2022</v>
      </c>
      <c r="B677" s="1">
        <v>39</v>
      </c>
      <c r="C677" s="1">
        <v>93</v>
      </c>
      <c r="D677" t="s">
        <v>33</v>
      </c>
      <c r="E677" t="s">
        <v>393</v>
      </c>
      <c r="F677" s="1">
        <v>39093</v>
      </c>
      <c r="G677" s="1">
        <v>41</v>
      </c>
      <c r="H677" s="1">
        <v>51</v>
      </c>
      <c r="I677" t="s">
        <v>3</v>
      </c>
      <c r="J677" t="s">
        <v>6</v>
      </c>
      <c r="K677" s="1">
        <v>41051</v>
      </c>
      <c r="L677" s="1">
        <v>120</v>
      </c>
      <c r="M677" s="1">
        <v>57</v>
      </c>
      <c r="N677" s="1">
        <v>14244000</v>
      </c>
      <c r="O677" s="1">
        <v>41051</v>
      </c>
      <c r="P677" s="1">
        <v>0</v>
      </c>
      <c r="Q677" s="1">
        <v>1</v>
      </c>
    </row>
    <row r="678">
      <c r="A678" s="1">
        <v>2022</v>
      </c>
      <c r="B678" s="1">
        <v>41</v>
      </c>
      <c r="C678" s="1">
        <v>0</v>
      </c>
      <c r="D678" t="s">
        <v>411</v>
      </c>
      <c r="E678" t="s">
        <v>276</v>
      </c>
      <c r="F678" s="1">
        <v>41000</v>
      </c>
      <c r="G678" s="1">
        <v>41</v>
      </c>
      <c r="H678" s="1">
        <v>51</v>
      </c>
      <c r="I678" t="s">
        <v>3</v>
      </c>
      <c r="J678" t="s">
        <v>6</v>
      </c>
      <c r="K678" s="1">
        <v>41051</v>
      </c>
      <c r="L678" s="1">
        <v>5658</v>
      </c>
      <c r="M678" s="1">
        <v>2591</v>
      </c>
      <c r="N678" s="1">
        <v>226634740</v>
      </c>
      <c r="O678" s="1">
        <v>41051</v>
      </c>
      <c r="P678" s="1">
        <v>0</v>
      </c>
      <c r="Q678" s="1">
        <v>1</v>
      </c>
    </row>
    <row r="679">
      <c r="A679" s="1">
        <v>2022</v>
      </c>
      <c r="B679" s="1">
        <v>41</v>
      </c>
      <c r="C679" s="1">
        <v>5</v>
      </c>
      <c r="D679" t="s">
        <v>3</v>
      </c>
      <c r="E679" t="s">
        <v>125</v>
      </c>
      <c r="F679" s="1">
        <v>41005</v>
      </c>
      <c r="G679" s="1">
        <v>41</v>
      </c>
      <c r="H679" s="1">
        <v>51</v>
      </c>
      <c r="I679" t="s">
        <v>3</v>
      </c>
      <c r="J679" t="s">
        <v>6</v>
      </c>
      <c r="K679" s="1">
        <v>41051</v>
      </c>
      <c r="L679" s="1">
        <v>4756</v>
      </c>
      <c r="M679" s="1">
        <v>3497</v>
      </c>
      <c r="N679" s="1">
        <v>247476900</v>
      </c>
      <c r="O679" s="1">
        <v>41051</v>
      </c>
      <c r="P679" s="1">
        <v>0</v>
      </c>
      <c r="Q679" s="1">
        <v>1</v>
      </c>
    </row>
    <row r="680">
      <c r="A680" s="1">
        <v>2022</v>
      </c>
      <c r="B680" s="1">
        <v>41</v>
      </c>
      <c r="C680" s="1">
        <v>19</v>
      </c>
      <c r="D680" t="s">
        <v>3</v>
      </c>
      <c r="E680" t="s">
        <v>131</v>
      </c>
      <c r="F680" s="1">
        <v>41019</v>
      </c>
      <c r="G680" s="1">
        <v>41</v>
      </c>
      <c r="H680" s="1">
        <v>51</v>
      </c>
      <c r="I680" t="s">
        <v>3</v>
      </c>
      <c r="J680" t="s">
        <v>6</v>
      </c>
      <c r="K680" s="1">
        <v>41051</v>
      </c>
      <c r="L680" s="1">
        <v>211</v>
      </c>
      <c r="M680" s="1"/>
      <c r="N680" s="1">
        <v>9495000</v>
      </c>
      <c r="O680" s="1">
        <v>41051</v>
      </c>
      <c r="P680" s="1">
        <v>0</v>
      </c>
      <c r="Q680" s="1">
        <v>1</v>
      </c>
    </row>
    <row r="681">
      <c r="A681" s="1">
        <v>2022</v>
      </c>
      <c r="B681" s="1">
        <v>41</v>
      </c>
      <c r="C681" s="1">
        <v>29</v>
      </c>
      <c r="D681" t="s">
        <v>3</v>
      </c>
      <c r="E681" t="s">
        <v>133</v>
      </c>
      <c r="F681" s="1">
        <v>41029</v>
      </c>
      <c r="G681" s="1">
        <v>41</v>
      </c>
      <c r="H681" s="1">
        <v>51</v>
      </c>
      <c r="I681" t="s">
        <v>3</v>
      </c>
      <c r="J681" t="s">
        <v>6</v>
      </c>
      <c r="K681" s="1">
        <v>41051</v>
      </c>
      <c r="L681" s="1">
        <v>275</v>
      </c>
      <c r="M681" s="1">
        <v>93</v>
      </c>
      <c r="N681" s="1">
        <v>17574000</v>
      </c>
      <c r="O681" s="1">
        <v>41051</v>
      </c>
      <c r="P681" s="1">
        <v>0</v>
      </c>
      <c r="Q681" s="1">
        <v>1</v>
      </c>
    </row>
    <row r="682">
      <c r="A682" s="1">
        <v>2022</v>
      </c>
      <c r="B682" s="1">
        <v>41</v>
      </c>
      <c r="C682" s="1">
        <v>39</v>
      </c>
      <c r="D682" t="s">
        <v>3</v>
      </c>
      <c r="E682" t="s">
        <v>136</v>
      </c>
      <c r="F682" s="1">
        <v>41039</v>
      </c>
      <c r="G682" s="1">
        <v>41</v>
      </c>
      <c r="H682" s="1">
        <v>51</v>
      </c>
      <c r="I682" t="s">
        <v>3</v>
      </c>
      <c r="J682" t="s">
        <v>6</v>
      </c>
      <c r="K682" s="1">
        <v>41051</v>
      </c>
      <c r="L682" s="1">
        <v>2185</v>
      </c>
      <c r="M682" s="1">
        <v>753</v>
      </c>
      <c r="N682" s="1">
        <v>81609850</v>
      </c>
      <c r="O682" s="1">
        <v>41051</v>
      </c>
      <c r="P682" s="1">
        <v>0</v>
      </c>
      <c r="Q682" s="1">
        <v>1</v>
      </c>
    </row>
    <row r="683">
      <c r="A683" s="1">
        <v>2022</v>
      </c>
      <c r="B683" s="1">
        <v>41</v>
      </c>
      <c r="C683" s="1">
        <v>47</v>
      </c>
      <c r="D683" t="s">
        <v>3</v>
      </c>
      <c r="E683" t="s">
        <v>99</v>
      </c>
      <c r="F683" s="1">
        <v>41047</v>
      </c>
      <c r="G683" s="1">
        <v>41</v>
      </c>
      <c r="H683" s="1">
        <v>51</v>
      </c>
      <c r="I683" t="s">
        <v>3</v>
      </c>
      <c r="J683" t="s">
        <v>6</v>
      </c>
      <c r="K683" s="1">
        <v>41051</v>
      </c>
      <c r="L683" s="1">
        <v>445</v>
      </c>
      <c r="M683" s="1">
        <v>253</v>
      </c>
      <c r="N683" s="1">
        <v>9304600</v>
      </c>
      <c r="O683" s="1">
        <v>41051</v>
      </c>
      <c r="P683" s="1">
        <v>0</v>
      </c>
      <c r="Q683" s="1">
        <v>1</v>
      </c>
    </row>
    <row r="684">
      <c r="A684" s="1">
        <v>2022</v>
      </c>
      <c r="B684" s="1">
        <v>41</v>
      </c>
      <c r="C684" s="1">
        <v>51</v>
      </c>
      <c r="D684" t="s">
        <v>3</v>
      </c>
      <c r="E684" t="s">
        <v>6</v>
      </c>
      <c r="F684" s="1">
        <v>41051</v>
      </c>
      <c r="G684" s="1">
        <v>41</v>
      </c>
      <c r="H684" s="1">
        <v>51</v>
      </c>
      <c r="I684" t="s">
        <v>3</v>
      </c>
      <c r="J684" t="s">
        <v>6</v>
      </c>
      <c r="K684" s="1">
        <v>41051</v>
      </c>
      <c r="L684" s="1">
        <v>585688</v>
      </c>
      <c r="M684" s="1">
        <v>319500</v>
      </c>
      <c r="N684" s="1">
        <v>36109375112</v>
      </c>
      <c r="O684" s="1">
        <v>41051</v>
      </c>
      <c r="P684" s="1">
        <v>1</v>
      </c>
      <c r="Q684" s="1">
        <v>1</v>
      </c>
    </row>
    <row r="685">
      <c r="A685" s="1">
        <v>2022</v>
      </c>
      <c r="B685" s="1">
        <v>41</v>
      </c>
      <c r="C685" s="1">
        <v>67</v>
      </c>
      <c r="D685" t="s">
        <v>3</v>
      </c>
      <c r="E685" t="s">
        <v>143</v>
      </c>
      <c r="F685" s="1">
        <v>41067</v>
      </c>
      <c r="G685" s="1">
        <v>41</v>
      </c>
      <c r="H685" s="1">
        <v>51</v>
      </c>
      <c r="I685" t="s">
        <v>3</v>
      </c>
      <c r="J685" t="s">
        <v>6</v>
      </c>
      <c r="K685" s="1">
        <v>41051</v>
      </c>
      <c r="L685" s="1">
        <v>6490</v>
      </c>
      <c r="M685" s="1">
        <v>4161</v>
      </c>
      <c r="N685" s="1">
        <v>309835500</v>
      </c>
      <c r="O685" s="1">
        <v>41051</v>
      </c>
      <c r="P685" s="1">
        <v>0</v>
      </c>
      <c r="Q685" s="1">
        <v>1</v>
      </c>
    </row>
    <row r="686">
      <c r="A686" s="1">
        <v>2022</v>
      </c>
      <c r="B686" s="1">
        <v>41</v>
      </c>
      <c r="C686" s="1">
        <v>71</v>
      </c>
      <c r="D686" t="s">
        <v>3</v>
      </c>
      <c r="E686" t="s">
        <v>144</v>
      </c>
      <c r="F686" s="1">
        <v>41071</v>
      </c>
      <c r="G686" s="1">
        <v>41</v>
      </c>
      <c r="H686" s="1">
        <v>51</v>
      </c>
      <c r="I686" t="s">
        <v>3</v>
      </c>
      <c r="J686" t="s">
        <v>6</v>
      </c>
      <c r="K686" s="1">
        <v>41051</v>
      </c>
      <c r="L686" s="1">
        <v>208</v>
      </c>
      <c r="M686" s="1">
        <v>65</v>
      </c>
      <c r="N686" s="1">
        <v>8770000</v>
      </c>
      <c r="O686" s="1">
        <v>41051</v>
      </c>
      <c r="P686" s="1">
        <v>0</v>
      </c>
      <c r="Q686" s="1">
        <v>1</v>
      </c>
    </row>
    <row r="687">
      <c r="A687" s="1">
        <v>2022</v>
      </c>
      <c r="B687" s="1">
        <v>42</v>
      </c>
      <c r="C687" s="1">
        <v>0</v>
      </c>
      <c r="D687" t="s">
        <v>411</v>
      </c>
      <c r="E687" t="s">
        <v>276</v>
      </c>
      <c r="F687" s="1">
        <v>42000</v>
      </c>
      <c r="G687" s="1">
        <v>41</v>
      </c>
      <c r="H687" s="1">
        <v>51</v>
      </c>
      <c r="I687" t="s">
        <v>3</v>
      </c>
      <c r="J687" t="s">
        <v>6</v>
      </c>
      <c r="K687" s="1">
        <v>41051</v>
      </c>
      <c r="L687" s="1">
        <v>34</v>
      </c>
      <c r="M687" s="1">
        <v>34</v>
      </c>
      <c r="N687" s="1">
        <v>2482000</v>
      </c>
      <c r="O687" s="1">
        <v>41051</v>
      </c>
      <c r="P687" s="1">
        <v>0</v>
      </c>
      <c r="Q687" s="1">
        <v>1</v>
      </c>
    </row>
    <row r="688">
      <c r="A688" s="1">
        <v>2022</v>
      </c>
      <c r="B688" s="1">
        <v>42</v>
      </c>
      <c r="C688" s="1">
        <v>71</v>
      </c>
      <c r="D688" t="s">
        <v>34</v>
      </c>
      <c r="E688" t="s">
        <v>356</v>
      </c>
      <c r="F688" s="1">
        <v>42071</v>
      </c>
      <c r="G688" s="1">
        <v>41</v>
      </c>
      <c r="H688" s="1">
        <v>51</v>
      </c>
      <c r="I688" t="s">
        <v>3</v>
      </c>
      <c r="J688" t="s">
        <v>6</v>
      </c>
      <c r="K688" s="1">
        <v>41051</v>
      </c>
      <c r="L688" s="1">
        <v>137</v>
      </c>
      <c r="M688" s="1">
        <v>137</v>
      </c>
      <c r="N688" s="1">
        <v>2055000</v>
      </c>
      <c r="O688" s="1">
        <v>41051</v>
      </c>
      <c r="P688" s="1">
        <v>0</v>
      </c>
      <c r="Q688" s="1">
        <v>1</v>
      </c>
    </row>
    <row r="689">
      <c r="A689" s="1">
        <v>2022</v>
      </c>
      <c r="B689" s="1">
        <v>45</v>
      </c>
      <c r="C689" s="1">
        <v>0</v>
      </c>
      <c r="D689" t="s">
        <v>411</v>
      </c>
      <c r="E689" t="s">
        <v>276</v>
      </c>
      <c r="F689" s="1">
        <v>45000</v>
      </c>
      <c r="G689" s="1">
        <v>41</v>
      </c>
      <c r="H689" s="1">
        <v>51</v>
      </c>
      <c r="I689" t="s">
        <v>3</v>
      </c>
      <c r="J689" t="s">
        <v>6</v>
      </c>
      <c r="K689" s="1">
        <v>41051</v>
      </c>
      <c r="L689" s="1">
        <v>92</v>
      </c>
      <c r="M689" s="1">
        <v>93</v>
      </c>
      <c r="N689" s="1">
        <v>2576000</v>
      </c>
      <c r="O689" s="1">
        <v>41051</v>
      </c>
      <c r="P689" s="1">
        <v>0</v>
      </c>
      <c r="Q689" s="1">
        <v>1</v>
      </c>
    </row>
    <row r="690">
      <c r="A690" s="1">
        <v>2022</v>
      </c>
      <c r="B690" s="1">
        <v>45</v>
      </c>
      <c r="C690" s="1">
        <v>45</v>
      </c>
      <c r="D690" t="s">
        <v>49</v>
      </c>
      <c r="E690" t="s">
        <v>252</v>
      </c>
      <c r="F690" s="1">
        <v>45045</v>
      </c>
      <c r="G690" s="1">
        <v>41</v>
      </c>
      <c r="H690" s="1">
        <v>51</v>
      </c>
      <c r="I690" t="s">
        <v>3</v>
      </c>
      <c r="J690" t="s">
        <v>6</v>
      </c>
      <c r="K690" s="1">
        <v>41051</v>
      </c>
      <c r="L690" s="1">
        <v>102</v>
      </c>
      <c r="M690" s="1"/>
      <c r="N690" s="1">
        <v>2856000</v>
      </c>
      <c r="O690" s="1">
        <v>41051</v>
      </c>
      <c r="P690" s="1">
        <v>0</v>
      </c>
      <c r="Q690" s="1">
        <v>1</v>
      </c>
    </row>
    <row r="691">
      <c r="A691" s="1">
        <v>2022</v>
      </c>
      <c r="B691" s="1">
        <v>47</v>
      </c>
      <c r="C691" s="1">
        <v>37</v>
      </c>
      <c r="D691" t="s">
        <v>35</v>
      </c>
      <c r="E691" t="s">
        <v>147</v>
      </c>
      <c r="F691" s="1">
        <v>47037</v>
      </c>
      <c r="G691" s="1">
        <v>41</v>
      </c>
      <c r="H691" s="1">
        <v>51</v>
      </c>
      <c r="I691" t="s">
        <v>3</v>
      </c>
      <c r="J691" t="s">
        <v>6</v>
      </c>
      <c r="K691" s="1">
        <v>41051</v>
      </c>
      <c r="L691" s="1">
        <v>317</v>
      </c>
      <c r="M691" s="1">
        <v>317</v>
      </c>
      <c r="N691" s="1">
        <v>28847000</v>
      </c>
      <c r="O691" s="1">
        <v>41051</v>
      </c>
      <c r="P691" s="1">
        <v>0</v>
      </c>
      <c r="Q691" s="1">
        <v>1</v>
      </c>
    </row>
    <row r="692">
      <c r="A692" s="1">
        <v>2022</v>
      </c>
      <c r="B692" s="1">
        <v>48</v>
      </c>
      <c r="C692" s="1">
        <v>29</v>
      </c>
      <c r="D692" t="s">
        <v>36</v>
      </c>
      <c r="E692" t="s">
        <v>149</v>
      </c>
      <c r="F692" s="1">
        <v>48029</v>
      </c>
      <c r="G692" s="1">
        <v>41</v>
      </c>
      <c r="H692" s="1">
        <v>51</v>
      </c>
      <c r="I692" t="s">
        <v>3</v>
      </c>
      <c r="J692" t="s">
        <v>6</v>
      </c>
      <c r="K692" s="1">
        <v>41051</v>
      </c>
      <c r="L692" s="1">
        <v>136</v>
      </c>
      <c r="M692" s="1">
        <v>64</v>
      </c>
      <c r="N692" s="1">
        <v>10640000</v>
      </c>
      <c r="O692" s="1">
        <v>41051</v>
      </c>
      <c r="P692" s="1">
        <v>0</v>
      </c>
      <c r="Q692" s="1">
        <v>1</v>
      </c>
    </row>
    <row r="693">
      <c r="A693" s="1">
        <v>2022</v>
      </c>
      <c r="B693" s="1">
        <v>48</v>
      </c>
      <c r="C693" s="1">
        <v>113</v>
      </c>
      <c r="D693" t="s">
        <v>36</v>
      </c>
      <c r="E693" t="s">
        <v>150</v>
      </c>
      <c r="F693" s="1">
        <v>48113</v>
      </c>
      <c r="G693" s="1">
        <v>41</v>
      </c>
      <c r="H693" s="1">
        <v>51</v>
      </c>
      <c r="I693" t="s">
        <v>3</v>
      </c>
      <c r="J693" t="s">
        <v>6</v>
      </c>
      <c r="K693" s="1">
        <v>41051</v>
      </c>
      <c r="L693" s="1">
        <v>186</v>
      </c>
      <c r="M693" s="1">
        <v>58</v>
      </c>
      <c r="N693" s="1">
        <v>16700000</v>
      </c>
      <c r="O693" s="1">
        <v>41051</v>
      </c>
      <c r="P693" s="1">
        <v>0</v>
      </c>
      <c r="Q693" s="1">
        <v>1</v>
      </c>
    </row>
    <row r="694">
      <c r="A694" s="1">
        <v>2022</v>
      </c>
      <c r="B694" s="1">
        <v>48</v>
      </c>
      <c r="C694" s="1">
        <v>201</v>
      </c>
      <c r="D694" t="s">
        <v>36</v>
      </c>
      <c r="E694" t="s">
        <v>151</v>
      </c>
      <c r="F694" s="1">
        <v>48201</v>
      </c>
      <c r="G694" s="1">
        <v>41</v>
      </c>
      <c r="H694" s="1">
        <v>51</v>
      </c>
      <c r="I694" t="s">
        <v>3</v>
      </c>
      <c r="J694" t="s">
        <v>6</v>
      </c>
      <c r="K694" s="1">
        <v>41051</v>
      </c>
      <c r="L694" s="1">
        <v>65</v>
      </c>
      <c r="M694" s="1">
        <v>65</v>
      </c>
      <c r="N694" s="1">
        <v>1625000</v>
      </c>
      <c r="O694" s="1">
        <v>41051</v>
      </c>
      <c r="P694" s="1">
        <v>0</v>
      </c>
      <c r="Q694" s="1">
        <v>1</v>
      </c>
    </row>
    <row r="695">
      <c r="A695" s="1">
        <v>2022</v>
      </c>
      <c r="B695" s="1">
        <v>48</v>
      </c>
      <c r="C695" s="1">
        <v>453</v>
      </c>
      <c r="D695" t="s">
        <v>36</v>
      </c>
      <c r="E695" t="s">
        <v>153</v>
      </c>
      <c r="F695" s="1">
        <v>48453</v>
      </c>
      <c r="G695" s="1">
        <v>41</v>
      </c>
      <c r="H695" s="1">
        <v>51</v>
      </c>
      <c r="I695" t="s">
        <v>3</v>
      </c>
      <c r="J695" t="s">
        <v>6</v>
      </c>
      <c r="K695" s="1">
        <v>41051</v>
      </c>
      <c r="L695" s="1">
        <v>282</v>
      </c>
      <c r="M695" s="1">
        <v>234</v>
      </c>
      <c r="N695" s="1">
        <v>20830430</v>
      </c>
      <c r="O695" s="1">
        <v>41051</v>
      </c>
      <c r="P695" s="1">
        <v>0</v>
      </c>
      <c r="Q695" s="1">
        <v>1</v>
      </c>
    </row>
    <row r="696">
      <c r="A696" s="1">
        <v>2022</v>
      </c>
      <c r="B696" s="1">
        <v>49</v>
      </c>
      <c r="C696" s="1">
        <v>35</v>
      </c>
      <c r="D696" t="s">
        <v>37</v>
      </c>
      <c r="E696" t="s">
        <v>154</v>
      </c>
      <c r="F696" s="1">
        <v>49035</v>
      </c>
      <c r="G696" s="1">
        <v>41</v>
      </c>
      <c r="H696" s="1">
        <v>51</v>
      </c>
      <c r="I696" t="s">
        <v>3</v>
      </c>
      <c r="J696" t="s">
        <v>6</v>
      </c>
      <c r="K696" s="1">
        <v>41051</v>
      </c>
      <c r="L696" s="1">
        <v>68</v>
      </c>
      <c r="M696" s="1">
        <v>68</v>
      </c>
      <c r="N696" s="1">
        <v>816000</v>
      </c>
      <c r="O696" s="1">
        <v>41051</v>
      </c>
      <c r="P696" s="1">
        <v>0</v>
      </c>
      <c r="Q696" s="1">
        <v>1</v>
      </c>
    </row>
    <row r="697">
      <c r="A697" s="1">
        <v>2022</v>
      </c>
      <c r="B697" s="1">
        <v>50</v>
      </c>
      <c r="C697" s="1">
        <v>0</v>
      </c>
      <c r="D697" t="s">
        <v>411</v>
      </c>
      <c r="E697" t="s">
        <v>276</v>
      </c>
      <c r="F697" s="1">
        <v>50000</v>
      </c>
      <c r="G697" s="1">
        <v>41</v>
      </c>
      <c r="H697" s="1">
        <v>51</v>
      </c>
      <c r="I697" t="s">
        <v>3</v>
      </c>
      <c r="J697" t="s">
        <v>6</v>
      </c>
      <c r="K697" s="1">
        <v>41051</v>
      </c>
      <c r="L697" s="1">
        <v>86</v>
      </c>
      <c r="M697" s="1">
        <v>86</v>
      </c>
      <c r="N697" s="1">
        <v>1634000</v>
      </c>
      <c r="O697" s="1">
        <v>41051</v>
      </c>
      <c r="P697" s="1">
        <v>0</v>
      </c>
      <c r="Q697" s="1">
        <v>1</v>
      </c>
    </row>
    <row r="698">
      <c r="A698" s="1">
        <v>2022</v>
      </c>
      <c r="B698" s="1">
        <v>50</v>
      </c>
      <c r="C698" s="1">
        <v>7</v>
      </c>
      <c r="D698" t="s">
        <v>38</v>
      </c>
      <c r="E698" t="s">
        <v>155</v>
      </c>
      <c r="F698" s="1">
        <v>50007</v>
      </c>
      <c r="G698" s="1">
        <v>41</v>
      </c>
      <c r="H698" s="1">
        <v>51</v>
      </c>
      <c r="I698" t="s">
        <v>3</v>
      </c>
      <c r="J698" t="s">
        <v>6</v>
      </c>
      <c r="K698" s="1">
        <v>41051</v>
      </c>
      <c r="L698" s="1">
        <v>205</v>
      </c>
      <c r="M698" s="1">
        <v>206</v>
      </c>
      <c r="N698" s="1">
        <v>19270000</v>
      </c>
      <c r="O698" s="1">
        <v>41051</v>
      </c>
      <c r="P698" s="1">
        <v>0</v>
      </c>
      <c r="Q698" s="1">
        <v>1</v>
      </c>
    </row>
    <row r="699">
      <c r="A699" s="1">
        <v>2022</v>
      </c>
      <c r="B699" s="1">
        <v>53</v>
      </c>
      <c r="C699" s="1">
        <v>0</v>
      </c>
      <c r="D699" t="s">
        <v>411</v>
      </c>
      <c r="E699" t="s">
        <v>276</v>
      </c>
      <c r="F699" s="1">
        <v>53000</v>
      </c>
      <c r="G699" s="1">
        <v>41</v>
      </c>
      <c r="H699" s="1">
        <v>51</v>
      </c>
      <c r="I699" t="s">
        <v>3</v>
      </c>
      <c r="J699" t="s">
        <v>6</v>
      </c>
      <c r="K699" s="1">
        <v>41051</v>
      </c>
      <c r="L699" s="1">
        <v>1434</v>
      </c>
      <c r="M699" s="1">
        <v>541</v>
      </c>
      <c r="N699" s="1">
        <v>84522270</v>
      </c>
      <c r="O699" s="1">
        <v>41051</v>
      </c>
      <c r="P699" s="1">
        <v>0</v>
      </c>
      <c r="Q699" s="1">
        <v>1</v>
      </c>
    </row>
    <row r="700">
      <c r="A700" s="1">
        <v>2022</v>
      </c>
      <c r="B700" s="1">
        <v>53</v>
      </c>
      <c r="C700" s="1">
        <v>11</v>
      </c>
      <c r="D700" t="s">
        <v>40</v>
      </c>
      <c r="E700" t="s">
        <v>112</v>
      </c>
      <c r="F700" s="1">
        <v>53011</v>
      </c>
      <c r="G700" s="1">
        <v>41</v>
      </c>
      <c r="H700" s="1">
        <v>51</v>
      </c>
      <c r="I700" t="s">
        <v>3</v>
      </c>
      <c r="J700" t="s">
        <v>6</v>
      </c>
      <c r="K700" s="1">
        <v>41051</v>
      </c>
      <c r="L700" s="1">
        <v>2080</v>
      </c>
      <c r="M700" s="1">
        <v>1416</v>
      </c>
      <c r="N700" s="1">
        <v>190147700</v>
      </c>
      <c r="O700" s="1">
        <v>41051</v>
      </c>
      <c r="P700" s="1">
        <v>0</v>
      </c>
      <c r="Q700" s="1">
        <v>1</v>
      </c>
    </row>
    <row r="701">
      <c r="A701" s="1">
        <v>2022</v>
      </c>
      <c r="B701" s="1">
        <v>53</v>
      </c>
      <c r="C701" s="1">
        <v>33</v>
      </c>
      <c r="D701" t="s">
        <v>40</v>
      </c>
      <c r="E701" t="s">
        <v>160</v>
      </c>
      <c r="F701" s="1">
        <v>53033</v>
      </c>
      <c r="G701" s="1">
        <v>41</v>
      </c>
      <c r="H701" s="1">
        <v>51</v>
      </c>
      <c r="I701" t="s">
        <v>3</v>
      </c>
      <c r="J701" t="s">
        <v>6</v>
      </c>
      <c r="K701" s="1">
        <v>41051</v>
      </c>
      <c r="L701" s="1">
        <v>817</v>
      </c>
      <c r="M701" s="1">
        <v>547</v>
      </c>
      <c r="N701" s="1">
        <v>64529020</v>
      </c>
      <c r="O701" s="1">
        <v>41051</v>
      </c>
      <c r="P701" s="1">
        <v>0</v>
      </c>
      <c r="Q701" s="1">
        <v>1</v>
      </c>
    </row>
    <row r="702">
      <c r="A702" s="1">
        <v>2022</v>
      </c>
      <c r="B702" s="1">
        <v>53</v>
      </c>
      <c r="C702" s="1">
        <v>61</v>
      </c>
      <c r="D702" t="s">
        <v>40</v>
      </c>
      <c r="E702" t="s">
        <v>167</v>
      </c>
      <c r="F702" s="1">
        <v>53061</v>
      </c>
      <c r="G702" s="1">
        <v>41</v>
      </c>
      <c r="H702" s="1">
        <v>51</v>
      </c>
      <c r="I702" t="s">
        <v>3</v>
      </c>
      <c r="J702" t="s">
        <v>6</v>
      </c>
      <c r="K702" s="1">
        <v>41051</v>
      </c>
      <c r="L702" s="1">
        <v>180</v>
      </c>
      <c r="M702" s="1">
        <v>126</v>
      </c>
      <c r="N702" s="1">
        <v>20400640</v>
      </c>
      <c r="O702" s="1">
        <v>41051</v>
      </c>
      <c r="P702" s="1">
        <v>0</v>
      </c>
      <c r="Q702" s="1">
        <v>1</v>
      </c>
    </row>
    <row r="703">
      <c r="A703" s="1">
        <v>2022</v>
      </c>
      <c r="B703" s="1">
        <v>53</v>
      </c>
      <c r="C703" s="1">
        <v>63</v>
      </c>
      <c r="D703" t="s">
        <v>40</v>
      </c>
      <c r="E703" t="s">
        <v>168</v>
      </c>
      <c r="F703" s="1">
        <v>53063</v>
      </c>
      <c r="G703" s="1">
        <v>41</v>
      </c>
      <c r="H703" s="1">
        <v>51</v>
      </c>
      <c r="I703" t="s">
        <v>3</v>
      </c>
      <c r="J703" t="s">
        <v>6</v>
      </c>
      <c r="K703" s="1">
        <v>41051</v>
      </c>
      <c r="L703" s="1">
        <v>166</v>
      </c>
      <c r="M703" s="1">
        <v>122</v>
      </c>
      <c r="N703" s="1">
        <v>12200000</v>
      </c>
      <c r="O703" s="1">
        <v>41051</v>
      </c>
      <c r="P703" s="1">
        <v>0</v>
      </c>
      <c r="Q703" s="1">
        <v>1</v>
      </c>
    </row>
    <row r="704">
      <c r="A704" s="1">
        <v>2022</v>
      </c>
      <c r="B704" s="1">
        <v>53</v>
      </c>
      <c r="C704" s="1">
        <v>67</v>
      </c>
      <c r="D704" t="s">
        <v>40</v>
      </c>
      <c r="E704" t="s">
        <v>169</v>
      </c>
      <c r="F704" s="1">
        <v>53067</v>
      </c>
      <c r="G704" s="1">
        <v>41</v>
      </c>
      <c r="H704" s="1">
        <v>51</v>
      </c>
      <c r="I704" t="s">
        <v>3</v>
      </c>
      <c r="J704" t="s">
        <v>6</v>
      </c>
      <c r="K704" s="1">
        <v>41051</v>
      </c>
      <c r="L704" s="1">
        <v>146</v>
      </c>
      <c r="M704" s="1">
        <v>146</v>
      </c>
      <c r="N704" s="1">
        <v>7154000</v>
      </c>
      <c r="O704" s="1">
        <v>41051</v>
      </c>
      <c r="P704" s="1">
        <v>0</v>
      </c>
      <c r="Q704" s="1">
        <v>1</v>
      </c>
    </row>
    <row r="705">
      <c r="A705" s="1">
        <v>2022</v>
      </c>
      <c r="B705" s="1">
        <v>53</v>
      </c>
      <c r="C705" s="1">
        <v>73</v>
      </c>
      <c r="D705" t="s">
        <v>40</v>
      </c>
      <c r="E705" t="s">
        <v>171</v>
      </c>
      <c r="F705" s="1">
        <v>53073</v>
      </c>
      <c r="G705" s="1">
        <v>41</v>
      </c>
      <c r="H705" s="1">
        <v>51</v>
      </c>
      <c r="I705" t="s">
        <v>3</v>
      </c>
      <c r="J705" t="s">
        <v>6</v>
      </c>
      <c r="K705" s="1">
        <v>41051</v>
      </c>
      <c r="L705" s="1">
        <v>141</v>
      </c>
      <c r="M705" s="1">
        <v>142</v>
      </c>
      <c r="N705" s="1">
        <v>4745000</v>
      </c>
      <c r="O705" s="1">
        <v>41051</v>
      </c>
      <c r="P705" s="1">
        <v>0</v>
      </c>
      <c r="Q705" s="1">
        <v>1</v>
      </c>
    </row>
    <row r="706">
      <c r="A706" s="1">
        <v>2022</v>
      </c>
      <c r="B706" s="1">
        <v>55</v>
      </c>
      <c r="C706" s="1">
        <v>25</v>
      </c>
      <c r="D706" t="s">
        <v>41</v>
      </c>
      <c r="E706" t="s">
        <v>173</v>
      </c>
      <c r="F706" s="1">
        <v>55025</v>
      </c>
      <c r="G706" s="1">
        <v>41</v>
      </c>
      <c r="H706" s="1">
        <v>51</v>
      </c>
      <c r="I706" t="s">
        <v>3</v>
      </c>
      <c r="J706" t="s">
        <v>6</v>
      </c>
      <c r="K706" s="1">
        <v>41051</v>
      </c>
      <c r="L706" s="1">
        <v>246</v>
      </c>
      <c r="M706" s="1">
        <v>94</v>
      </c>
      <c r="N706" s="1">
        <v>28679200</v>
      </c>
      <c r="O706" s="1">
        <v>41051</v>
      </c>
      <c r="P706" s="1">
        <v>0</v>
      </c>
      <c r="Q706" s="1">
        <v>1</v>
      </c>
    </row>
    <row r="707">
      <c r="A707" s="1">
        <v>2023</v>
      </c>
      <c r="B707" s="1">
        <v>1</v>
      </c>
      <c r="C707" s="1">
        <v>0</v>
      </c>
      <c r="D707" t="s">
        <v>411</v>
      </c>
      <c r="E707" t="s">
        <v>276</v>
      </c>
      <c r="F707" s="1">
        <v>1000</v>
      </c>
      <c r="G707" s="1">
        <v>41</v>
      </c>
      <c r="H707" s="1">
        <v>51</v>
      </c>
      <c r="I707" t="s">
        <v>3</v>
      </c>
      <c r="J707" t="s">
        <v>6</v>
      </c>
      <c r="K707" s="1">
        <v>41051</v>
      </c>
      <c r="L707" s="1">
        <v>110</v>
      </c>
      <c r="M707" s="1">
        <v>59</v>
      </c>
      <c r="N707" s="1">
        <v>6693000</v>
      </c>
      <c r="O707" s="1">
        <v>41051</v>
      </c>
      <c r="P707" s="1">
        <v>0</v>
      </c>
      <c r="Q707" s="1">
        <v>1</v>
      </c>
    </row>
    <row r="708">
      <c r="A708" s="1">
        <v>2023</v>
      </c>
      <c r="B708" s="1">
        <v>2</v>
      </c>
      <c r="C708" s="1">
        <v>0</v>
      </c>
      <c r="D708" t="s">
        <v>411</v>
      </c>
      <c r="E708" t="s">
        <v>276</v>
      </c>
      <c r="F708" s="1">
        <v>2000</v>
      </c>
      <c r="G708" s="1">
        <v>41</v>
      </c>
      <c r="H708" s="1">
        <v>51</v>
      </c>
      <c r="I708" t="s">
        <v>3</v>
      </c>
      <c r="J708" t="s">
        <v>6</v>
      </c>
      <c r="K708" s="1">
        <v>41051</v>
      </c>
      <c r="L708" s="1">
        <v>49</v>
      </c>
      <c r="M708" s="1">
        <v>49</v>
      </c>
      <c r="N708" s="1">
        <v>720300</v>
      </c>
      <c r="O708" s="1">
        <v>41051</v>
      </c>
      <c r="P708" s="1">
        <v>0</v>
      </c>
      <c r="Q708" s="1">
        <v>1</v>
      </c>
    </row>
    <row r="709">
      <c r="A709" s="1">
        <v>2023</v>
      </c>
      <c r="B709" s="1">
        <v>4</v>
      </c>
      <c r="C709" s="1">
        <v>0</v>
      </c>
      <c r="D709" t="s">
        <v>411</v>
      </c>
      <c r="E709" t="s">
        <v>276</v>
      </c>
      <c r="F709" s="1">
        <v>4000</v>
      </c>
      <c r="G709" s="1">
        <v>41</v>
      </c>
      <c r="H709" s="1">
        <v>51</v>
      </c>
      <c r="I709" t="s">
        <v>3</v>
      </c>
      <c r="J709" t="s">
        <v>6</v>
      </c>
      <c r="K709" s="1">
        <v>41051</v>
      </c>
      <c r="L709" s="1">
        <v>469</v>
      </c>
      <c r="M709" s="1">
        <v>114</v>
      </c>
      <c r="N709" s="1">
        <v>14029980</v>
      </c>
      <c r="O709" s="1">
        <v>41051</v>
      </c>
      <c r="P709" s="1">
        <v>0</v>
      </c>
      <c r="Q709" s="1">
        <v>1</v>
      </c>
    </row>
    <row r="710">
      <c r="A710" s="1">
        <v>2023</v>
      </c>
      <c r="B710" s="1">
        <v>4</v>
      </c>
      <c r="C710" s="1">
        <v>13</v>
      </c>
      <c r="D710" t="s">
        <v>10</v>
      </c>
      <c r="E710" t="s">
        <v>53</v>
      </c>
      <c r="F710" s="1">
        <v>4013</v>
      </c>
      <c r="G710" s="1">
        <v>41</v>
      </c>
      <c r="H710" s="1">
        <v>51</v>
      </c>
      <c r="I710" t="s">
        <v>3</v>
      </c>
      <c r="J710" t="s">
        <v>6</v>
      </c>
      <c r="K710" s="1">
        <v>41051</v>
      </c>
      <c r="L710" s="1">
        <v>242</v>
      </c>
      <c r="M710" s="1">
        <v>242</v>
      </c>
      <c r="N710" s="1">
        <v>18150000</v>
      </c>
      <c r="O710" s="1">
        <v>41051</v>
      </c>
      <c r="P710" s="1">
        <v>0</v>
      </c>
      <c r="Q710" s="1">
        <v>1</v>
      </c>
    </row>
    <row r="711">
      <c r="A711" s="1">
        <v>2023</v>
      </c>
      <c r="B711" s="1">
        <v>4</v>
      </c>
      <c r="C711" s="1">
        <v>25</v>
      </c>
      <c r="D711" t="s">
        <v>10</v>
      </c>
      <c r="E711" t="s">
        <v>176</v>
      </c>
      <c r="F711" s="1">
        <v>4025</v>
      </c>
      <c r="G711" s="1">
        <v>41</v>
      </c>
      <c r="H711" s="1">
        <v>51</v>
      </c>
      <c r="I711" t="s">
        <v>3</v>
      </c>
      <c r="J711" t="s">
        <v>6</v>
      </c>
      <c r="K711" s="1">
        <v>41051</v>
      </c>
      <c r="L711" s="1">
        <v>229</v>
      </c>
      <c r="M711" s="1">
        <v>119</v>
      </c>
      <c r="N711" s="1">
        <v>2088000</v>
      </c>
      <c r="O711" s="1">
        <v>41051</v>
      </c>
      <c r="P711" s="1">
        <v>0</v>
      </c>
      <c r="Q711" s="1">
        <v>1</v>
      </c>
    </row>
    <row r="712">
      <c r="A712" s="1">
        <v>2023</v>
      </c>
      <c r="B712" s="1">
        <v>5</v>
      </c>
      <c r="C712" s="1">
        <v>119</v>
      </c>
      <c r="D712" t="s">
        <v>272</v>
      </c>
      <c r="E712" t="s">
        <v>368</v>
      </c>
      <c r="F712" s="1">
        <v>5119</v>
      </c>
      <c r="G712" s="1">
        <v>41</v>
      </c>
      <c r="H712" s="1">
        <v>51</v>
      </c>
      <c r="I712" t="s">
        <v>3</v>
      </c>
      <c r="J712" t="s">
        <v>6</v>
      </c>
      <c r="K712" s="1">
        <v>41051</v>
      </c>
      <c r="L712" s="1">
        <v>160</v>
      </c>
      <c r="M712" s="1"/>
      <c r="N712" s="1">
        <v>5520000</v>
      </c>
      <c r="O712" s="1">
        <v>41051</v>
      </c>
      <c r="P712" s="1">
        <v>0</v>
      </c>
      <c r="Q712" s="1">
        <v>1</v>
      </c>
    </row>
    <row r="713">
      <c r="A713" s="1">
        <v>2023</v>
      </c>
      <c r="B713" s="1">
        <v>6</v>
      </c>
      <c r="C713" s="1">
        <v>0</v>
      </c>
      <c r="D713" t="s">
        <v>411</v>
      </c>
      <c r="E713" t="s">
        <v>276</v>
      </c>
      <c r="F713" s="1">
        <v>6000</v>
      </c>
      <c r="G713" s="1">
        <v>41</v>
      </c>
      <c r="H713" s="1">
        <v>51</v>
      </c>
      <c r="I713" t="s">
        <v>3</v>
      </c>
      <c r="J713" t="s">
        <v>6</v>
      </c>
      <c r="K713" s="1">
        <v>41051</v>
      </c>
      <c r="L713" s="1">
        <v>327</v>
      </c>
      <c r="M713" s="1">
        <v>200</v>
      </c>
      <c r="N713" s="1">
        <v>16039000</v>
      </c>
      <c r="O713" s="1">
        <v>41051</v>
      </c>
      <c r="P713" s="1">
        <v>0</v>
      </c>
      <c r="Q713" s="1">
        <v>1</v>
      </c>
    </row>
    <row r="714">
      <c r="A714" s="1">
        <v>2023</v>
      </c>
      <c r="B714" s="1">
        <v>6</v>
      </c>
      <c r="C714" s="1">
        <v>1</v>
      </c>
      <c r="D714" t="s">
        <v>11</v>
      </c>
      <c r="E714" t="s">
        <v>56</v>
      </c>
      <c r="F714" s="1">
        <v>6001</v>
      </c>
      <c r="G714" s="1">
        <v>41</v>
      </c>
      <c r="H714" s="1">
        <v>51</v>
      </c>
      <c r="I714" t="s">
        <v>3</v>
      </c>
      <c r="J714" t="s">
        <v>6</v>
      </c>
      <c r="K714" s="1">
        <v>41051</v>
      </c>
      <c r="L714" s="1">
        <v>292</v>
      </c>
      <c r="M714" s="1">
        <v>222</v>
      </c>
      <c r="N714" s="1">
        <v>20305000</v>
      </c>
      <c r="O714" s="1">
        <v>41051</v>
      </c>
      <c r="P714" s="1">
        <v>0</v>
      </c>
      <c r="Q714" s="1">
        <v>1</v>
      </c>
    </row>
    <row r="715">
      <c r="A715" s="1">
        <v>2023</v>
      </c>
      <c r="B715" s="1">
        <v>6</v>
      </c>
      <c r="C715" s="1">
        <v>17</v>
      </c>
      <c r="D715" t="s">
        <v>11</v>
      </c>
      <c r="E715" t="s">
        <v>229</v>
      </c>
      <c r="F715" s="1">
        <v>6017</v>
      </c>
      <c r="G715" s="1">
        <v>41</v>
      </c>
      <c r="H715" s="1">
        <v>51</v>
      </c>
      <c r="I715" t="s">
        <v>3</v>
      </c>
      <c r="J715" t="s">
        <v>6</v>
      </c>
      <c r="K715" s="1">
        <v>41051</v>
      </c>
      <c r="L715" s="1">
        <v>412</v>
      </c>
      <c r="M715" s="1">
        <v>209</v>
      </c>
      <c r="N715" s="1">
        <v>10682900</v>
      </c>
      <c r="O715" s="1">
        <v>41051</v>
      </c>
      <c r="P715" s="1">
        <v>0</v>
      </c>
      <c r="Q715" s="1">
        <v>1</v>
      </c>
    </row>
    <row r="716">
      <c r="A716" s="1">
        <v>2023</v>
      </c>
      <c r="B716" s="1">
        <v>6</v>
      </c>
      <c r="C716" s="1">
        <v>23</v>
      </c>
      <c r="D716" t="s">
        <v>11</v>
      </c>
      <c r="E716" t="s">
        <v>59</v>
      </c>
      <c r="F716" s="1">
        <v>6023</v>
      </c>
      <c r="G716" s="1">
        <v>41</v>
      </c>
      <c r="H716" s="1">
        <v>51</v>
      </c>
      <c r="I716" t="s">
        <v>3</v>
      </c>
      <c r="J716" t="s">
        <v>6</v>
      </c>
      <c r="K716" s="1">
        <v>41051</v>
      </c>
      <c r="L716" s="1">
        <v>236</v>
      </c>
      <c r="M716" s="1"/>
      <c r="N716" s="1">
        <v>1416000</v>
      </c>
      <c r="O716" s="1">
        <v>41051</v>
      </c>
      <c r="P716" s="1">
        <v>0</v>
      </c>
      <c r="Q716" s="1">
        <v>1</v>
      </c>
    </row>
    <row r="717">
      <c r="A717" s="1">
        <v>2023</v>
      </c>
      <c r="B717" s="1">
        <v>6</v>
      </c>
      <c r="C717" s="1">
        <v>29</v>
      </c>
      <c r="D717" t="s">
        <v>11</v>
      </c>
      <c r="E717" t="s">
        <v>60</v>
      </c>
      <c r="F717" s="1">
        <v>6029</v>
      </c>
      <c r="G717" s="1">
        <v>41</v>
      </c>
      <c r="H717" s="1">
        <v>51</v>
      </c>
      <c r="I717" t="s">
        <v>3</v>
      </c>
      <c r="J717" t="s">
        <v>6</v>
      </c>
      <c r="K717" s="1">
        <v>41051</v>
      </c>
      <c r="L717" s="1">
        <v>61</v>
      </c>
      <c r="M717" s="1"/>
      <c r="N717" s="1">
        <v>408700</v>
      </c>
      <c r="O717" s="1">
        <v>41051</v>
      </c>
      <c r="P717" s="1">
        <v>0</v>
      </c>
      <c r="Q717" s="1">
        <v>1</v>
      </c>
    </row>
    <row r="718">
      <c r="A718" s="1">
        <v>2023</v>
      </c>
      <c r="B718" s="1">
        <v>6</v>
      </c>
      <c r="C718" s="1">
        <v>37</v>
      </c>
      <c r="D718" t="s">
        <v>11</v>
      </c>
      <c r="E718" t="s">
        <v>61</v>
      </c>
      <c r="F718" s="1">
        <v>6037</v>
      </c>
      <c r="G718" s="1">
        <v>41</v>
      </c>
      <c r="H718" s="1">
        <v>51</v>
      </c>
      <c r="I718" t="s">
        <v>3</v>
      </c>
      <c r="J718" t="s">
        <v>6</v>
      </c>
      <c r="K718" s="1">
        <v>41051</v>
      </c>
      <c r="L718" s="1">
        <v>940</v>
      </c>
      <c r="M718" s="1">
        <v>517</v>
      </c>
      <c r="N718" s="1">
        <v>73663700</v>
      </c>
      <c r="O718" s="1">
        <v>41051</v>
      </c>
      <c r="P718" s="1">
        <v>0</v>
      </c>
      <c r="Q718" s="1">
        <v>1</v>
      </c>
    </row>
    <row r="719">
      <c r="A719" s="1">
        <v>2023</v>
      </c>
      <c r="B719" s="1">
        <v>6</v>
      </c>
      <c r="C719" s="1">
        <v>41</v>
      </c>
      <c r="D719" t="s">
        <v>11</v>
      </c>
      <c r="E719" t="s">
        <v>62</v>
      </c>
      <c r="F719" s="1">
        <v>6041</v>
      </c>
      <c r="G719" s="1">
        <v>41</v>
      </c>
      <c r="H719" s="1">
        <v>51</v>
      </c>
      <c r="I719" t="s">
        <v>3</v>
      </c>
      <c r="J719" t="s">
        <v>6</v>
      </c>
      <c r="K719" s="1">
        <v>41051</v>
      </c>
      <c r="L719" s="1">
        <v>218</v>
      </c>
      <c r="M719" s="1">
        <v>115</v>
      </c>
      <c r="N719" s="1">
        <v>17593900</v>
      </c>
      <c r="O719" s="1">
        <v>41051</v>
      </c>
      <c r="P719" s="1">
        <v>0</v>
      </c>
      <c r="Q719" s="1">
        <v>1</v>
      </c>
    </row>
    <row r="720">
      <c r="A720" s="1">
        <v>2023</v>
      </c>
      <c r="B720" s="1">
        <v>6</v>
      </c>
      <c r="C720" s="1">
        <v>55</v>
      </c>
      <c r="D720" t="s">
        <v>11</v>
      </c>
      <c r="E720" t="s">
        <v>299</v>
      </c>
      <c r="F720" s="1">
        <v>6055</v>
      </c>
      <c r="G720" s="1">
        <v>41</v>
      </c>
      <c r="H720" s="1">
        <v>51</v>
      </c>
      <c r="I720" t="s">
        <v>3</v>
      </c>
      <c r="J720" t="s">
        <v>6</v>
      </c>
      <c r="K720" s="1">
        <v>41051</v>
      </c>
      <c r="L720" s="1">
        <v>137</v>
      </c>
      <c r="M720" s="1">
        <v>75</v>
      </c>
      <c r="N720" s="1">
        <v>35088700</v>
      </c>
      <c r="O720" s="1">
        <v>41051</v>
      </c>
      <c r="P720" s="1">
        <v>0</v>
      </c>
      <c r="Q720" s="1">
        <v>1</v>
      </c>
    </row>
    <row r="721">
      <c r="A721" s="1">
        <v>2023</v>
      </c>
      <c r="B721" s="1">
        <v>6</v>
      </c>
      <c r="C721" s="1">
        <v>67</v>
      </c>
      <c r="D721" t="s">
        <v>11</v>
      </c>
      <c r="E721" t="s">
        <v>67</v>
      </c>
      <c r="F721" s="1">
        <v>6067</v>
      </c>
      <c r="G721" s="1">
        <v>41</v>
      </c>
      <c r="H721" s="1">
        <v>51</v>
      </c>
      <c r="I721" t="s">
        <v>3</v>
      </c>
      <c r="J721" t="s">
        <v>6</v>
      </c>
      <c r="K721" s="1">
        <v>41051</v>
      </c>
      <c r="L721" s="1">
        <v>73</v>
      </c>
      <c r="M721" s="1"/>
      <c r="N721" s="1">
        <v>47450</v>
      </c>
      <c r="O721" s="1">
        <v>41051</v>
      </c>
      <c r="P721" s="1">
        <v>0</v>
      </c>
      <c r="Q721" s="1">
        <v>1</v>
      </c>
    </row>
    <row r="722">
      <c r="A722" s="1">
        <v>2023</v>
      </c>
      <c r="B722" s="1">
        <v>6</v>
      </c>
      <c r="C722" s="1">
        <v>73</v>
      </c>
      <c r="D722" t="s">
        <v>11</v>
      </c>
      <c r="E722" t="s">
        <v>69</v>
      </c>
      <c r="F722" s="1">
        <v>6073</v>
      </c>
      <c r="G722" s="1">
        <v>41</v>
      </c>
      <c r="H722" s="1">
        <v>51</v>
      </c>
      <c r="I722" t="s">
        <v>3</v>
      </c>
      <c r="J722" t="s">
        <v>6</v>
      </c>
      <c r="K722" s="1">
        <v>41051</v>
      </c>
      <c r="L722" s="1">
        <v>272</v>
      </c>
      <c r="M722" s="1">
        <v>54</v>
      </c>
      <c r="N722" s="1">
        <v>9566600</v>
      </c>
      <c r="O722" s="1">
        <v>41051</v>
      </c>
      <c r="P722" s="1">
        <v>0</v>
      </c>
      <c r="Q722" s="1">
        <v>1</v>
      </c>
    </row>
    <row r="723">
      <c r="A723" s="1">
        <v>2023</v>
      </c>
      <c r="B723" s="1">
        <v>6</v>
      </c>
      <c r="C723" s="1">
        <v>75</v>
      </c>
      <c r="D723" t="s">
        <v>11</v>
      </c>
      <c r="E723" t="s">
        <v>70</v>
      </c>
      <c r="F723" s="1">
        <v>6075</v>
      </c>
      <c r="G723" s="1">
        <v>41</v>
      </c>
      <c r="H723" s="1">
        <v>51</v>
      </c>
      <c r="I723" t="s">
        <v>3</v>
      </c>
      <c r="J723" t="s">
        <v>6</v>
      </c>
      <c r="K723" s="1">
        <v>41051</v>
      </c>
      <c r="L723" s="1">
        <v>434</v>
      </c>
      <c r="M723" s="1">
        <v>345</v>
      </c>
      <c r="N723" s="1">
        <v>34818800</v>
      </c>
      <c r="O723" s="1">
        <v>41051</v>
      </c>
      <c r="P723" s="1">
        <v>0</v>
      </c>
      <c r="Q723" s="1">
        <v>1</v>
      </c>
    </row>
    <row r="724">
      <c r="A724" s="1">
        <v>2023</v>
      </c>
      <c r="B724" s="1">
        <v>6</v>
      </c>
      <c r="C724" s="1">
        <v>81</v>
      </c>
      <c r="D724" t="s">
        <v>11</v>
      </c>
      <c r="E724" t="s">
        <v>72</v>
      </c>
      <c r="F724" s="1">
        <v>6081</v>
      </c>
      <c r="G724" s="1">
        <v>41</v>
      </c>
      <c r="H724" s="1">
        <v>51</v>
      </c>
      <c r="I724" t="s">
        <v>3</v>
      </c>
      <c r="J724" t="s">
        <v>6</v>
      </c>
      <c r="K724" s="1">
        <v>41051</v>
      </c>
      <c r="L724" s="1">
        <v>133</v>
      </c>
      <c r="M724" s="1">
        <v>73</v>
      </c>
      <c r="N724" s="1">
        <v>13271000</v>
      </c>
      <c r="O724" s="1">
        <v>41051</v>
      </c>
      <c r="P724" s="1">
        <v>0</v>
      </c>
      <c r="Q724" s="1">
        <v>1</v>
      </c>
    </row>
    <row r="725">
      <c r="A725" s="1">
        <v>2023</v>
      </c>
      <c r="B725" s="1">
        <v>6</v>
      </c>
      <c r="C725" s="1">
        <v>83</v>
      </c>
      <c r="D725" t="s">
        <v>11</v>
      </c>
      <c r="E725" t="s">
        <v>73</v>
      </c>
      <c r="F725" s="1">
        <v>6083</v>
      </c>
      <c r="G725" s="1">
        <v>41</v>
      </c>
      <c r="H725" s="1">
        <v>51</v>
      </c>
      <c r="I725" t="s">
        <v>3</v>
      </c>
      <c r="J725" t="s">
        <v>6</v>
      </c>
      <c r="K725" s="1">
        <v>41051</v>
      </c>
      <c r="L725" s="1">
        <v>191</v>
      </c>
      <c r="M725" s="1">
        <v>191</v>
      </c>
      <c r="N725" s="1">
        <v>18145000</v>
      </c>
      <c r="O725" s="1">
        <v>41051</v>
      </c>
      <c r="P725" s="1">
        <v>0</v>
      </c>
      <c r="Q725" s="1">
        <v>1</v>
      </c>
    </row>
    <row r="726">
      <c r="A726" s="1">
        <v>2023</v>
      </c>
      <c r="B726" s="1">
        <v>6</v>
      </c>
      <c r="C726" s="1">
        <v>85</v>
      </c>
      <c r="D726" t="s">
        <v>11</v>
      </c>
      <c r="E726" t="s">
        <v>74</v>
      </c>
      <c r="F726" s="1">
        <v>6085</v>
      </c>
      <c r="G726" s="1">
        <v>41</v>
      </c>
      <c r="H726" s="1">
        <v>51</v>
      </c>
      <c r="I726" t="s">
        <v>3</v>
      </c>
      <c r="J726" t="s">
        <v>6</v>
      </c>
      <c r="K726" s="1">
        <v>41051</v>
      </c>
      <c r="L726" s="1">
        <v>233</v>
      </c>
      <c r="M726" s="1">
        <v>79</v>
      </c>
      <c r="N726" s="1">
        <v>2085600</v>
      </c>
      <c r="O726" s="1">
        <v>41051</v>
      </c>
      <c r="P726" s="1">
        <v>0</v>
      </c>
      <c r="Q726" s="1">
        <v>1</v>
      </c>
    </row>
    <row r="727">
      <c r="A727" s="1">
        <v>2023</v>
      </c>
      <c r="B727" s="1">
        <v>6</v>
      </c>
      <c r="C727" s="1">
        <v>87</v>
      </c>
      <c r="D727" t="s">
        <v>11</v>
      </c>
      <c r="E727" t="s">
        <v>75</v>
      </c>
      <c r="F727" s="1">
        <v>6087</v>
      </c>
      <c r="G727" s="1">
        <v>41</v>
      </c>
      <c r="H727" s="1">
        <v>51</v>
      </c>
      <c r="I727" t="s">
        <v>3</v>
      </c>
      <c r="J727" t="s">
        <v>6</v>
      </c>
      <c r="K727" s="1">
        <v>41051</v>
      </c>
      <c r="L727" s="1">
        <v>76</v>
      </c>
      <c r="M727" s="1"/>
      <c r="N727" s="1">
        <v>152000</v>
      </c>
      <c r="O727" s="1">
        <v>41051</v>
      </c>
      <c r="P727" s="1">
        <v>0</v>
      </c>
      <c r="Q727" s="1">
        <v>1</v>
      </c>
    </row>
    <row r="728">
      <c r="A728" s="1">
        <v>2023</v>
      </c>
      <c r="B728" s="1">
        <v>6</v>
      </c>
      <c r="C728" s="1">
        <v>89</v>
      </c>
      <c r="D728" t="s">
        <v>11</v>
      </c>
      <c r="E728" t="s">
        <v>76</v>
      </c>
      <c r="F728" s="1">
        <v>6089</v>
      </c>
      <c r="G728" s="1">
        <v>41</v>
      </c>
      <c r="H728" s="1">
        <v>51</v>
      </c>
      <c r="I728" t="s">
        <v>3</v>
      </c>
      <c r="J728" t="s">
        <v>6</v>
      </c>
      <c r="K728" s="1">
        <v>41051</v>
      </c>
      <c r="L728" s="1">
        <v>156</v>
      </c>
      <c r="M728" s="1">
        <v>79</v>
      </c>
      <c r="N728" s="1">
        <v>8053500</v>
      </c>
      <c r="O728" s="1">
        <v>41051</v>
      </c>
      <c r="P728" s="1">
        <v>0</v>
      </c>
      <c r="Q728" s="1">
        <v>1</v>
      </c>
    </row>
    <row r="729">
      <c r="A729" s="1">
        <v>2023</v>
      </c>
      <c r="B729" s="1">
        <v>6</v>
      </c>
      <c r="C729" s="1">
        <v>113</v>
      </c>
      <c r="D729" t="s">
        <v>11</v>
      </c>
      <c r="E729" t="s">
        <v>181</v>
      </c>
      <c r="F729" s="1">
        <v>6113</v>
      </c>
      <c r="G729" s="1">
        <v>41</v>
      </c>
      <c r="H729" s="1">
        <v>51</v>
      </c>
      <c r="I729" t="s">
        <v>3</v>
      </c>
      <c r="J729" t="s">
        <v>6</v>
      </c>
      <c r="K729" s="1">
        <v>41051</v>
      </c>
      <c r="L729" s="1">
        <v>242</v>
      </c>
      <c r="M729" s="1">
        <v>105</v>
      </c>
      <c r="N729" s="1">
        <v>2237000</v>
      </c>
      <c r="O729" s="1">
        <v>41051</v>
      </c>
      <c r="P729" s="1">
        <v>0</v>
      </c>
      <c r="Q729" s="1">
        <v>1</v>
      </c>
    </row>
    <row r="730">
      <c r="A730" s="1">
        <v>2023</v>
      </c>
      <c r="B730" s="1">
        <v>8</v>
      </c>
      <c r="C730" s="1">
        <v>0</v>
      </c>
      <c r="D730" t="s">
        <v>411</v>
      </c>
      <c r="E730" t="s">
        <v>276</v>
      </c>
      <c r="F730" s="1">
        <v>8000</v>
      </c>
      <c r="G730" s="1">
        <v>41</v>
      </c>
      <c r="H730" s="1">
        <v>51</v>
      </c>
      <c r="I730" t="s">
        <v>3</v>
      </c>
      <c r="J730" t="s">
        <v>6</v>
      </c>
      <c r="K730" s="1">
        <v>41051</v>
      </c>
      <c r="L730" s="1">
        <v>1214</v>
      </c>
      <c r="M730" s="1">
        <v>607</v>
      </c>
      <c r="N730" s="1">
        <v>53498400</v>
      </c>
      <c r="O730" s="1">
        <v>41051</v>
      </c>
      <c r="P730" s="1">
        <v>0</v>
      </c>
      <c r="Q730" s="1">
        <v>1</v>
      </c>
    </row>
    <row r="731">
      <c r="A731" s="1">
        <v>2023</v>
      </c>
      <c r="B731" s="1">
        <v>9</v>
      </c>
      <c r="C731" s="1">
        <v>0</v>
      </c>
      <c r="D731" t="s">
        <v>411</v>
      </c>
      <c r="E731" t="s">
        <v>276</v>
      </c>
      <c r="F731" s="1">
        <v>9000</v>
      </c>
      <c r="G731" s="1">
        <v>41</v>
      </c>
      <c r="H731" s="1">
        <v>51</v>
      </c>
      <c r="I731" t="s">
        <v>3</v>
      </c>
      <c r="J731" t="s">
        <v>6</v>
      </c>
      <c r="K731" s="1">
        <v>41051</v>
      </c>
      <c r="L731" s="1">
        <v>93</v>
      </c>
      <c r="M731" s="1">
        <v>93</v>
      </c>
      <c r="N731" s="1">
        <v>4722000</v>
      </c>
      <c r="O731" s="1">
        <v>41051</v>
      </c>
      <c r="P731" s="1">
        <v>0</v>
      </c>
      <c r="Q731" s="1">
        <v>1</v>
      </c>
    </row>
    <row r="732">
      <c r="A732" s="1">
        <v>2023</v>
      </c>
      <c r="B732" s="1">
        <v>11</v>
      </c>
      <c r="C732" s="1">
        <v>1</v>
      </c>
      <c r="D732" t="s">
        <v>14</v>
      </c>
      <c r="E732" t="s">
        <v>14</v>
      </c>
      <c r="F732" s="1">
        <v>11001</v>
      </c>
      <c r="G732" s="1">
        <v>41</v>
      </c>
      <c r="H732" s="1">
        <v>51</v>
      </c>
      <c r="I732" t="s">
        <v>3</v>
      </c>
      <c r="J732" t="s">
        <v>6</v>
      </c>
      <c r="K732" s="1">
        <v>41051</v>
      </c>
      <c r="L732" s="1">
        <v>586</v>
      </c>
      <c r="M732" s="1">
        <v>108</v>
      </c>
      <c r="N732" s="1">
        <v>22787200</v>
      </c>
      <c r="O732" s="1">
        <v>41051</v>
      </c>
      <c r="P732" s="1">
        <v>0</v>
      </c>
      <c r="Q732" s="1">
        <v>1</v>
      </c>
    </row>
    <row r="733">
      <c r="A733" s="1">
        <v>2023</v>
      </c>
      <c r="B733" s="1">
        <v>12</v>
      </c>
      <c r="C733" s="1">
        <v>19</v>
      </c>
      <c r="D733" t="s">
        <v>15</v>
      </c>
      <c r="E733" t="s">
        <v>394</v>
      </c>
      <c r="F733" s="1">
        <v>12019</v>
      </c>
      <c r="G733" s="1">
        <v>41</v>
      </c>
      <c r="H733" s="1">
        <v>51</v>
      </c>
      <c r="I733" t="s">
        <v>3</v>
      </c>
      <c r="J733" t="s">
        <v>6</v>
      </c>
      <c r="K733" s="1">
        <v>41051</v>
      </c>
      <c r="L733" s="1">
        <v>57</v>
      </c>
      <c r="M733" s="1"/>
      <c r="N733" s="1">
        <v>826500</v>
      </c>
      <c r="O733" s="1">
        <v>41051</v>
      </c>
      <c r="P733" s="1">
        <v>0</v>
      </c>
      <c r="Q733" s="1">
        <v>1</v>
      </c>
    </row>
    <row r="734">
      <c r="A734" s="1">
        <v>2023</v>
      </c>
      <c r="B734" s="1">
        <v>12</v>
      </c>
      <c r="C734" s="1">
        <v>57</v>
      </c>
      <c r="D734" t="s">
        <v>15</v>
      </c>
      <c r="E734" t="s">
        <v>86</v>
      </c>
      <c r="F734" s="1">
        <v>12057</v>
      </c>
      <c r="G734" s="1">
        <v>41</v>
      </c>
      <c r="H734" s="1">
        <v>51</v>
      </c>
      <c r="I734" t="s">
        <v>3</v>
      </c>
      <c r="J734" t="s">
        <v>6</v>
      </c>
      <c r="K734" s="1">
        <v>41051</v>
      </c>
      <c r="L734" s="1">
        <v>734</v>
      </c>
      <c r="M734" s="1">
        <v>376</v>
      </c>
      <c r="N734" s="1">
        <v>60435460</v>
      </c>
      <c r="O734" s="1">
        <v>41051</v>
      </c>
      <c r="P734" s="1">
        <v>0</v>
      </c>
      <c r="Q734" s="1">
        <v>1</v>
      </c>
    </row>
    <row r="735">
      <c r="A735" s="1">
        <v>2023</v>
      </c>
      <c r="B735" s="1">
        <v>13</v>
      </c>
      <c r="C735" s="1">
        <v>77</v>
      </c>
      <c r="D735" t="s">
        <v>16</v>
      </c>
      <c r="E735" t="s">
        <v>395</v>
      </c>
      <c r="F735" s="1">
        <v>13077</v>
      </c>
      <c r="G735" s="1">
        <v>41</v>
      </c>
      <c r="H735" s="1">
        <v>51</v>
      </c>
      <c r="I735" t="s">
        <v>3</v>
      </c>
      <c r="J735" t="s">
        <v>6</v>
      </c>
      <c r="K735" s="1">
        <v>41051</v>
      </c>
      <c r="L735" s="1">
        <v>757</v>
      </c>
      <c r="M735" s="1">
        <v>756</v>
      </c>
      <c r="N735" s="1">
        <v>22710000</v>
      </c>
      <c r="O735" s="1">
        <v>41051</v>
      </c>
      <c r="P735" s="1">
        <v>0</v>
      </c>
      <c r="Q735" s="1">
        <v>1</v>
      </c>
    </row>
    <row r="736">
      <c r="A736" s="1">
        <v>2023</v>
      </c>
      <c r="B736" s="1">
        <v>13</v>
      </c>
      <c r="C736" s="1">
        <v>121</v>
      </c>
      <c r="D736" t="s">
        <v>16</v>
      </c>
      <c r="E736" t="s">
        <v>91</v>
      </c>
      <c r="F736" s="1">
        <v>13121</v>
      </c>
      <c r="G736" s="1">
        <v>41</v>
      </c>
      <c r="H736" s="1">
        <v>51</v>
      </c>
      <c r="I736" t="s">
        <v>3</v>
      </c>
      <c r="J736" t="s">
        <v>6</v>
      </c>
      <c r="K736" s="1">
        <v>41051</v>
      </c>
      <c r="L736" s="1">
        <v>326</v>
      </c>
      <c r="M736" s="1">
        <v>98</v>
      </c>
      <c r="N736" s="1">
        <v>25663900</v>
      </c>
      <c r="O736" s="1">
        <v>41051</v>
      </c>
      <c r="P736" s="1">
        <v>0</v>
      </c>
      <c r="Q736" s="1">
        <v>1</v>
      </c>
    </row>
    <row r="737">
      <c r="A737" s="1">
        <v>2023</v>
      </c>
      <c r="B737" s="1">
        <v>15</v>
      </c>
      <c r="C737" s="1">
        <v>1</v>
      </c>
      <c r="D737" t="s">
        <v>17</v>
      </c>
      <c r="E737" t="s">
        <v>92</v>
      </c>
      <c r="F737" s="1">
        <v>15001</v>
      </c>
      <c r="G737" s="1">
        <v>41</v>
      </c>
      <c r="H737" s="1">
        <v>51</v>
      </c>
      <c r="I737" t="s">
        <v>3</v>
      </c>
      <c r="J737" t="s">
        <v>6</v>
      </c>
      <c r="K737" s="1">
        <v>41051</v>
      </c>
      <c r="L737" s="1">
        <v>211</v>
      </c>
      <c r="M737" s="1">
        <v>211</v>
      </c>
      <c r="N737" s="1">
        <v>10972000</v>
      </c>
      <c r="O737" s="1">
        <v>41051</v>
      </c>
      <c r="P737" s="1">
        <v>0</v>
      </c>
      <c r="Q737" s="1">
        <v>1</v>
      </c>
    </row>
    <row r="738">
      <c r="A738" s="1">
        <v>2023</v>
      </c>
      <c r="B738" s="1">
        <v>16</v>
      </c>
      <c r="C738" s="1">
        <v>0</v>
      </c>
      <c r="D738" t="s">
        <v>411</v>
      </c>
      <c r="E738" t="s">
        <v>276</v>
      </c>
      <c r="F738" s="1">
        <v>16000</v>
      </c>
      <c r="G738" s="1">
        <v>41</v>
      </c>
      <c r="H738" s="1">
        <v>51</v>
      </c>
      <c r="I738" t="s">
        <v>3</v>
      </c>
      <c r="J738" t="s">
        <v>6</v>
      </c>
      <c r="K738" s="1">
        <v>41051</v>
      </c>
      <c r="L738" s="1">
        <v>1134</v>
      </c>
      <c r="M738" s="1">
        <v>586</v>
      </c>
      <c r="N738" s="1">
        <v>59841400</v>
      </c>
      <c r="O738" s="1">
        <v>41051</v>
      </c>
      <c r="P738" s="1">
        <v>0</v>
      </c>
      <c r="Q738" s="1">
        <v>1</v>
      </c>
    </row>
    <row r="739">
      <c r="A739" s="1">
        <v>2023</v>
      </c>
      <c r="B739" s="1">
        <v>17</v>
      </c>
      <c r="C739" s="1">
        <v>0</v>
      </c>
      <c r="D739" t="s">
        <v>411</v>
      </c>
      <c r="E739" t="s">
        <v>276</v>
      </c>
      <c r="F739" s="1">
        <v>17000</v>
      </c>
      <c r="G739" s="1">
        <v>41</v>
      </c>
      <c r="H739" s="1">
        <v>51</v>
      </c>
      <c r="I739" t="s">
        <v>3</v>
      </c>
      <c r="J739" t="s">
        <v>6</v>
      </c>
      <c r="K739" s="1">
        <v>41051</v>
      </c>
      <c r="L739" s="1">
        <v>61</v>
      </c>
      <c r="M739" s="1"/>
      <c r="N739" s="1">
        <v>9150000</v>
      </c>
      <c r="O739" s="1">
        <v>41051</v>
      </c>
      <c r="P739" s="1">
        <v>0</v>
      </c>
      <c r="Q739" s="1">
        <v>1</v>
      </c>
    </row>
    <row r="740">
      <c r="A740" s="1">
        <v>2023</v>
      </c>
      <c r="B740" s="1">
        <v>17</v>
      </c>
      <c r="C740" s="1">
        <v>31</v>
      </c>
      <c r="D740" t="s">
        <v>19</v>
      </c>
      <c r="E740" t="s">
        <v>98</v>
      </c>
      <c r="F740" s="1">
        <v>17031</v>
      </c>
      <c r="G740" s="1">
        <v>41</v>
      </c>
      <c r="H740" s="1">
        <v>51</v>
      </c>
      <c r="I740" t="s">
        <v>3</v>
      </c>
      <c r="J740" t="s">
        <v>6</v>
      </c>
      <c r="K740" s="1">
        <v>41051</v>
      </c>
      <c r="L740" s="1">
        <v>52</v>
      </c>
      <c r="M740" s="1">
        <v>53</v>
      </c>
      <c r="N740" s="1">
        <v>2496000</v>
      </c>
      <c r="O740" s="1">
        <v>41051</v>
      </c>
      <c r="P740" s="1">
        <v>0</v>
      </c>
      <c r="Q740" s="1">
        <v>1</v>
      </c>
    </row>
    <row r="741">
      <c r="A741" s="1">
        <v>2023</v>
      </c>
      <c r="B741" s="1">
        <v>18</v>
      </c>
      <c r="C741" s="1">
        <v>0</v>
      </c>
      <c r="D741" t="s">
        <v>411</v>
      </c>
      <c r="E741" t="s">
        <v>276</v>
      </c>
      <c r="F741" s="1">
        <v>18000</v>
      </c>
      <c r="G741" s="1">
        <v>41</v>
      </c>
      <c r="H741" s="1">
        <v>51</v>
      </c>
      <c r="I741" t="s">
        <v>3</v>
      </c>
      <c r="J741" t="s">
        <v>6</v>
      </c>
      <c r="K741" s="1">
        <v>41051</v>
      </c>
      <c r="L741" s="1">
        <v>91</v>
      </c>
      <c r="M741" s="1"/>
      <c r="N741" s="1">
        <v>4368000</v>
      </c>
      <c r="O741" s="1">
        <v>41051</v>
      </c>
      <c r="P741" s="1">
        <v>0</v>
      </c>
      <c r="Q741" s="1">
        <v>1</v>
      </c>
    </row>
    <row r="742">
      <c r="A742" s="1">
        <v>2023</v>
      </c>
      <c r="B742" s="1">
        <v>18</v>
      </c>
      <c r="C742" s="1">
        <v>81</v>
      </c>
      <c r="D742" t="s">
        <v>20</v>
      </c>
      <c r="E742" t="s">
        <v>188</v>
      </c>
      <c r="F742" s="1">
        <v>18081</v>
      </c>
      <c r="G742" s="1">
        <v>41</v>
      </c>
      <c r="H742" s="1">
        <v>51</v>
      </c>
      <c r="I742" t="s">
        <v>3</v>
      </c>
      <c r="J742" t="s">
        <v>6</v>
      </c>
      <c r="K742" s="1">
        <v>41051</v>
      </c>
      <c r="L742" s="1">
        <v>120</v>
      </c>
      <c r="M742" s="1">
        <v>58</v>
      </c>
      <c r="N742" s="1">
        <v>12587000</v>
      </c>
      <c r="O742" s="1">
        <v>41051</v>
      </c>
      <c r="P742" s="1">
        <v>0</v>
      </c>
      <c r="Q742" s="1">
        <v>1</v>
      </c>
    </row>
    <row r="743">
      <c r="A743" s="1">
        <v>2023</v>
      </c>
      <c r="B743" s="1">
        <v>18</v>
      </c>
      <c r="C743" s="1">
        <v>97</v>
      </c>
      <c r="D743" t="s">
        <v>20</v>
      </c>
      <c r="E743" t="s">
        <v>99</v>
      </c>
      <c r="F743" s="1">
        <v>18097</v>
      </c>
      <c r="G743" s="1">
        <v>41</v>
      </c>
      <c r="H743" s="1">
        <v>51</v>
      </c>
      <c r="I743" t="s">
        <v>3</v>
      </c>
      <c r="J743" t="s">
        <v>6</v>
      </c>
      <c r="K743" s="1">
        <v>41051</v>
      </c>
      <c r="L743" s="1">
        <v>385</v>
      </c>
      <c r="M743" s="1">
        <v>385</v>
      </c>
      <c r="N743" s="1">
        <v>26180000</v>
      </c>
      <c r="O743" s="1">
        <v>41051</v>
      </c>
      <c r="P743" s="1">
        <v>0</v>
      </c>
      <c r="Q743" s="1">
        <v>1</v>
      </c>
    </row>
    <row r="744">
      <c r="A744" s="1">
        <v>2023</v>
      </c>
      <c r="B744" s="1">
        <v>18</v>
      </c>
      <c r="C744" s="1">
        <v>105</v>
      </c>
      <c r="D744" t="s">
        <v>20</v>
      </c>
      <c r="E744" t="s">
        <v>203</v>
      </c>
      <c r="F744" s="1">
        <v>18105</v>
      </c>
      <c r="G744" s="1">
        <v>41</v>
      </c>
      <c r="H744" s="1">
        <v>51</v>
      </c>
      <c r="I744" t="s">
        <v>3</v>
      </c>
      <c r="J744" t="s">
        <v>6</v>
      </c>
      <c r="K744" s="1">
        <v>41051</v>
      </c>
      <c r="L744" s="1">
        <v>212</v>
      </c>
      <c r="M744" s="1">
        <v>102</v>
      </c>
      <c r="N744" s="1">
        <v>12998000</v>
      </c>
      <c r="O744" s="1">
        <v>41051</v>
      </c>
      <c r="P744" s="1">
        <v>0</v>
      </c>
      <c r="Q744" s="1">
        <v>1</v>
      </c>
    </row>
    <row r="745">
      <c r="A745" s="1">
        <v>2023</v>
      </c>
      <c r="B745" s="1">
        <v>20</v>
      </c>
      <c r="C745" s="1">
        <v>209</v>
      </c>
      <c r="D745" t="s">
        <v>42</v>
      </c>
      <c r="E745" t="s">
        <v>389</v>
      </c>
      <c r="F745" s="1">
        <v>20209</v>
      </c>
      <c r="G745" s="1">
        <v>41</v>
      </c>
      <c r="H745" s="1">
        <v>51</v>
      </c>
      <c r="I745" t="s">
        <v>3</v>
      </c>
      <c r="J745" t="s">
        <v>6</v>
      </c>
      <c r="K745" s="1">
        <v>41051</v>
      </c>
      <c r="L745" s="1">
        <v>380</v>
      </c>
      <c r="M745" s="1">
        <v>380</v>
      </c>
      <c r="N745" s="1">
        <v>19955000</v>
      </c>
      <c r="O745" s="1">
        <v>41051</v>
      </c>
      <c r="P745" s="1">
        <v>0</v>
      </c>
      <c r="Q745" s="1">
        <v>1</v>
      </c>
    </row>
    <row r="746">
      <c r="A746" s="1">
        <v>2023</v>
      </c>
      <c r="B746" s="1">
        <v>22</v>
      </c>
      <c r="C746" s="1">
        <v>71</v>
      </c>
      <c r="D746" t="s">
        <v>22</v>
      </c>
      <c r="E746" t="s">
        <v>101</v>
      </c>
      <c r="F746" s="1">
        <v>22071</v>
      </c>
      <c r="G746" s="1">
        <v>41</v>
      </c>
      <c r="H746" s="1">
        <v>51</v>
      </c>
      <c r="I746" t="s">
        <v>3</v>
      </c>
      <c r="J746" t="s">
        <v>6</v>
      </c>
      <c r="K746" s="1">
        <v>41051</v>
      </c>
      <c r="L746" s="1">
        <v>116</v>
      </c>
      <c r="M746" s="1">
        <v>116</v>
      </c>
      <c r="N746" s="1">
        <v>5800000</v>
      </c>
      <c r="O746" s="1">
        <v>41051</v>
      </c>
      <c r="P746" s="1">
        <v>0</v>
      </c>
      <c r="Q746" s="1">
        <v>1</v>
      </c>
    </row>
    <row r="747">
      <c r="A747" s="1">
        <v>2023</v>
      </c>
      <c r="B747" s="1">
        <v>25</v>
      </c>
      <c r="C747" s="1">
        <v>3</v>
      </c>
      <c r="D747" t="s">
        <v>25</v>
      </c>
      <c r="E747" t="s">
        <v>396</v>
      </c>
      <c r="F747" s="1">
        <v>25003</v>
      </c>
      <c r="G747" s="1">
        <v>41</v>
      </c>
      <c r="H747" s="1">
        <v>51</v>
      </c>
      <c r="I747" t="s">
        <v>3</v>
      </c>
      <c r="J747" t="s">
        <v>6</v>
      </c>
      <c r="K747" s="1">
        <v>41051</v>
      </c>
      <c r="L747" s="1">
        <v>737</v>
      </c>
      <c r="M747" s="1">
        <v>365</v>
      </c>
      <c r="N747" s="1">
        <v>6598000</v>
      </c>
      <c r="O747" s="1">
        <v>41051</v>
      </c>
      <c r="P747" s="1">
        <v>0</v>
      </c>
      <c r="Q747" s="1">
        <v>1</v>
      </c>
    </row>
    <row r="748">
      <c r="A748" s="1">
        <v>2023</v>
      </c>
      <c r="B748" s="1">
        <v>25</v>
      </c>
      <c r="C748" s="1">
        <v>21</v>
      </c>
      <c r="D748" t="s">
        <v>25</v>
      </c>
      <c r="E748" t="s">
        <v>192</v>
      </c>
      <c r="F748" s="1">
        <v>25021</v>
      </c>
      <c r="G748" s="1">
        <v>41</v>
      </c>
      <c r="H748" s="1">
        <v>51</v>
      </c>
      <c r="I748" t="s">
        <v>3</v>
      </c>
      <c r="J748" t="s">
        <v>6</v>
      </c>
      <c r="K748" s="1">
        <v>41051</v>
      </c>
      <c r="L748" s="1">
        <v>51</v>
      </c>
      <c r="M748" s="1"/>
      <c r="N748" s="1">
        <v>244800</v>
      </c>
      <c r="O748" s="1">
        <v>41051</v>
      </c>
      <c r="P748" s="1">
        <v>0</v>
      </c>
      <c r="Q748" s="1">
        <v>1</v>
      </c>
    </row>
    <row r="749">
      <c r="A749" s="1">
        <v>2023</v>
      </c>
      <c r="B749" s="1">
        <v>25</v>
      </c>
      <c r="C749" s="1">
        <v>25</v>
      </c>
      <c r="D749" t="s">
        <v>25</v>
      </c>
      <c r="E749" t="s">
        <v>105</v>
      </c>
      <c r="F749" s="1">
        <v>25025</v>
      </c>
      <c r="G749" s="1">
        <v>41</v>
      </c>
      <c r="H749" s="1">
        <v>51</v>
      </c>
      <c r="I749" t="s">
        <v>3</v>
      </c>
      <c r="J749" t="s">
        <v>6</v>
      </c>
      <c r="K749" s="1">
        <v>41051</v>
      </c>
      <c r="L749" s="1">
        <v>260</v>
      </c>
      <c r="M749" s="1">
        <v>261</v>
      </c>
      <c r="N749" s="1">
        <v>16900000</v>
      </c>
      <c r="O749" s="1">
        <v>41051</v>
      </c>
      <c r="P749" s="1">
        <v>0</v>
      </c>
      <c r="Q749" s="1">
        <v>1</v>
      </c>
    </row>
    <row r="750">
      <c r="A750" s="1">
        <v>2023</v>
      </c>
      <c r="B750" s="1">
        <v>26</v>
      </c>
      <c r="C750" s="1">
        <v>121</v>
      </c>
      <c r="D750" t="s">
        <v>26</v>
      </c>
      <c r="E750" t="s">
        <v>310</v>
      </c>
      <c r="F750" s="1">
        <v>26121</v>
      </c>
      <c r="G750" s="1">
        <v>41</v>
      </c>
      <c r="H750" s="1">
        <v>51</v>
      </c>
      <c r="I750" t="s">
        <v>3</v>
      </c>
      <c r="J750" t="s">
        <v>6</v>
      </c>
      <c r="K750" s="1">
        <v>41051</v>
      </c>
      <c r="L750" s="1">
        <v>60</v>
      </c>
      <c r="M750" s="1"/>
      <c r="N750" s="1">
        <v>10920000</v>
      </c>
      <c r="O750" s="1">
        <v>41051</v>
      </c>
      <c r="P750" s="1">
        <v>0</v>
      </c>
      <c r="Q750" s="1">
        <v>1</v>
      </c>
    </row>
    <row r="751">
      <c r="A751" s="1">
        <v>2023</v>
      </c>
      <c r="B751" s="1">
        <v>27</v>
      </c>
      <c r="C751" s="1">
        <v>53</v>
      </c>
      <c r="D751" t="s">
        <v>27</v>
      </c>
      <c r="E751" t="s">
        <v>107</v>
      </c>
      <c r="F751" s="1">
        <v>27053</v>
      </c>
      <c r="G751" s="1">
        <v>41</v>
      </c>
      <c r="H751" s="1">
        <v>51</v>
      </c>
      <c r="I751" t="s">
        <v>3</v>
      </c>
      <c r="J751" t="s">
        <v>6</v>
      </c>
      <c r="K751" s="1">
        <v>41051</v>
      </c>
      <c r="L751" s="1">
        <v>49</v>
      </c>
      <c r="M751" s="1"/>
      <c r="N751" s="1">
        <v>1744400</v>
      </c>
      <c r="O751" s="1">
        <v>41051</v>
      </c>
      <c r="P751" s="1">
        <v>0</v>
      </c>
      <c r="Q751" s="1">
        <v>1</v>
      </c>
    </row>
    <row r="752">
      <c r="A752" s="1">
        <v>2023</v>
      </c>
      <c r="B752" s="1">
        <v>27</v>
      </c>
      <c r="C752" s="1">
        <v>109</v>
      </c>
      <c r="D752" t="s">
        <v>27</v>
      </c>
      <c r="E752" t="s">
        <v>397</v>
      </c>
      <c r="F752" s="1">
        <v>27109</v>
      </c>
      <c r="G752" s="1">
        <v>41</v>
      </c>
      <c r="H752" s="1">
        <v>51</v>
      </c>
      <c r="I752" t="s">
        <v>3</v>
      </c>
      <c r="J752" t="s">
        <v>6</v>
      </c>
      <c r="K752" s="1">
        <v>41051</v>
      </c>
      <c r="L752" s="1">
        <v>120</v>
      </c>
      <c r="M752" s="1">
        <v>119</v>
      </c>
      <c r="N752" s="1">
        <v>1476000</v>
      </c>
      <c r="O752" s="1">
        <v>41051</v>
      </c>
      <c r="P752" s="1">
        <v>0</v>
      </c>
      <c r="Q752" s="1">
        <v>1</v>
      </c>
    </row>
    <row r="753">
      <c r="A753" s="1">
        <v>2023</v>
      </c>
      <c r="B753" s="1">
        <v>27</v>
      </c>
      <c r="C753" s="1">
        <v>123</v>
      </c>
      <c r="D753" t="s">
        <v>27</v>
      </c>
      <c r="E753" t="s">
        <v>108</v>
      </c>
      <c r="F753" s="1">
        <v>27123</v>
      </c>
      <c r="G753" s="1">
        <v>41</v>
      </c>
      <c r="H753" s="1">
        <v>51</v>
      </c>
      <c r="I753" t="s">
        <v>3</v>
      </c>
      <c r="J753" t="s">
        <v>6</v>
      </c>
      <c r="K753" s="1">
        <v>41051</v>
      </c>
      <c r="L753" s="1">
        <v>105</v>
      </c>
      <c r="M753" s="1">
        <v>105</v>
      </c>
      <c r="N753" s="1">
        <v>5486100</v>
      </c>
      <c r="O753" s="1">
        <v>41051</v>
      </c>
      <c r="P753" s="1">
        <v>0</v>
      </c>
      <c r="Q753" s="1">
        <v>1</v>
      </c>
    </row>
    <row r="754">
      <c r="A754" s="1">
        <v>2023</v>
      </c>
      <c r="B754" s="1">
        <v>29</v>
      </c>
      <c r="C754" s="1">
        <v>0</v>
      </c>
      <c r="D754" t="s">
        <v>411</v>
      </c>
      <c r="E754" t="s">
        <v>276</v>
      </c>
      <c r="F754" s="1">
        <v>29000</v>
      </c>
      <c r="G754" s="1">
        <v>41</v>
      </c>
      <c r="H754" s="1">
        <v>51</v>
      </c>
      <c r="I754" t="s">
        <v>3</v>
      </c>
      <c r="J754" t="s">
        <v>6</v>
      </c>
      <c r="K754" s="1">
        <v>41051</v>
      </c>
      <c r="L754" s="1">
        <v>100</v>
      </c>
      <c r="M754" s="1">
        <v>100</v>
      </c>
      <c r="N754" s="1">
        <v>0</v>
      </c>
      <c r="O754" s="1">
        <v>41051</v>
      </c>
      <c r="P754" s="1">
        <v>0</v>
      </c>
      <c r="Q754" s="1">
        <v>1</v>
      </c>
    </row>
    <row r="755">
      <c r="A755" s="1">
        <v>2023</v>
      </c>
      <c r="B755" s="1">
        <v>29</v>
      </c>
      <c r="C755" s="1">
        <v>95</v>
      </c>
      <c r="D755" t="s">
        <v>44</v>
      </c>
      <c r="E755" t="s">
        <v>133</v>
      </c>
      <c r="F755" s="1">
        <v>29095</v>
      </c>
      <c r="G755" s="1">
        <v>41</v>
      </c>
      <c r="H755" s="1">
        <v>51</v>
      </c>
      <c r="I755" t="s">
        <v>3</v>
      </c>
      <c r="J755" t="s">
        <v>6</v>
      </c>
      <c r="K755" s="1">
        <v>41051</v>
      </c>
      <c r="L755" s="1">
        <v>328</v>
      </c>
      <c r="M755" s="1">
        <v>186</v>
      </c>
      <c r="N755" s="1">
        <v>53288600</v>
      </c>
      <c r="O755" s="1">
        <v>41051</v>
      </c>
      <c r="P755" s="1">
        <v>0</v>
      </c>
      <c r="Q755" s="1">
        <v>1</v>
      </c>
    </row>
    <row r="756">
      <c r="A756" s="1">
        <v>2023</v>
      </c>
      <c r="B756" s="1">
        <v>29</v>
      </c>
      <c r="C756" s="1">
        <v>189</v>
      </c>
      <c r="D756" t="s">
        <v>44</v>
      </c>
      <c r="E756" t="s">
        <v>197</v>
      </c>
      <c r="F756" s="1">
        <v>29189</v>
      </c>
      <c r="G756" s="1">
        <v>41</v>
      </c>
      <c r="H756" s="1">
        <v>51</v>
      </c>
      <c r="I756" t="s">
        <v>3</v>
      </c>
      <c r="J756" t="s">
        <v>6</v>
      </c>
      <c r="K756" s="1">
        <v>41051</v>
      </c>
      <c r="L756" s="1">
        <v>69</v>
      </c>
      <c r="M756" s="1"/>
      <c r="N756" s="1">
        <v>0</v>
      </c>
      <c r="O756" s="1">
        <v>41051</v>
      </c>
      <c r="P756" s="1">
        <v>0</v>
      </c>
      <c r="Q756" s="1">
        <v>1</v>
      </c>
    </row>
    <row r="757">
      <c r="A757" s="1">
        <v>2023</v>
      </c>
      <c r="B757" s="1">
        <v>30</v>
      </c>
      <c r="C757" s="1">
        <v>0</v>
      </c>
      <c r="D757" t="s">
        <v>411</v>
      </c>
      <c r="E757" t="s">
        <v>276</v>
      </c>
      <c r="F757" s="1">
        <v>30000</v>
      </c>
      <c r="G757" s="1">
        <v>41</v>
      </c>
      <c r="H757" s="1">
        <v>51</v>
      </c>
      <c r="I757" t="s">
        <v>3</v>
      </c>
      <c r="J757" t="s">
        <v>6</v>
      </c>
      <c r="K757" s="1">
        <v>41051</v>
      </c>
      <c r="L757" s="1">
        <v>239</v>
      </c>
      <c r="M757" s="1">
        <v>140</v>
      </c>
      <c r="N757" s="1">
        <v>2833000</v>
      </c>
      <c r="O757" s="1">
        <v>41051</v>
      </c>
      <c r="P757" s="1">
        <v>0</v>
      </c>
      <c r="Q757" s="1">
        <v>1</v>
      </c>
    </row>
    <row r="758">
      <c r="A758" s="1">
        <v>2023</v>
      </c>
      <c r="B758" s="1">
        <v>30</v>
      </c>
      <c r="C758" s="1">
        <v>31</v>
      </c>
      <c r="D758" t="s">
        <v>28</v>
      </c>
      <c r="E758" t="s">
        <v>109</v>
      </c>
      <c r="F758" s="1">
        <v>30031</v>
      </c>
      <c r="G758" s="1">
        <v>41</v>
      </c>
      <c r="H758" s="1">
        <v>51</v>
      </c>
      <c r="I758" t="s">
        <v>3</v>
      </c>
      <c r="J758" t="s">
        <v>6</v>
      </c>
      <c r="K758" s="1">
        <v>41051</v>
      </c>
      <c r="L758" s="1">
        <v>55</v>
      </c>
      <c r="M758" s="1">
        <v>55</v>
      </c>
      <c r="N758" s="1">
        <v>3190000</v>
      </c>
      <c r="O758" s="1">
        <v>41051</v>
      </c>
      <c r="P758" s="1">
        <v>0</v>
      </c>
      <c r="Q758" s="1">
        <v>1</v>
      </c>
    </row>
    <row r="759">
      <c r="A759" s="1">
        <v>2023</v>
      </c>
      <c r="B759" s="1">
        <v>31</v>
      </c>
      <c r="C759" s="1">
        <v>55</v>
      </c>
      <c r="D759" t="s">
        <v>45</v>
      </c>
      <c r="E759" t="s">
        <v>131</v>
      </c>
      <c r="F759" s="1">
        <v>31055</v>
      </c>
      <c r="G759" s="1">
        <v>41</v>
      </c>
      <c r="H759" s="1">
        <v>51</v>
      </c>
      <c r="I759" t="s">
        <v>3</v>
      </c>
      <c r="J759" t="s">
        <v>6</v>
      </c>
      <c r="K759" s="1">
        <v>41051</v>
      </c>
      <c r="L759" s="1">
        <v>118</v>
      </c>
      <c r="M759" s="1"/>
      <c r="N759" s="1">
        <v>3560000</v>
      </c>
      <c r="O759" s="1">
        <v>41051</v>
      </c>
      <c r="P759" s="1">
        <v>0</v>
      </c>
      <c r="Q759" s="1">
        <v>1</v>
      </c>
    </row>
    <row r="760">
      <c r="A760" s="1">
        <v>2023</v>
      </c>
      <c r="B760" s="1">
        <v>32</v>
      </c>
      <c r="C760" s="1">
        <v>3</v>
      </c>
      <c r="D760" t="s">
        <v>29</v>
      </c>
      <c r="E760" t="s">
        <v>112</v>
      </c>
      <c r="F760" s="1">
        <v>32003</v>
      </c>
      <c r="G760" s="1">
        <v>41</v>
      </c>
      <c r="H760" s="1">
        <v>51</v>
      </c>
      <c r="I760" t="s">
        <v>3</v>
      </c>
      <c r="J760" t="s">
        <v>6</v>
      </c>
      <c r="K760" s="1">
        <v>41051</v>
      </c>
      <c r="L760" s="1">
        <v>344</v>
      </c>
      <c r="M760" s="1">
        <v>176</v>
      </c>
      <c r="N760" s="1">
        <v>38825000</v>
      </c>
      <c r="O760" s="1">
        <v>41051</v>
      </c>
      <c r="P760" s="1">
        <v>0</v>
      </c>
      <c r="Q760" s="1">
        <v>1</v>
      </c>
    </row>
    <row r="761">
      <c r="A761" s="1">
        <v>2023</v>
      </c>
      <c r="B761" s="1">
        <v>36</v>
      </c>
      <c r="C761" s="1">
        <v>0</v>
      </c>
      <c r="D761" t="s">
        <v>411</v>
      </c>
      <c r="E761" t="s">
        <v>276</v>
      </c>
      <c r="F761" s="1">
        <v>36000</v>
      </c>
      <c r="G761" s="1">
        <v>41</v>
      </c>
      <c r="H761" s="1">
        <v>51</v>
      </c>
      <c r="I761" t="s">
        <v>3</v>
      </c>
      <c r="J761" t="s">
        <v>6</v>
      </c>
      <c r="K761" s="1">
        <v>41051</v>
      </c>
      <c r="L761" s="1">
        <v>113</v>
      </c>
      <c r="M761" s="1"/>
      <c r="N761" s="1">
        <v>5810000</v>
      </c>
      <c r="O761" s="1">
        <v>41051</v>
      </c>
      <c r="P761" s="1">
        <v>0</v>
      </c>
      <c r="Q761" s="1">
        <v>1</v>
      </c>
    </row>
    <row r="762">
      <c r="A762" s="1">
        <v>2023</v>
      </c>
      <c r="B762" s="1">
        <v>36</v>
      </c>
      <c r="C762" s="1">
        <v>1</v>
      </c>
      <c r="D762" t="s">
        <v>31</v>
      </c>
      <c r="E762" t="s">
        <v>315</v>
      </c>
      <c r="F762" s="1">
        <v>36001</v>
      </c>
      <c r="G762" s="1">
        <v>41</v>
      </c>
      <c r="H762" s="1">
        <v>51</v>
      </c>
      <c r="I762" t="s">
        <v>3</v>
      </c>
      <c r="J762" t="s">
        <v>6</v>
      </c>
      <c r="K762" s="1">
        <v>41051</v>
      </c>
      <c r="L762" s="1">
        <v>664</v>
      </c>
      <c r="M762" s="1">
        <v>315</v>
      </c>
      <c r="N762" s="1">
        <v>19533300</v>
      </c>
      <c r="O762" s="1">
        <v>41051</v>
      </c>
      <c r="P762" s="1">
        <v>0</v>
      </c>
      <c r="Q762" s="1">
        <v>1</v>
      </c>
    </row>
    <row r="763">
      <c r="A763" s="1">
        <v>2023</v>
      </c>
      <c r="B763" s="1">
        <v>36</v>
      </c>
      <c r="C763" s="1">
        <v>47</v>
      </c>
      <c r="D763" t="s">
        <v>31</v>
      </c>
      <c r="E763" t="s">
        <v>116</v>
      </c>
      <c r="F763" s="1">
        <v>36047</v>
      </c>
      <c r="G763" s="1">
        <v>41</v>
      </c>
      <c r="H763" s="1">
        <v>51</v>
      </c>
      <c r="I763" t="s">
        <v>3</v>
      </c>
      <c r="J763" t="s">
        <v>6</v>
      </c>
      <c r="K763" s="1">
        <v>41051</v>
      </c>
      <c r="L763" s="1">
        <v>273</v>
      </c>
      <c r="M763" s="1">
        <v>208</v>
      </c>
      <c r="N763" s="1">
        <v>24371000</v>
      </c>
      <c r="O763" s="1">
        <v>41051</v>
      </c>
      <c r="P763" s="1">
        <v>0</v>
      </c>
      <c r="Q763" s="1">
        <v>1</v>
      </c>
    </row>
    <row r="764">
      <c r="A764" s="1">
        <v>2023</v>
      </c>
      <c r="B764" s="1">
        <v>36</v>
      </c>
      <c r="C764" s="1">
        <v>55</v>
      </c>
      <c r="D764" t="s">
        <v>31</v>
      </c>
      <c r="E764" t="s">
        <v>203</v>
      </c>
      <c r="F764" s="1">
        <v>36055</v>
      </c>
      <c r="G764" s="1">
        <v>41</v>
      </c>
      <c r="H764" s="1">
        <v>51</v>
      </c>
      <c r="I764" t="s">
        <v>3</v>
      </c>
      <c r="J764" t="s">
        <v>6</v>
      </c>
      <c r="K764" s="1">
        <v>41051</v>
      </c>
      <c r="L764" s="1">
        <v>371</v>
      </c>
      <c r="M764" s="1">
        <v>188</v>
      </c>
      <c r="N764" s="1">
        <v>14554000</v>
      </c>
      <c r="O764" s="1">
        <v>41051</v>
      </c>
      <c r="P764" s="1">
        <v>0</v>
      </c>
      <c r="Q764" s="1">
        <v>1</v>
      </c>
    </row>
    <row r="765">
      <c r="A765" s="1">
        <v>2023</v>
      </c>
      <c r="B765" s="1">
        <v>36</v>
      </c>
      <c r="C765" s="1">
        <v>91</v>
      </c>
      <c r="D765" t="s">
        <v>31</v>
      </c>
      <c r="E765" t="s">
        <v>392</v>
      </c>
      <c r="F765" s="1">
        <v>36091</v>
      </c>
      <c r="G765" s="1">
        <v>41</v>
      </c>
      <c r="H765" s="1">
        <v>51</v>
      </c>
      <c r="I765" t="s">
        <v>3</v>
      </c>
      <c r="J765" t="s">
        <v>6</v>
      </c>
      <c r="K765" s="1">
        <v>41051</v>
      </c>
      <c r="L765" s="1">
        <v>124</v>
      </c>
      <c r="M765" s="1">
        <v>123</v>
      </c>
      <c r="N765" s="1">
        <v>3720000</v>
      </c>
      <c r="O765" s="1">
        <v>41051</v>
      </c>
      <c r="P765" s="1">
        <v>0</v>
      </c>
      <c r="Q765" s="1">
        <v>1</v>
      </c>
    </row>
    <row r="766">
      <c r="A766" s="1">
        <v>2023</v>
      </c>
      <c r="B766" s="1">
        <v>37</v>
      </c>
      <c r="C766" s="1">
        <v>0</v>
      </c>
      <c r="D766" t="s">
        <v>411</v>
      </c>
      <c r="E766" t="s">
        <v>276</v>
      </c>
      <c r="F766" s="1">
        <v>37000</v>
      </c>
      <c r="G766" s="1">
        <v>41</v>
      </c>
      <c r="H766" s="1">
        <v>51</v>
      </c>
      <c r="I766" t="s">
        <v>3</v>
      </c>
      <c r="J766" t="s">
        <v>6</v>
      </c>
      <c r="K766" s="1">
        <v>41051</v>
      </c>
      <c r="L766" s="1">
        <v>497</v>
      </c>
      <c r="M766" s="1">
        <v>347</v>
      </c>
      <c r="N766" s="1">
        <v>5110200</v>
      </c>
      <c r="O766" s="1">
        <v>41051</v>
      </c>
      <c r="P766" s="1">
        <v>0</v>
      </c>
      <c r="Q766" s="1">
        <v>1</v>
      </c>
    </row>
    <row r="767">
      <c r="A767" s="1">
        <v>2023</v>
      </c>
      <c r="B767" s="1">
        <v>37</v>
      </c>
      <c r="C767" s="1">
        <v>119</v>
      </c>
      <c r="D767" t="s">
        <v>32</v>
      </c>
      <c r="E767" t="s">
        <v>121</v>
      </c>
      <c r="F767" s="1">
        <v>37119</v>
      </c>
      <c r="G767" s="1">
        <v>41</v>
      </c>
      <c r="H767" s="1">
        <v>51</v>
      </c>
      <c r="I767" t="s">
        <v>3</v>
      </c>
      <c r="J767" t="s">
        <v>6</v>
      </c>
      <c r="K767" s="1">
        <v>41051</v>
      </c>
      <c r="L767" s="1">
        <v>236</v>
      </c>
      <c r="M767" s="1">
        <v>138</v>
      </c>
      <c r="N767" s="1">
        <v>22856000</v>
      </c>
      <c r="O767" s="1">
        <v>41051</v>
      </c>
      <c r="P767" s="1">
        <v>0</v>
      </c>
      <c r="Q767" s="1">
        <v>1</v>
      </c>
    </row>
    <row r="768">
      <c r="A768" s="1">
        <v>2023</v>
      </c>
      <c r="B768" s="1">
        <v>37</v>
      </c>
      <c r="C768" s="1">
        <v>135</v>
      </c>
      <c r="D768" t="s">
        <v>32</v>
      </c>
      <c r="E768" t="s">
        <v>64</v>
      </c>
      <c r="F768" s="1">
        <v>37135</v>
      </c>
      <c r="G768" s="1">
        <v>41</v>
      </c>
      <c r="H768" s="1">
        <v>51</v>
      </c>
      <c r="I768" t="s">
        <v>3</v>
      </c>
      <c r="J768" t="s">
        <v>6</v>
      </c>
      <c r="K768" s="1">
        <v>41051</v>
      </c>
      <c r="L768" s="1">
        <v>44</v>
      </c>
      <c r="M768" s="1">
        <v>24</v>
      </c>
      <c r="N768" s="1">
        <v>10058000</v>
      </c>
      <c r="O768" s="1">
        <v>41051</v>
      </c>
      <c r="P768" s="1">
        <v>0</v>
      </c>
      <c r="Q768" s="1">
        <v>1</v>
      </c>
    </row>
    <row r="769">
      <c r="A769" s="1">
        <v>2023</v>
      </c>
      <c r="B769" s="1">
        <v>37</v>
      </c>
      <c r="C769" s="1">
        <v>183</v>
      </c>
      <c r="D769" t="s">
        <v>32</v>
      </c>
      <c r="E769" t="s">
        <v>206</v>
      </c>
      <c r="F769" s="1">
        <v>37183</v>
      </c>
      <c r="G769" s="1">
        <v>41</v>
      </c>
      <c r="H769" s="1">
        <v>51</v>
      </c>
      <c r="I769" t="s">
        <v>3</v>
      </c>
      <c r="J769" t="s">
        <v>6</v>
      </c>
      <c r="K769" s="1">
        <v>41051</v>
      </c>
      <c r="L769" s="1">
        <v>50</v>
      </c>
      <c r="M769" s="1">
        <v>50</v>
      </c>
      <c r="N769" s="1">
        <v>1560000</v>
      </c>
      <c r="O769" s="1">
        <v>41051</v>
      </c>
      <c r="P769" s="1">
        <v>0</v>
      </c>
      <c r="Q769" s="1">
        <v>1</v>
      </c>
    </row>
    <row r="770">
      <c r="A770" s="1">
        <v>2023</v>
      </c>
      <c r="B770" s="1">
        <v>39</v>
      </c>
      <c r="C770" s="1">
        <v>61</v>
      </c>
      <c r="D770" t="s">
        <v>33</v>
      </c>
      <c r="E770" t="s">
        <v>208</v>
      </c>
      <c r="F770" s="1">
        <v>39061</v>
      </c>
      <c r="G770" s="1">
        <v>41</v>
      </c>
      <c r="H770" s="1">
        <v>51</v>
      </c>
      <c r="I770" t="s">
        <v>3</v>
      </c>
      <c r="J770" t="s">
        <v>6</v>
      </c>
      <c r="K770" s="1">
        <v>41051</v>
      </c>
      <c r="L770" s="1">
        <v>40</v>
      </c>
      <c r="M770" s="1">
        <v>40</v>
      </c>
      <c r="N770" s="1">
        <v>480000</v>
      </c>
      <c r="O770" s="1">
        <v>41051</v>
      </c>
      <c r="P770" s="1">
        <v>0</v>
      </c>
      <c r="Q770" s="1">
        <v>1</v>
      </c>
    </row>
    <row r="771">
      <c r="A771" s="1">
        <v>2023</v>
      </c>
      <c r="B771" s="1">
        <v>40</v>
      </c>
      <c r="C771" s="1">
        <v>0</v>
      </c>
      <c r="D771" t="s">
        <v>411</v>
      </c>
      <c r="E771" t="s">
        <v>276</v>
      </c>
      <c r="F771" s="1">
        <v>40000</v>
      </c>
      <c r="G771" s="1">
        <v>41</v>
      </c>
      <c r="H771" s="1">
        <v>51</v>
      </c>
      <c r="I771" t="s">
        <v>3</v>
      </c>
      <c r="J771" t="s">
        <v>6</v>
      </c>
      <c r="K771" s="1">
        <v>41051</v>
      </c>
      <c r="L771" s="1">
        <v>252</v>
      </c>
      <c r="M771" s="1">
        <v>54</v>
      </c>
      <c r="N771" s="1">
        <v>5760000</v>
      </c>
      <c r="O771" s="1">
        <v>41051</v>
      </c>
      <c r="P771" s="1">
        <v>0</v>
      </c>
      <c r="Q771" s="1">
        <v>1</v>
      </c>
    </row>
    <row r="772">
      <c r="A772" s="1">
        <v>2023</v>
      </c>
      <c r="B772" s="1">
        <v>40</v>
      </c>
      <c r="C772" s="1">
        <v>109</v>
      </c>
      <c r="D772" t="s">
        <v>47</v>
      </c>
      <c r="E772" t="s">
        <v>209</v>
      </c>
      <c r="F772" s="1">
        <v>40109</v>
      </c>
      <c r="G772" s="1">
        <v>41</v>
      </c>
      <c r="H772" s="1">
        <v>51</v>
      </c>
      <c r="I772" t="s">
        <v>3</v>
      </c>
      <c r="J772" t="s">
        <v>6</v>
      </c>
      <c r="K772" s="1">
        <v>41051</v>
      </c>
      <c r="L772" s="1">
        <v>440</v>
      </c>
      <c r="M772" s="1">
        <v>327</v>
      </c>
      <c r="N772" s="1">
        <v>26573000</v>
      </c>
      <c r="O772" s="1">
        <v>41051</v>
      </c>
      <c r="P772" s="1">
        <v>0</v>
      </c>
      <c r="Q772" s="1">
        <v>1</v>
      </c>
    </row>
    <row r="773">
      <c r="A773" s="1">
        <v>2023</v>
      </c>
      <c r="B773" s="1">
        <v>41</v>
      </c>
      <c r="C773" s="1">
        <v>0</v>
      </c>
      <c r="D773" t="s">
        <v>411</v>
      </c>
      <c r="E773" t="s">
        <v>276</v>
      </c>
      <c r="F773" s="1">
        <v>41000</v>
      </c>
      <c r="G773" s="1">
        <v>41</v>
      </c>
      <c r="H773" s="1">
        <v>51</v>
      </c>
      <c r="I773" t="s">
        <v>3</v>
      </c>
      <c r="J773" t="s">
        <v>6</v>
      </c>
      <c r="K773" s="1">
        <v>41051</v>
      </c>
      <c r="L773" s="1">
        <v>2560</v>
      </c>
      <c r="M773" s="1">
        <v>973</v>
      </c>
      <c r="N773" s="1">
        <v>155287700</v>
      </c>
      <c r="O773" s="1">
        <v>41051</v>
      </c>
      <c r="P773" s="1">
        <v>0</v>
      </c>
      <c r="Q773" s="1">
        <v>1</v>
      </c>
    </row>
    <row r="774">
      <c r="A774" s="1">
        <v>2023</v>
      </c>
      <c r="B774" s="1">
        <v>41</v>
      </c>
      <c r="C774" s="1">
        <v>5</v>
      </c>
      <c r="D774" t="s">
        <v>3</v>
      </c>
      <c r="E774" t="s">
        <v>125</v>
      </c>
      <c r="F774" s="1">
        <v>41005</v>
      </c>
      <c r="G774" s="1">
        <v>41</v>
      </c>
      <c r="H774" s="1">
        <v>51</v>
      </c>
      <c r="I774" t="s">
        <v>3</v>
      </c>
      <c r="J774" t="s">
        <v>6</v>
      </c>
      <c r="K774" s="1">
        <v>41051</v>
      </c>
      <c r="L774" s="1">
        <v>5627</v>
      </c>
      <c r="M774" s="1">
        <v>2372</v>
      </c>
      <c r="N774" s="1">
        <v>210095550</v>
      </c>
      <c r="O774" s="1">
        <v>41051</v>
      </c>
      <c r="P774" s="1">
        <v>0</v>
      </c>
      <c r="Q774" s="1">
        <v>1</v>
      </c>
    </row>
    <row r="775">
      <c r="A775" s="1">
        <v>2023</v>
      </c>
      <c r="B775" s="1">
        <v>41</v>
      </c>
      <c r="C775" s="1">
        <v>19</v>
      </c>
      <c r="D775" t="s">
        <v>3</v>
      </c>
      <c r="E775" t="s">
        <v>131</v>
      </c>
      <c r="F775" s="1">
        <v>41019</v>
      </c>
      <c r="G775" s="1">
        <v>41</v>
      </c>
      <c r="H775" s="1">
        <v>51</v>
      </c>
      <c r="I775" t="s">
        <v>3</v>
      </c>
      <c r="J775" t="s">
        <v>6</v>
      </c>
      <c r="K775" s="1">
        <v>41051</v>
      </c>
      <c r="L775" s="1">
        <v>52</v>
      </c>
      <c r="M775" s="1">
        <v>52</v>
      </c>
      <c r="N775" s="1">
        <v>679120</v>
      </c>
      <c r="O775" s="1">
        <v>41051</v>
      </c>
      <c r="P775" s="1">
        <v>0</v>
      </c>
      <c r="Q775" s="1">
        <v>1</v>
      </c>
    </row>
    <row r="776">
      <c r="A776" s="1">
        <v>2023</v>
      </c>
      <c r="B776" s="1">
        <v>41</v>
      </c>
      <c r="C776" s="1">
        <v>29</v>
      </c>
      <c r="D776" t="s">
        <v>3</v>
      </c>
      <c r="E776" t="s">
        <v>133</v>
      </c>
      <c r="F776" s="1">
        <v>41029</v>
      </c>
      <c r="G776" s="1">
        <v>41</v>
      </c>
      <c r="H776" s="1">
        <v>51</v>
      </c>
      <c r="I776" t="s">
        <v>3</v>
      </c>
      <c r="J776" t="s">
        <v>6</v>
      </c>
      <c r="K776" s="1">
        <v>41051</v>
      </c>
      <c r="L776" s="1">
        <v>603</v>
      </c>
      <c r="M776" s="1">
        <v>345</v>
      </c>
      <c r="N776" s="1">
        <v>33777600</v>
      </c>
      <c r="O776" s="1">
        <v>41051</v>
      </c>
      <c r="P776" s="1">
        <v>0</v>
      </c>
      <c r="Q776" s="1">
        <v>1</v>
      </c>
    </row>
    <row r="777">
      <c r="A777" s="1">
        <v>2023</v>
      </c>
      <c r="B777" s="1">
        <v>41</v>
      </c>
      <c r="C777" s="1">
        <v>39</v>
      </c>
      <c r="D777" t="s">
        <v>3</v>
      </c>
      <c r="E777" t="s">
        <v>136</v>
      </c>
      <c r="F777" s="1">
        <v>41039</v>
      </c>
      <c r="G777" s="1">
        <v>41</v>
      </c>
      <c r="H777" s="1">
        <v>51</v>
      </c>
      <c r="I777" t="s">
        <v>3</v>
      </c>
      <c r="J777" t="s">
        <v>6</v>
      </c>
      <c r="K777" s="1">
        <v>41051</v>
      </c>
      <c r="L777" s="1">
        <v>2147</v>
      </c>
      <c r="M777" s="1">
        <v>1077</v>
      </c>
      <c r="N777" s="1">
        <v>66866000</v>
      </c>
      <c r="O777" s="1">
        <v>41051</v>
      </c>
      <c r="P777" s="1">
        <v>0</v>
      </c>
      <c r="Q777" s="1">
        <v>1</v>
      </c>
    </row>
    <row r="778">
      <c r="A778" s="1">
        <v>2023</v>
      </c>
      <c r="B778" s="1">
        <v>41</v>
      </c>
      <c r="C778" s="1">
        <v>47</v>
      </c>
      <c r="D778" t="s">
        <v>3</v>
      </c>
      <c r="E778" t="s">
        <v>99</v>
      </c>
      <c r="F778" s="1">
        <v>41047</v>
      </c>
      <c r="G778" s="1">
        <v>41</v>
      </c>
      <c r="H778" s="1">
        <v>51</v>
      </c>
      <c r="I778" t="s">
        <v>3</v>
      </c>
      <c r="J778" t="s">
        <v>6</v>
      </c>
      <c r="K778" s="1">
        <v>41051</v>
      </c>
      <c r="L778" s="1">
        <v>3384</v>
      </c>
      <c r="M778" s="1">
        <v>2385</v>
      </c>
      <c r="N778" s="1">
        <v>258178000</v>
      </c>
      <c r="O778" s="1">
        <v>41051</v>
      </c>
      <c r="P778" s="1">
        <v>0</v>
      </c>
      <c r="Q778" s="1">
        <v>1</v>
      </c>
    </row>
    <row r="779">
      <c r="A779" s="1">
        <v>2023</v>
      </c>
      <c r="B779" s="1">
        <v>41</v>
      </c>
      <c r="C779" s="1">
        <v>51</v>
      </c>
      <c r="D779" t="s">
        <v>3</v>
      </c>
      <c r="E779" t="s">
        <v>6</v>
      </c>
      <c r="F779" s="1">
        <v>41051</v>
      </c>
      <c r="G779" s="1">
        <v>41</v>
      </c>
      <c r="H779" s="1">
        <v>51</v>
      </c>
      <c r="I779" t="s">
        <v>3</v>
      </c>
      <c r="J779" t="s">
        <v>6</v>
      </c>
      <c r="K779" s="1">
        <v>41051</v>
      </c>
      <c r="L779" s="1">
        <v>580087</v>
      </c>
      <c r="M779" s="1">
        <v>327299</v>
      </c>
      <c r="N779" s="1">
        <v>37462494354</v>
      </c>
      <c r="O779" s="1">
        <v>41051</v>
      </c>
      <c r="P779" s="1">
        <v>1</v>
      </c>
      <c r="Q779" s="1">
        <v>1</v>
      </c>
    </row>
    <row r="780">
      <c r="A780" s="1">
        <v>2023</v>
      </c>
      <c r="B780" s="1">
        <v>41</v>
      </c>
      <c r="C780" s="1">
        <v>67</v>
      </c>
      <c r="D780" t="s">
        <v>3</v>
      </c>
      <c r="E780" t="s">
        <v>143</v>
      </c>
      <c r="F780" s="1">
        <v>41067</v>
      </c>
      <c r="G780" s="1">
        <v>41</v>
      </c>
      <c r="H780" s="1">
        <v>51</v>
      </c>
      <c r="I780" t="s">
        <v>3</v>
      </c>
      <c r="J780" t="s">
        <v>6</v>
      </c>
      <c r="K780" s="1">
        <v>41051</v>
      </c>
      <c r="L780" s="1">
        <v>5565</v>
      </c>
      <c r="M780" s="1">
        <v>3231</v>
      </c>
      <c r="N780" s="1">
        <v>371229500</v>
      </c>
      <c r="O780" s="1">
        <v>41051</v>
      </c>
      <c r="P780" s="1">
        <v>0</v>
      </c>
      <c r="Q780" s="1">
        <v>1</v>
      </c>
    </row>
    <row r="781">
      <c r="A781" s="1">
        <v>2023</v>
      </c>
      <c r="B781" s="1">
        <v>41</v>
      </c>
      <c r="C781" s="1">
        <v>71</v>
      </c>
      <c r="D781" t="s">
        <v>3</v>
      </c>
      <c r="E781" t="s">
        <v>144</v>
      </c>
      <c r="F781" s="1">
        <v>41071</v>
      </c>
      <c r="G781" s="1">
        <v>41</v>
      </c>
      <c r="H781" s="1">
        <v>51</v>
      </c>
      <c r="I781" t="s">
        <v>3</v>
      </c>
      <c r="J781" t="s">
        <v>6</v>
      </c>
      <c r="K781" s="1">
        <v>41051</v>
      </c>
      <c r="L781" s="1">
        <v>917</v>
      </c>
      <c r="M781" s="1">
        <v>451</v>
      </c>
      <c r="N781" s="1">
        <v>46920000</v>
      </c>
      <c r="O781" s="1">
        <v>41051</v>
      </c>
      <c r="P781" s="1">
        <v>0</v>
      </c>
      <c r="Q781" s="1">
        <v>1</v>
      </c>
    </row>
    <row r="782">
      <c r="A782" s="1">
        <v>2023</v>
      </c>
      <c r="B782" s="1">
        <v>42</v>
      </c>
      <c r="C782" s="1">
        <v>3</v>
      </c>
      <c r="D782" t="s">
        <v>34</v>
      </c>
      <c r="E782" t="s">
        <v>145</v>
      </c>
      <c r="F782" s="1">
        <v>42003</v>
      </c>
      <c r="G782" s="1">
        <v>41</v>
      </c>
      <c r="H782" s="1">
        <v>51</v>
      </c>
      <c r="I782" t="s">
        <v>3</v>
      </c>
      <c r="J782" t="s">
        <v>6</v>
      </c>
      <c r="K782" s="1">
        <v>41051</v>
      </c>
      <c r="L782" s="1">
        <v>60</v>
      </c>
      <c r="M782" s="1">
        <v>30</v>
      </c>
      <c r="N782" s="1">
        <v>4902000</v>
      </c>
      <c r="O782" s="1">
        <v>41051</v>
      </c>
      <c r="P782" s="1">
        <v>0</v>
      </c>
      <c r="Q782" s="1">
        <v>1</v>
      </c>
    </row>
    <row r="783">
      <c r="A783" s="1">
        <v>2023</v>
      </c>
      <c r="B783" s="1">
        <v>42</v>
      </c>
      <c r="C783" s="1">
        <v>17</v>
      </c>
      <c r="D783" t="s">
        <v>34</v>
      </c>
      <c r="E783" t="s">
        <v>318</v>
      </c>
      <c r="F783" s="1">
        <v>42017</v>
      </c>
      <c r="G783" s="1">
        <v>41</v>
      </c>
      <c r="H783" s="1">
        <v>51</v>
      </c>
      <c r="I783" t="s">
        <v>3</v>
      </c>
      <c r="J783" t="s">
        <v>6</v>
      </c>
      <c r="K783" s="1">
        <v>41051</v>
      </c>
      <c r="L783" s="1">
        <v>232</v>
      </c>
      <c r="M783" s="1">
        <v>55</v>
      </c>
      <c r="N783" s="1">
        <v>19856000</v>
      </c>
      <c r="O783" s="1">
        <v>41051</v>
      </c>
      <c r="P783" s="1">
        <v>0</v>
      </c>
      <c r="Q783" s="1">
        <v>1</v>
      </c>
    </row>
    <row r="784">
      <c r="A784" s="1">
        <v>2023</v>
      </c>
      <c r="B784" s="1">
        <v>42</v>
      </c>
      <c r="C784" s="1">
        <v>101</v>
      </c>
      <c r="D784" t="s">
        <v>34</v>
      </c>
      <c r="E784" t="s">
        <v>146</v>
      </c>
      <c r="F784" s="1">
        <v>42101</v>
      </c>
      <c r="G784" s="1">
        <v>41</v>
      </c>
      <c r="H784" s="1">
        <v>51</v>
      </c>
      <c r="I784" t="s">
        <v>3</v>
      </c>
      <c r="J784" t="s">
        <v>6</v>
      </c>
      <c r="K784" s="1">
        <v>41051</v>
      </c>
      <c r="L784" s="1">
        <v>205</v>
      </c>
      <c r="M784" s="1">
        <v>204</v>
      </c>
      <c r="N784" s="1">
        <v>3280000</v>
      </c>
      <c r="O784" s="1">
        <v>41051</v>
      </c>
      <c r="P784" s="1">
        <v>0</v>
      </c>
      <c r="Q784" s="1">
        <v>1</v>
      </c>
    </row>
    <row r="785">
      <c r="A785" s="1">
        <v>2023</v>
      </c>
      <c r="B785" s="1">
        <v>48</v>
      </c>
      <c r="C785" s="1">
        <v>201</v>
      </c>
      <c r="D785" t="s">
        <v>36</v>
      </c>
      <c r="E785" t="s">
        <v>151</v>
      </c>
      <c r="F785" s="1">
        <v>48201</v>
      </c>
      <c r="G785" s="1">
        <v>41</v>
      </c>
      <c r="H785" s="1">
        <v>51</v>
      </c>
      <c r="I785" t="s">
        <v>3</v>
      </c>
      <c r="J785" t="s">
        <v>6</v>
      </c>
      <c r="K785" s="1">
        <v>41051</v>
      </c>
      <c r="L785" s="1">
        <v>52</v>
      </c>
      <c r="M785" s="1"/>
      <c r="N785" s="1">
        <v>1560000</v>
      </c>
      <c r="O785" s="1">
        <v>41051</v>
      </c>
      <c r="P785" s="1">
        <v>0</v>
      </c>
      <c r="Q785" s="1">
        <v>1</v>
      </c>
    </row>
    <row r="786">
      <c r="A786" s="1">
        <v>2023</v>
      </c>
      <c r="B786" s="1">
        <v>48</v>
      </c>
      <c r="C786" s="1">
        <v>355</v>
      </c>
      <c r="D786" t="s">
        <v>36</v>
      </c>
      <c r="E786" t="s">
        <v>298</v>
      </c>
      <c r="F786" s="1">
        <v>48355</v>
      </c>
      <c r="G786" s="1">
        <v>41</v>
      </c>
      <c r="H786" s="1">
        <v>51</v>
      </c>
      <c r="I786" t="s">
        <v>3</v>
      </c>
      <c r="J786" t="s">
        <v>6</v>
      </c>
      <c r="K786" s="1">
        <v>41051</v>
      </c>
      <c r="L786" s="1">
        <v>74</v>
      </c>
      <c r="M786" s="1"/>
      <c r="N786" s="1">
        <v>2960000</v>
      </c>
      <c r="O786" s="1">
        <v>41051</v>
      </c>
      <c r="P786" s="1">
        <v>0</v>
      </c>
      <c r="Q786" s="1">
        <v>1</v>
      </c>
    </row>
    <row r="787">
      <c r="A787" s="1">
        <v>2023</v>
      </c>
      <c r="B787" s="1">
        <v>48</v>
      </c>
      <c r="C787" s="1">
        <v>453</v>
      </c>
      <c r="D787" t="s">
        <v>36</v>
      </c>
      <c r="E787" t="s">
        <v>153</v>
      </c>
      <c r="F787" s="1">
        <v>48453</v>
      </c>
      <c r="G787" s="1">
        <v>41</v>
      </c>
      <c r="H787" s="1">
        <v>51</v>
      </c>
      <c r="I787" t="s">
        <v>3</v>
      </c>
      <c r="J787" t="s">
        <v>6</v>
      </c>
      <c r="K787" s="1">
        <v>41051</v>
      </c>
      <c r="L787" s="1">
        <v>221</v>
      </c>
      <c r="M787" s="1">
        <v>165</v>
      </c>
      <c r="N787" s="1">
        <v>31496000</v>
      </c>
      <c r="O787" s="1">
        <v>41051</v>
      </c>
      <c r="P787" s="1">
        <v>0</v>
      </c>
      <c r="Q787" s="1">
        <v>1</v>
      </c>
    </row>
    <row r="788">
      <c r="A788" s="1">
        <v>2023</v>
      </c>
      <c r="B788" s="1">
        <v>48</v>
      </c>
      <c r="C788" s="1">
        <v>491</v>
      </c>
      <c r="D788" t="s">
        <v>36</v>
      </c>
      <c r="E788" t="s">
        <v>217</v>
      </c>
      <c r="F788" s="1">
        <v>48491</v>
      </c>
      <c r="G788" s="1">
        <v>41</v>
      </c>
      <c r="H788" s="1">
        <v>51</v>
      </c>
      <c r="I788" t="s">
        <v>3</v>
      </c>
      <c r="J788" t="s">
        <v>6</v>
      </c>
      <c r="K788" s="1">
        <v>41051</v>
      </c>
      <c r="L788" s="1">
        <v>87</v>
      </c>
      <c r="M788" s="1">
        <v>36</v>
      </c>
      <c r="N788" s="1">
        <v>3442500</v>
      </c>
      <c r="O788" s="1">
        <v>41051</v>
      </c>
      <c r="P788" s="1">
        <v>0</v>
      </c>
      <c r="Q788" s="1">
        <v>1</v>
      </c>
    </row>
    <row r="789">
      <c r="A789" s="1">
        <v>2023</v>
      </c>
      <c r="B789" s="1">
        <v>49</v>
      </c>
      <c r="C789" s="1">
        <v>0</v>
      </c>
      <c r="D789" t="s">
        <v>411</v>
      </c>
      <c r="E789" t="s">
        <v>276</v>
      </c>
      <c r="F789" s="1">
        <v>49000</v>
      </c>
      <c r="G789" s="1">
        <v>41</v>
      </c>
      <c r="H789" s="1">
        <v>51</v>
      </c>
      <c r="I789" t="s">
        <v>3</v>
      </c>
      <c r="J789" t="s">
        <v>6</v>
      </c>
      <c r="K789" s="1">
        <v>41051</v>
      </c>
      <c r="L789" s="1">
        <v>148</v>
      </c>
      <c r="M789" s="1"/>
      <c r="N789" s="1">
        <v>1398600</v>
      </c>
      <c r="O789" s="1">
        <v>41051</v>
      </c>
      <c r="P789" s="1">
        <v>0</v>
      </c>
      <c r="Q789" s="1">
        <v>1</v>
      </c>
    </row>
    <row r="790">
      <c r="A790" s="1">
        <v>2023</v>
      </c>
      <c r="B790" s="1">
        <v>49</v>
      </c>
      <c r="C790" s="1">
        <v>35</v>
      </c>
      <c r="D790" t="s">
        <v>37</v>
      </c>
      <c r="E790" t="s">
        <v>154</v>
      </c>
      <c r="F790" s="1">
        <v>49035</v>
      </c>
      <c r="G790" s="1">
        <v>41</v>
      </c>
      <c r="H790" s="1">
        <v>51</v>
      </c>
      <c r="I790" t="s">
        <v>3</v>
      </c>
      <c r="J790" t="s">
        <v>6</v>
      </c>
      <c r="K790" s="1">
        <v>41051</v>
      </c>
      <c r="L790" s="1">
        <v>1002</v>
      </c>
      <c r="M790" s="1">
        <v>530</v>
      </c>
      <c r="N790" s="1">
        <v>83666000</v>
      </c>
      <c r="O790" s="1">
        <v>41051</v>
      </c>
      <c r="P790" s="1">
        <v>0</v>
      </c>
      <c r="Q790" s="1">
        <v>1</v>
      </c>
    </row>
    <row r="791">
      <c r="A791" s="1">
        <v>2023</v>
      </c>
      <c r="B791" s="1">
        <v>49</v>
      </c>
      <c r="C791" s="1">
        <v>53</v>
      </c>
      <c r="D791" t="s">
        <v>37</v>
      </c>
      <c r="E791" t="s">
        <v>143</v>
      </c>
      <c r="F791" s="1">
        <v>49053</v>
      </c>
      <c r="G791" s="1">
        <v>41</v>
      </c>
      <c r="H791" s="1">
        <v>51</v>
      </c>
      <c r="I791" t="s">
        <v>3</v>
      </c>
      <c r="J791" t="s">
        <v>6</v>
      </c>
      <c r="K791" s="1">
        <v>41051</v>
      </c>
      <c r="L791" s="1">
        <v>127</v>
      </c>
      <c r="M791" s="1">
        <v>126</v>
      </c>
      <c r="N791" s="1">
        <v>38100</v>
      </c>
      <c r="O791" s="1">
        <v>41051</v>
      </c>
      <c r="P791" s="1">
        <v>0</v>
      </c>
      <c r="Q791" s="1">
        <v>1</v>
      </c>
    </row>
    <row r="792">
      <c r="A792" s="1">
        <v>2023</v>
      </c>
      <c r="B792" s="1">
        <v>51</v>
      </c>
      <c r="C792" s="1">
        <v>0</v>
      </c>
      <c r="D792" t="s">
        <v>411</v>
      </c>
      <c r="E792" t="s">
        <v>276</v>
      </c>
      <c r="F792" s="1">
        <v>51000</v>
      </c>
      <c r="G792" s="1">
        <v>41</v>
      </c>
      <c r="H792" s="1">
        <v>51</v>
      </c>
      <c r="I792" t="s">
        <v>3</v>
      </c>
      <c r="J792" t="s">
        <v>6</v>
      </c>
      <c r="K792" s="1">
        <v>41051</v>
      </c>
      <c r="L792" s="1">
        <v>152</v>
      </c>
      <c r="M792" s="1">
        <v>37</v>
      </c>
      <c r="N792" s="1">
        <v>4408100</v>
      </c>
      <c r="O792" s="1">
        <v>41051</v>
      </c>
      <c r="P792" s="1">
        <v>0</v>
      </c>
      <c r="Q792" s="1">
        <v>1</v>
      </c>
    </row>
    <row r="793">
      <c r="A793" s="1">
        <v>2023</v>
      </c>
      <c r="B793" s="1">
        <v>51</v>
      </c>
      <c r="C793" s="1">
        <v>41</v>
      </c>
      <c r="D793" t="s">
        <v>39</v>
      </c>
      <c r="E793" t="s">
        <v>378</v>
      </c>
      <c r="F793" s="1">
        <v>51041</v>
      </c>
      <c r="G793" s="1">
        <v>41</v>
      </c>
      <c r="H793" s="1">
        <v>51</v>
      </c>
      <c r="I793" t="s">
        <v>3</v>
      </c>
      <c r="J793" t="s">
        <v>6</v>
      </c>
      <c r="K793" s="1">
        <v>41051</v>
      </c>
      <c r="L793" s="1">
        <v>133</v>
      </c>
      <c r="M793" s="1">
        <v>133</v>
      </c>
      <c r="N793" s="1">
        <v>1928500</v>
      </c>
      <c r="O793" s="1">
        <v>41051</v>
      </c>
      <c r="P793" s="1">
        <v>0</v>
      </c>
      <c r="Q793" s="1">
        <v>1</v>
      </c>
    </row>
    <row r="794">
      <c r="A794" s="1">
        <v>2023</v>
      </c>
      <c r="B794" s="1">
        <v>51</v>
      </c>
      <c r="C794" s="1">
        <v>760</v>
      </c>
      <c r="D794" t="s">
        <v>39</v>
      </c>
      <c r="E794" t="s">
        <v>227</v>
      </c>
      <c r="F794" s="1">
        <v>51760</v>
      </c>
      <c r="G794" s="1">
        <v>41</v>
      </c>
      <c r="H794" s="1">
        <v>51</v>
      </c>
      <c r="I794" t="s">
        <v>3</v>
      </c>
      <c r="J794" t="s">
        <v>6</v>
      </c>
      <c r="K794" s="1">
        <v>41051</v>
      </c>
      <c r="L794" s="1">
        <v>23</v>
      </c>
      <c r="M794" s="1"/>
      <c r="N794" s="1">
        <v>69000</v>
      </c>
      <c r="O794" s="1">
        <v>41051</v>
      </c>
      <c r="P794" s="1">
        <v>0</v>
      </c>
      <c r="Q794" s="1">
        <v>1</v>
      </c>
    </row>
    <row r="795">
      <c r="A795" s="1">
        <v>2023</v>
      </c>
      <c r="B795" s="1">
        <v>53</v>
      </c>
      <c r="C795" s="1">
        <v>0</v>
      </c>
      <c r="D795" t="s">
        <v>411</v>
      </c>
      <c r="E795" t="s">
        <v>276</v>
      </c>
      <c r="F795" s="1">
        <v>53000</v>
      </c>
      <c r="G795" s="1">
        <v>41</v>
      </c>
      <c r="H795" s="1">
        <v>51</v>
      </c>
      <c r="I795" t="s">
        <v>3</v>
      </c>
      <c r="J795" t="s">
        <v>6</v>
      </c>
      <c r="K795" s="1">
        <v>41051</v>
      </c>
      <c r="L795" s="1">
        <v>621</v>
      </c>
      <c r="M795" s="1">
        <v>372</v>
      </c>
      <c r="N795" s="1">
        <v>28175150</v>
      </c>
      <c r="O795" s="1">
        <v>41051</v>
      </c>
      <c r="P795" s="1">
        <v>0</v>
      </c>
      <c r="Q795" s="1">
        <v>1</v>
      </c>
    </row>
    <row r="796">
      <c r="A796" s="1">
        <v>2023</v>
      </c>
      <c r="B796" s="1">
        <v>53</v>
      </c>
      <c r="C796" s="1">
        <v>11</v>
      </c>
      <c r="D796" t="s">
        <v>40</v>
      </c>
      <c r="E796" t="s">
        <v>112</v>
      </c>
      <c r="F796" s="1">
        <v>53011</v>
      </c>
      <c r="G796" s="1">
        <v>41</v>
      </c>
      <c r="H796" s="1">
        <v>51</v>
      </c>
      <c r="I796" t="s">
        <v>3</v>
      </c>
      <c r="J796" t="s">
        <v>6</v>
      </c>
      <c r="K796" s="1">
        <v>41051</v>
      </c>
      <c r="L796" s="1">
        <v>2014</v>
      </c>
      <c r="M796" s="1">
        <v>1200</v>
      </c>
      <c r="N796" s="1">
        <v>74366530</v>
      </c>
      <c r="O796" s="1">
        <v>41051</v>
      </c>
      <c r="P796" s="1">
        <v>0</v>
      </c>
      <c r="Q796" s="1">
        <v>1</v>
      </c>
    </row>
    <row r="797">
      <c r="A797" s="1">
        <v>2023</v>
      </c>
      <c r="B797" s="1">
        <v>53</v>
      </c>
      <c r="C797" s="1">
        <v>33</v>
      </c>
      <c r="D797" t="s">
        <v>40</v>
      </c>
      <c r="E797" t="s">
        <v>160</v>
      </c>
      <c r="F797" s="1">
        <v>53033</v>
      </c>
      <c r="G797" s="1">
        <v>41</v>
      </c>
      <c r="H797" s="1">
        <v>51</v>
      </c>
      <c r="I797" t="s">
        <v>3</v>
      </c>
      <c r="J797" t="s">
        <v>6</v>
      </c>
      <c r="K797" s="1">
        <v>41051</v>
      </c>
      <c r="L797" s="1">
        <v>1266</v>
      </c>
      <c r="M797" s="1">
        <v>472</v>
      </c>
      <c r="N797" s="1">
        <v>98902000</v>
      </c>
      <c r="O797" s="1">
        <v>41051</v>
      </c>
      <c r="P797" s="1">
        <v>0</v>
      </c>
      <c r="Q797" s="1">
        <v>1</v>
      </c>
    </row>
    <row r="798">
      <c r="A798" s="1">
        <v>2023</v>
      </c>
      <c r="B798" s="1">
        <v>53</v>
      </c>
      <c r="C798" s="1">
        <v>35</v>
      </c>
      <c r="D798" t="s">
        <v>40</v>
      </c>
      <c r="E798" t="s">
        <v>161</v>
      </c>
      <c r="F798" s="1">
        <v>53035</v>
      </c>
      <c r="G798" s="1">
        <v>41</v>
      </c>
      <c r="H798" s="1">
        <v>51</v>
      </c>
      <c r="I798" t="s">
        <v>3</v>
      </c>
      <c r="J798" t="s">
        <v>6</v>
      </c>
      <c r="K798" s="1">
        <v>41051</v>
      </c>
      <c r="L798" s="1">
        <v>918</v>
      </c>
      <c r="M798" s="1"/>
      <c r="N798" s="1">
        <v>13127400</v>
      </c>
      <c r="O798" s="1">
        <v>41051</v>
      </c>
      <c r="P798" s="1">
        <v>0</v>
      </c>
      <c r="Q798" s="1">
        <v>1</v>
      </c>
    </row>
    <row r="799">
      <c r="A799" s="1">
        <v>2023</v>
      </c>
      <c r="B799" s="1">
        <v>53</v>
      </c>
      <c r="C799" s="1">
        <v>53</v>
      </c>
      <c r="D799" t="s">
        <v>40</v>
      </c>
      <c r="E799" t="s">
        <v>165</v>
      </c>
      <c r="F799" s="1">
        <v>53053</v>
      </c>
      <c r="G799" s="1">
        <v>41</v>
      </c>
      <c r="H799" s="1">
        <v>51</v>
      </c>
      <c r="I799" t="s">
        <v>3</v>
      </c>
      <c r="J799" t="s">
        <v>6</v>
      </c>
      <c r="K799" s="1">
        <v>41051</v>
      </c>
      <c r="L799" s="1">
        <v>53</v>
      </c>
      <c r="M799" s="1">
        <v>53</v>
      </c>
      <c r="N799" s="1">
        <v>4770000</v>
      </c>
      <c r="O799" s="1">
        <v>41051</v>
      </c>
      <c r="P799" s="1">
        <v>0</v>
      </c>
      <c r="Q799" s="1">
        <v>1</v>
      </c>
    </row>
    <row r="800">
      <c r="A800" s="1">
        <v>2023</v>
      </c>
      <c r="B800" s="1">
        <v>53</v>
      </c>
      <c r="C800" s="1">
        <v>57</v>
      </c>
      <c r="D800" t="s">
        <v>40</v>
      </c>
      <c r="E800" t="s">
        <v>223</v>
      </c>
      <c r="F800" s="1">
        <v>53057</v>
      </c>
      <c r="G800" s="1">
        <v>41</v>
      </c>
      <c r="H800" s="1">
        <v>51</v>
      </c>
      <c r="I800" t="s">
        <v>3</v>
      </c>
      <c r="J800" t="s">
        <v>6</v>
      </c>
      <c r="K800" s="1">
        <v>41051</v>
      </c>
      <c r="L800" s="1">
        <v>109</v>
      </c>
      <c r="M800" s="1"/>
      <c r="N800" s="1">
        <v>4142000</v>
      </c>
      <c r="O800" s="1">
        <v>41051</v>
      </c>
      <c r="P800" s="1">
        <v>0</v>
      </c>
      <c r="Q800" s="1">
        <v>1</v>
      </c>
    </row>
    <row r="801">
      <c r="A801" s="1">
        <v>2023</v>
      </c>
      <c r="B801" s="1">
        <v>53</v>
      </c>
      <c r="C801" s="1">
        <v>61</v>
      </c>
      <c r="D801" t="s">
        <v>40</v>
      </c>
      <c r="E801" t="s">
        <v>167</v>
      </c>
      <c r="F801" s="1">
        <v>53061</v>
      </c>
      <c r="G801" s="1">
        <v>41</v>
      </c>
      <c r="H801" s="1">
        <v>51</v>
      </c>
      <c r="I801" t="s">
        <v>3</v>
      </c>
      <c r="J801" t="s">
        <v>6</v>
      </c>
      <c r="K801" s="1">
        <v>41051</v>
      </c>
      <c r="L801" s="1">
        <v>352</v>
      </c>
      <c r="M801" s="1">
        <v>290</v>
      </c>
      <c r="N801" s="1">
        <v>14856400</v>
      </c>
      <c r="O801" s="1">
        <v>41051</v>
      </c>
      <c r="P801" s="1">
        <v>0</v>
      </c>
      <c r="Q801" s="1">
        <v>1</v>
      </c>
    </row>
    <row r="802">
      <c r="A802" s="1">
        <v>2023</v>
      </c>
      <c r="B802" s="1">
        <v>53</v>
      </c>
      <c r="C802" s="1">
        <v>67</v>
      </c>
      <c r="D802" t="s">
        <v>40</v>
      </c>
      <c r="E802" t="s">
        <v>169</v>
      </c>
      <c r="F802" s="1">
        <v>53067</v>
      </c>
      <c r="G802" s="1">
        <v>41</v>
      </c>
      <c r="H802" s="1">
        <v>51</v>
      </c>
      <c r="I802" t="s">
        <v>3</v>
      </c>
      <c r="J802" t="s">
        <v>6</v>
      </c>
      <c r="K802" s="1">
        <v>41051</v>
      </c>
      <c r="L802" s="1">
        <v>54</v>
      </c>
      <c r="M802" s="1"/>
      <c r="N802" s="1">
        <v>1836000</v>
      </c>
      <c r="O802" s="1">
        <v>41051</v>
      </c>
      <c r="P802" s="1">
        <v>0</v>
      </c>
      <c r="Q802" s="1">
        <v>1</v>
      </c>
    </row>
    <row r="803">
      <c r="A803" s="1">
        <v>2023</v>
      </c>
      <c r="B803" s="1">
        <v>53</v>
      </c>
      <c r="C803" s="1">
        <v>73</v>
      </c>
      <c r="D803" t="s">
        <v>40</v>
      </c>
      <c r="E803" t="s">
        <v>171</v>
      </c>
      <c r="F803" s="1">
        <v>53073</v>
      </c>
      <c r="G803" s="1">
        <v>41</v>
      </c>
      <c r="H803" s="1">
        <v>51</v>
      </c>
      <c r="I803" t="s">
        <v>3</v>
      </c>
      <c r="J803" t="s">
        <v>6</v>
      </c>
      <c r="K803" s="1">
        <v>41051</v>
      </c>
      <c r="L803" s="1">
        <v>366</v>
      </c>
      <c r="M803" s="1">
        <v>184</v>
      </c>
      <c r="N803" s="1">
        <v>7267750</v>
      </c>
      <c r="O803" s="1">
        <v>41051</v>
      </c>
      <c r="P803" s="1">
        <v>0</v>
      </c>
      <c r="Q803" s="1">
        <v>1</v>
      </c>
    </row>
    <row r="804">
      <c r="A804" s="1">
        <v>2023</v>
      </c>
      <c r="B804" s="1">
        <v>55</v>
      </c>
      <c r="C804" s="1">
        <v>79</v>
      </c>
      <c r="D804" t="s">
        <v>41</v>
      </c>
      <c r="E804" t="s">
        <v>174</v>
      </c>
      <c r="F804" s="1">
        <v>55079</v>
      </c>
      <c r="G804" s="1">
        <v>41</v>
      </c>
      <c r="H804" s="1">
        <v>51</v>
      </c>
      <c r="I804" t="s">
        <v>3</v>
      </c>
      <c r="J804" t="s">
        <v>6</v>
      </c>
      <c r="K804" s="1">
        <v>41051</v>
      </c>
      <c r="L804" s="1">
        <v>131</v>
      </c>
      <c r="M804" s="1">
        <v>66</v>
      </c>
      <c r="N804" s="1">
        <v>11898000</v>
      </c>
      <c r="O804" s="1">
        <v>41051</v>
      </c>
      <c r="P804" s="1">
        <v>0</v>
      </c>
      <c r="Q804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ANALYSIS</vt:lpstr>
      <vt:lpstr>IRS Summary</vt:lpstr>
      <vt:lpstr>PIVOT - IRS OUT</vt:lpstr>
      <vt:lpstr>PIVOT - ACS OUT</vt:lpstr>
      <vt:lpstr>PIVOT - IRS IN</vt:lpstr>
      <vt:lpstr>PIVOT - ACS IN</vt:lpstr>
      <vt:lpstr>DATA</vt:lpstr>
      <vt:lpstr>irs_o</vt:lpstr>
      <vt:lpstr>irs_d</vt:lpstr>
      <vt:lpstr>acs_o</vt:lpstr>
      <vt:lpstr>acs_d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Iselin, John</cp:lastModifiedBy>
  <dcterms:modified xsi:type="dcterms:W3CDTF">2025-12-18T16:11:47Z</dcterms:modified>
</cp:coreProperties>
</file>